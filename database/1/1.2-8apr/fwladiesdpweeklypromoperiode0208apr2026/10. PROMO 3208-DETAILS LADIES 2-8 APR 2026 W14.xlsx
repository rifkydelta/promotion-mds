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MO\TRACKING PROMO\"/>
    </mc:Choice>
  </mc:AlternateContent>
  <xr:revisionPtr revIDLastSave="0" documentId="13_ncr:1_{2315708B-DAF4-48FD-B5EF-D9D7C69B4BE0}" xr6:coauthVersionLast="47" xr6:coauthVersionMax="47" xr10:uidLastSave="{00000000-0000-0000-0000-000000000000}"/>
  <bookViews>
    <workbookView xWindow="-110" yWindow="-110" windowWidth="19420" windowHeight="10300" tabRatio="744" xr2:uid="{00000000-000D-0000-FFFF-FFFF00000000}"/>
  </bookViews>
  <sheets>
    <sheet name="ALL 2024 H2 D80" sheetId="35" r:id="rId1"/>
    <sheet name="2024 H1 D90" sheetId="33" r:id="rId2"/>
    <sheet name="2024 LEB24 D90" sheetId="18" r:id="rId3"/>
    <sheet name="2023 H2 ALL D90" sheetId="25" r:id="rId4"/>
    <sheet name="2023 LEB23 D90" sheetId="23" r:id="rId5"/>
    <sheet name="2023 H1 ALL D90" sheetId="34" r:id="rId6"/>
    <sheet name="2022 ALL D90" sheetId="8" r:id="rId7"/>
    <sheet name="2021 ALL D90" sheetId="9" r:id="rId8"/>
    <sheet name="2020 ALL D90" sheetId="13" r:id="rId9"/>
    <sheet name="2019-OLDER ALL D95" sheetId="14" r:id="rId10"/>
  </sheets>
  <definedNames>
    <definedName name="_xlnm._FilterDatabase" localSheetId="9" hidden="1">'2019-OLDER ALL D95'!$A$1:$P$1</definedName>
    <definedName name="_xlnm._FilterDatabase" localSheetId="8" hidden="1">'2020 ALL D90'!$A$1:$P$99</definedName>
    <definedName name="_xlnm._FilterDatabase" localSheetId="7" hidden="1">'2021 ALL D90'!$A$1:$P$1</definedName>
    <definedName name="_xlnm._FilterDatabase" localSheetId="6" hidden="1">'2022 ALL D90'!$A$1:$P$1</definedName>
    <definedName name="_xlnm._FilterDatabase" localSheetId="5" hidden="1">'2023 H1 ALL D90'!$A$1:$P$533</definedName>
    <definedName name="_xlnm._FilterDatabase" localSheetId="3" hidden="1">'2023 H2 ALL D90'!$A$1:$P$259</definedName>
    <definedName name="_xlnm._FilterDatabase" localSheetId="4" hidden="1">'2023 LEB23 D90'!$A$1:$P$37</definedName>
    <definedName name="_xlnm._FilterDatabase" localSheetId="1" hidden="1">'2024 H1 D90'!$A$1:$P$506</definedName>
    <definedName name="_xlnm._FilterDatabase" localSheetId="0" hidden="1">'ALL 2024 H2 D80'!$A$1:$P$29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3" l="1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85" i="13"/>
  <c r="A86" i="13"/>
  <c r="A87" i="13"/>
  <c r="A88" i="13"/>
  <c r="A89" i="13"/>
  <c r="A90" i="13"/>
  <c r="A91" i="13"/>
  <c r="A92" i="13"/>
  <c r="A93" i="13"/>
  <c r="A94" i="13"/>
  <c r="A95" i="13"/>
  <c r="A96" i="13"/>
  <c r="A97" i="13"/>
  <c r="A98" i="13"/>
  <c r="A99" i="13"/>
  <c r="A3" i="13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62" i="9"/>
  <c r="A263" i="9"/>
  <c r="A264" i="9"/>
  <c r="A265" i="9"/>
  <c r="A266" i="9"/>
  <c r="A267" i="9"/>
  <c r="A268" i="9"/>
  <c r="A269" i="9"/>
  <c r="A270" i="9"/>
  <c r="A271" i="9"/>
  <c r="A272" i="9"/>
  <c r="A273" i="9"/>
  <c r="A274" i="9"/>
  <c r="A275" i="9"/>
  <c r="A276" i="9"/>
  <c r="A277" i="9"/>
  <c r="A278" i="9"/>
  <c r="A279" i="9"/>
  <c r="A280" i="9"/>
  <c r="A281" i="9"/>
  <c r="A282" i="9"/>
  <c r="A283" i="9"/>
  <c r="A284" i="9"/>
  <c r="A285" i="9"/>
  <c r="A286" i="9"/>
  <c r="A287" i="9"/>
  <c r="A288" i="9"/>
  <c r="A289" i="9"/>
  <c r="A290" i="9"/>
  <c r="A291" i="9"/>
  <c r="A292" i="9"/>
  <c r="A293" i="9"/>
  <c r="A294" i="9"/>
  <c r="A295" i="9"/>
  <c r="A296" i="9"/>
  <c r="A297" i="9"/>
  <c r="A298" i="9"/>
  <c r="A299" i="9"/>
  <c r="A300" i="9"/>
  <c r="A301" i="9"/>
  <c r="A302" i="9"/>
  <c r="A303" i="9"/>
  <c r="A304" i="9"/>
  <c r="A305" i="9"/>
  <c r="A306" i="9"/>
  <c r="A307" i="9"/>
  <c r="A308" i="9"/>
  <c r="A309" i="9"/>
  <c r="A310" i="9"/>
  <c r="A311" i="9"/>
  <c r="A312" i="9"/>
  <c r="A313" i="9"/>
  <c r="A314" i="9"/>
  <c r="A315" i="9"/>
  <c r="A316" i="9"/>
  <c r="A317" i="9"/>
  <c r="A318" i="9"/>
  <c r="A319" i="9"/>
  <c r="A320" i="9"/>
  <c r="A321" i="9"/>
  <c r="A322" i="9"/>
  <c r="A323" i="9"/>
  <c r="A324" i="9"/>
  <c r="A325" i="9"/>
  <c r="A326" i="9"/>
  <c r="A327" i="9"/>
  <c r="A328" i="9"/>
  <c r="A329" i="9"/>
  <c r="A330" i="9"/>
  <c r="A331" i="9"/>
  <c r="A332" i="9"/>
  <c r="A333" i="9"/>
  <c r="A334" i="9"/>
  <c r="A335" i="9"/>
  <c r="A336" i="9"/>
  <c r="A337" i="9"/>
  <c r="A338" i="9"/>
  <c r="A339" i="9"/>
  <c r="A340" i="9"/>
  <c r="A341" i="9"/>
  <c r="A342" i="9"/>
  <c r="A343" i="9"/>
  <c r="A344" i="9"/>
  <c r="A345" i="9"/>
  <c r="A346" i="9"/>
  <c r="A347" i="9"/>
  <c r="A348" i="9"/>
  <c r="A349" i="9"/>
  <c r="A350" i="9"/>
  <c r="A351" i="9"/>
  <c r="A352" i="9"/>
  <c r="A353" i="9"/>
  <c r="A354" i="9"/>
  <c r="A355" i="9"/>
  <c r="A356" i="9"/>
  <c r="A357" i="9"/>
  <c r="A358" i="9"/>
  <c r="A359" i="9"/>
  <c r="A360" i="9"/>
  <c r="A361" i="9"/>
  <c r="A362" i="9"/>
  <c r="A363" i="9"/>
  <c r="A364" i="9"/>
  <c r="A365" i="9"/>
  <c r="A366" i="9"/>
  <c r="A367" i="9"/>
  <c r="A368" i="9"/>
  <c r="A3" i="9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A643" i="8"/>
  <c r="A644" i="8"/>
  <c r="A645" i="8"/>
  <c r="A646" i="8"/>
  <c r="A647" i="8"/>
  <c r="A648" i="8"/>
  <c r="A649" i="8"/>
  <c r="A650" i="8"/>
  <c r="A651" i="8"/>
  <c r="A652" i="8"/>
  <c r="A653" i="8"/>
  <c r="A654" i="8"/>
  <c r="A655" i="8"/>
  <c r="A656" i="8"/>
  <c r="A657" i="8"/>
  <c r="A658" i="8"/>
  <c r="A659" i="8"/>
  <c r="A660" i="8"/>
  <c r="A661" i="8"/>
  <c r="A662" i="8"/>
  <c r="A663" i="8"/>
  <c r="A664" i="8"/>
  <c r="A665" i="8"/>
  <c r="A666" i="8"/>
  <c r="A667" i="8"/>
  <c r="A668" i="8"/>
  <c r="A669" i="8"/>
  <c r="A670" i="8"/>
  <c r="A671" i="8"/>
  <c r="A672" i="8"/>
  <c r="A673" i="8"/>
  <c r="A674" i="8"/>
  <c r="A675" i="8"/>
  <c r="A676" i="8"/>
  <c r="A677" i="8"/>
  <c r="A678" i="8"/>
  <c r="A679" i="8"/>
  <c r="A680" i="8"/>
  <c r="A681" i="8"/>
  <c r="A682" i="8"/>
  <c r="A683" i="8"/>
  <c r="A684" i="8"/>
  <c r="A685" i="8"/>
  <c r="A686" i="8"/>
  <c r="A687" i="8"/>
  <c r="A688" i="8"/>
  <c r="A689" i="8"/>
  <c r="A690" i="8"/>
  <c r="A691" i="8"/>
  <c r="A692" i="8"/>
  <c r="A693" i="8"/>
  <c r="A694" i="8"/>
  <c r="A695" i="8"/>
  <c r="A696" i="8"/>
  <c r="A697" i="8"/>
  <c r="A698" i="8"/>
  <c r="A699" i="8"/>
  <c r="A700" i="8"/>
  <c r="A701" i="8"/>
  <c r="A702" i="8"/>
  <c r="A703" i="8"/>
  <c r="A704" i="8"/>
  <c r="A705" i="8"/>
  <c r="A706" i="8"/>
  <c r="A707" i="8"/>
  <c r="A708" i="8"/>
  <c r="A709" i="8"/>
  <c r="A710" i="8"/>
  <c r="A711" i="8"/>
  <c r="A712" i="8"/>
  <c r="A713" i="8"/>
  <c r="A714" i="8"/>
  <c r="A715" i="8"/>
  <c r="A716" i="8"/>
  <c r="A717" i="8"/>
  <c r="A718" i="8"/>
  <c r="A719" i="8"/>
  <c r="A720" i="8"/>
  <c r="A721" i="8"/>
  <c r="A722" i="8"/>
  <c r="A723" i="8"/>
  <c r="A724" i="8"/>
  <c r="A725" i="8"/>
  <c r="A726" i="8"/>
  <c r="A727" i="8"/>
  <c r="A728" i="8"/>
  <c r="A729" i="8"/>
  <c r="A730" i="8"/>
  <c r="A731" i="8"/>
  <c r="A732" i="8"/>
  <c r="A733" i="8"/>
  <c r="A734" i="8"/>
  <c r="A735" i="8"/>
  <c r="A736" i="8"/>
  <c r="A737" i="8"/>
  <c r="A738" i="8"/>
  <c r="A739" i="8"/>
  <c r="A740" i="8"/>
  <c r="A741" i="8"/>
  <c r="A742" i="8"/>
  <c r="A743" i="8"/>
  <c r="A744" i="8"/>
  <c r="A745" i="8"/>
  <c r="A746" i="8"/>
  <c r="A747" i="8"/>
  <c r="A748" i="8"/>
  <c r="A749" i="8"/>
  <c r="A750" i="8"/>
  <c r="A751" i="8"/>
  <c r="A752" i="8"/>
  <c r="A753" i="8"/>
  <c r="A754" i="8"/>
  <c r="A755" i="8"/>
  <c r="A756" i="8"/>
  <c r="A757" i="8"/>
  <c r="A758" i="8"/>
  <c r="A759" i="8"/>
  <c r="A760" i="8"/>
  <c r="A761" i="8"/>
  <c r="A762" i="8"/>
  <c r="A763" i="8"/>
  <c r="A764" i="8"/>
  <c r="A765" i="8"/>
  <c r="A766" i="8"/>
  <c r="A767" i="8"/>
  <c r="A768" i="8"/>
  <c r="A769" i="8"/>
  <c r="A770" i="8"/>
  <c r="A771" i="8"/>
  <c r="A772" i="8"/>
  <c r="A773" i="8"/>
  <c r="A774" i="8"/>
  <c r="A775" i="8"/>
  <c r="A776" i="8"/>
  <c r="A777" i="8"/>
  <c r="A4" i="34"/>
  <c r="A5" i="34"/>
  <c r="A6" i="34"/>
  <c r="A7" i="34"/>
  <c r="A8" i="34"/>
  <c r="A9" i="34"/>
  <c r="A10" i="34"/>
  <c r="A11" i="34"/>
  <c r="A12" i="34"/>
  <c r="A13" i="34"/>
  <c r="A14" i="34"/>
  <c r="A15" i="34"/>
  <c r="A16" i="34"/>
  <c r="A17" i="34"/>
  <c r="A18" i="34"/>
  <c r="A19" i="34"/>
  <c r="A20" i="34"/>
  <c r="A21" i="34"/>
  <c r="A22" i="34"/>
  <c r="A23" i="34"/>
  <c r="A24" i="34"/>
  <c r="A25" i="34"/>
  <c r="A26" i="34"/>
  <c r="A27" i="34"/>
  <c r="A28" i="34"/>
  <c r="A29" i="34"/>
  <c r="A30" i="34"/>
  <c r="A31" i="34"/>
  <c r="A32" i="34"/>
  <c r="A33" i="34"/>
  <c r="A34" i="34"/>
  <c r="A35" i="34"/>
  <c r="A36" i="34"/>
  <c r="A37" i="34"/>
  <c r="A38" i="34"/>
  <c r="A39" i="34"/>
  <c r="A40" i="34"/>
  <c r="A41" i="34"/>
  <c r="A42" i="34"/>
  <c r="A43" i="34"/>
  <c r="A44" i="34"/>
  <c r="A45" i="34"/>
  <c r="A46" i="34"/>
  <c r="A47" i="34"/>
  <c r="A48" i="34"/>
  <c r="A49" i="34"/>
  <c r="A50" i="34"/>
  <c r="A51" i="34"/>
  <c r="A52" i="34"/>
  <c r="A53" i="34"/>
  <c r="A54" i="34"/>
  <c r="A55" i="34"/>
  <c r="A56" i="34"/>
  <c r="A57" i="34"/>
  <c r="A58" i="34"/>
  <c r="A59" i="34"/>
  <c r="A60" i="34"/>
  <c r="A61" i="34"/>
  <c r="A62" i="34"/>
  <c r="A63" i="34"/>
  <c r="A64" i="34"/>
  <c r="A65" i="34"/>
  <c r="A66" i="34"/>
  <c r="A67" i="34"/>
  <c r="A68" i="34"/>
  <c r="A69" i="34"/>
  <c r="A70" i="34"/>
  <c r="A71" i="34"/>
  <c r="A72" i="34"/>
  <c r="A73" i="34"/>
  <c r="A74" i="34"/>
  <c r="A75" i="34"/>
  <c r="A76" i="34"/>
  <c r="A77" i="34"/>
  <c r="A78" i="34"/>
  <c r="A79" i="34"/>
  <c r="A80" i="34"/>
  <c r="A81" i="34"/>
  <c r="A82" i="34"/>
  <c r="A83" i="34"/>
  <c r="A84" i="34"/>
  <c r="A85" i="34"/>
  <c r="A86" i="34"/>
  <c r="A87" i="34"/>
  <c r="A88" i="34"/>
  <c r="A89" i="34"/>
  <c r="A90" i="34"/>
  <c r="A91" i="34"/>
  <c r="A92" i="34"/>
  <c r="A93" i="34"/>
  <c r="A94" i="34"/>
  <c r="A95" i="34"/>
  <c r="A96" i="34"/>
  <c r="A97" i="34"/>
  <c r="A98" i="34"/>
  <c r="A99" i="34"/>
  <c r="A100" i="34"/>
  <c r="A101" i="34"/>
  <c r="A102" i="34"/>
  <c r="A103" i="34"/>
  <c r="A104" i="34"/>
  <c r="A105" i="34"/>
  <c r="A106" i="34"/>
  <c r="A107" i="34"/>
  <c r="A108" i="34"/>
  <c r="A109" i="34"/>
  <c r="A110" i="34"/>
  <c r="A111" i="34"/>
  <c r="A112" i="34"/>
  <c r="A113" i="34"/>
  <c r="A114" i="34"/>
  <c r="A115" i="34"/>
  <c r="A116" i="34"/>
  <c r="A117" i="34"/>
  <c r="A118" i="34"/>
  <c r="A119" i="34"/>
  <c r="A120" i="34"/>
  <c r="A121" i="34"/>
  <c r="A122" i="34"/>
  <c r="A123" i="34"/>
  <c r="A124" i="34"/>
  <c r="A125" i="34"/>
  <c r="A126" i="34"/>
  <c r="A127" i="34"/>
  <c r="A128" i="34"/>
  <c r="A129" i="34"/>
  <c r="A130" i="34"/>
  <c r="A131" i="34"/>
  <c r="A132" i="34"/>
  <c r="A133" i="34"/>
  <c r="A134" i="34"/>
  <c r="A135" i="34"/>
  <c r="A136" i="34"/>
  <c r="A137" i="34"/>
  <c r="A138" i="34"/>
  <c r="A139" i="34"/>
  <c r="A140" i="34"/>
  <c r="A141" i="34"/>
  <c r="A142" i="34"/>
  <c r="A143" i="34"/>
  <c r="A144" i="34"/>
  <c r="A145" i="34"/>
  <c r="A146" i="34"/>
  <c r="A147" i="34"/>
  <c r="A148" i="34"/>
  <c r="A149" i="34"/>
  <c r="A150" i="34"/>
  <c r="A151" i="34"/>
  <c r="A152" i="34"/>
  <c r="A153" i="34"/>
  <c r="A154" i="34"/>
  <c r="A155" i="34"/>
  <c r="A156" i="34"/>
  <c r="A157" i="34"/>
  <c r="A158" i="34"/>
  <c r="A159" i="34"/>
  <c r="A160" i="34"/>
  <c r="A161" i="34"/>
  <c r="A162" i="34"/>
  <c r="A163" i="34"/>
  <c r="A164" i="34"/>
  <c r="A165" i="34"/>
  <c r="A166" i="34"/>
  <c r="A167" i="34"/>
  <c r="A168" i="34"/>
  <c r="A169" i="34"/>
  <c r="A170" i="34"/>
  <c r="A171" i="34"/>
  <c r="A172" i="34"/>
  <c r="A173" i="34"/>
  <c r="A174" i="34"/>
  <c r="A175" i="34"/>
  <c r="A176" i="34"/>
  <c r="A177" i="34"/>
  <c r="A178" i="34"/>
  <c r="A179" i="34"/>
  <c r="A180" i="34"/>
  <c r="A181" i="34"/>
  <c r="A182" i="34"/>
  <c r="A183" i="34"/>
  <c r="A184" i="34"/>
  <c r="A185" i="34"/>
  <c r="A186" i="34"/>
  <c r="A187" i="34"/>
  <c r="A188" i="34"/>
  <c r="A189" i="34"/>
  <c r="A190" i="34"/>
  <c r="A191" i="34"/>
  <c r="A192" i="34"/>
  <c r="A193" i="34"/>
  <c r="A194" i="34"/>
  <c r="A195" i="34"/>
  <c r="A196" i="34"/>
  <c r="A197" i="34"/>
  <c r="A198" i="34"/>
  <c r="A199" i="34"/>
  <c r="A200" i="34"/>
  <c r="A201" i="34"/>
  <c r="A202" i="34"/>
  <c r="A203" i="34"/>
  <c r="A204" i="34"/>
  <c r="A205" i="34"/>
  <c r="A206" i="34"/>
  <c r="A207" i="34"/>
  <c r="A208" i="34"/>
  <c r="A209" i="34"/>
  <c r="A210" i="34"/>
  <c r="A211" i="34"/>
  <c r="A212" i="34"/>
  <c r="A213" i="34"/>
  <c r="A214" i="34"/>
  <c r="A215" i="34"/>
  <c r="A216" i="34"/>
  <c r="A217" i="34"/>
  <c r="A218" i="34"/>
  <c r="A219" i="34"/>
  <c r="A220" i="34"/>
  <c r="A221" i="34"/>
  <c r="A222" i="34"/>
  <c r="A223" i="34"/>
  <c r="A224" i="34"/>
  <c r="A225" i="34"/>
  <c r="A226" i="34"/>
  <c r="A227" i="34"/>
  <c r="A228" i="34"/>
  <c r="A229" i="34"/>
  <c r="A230" i="34"/>
  <c r="A231" i="34"/>
  <c r="A232" i="34"/>
  <c r="A233" i="34"/>
  <c r="A234" i="34"/>
  <c r="A235" i="34"/>
  <c r="A236" i="34"/>
  <c r="A237" i="34"/>
  <c r="A238" i="34"/>
  <c r="A239" i="34"/>
  <c r="A240" i="34"/>
  <c r="A241" i="34"/>
  <c r="A242" i="34"/>
  <c r="A243" i="34"/>
  <c r="A244" i="34"/>
  <c r="A245" i="34"/>
  <c r="A246" i="34"/>
  <c r="A247" i="34"/>
  <c r="A248" i="34"/>
  <c r="A249" i="34"/>
  <c r="A250" i="34"/>
  <c r="A251" i="34"/>
  <c r="A252" i="34"/>
  <c r="A253" i="34"/>
  <c r="A254" i="34"/>
  <c r="A255" i="34"/>
  <c r="A256" i="34"/>
  <c r="A257" i="34"/>
  <c r="A258" i="34"/>
  <c r="A259" i="34"/>
  <c r="A260" i="34"/>
  <c r="A261" i="34"/>
  <c r="A262" i="34"/>
  <c r="A263" i="34"/>
  <c r="A264" i="34"/>
  <c r="A265" i="34"/>
  <c r="A266" i="34"/>
  <c r="A267" i="34"/>
  <c r="A268" i="34"/>
  <c r="A269" i="34"/>
  <c r="A270" i="34"/>
  <c r="A271" i="34"/>
  <c r="A272" i="34"/>
  <c r="A273" i="34"/>
  <c r="A274" i="34"/>
  <c r="A275" i="34"/>
  <c r="A276" i="34"/>
  <c r="A277" i="34"/>
  <c r="A278" i="34"/>
  <c r="A279" i="34"/>
  <c r="A280" i="34"/>
  <c r="A281" i="34"/>
  <c r="A282" i="34"/>
  <c r="A283" i="34"/>
  <c r="A284" i="34"/>
  <c r="A285" i="34"/>
  <c r="A286" i="34"/>
  <c r="A287" i="34"/>
  <c r="A288" i="34"/>
  <c r="A289" i="34"/>
  <c r="A290" i="34"/>
  <c r="A291" i="34"/>
  <c r="A292" i="34"/>
  <c r="A293" i="34"/>
  <c r="A294" i="34"/>
  <c r="A295" i="34"/>
  <c r="A296" i="34"/>
  <c r="A297" i="34"/>
  <c r="A298" i="34"/>
  <c r="A299" i="34"/>
  <c r="A300" i="34"/>
  <c r="A301" i="34"/>
  <c r="A302" i="34"/>
  <c r="A303" i="34"/>
  <c r="A304" i="34"/>
  <c r="A305" i="34"/>
  <c r="A306" i="34"/>
  <c r="A307" i="34"/>
  <c r="A308" i="34"/>
  <c r="A309" i="34"/>
  <c r="A310" i="34"/>
  <c r="A311" i="34"/>
  <c r="A312" i="34"/>
  <c r="A313" i="34"/>
  <c r="A314" i="34"/>
  <c r="A315" i="34"/>
  <c r="A316" i="34"/>
  <c r="A317" i="34"/>
  <c r="A318" i="34"/>
  <c r="A319" i="34"/>
  <c r="A320" i="34"/>
  <c r="A321" i="34"/>
  <c r="A322" i="34"/>
  <c r="A323" i="34"/>
  <c r="A324" i="34"/>
  <c r="A325" i="34"/>
  <c r="A326" i="34"/>
  <c r="A327" i="34"/>
  <c r="A328" i="34"/>
  <c r="A329" i="34"/>
  <c r="A330" i="34"/>
  <c r="A331" i="34"/>
  <c r="A332" i="34"/>
  <c r="A333" i="34"/>
  <c r="A334" i="34"/>
  <c r="A335" i="34"/>
  <c r="A336" i="34"/>
  <c r="A337" i="34"/>
  <c r="A338" i="34"/>
  <c r="A339" i="34"/>
  <c r="A340" i="34"/>
  <c r="A341" i="34"/>
  <c r="A342" i="34"/>
  <c r="A343" i="34"/>
  <c r="A344" i="34"/>
  <c r="A345" i="34"/>
  <c r="A346" i="34"/>
  <c r="A347" i="34"/>
  <c r="A348" i="34"/>
  <c r="A349" i="34"/>
  <c r="A350" i="34"/>
  <c r="A351" i="34"/>
  <c r="A352" i="34"/>
  <c r="A353" i="34"/>
  <c r="A354" i="34"/>
  <c r="A355" i="34"/>
  <c r="A356" i="34"/>
  <c r="A357" i="34"/>
  <c r="A358" i="34"/>
  <c r="A359" i="34"/>
  <c r="A360" i="34"/>
  <c r="A361" i="34"/>
  <c r="A362" i="34"/>
  <c r="A363" i="34"/>
  <c r="A364" i="34"/>
  <c r="A365" i="34"/>
  <c r="A366" i="34"/>
  <c r="A367" i="34"/>
  <c r="A368" i="34"/>
  <c r="A369" i="34"/>
  <c r="A370" i="34"/>
  <c r="A371" i="34"/>
  <c r="A372" i="34"/>
  <c r="A373" i="34"/>
  <c r="A374" i="34"/>
  <c r="A375" i="34"/>
  <c r="A376" i="34"/>
  <c r="A377" i="34"/>
  <c r="A378" i="34"/>
  <c r="A379" i="34"/>
  <c r="A380" i="34"/>
  <c r="A381" i="34"/>
  <c r="A382" i="34"/>
  <c r="A383" i="34"/>
  <c r="A384" i="34"/>
  <c r="A385" i="34"/>
  <c r="A386" i="34"/>
  <c r="A387" i="34"/>
  <c r="A388" i="34"/>
  <c r="A389" i="34"/>
  <c r="A390" i="34"/>
  <c r="A391" i="34"/>
  <c r="A392" i="34"/>
  <c r="A393" i="34"/>
  <c r="A394" i="34"/>
  <c r="A395" i="34"/>
  <c r="A396" i="34"/>
  <c r="A397" i="34"/>
  <c r="A398" i="34"/>
  <c r="A399" i="34"/>
  <c r="A400" i="34"/>
  <c r="A401" i="34"/>
  <c r="A402" i="34"/>
  <c r="A403" i="34"/>
  <c r="A404" i="34"/>
  <c r="A405" i="34"/>
  <c r="A406" i="34"/>
  <c r="A407" i="34"/>
  <c r="A408" i="34"/>
  <c r="A409" i="34"/>
  <c r="A410" i="34"/>
  <c r="A411" i="34"/>
  <c r="A412" i="34"/>
  <c r="A413" i="34"/>
  <c r="A414" i="34"/>
  <c r="A415" i="34"/>
  <c r="A416" i="34"/>
  <c r="A417" i="34"/>
  <c r="A418" i="34"/>
  <c r="A419" i="34"/>
  <c r="A420" i="34"/>
  <c r="A421" i="34"/>
  <c r="A422" i="34"/>
  <c r="A423" i="34"/>
  <c r="A424" i="34"/>
  <c r="A425" i="34"/>
  <c r="A426" i="34"/>
  <c r="A427" i="34"/>
  <c r="A428" i="34"/>
  <c r="A429" i="34"/>
  <c r="A430" i="34"/>
  <c r="A431" i="34"/>
  <c r="A432" i="34"/>
  <c r="A433" i="34"/>
  <c r="A434" i="34"/>
  <c r="A435" i="34"/>
  <c r="A436" i="34"/>
  <c r="A437" i="34"/>
  <c r="A438" i="34"/>
  <c r="A439" i="34"/>
  <c r="A440" i="34"/>
  <c r="A441" i="34"/>
  <c r="A442" i="34"/>
  <c r="A443" i="34"/>
  <c r="A444" i="34"/>
  <c r="A445" i="34"/>
  <c r="A446" i="34"/>
  <c r="A447" i="34"/>
  <c r="A448" i="34"/>
  <c r="A449" i="34"/>
  <c r="A450" i="34"/>
  <c r="A451" i="34"/>
  <c r="A452" i="34"/>
  <c r="A453" i="34"/>
  <c r="A454" i="34"/>
  <c r="A455" i="34"/>
  <c r="A456" i="34"/>
  <c r="A457" i="34"/>
  <c r="A458" i="34"/>
  <c r="A459" i="34"/>
  <c r="A460" i="34"/>
  <c r="A461" i="34"/>
  <c r="A462" i="34"/>
  <c r="A463" i="34"/>
  <c r="A464" i="34"/>
  <c r="A465" i="34"/>
  <c r="A466" i="34"/>
  <c r="A467" i="34"/>
  <c r="A468" i="34"/>
  <c r="A469" i="34"/>
  <c r="A470" i="34"/>
  <c r="A471" i="34"/>
  <c r="A472" i="34"/>
  <c r="A473" i="34"/>
  <c r="A474" i="34"/>
  <c r="A475" i="34"/>
  <c r="A476" i="34"/>
  <c r="A477" i="34"/>
  <c r="A478" i="34"/>
  <c r="A479" i="34"/>
  <c r="A480" i="34"/>
  <c r="A481" i="34"/>
  <c r="A482" i="34"/>
  <c r="A483" i="34"/>
  <c r="A484" i="34"/>
  <c r="A485" i="34"/>
  <c r="A486" i="34"/>
  <c r="A487" i="34"/>
  <c r="A488" i="34"/>
  <c r="A489" i="34"/>
  <c r="A490" i="34"/>
  <c r="A491" i="34"/>
  <c r="A492" i="34"/>
  <c r="A493" i="34"/>
  <c r="A494" i="34"/>
  <c r="A495" i="34"/>
  <c r="A496" i="34"/>
  <c r="A497" i="34"/>
  <c r="A498" i="34"/>
  <c r="A499" i="34"/>
  <c r="A500" i="34"/>
  <c r="A501" i="34"/>
  <c r="A502" i="34"/>
  <c r="A503" i="34"/>
  <c r="A504" i="34"/>
  <c r="A505" i="34"/>
  <c r="A506" i="34"/>
  <c r="A507" i="34"/>
  <c r="A508" i="34"/>
  <c r="A509" i="34"/>
  <c r="A510" i="34"/>
  <c r="A511" i="34"/>
  <c r="A512" i="34"/>
  <c r="A513" i="34"/>
  <c r="A514" i="34"/>
  <c r="A515" i="34"/>
  <c r="A516" i="34"/>
  <c r="A517" i="34"/>
  <c r="A518" i="34"/>
  <c r="A519" i="34"/>
  <c r="A520" i="34"/>
  <c r="A521" i="34"/>
  <c r="A522" i="34"/>
  <c r="A523" i="34"/>
  <c r="A524" i="34"/>
  <c r="A525" i="34"/>
  <c r="A526" i="34"/>
  <c r="A527" i="34"/>
  <c r="A528" i="34"/>
  <c r="A529" i="34"/>
  <c r="A530" i="34"/>
  <c r="A531" i="34"/>
  <c r="A532" i="34"/>
  <c r="A533" i="34"/>
  <c r="A3" i="34"/>
  <c r="A4" i="23"/>
  <c r="A5" i="23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" i="23"/>
  <c r="A4" i="25"/>
  <c r="A5" i="25"/>
  <c r="A6" i="25"/>
  <c r="A7" i="25"/>
  <c r="A8" i="25"/>
  <c r="A9" i="25"/>
  <c r="A10" i="25"/>
  <c r="A11" i="25"/>
  <c r="A12" i="25"/>
  <c r="A13" i="25"/>
  <c r="A14" i="25"/>
  <c r="A15" i="25"/>
  <c r="A16" i="25"/>
  <c r="A17" i="25"/>
  <c r="A18" i="25"/>
  <c r="A19" i="25"/>
  <c r="A20" i="25"/>
  <c r="A21" i="25"/>
  <c r="A22" i="25"/>
  <c r="A23" i="25"/>
  <c r="A24" i="25"/>
  <c r="A25" i="25"/>
  <c r="A26" i="25"/>
  <c r="A27" i="25"/>
  <c r="A28" i="25"/>
  <c r="A29" i="25"/>
  <c r="A30" i="25"/>
  <c r="A31" i="25"/>
  <c r="A32" i="25"/>
  <c r="A33" i="25"/>
  <c r="A34" i="25"/>
  <c r="A35" i="25"/>
  <c r="A36" i="25"/>
  <c r="A37" i="25"/>
  <c r="A38" i="25"/>
  <c r="A39" i="25"/>
  <c r="A40" i="25"/>
  <c r="A41" i="25"/>
  <c r="A42" i="25"/>
  <c r="A43" i="25"/>
  <c r="A44" i="25"/>
  <c r="A45" i="25"/>
  <c r="A46" i="25"/>
  <c r="A47" i="25"/>
  <c r="A48" i="25"/>
  <c r="A49" i="25"/>
  <c r="A50" i="25"/>
  <c r="A51" i="25"/>
  <c r="A52" i="25"/>
  <c r="A53" i="25"/>
  <c r="A54" i="25"/>
  <c r="A55" i="25"/>
  <c r="A56" i="25"/>
  <c r="A57" i="25"/>
  <c r="A58" i="25"/>
  <c r="A59" i="25"/>
  <c r="A60" i="25"/>
  <c r="A61" i="25"/>
  <c r="A62" i="25"/>
  <c r="A63" i="25"/>
  <c r="A64" i="25"/>
  <c r="A65" i="25"/>
  <c r="A66" i="25"/>
  <c r="A67" i="25"/>
  <c r="A68" i="25"/>
  <c r="A69" i="25"/>
  <c r="A70" i="25"/>
  <c r="A71" i="25"/>
  <c r="A72" i="25"/>
  <c r="A73" i="25"/>
  <c r="A74" i="25"/>
  <c r="A75" i="25"/>
  <c r="A76" i="25"/>
  <c r="A77" i="25"/>
  <c r="A78" i="25"/>
  <c r="A79" i="25"/>
  <c r="A80" i="25"/>
  <c r="A81" i="25"/>
  <c r="A82" i="25"/>
  <c r="A83" i="25"/>
  <c r="A84" i="25"/>
  <c r="A85" i="25"/>
  <c r="A86" i="25"/>
  <c r="A87" i="25"/>
  <c r="A88" i="25"/>
  <c r="A89" i="25"/>
  <c r="A90" i="25"/>
  <c r="A91" i="25"/>
  <c r="A92" i="25"/>
  <c r="A93" i="25"/>
  <c r="A94" i="25"/>
  <c r="A95" i="25"/>
  <c r="A96" i="25"/>
  <c r="A97" i="25"/>
  <c r="A98" i="25"/>
  <c r="A99" i="25"/>
  <c r="A100" i="25"/>
  <c r="A101" i="25"/>
  <c r="A102" i="25"/>
  <c r="A103" i="25"/>
  <c r="A104" i="25"/>
  <c r="A105" i="25"/>
  <c r="A106" i="25"/>
  <c r="A107" i="25"/>
  <c r="A108" i="25"/>
  <c r="A109" i="25"/>
  <c r="A110" i="25"/>
  <c r="A111" i="25"/>
  <c r="A112" i="25"/>
  <c r="A113" i="25"/>
  <c r="A114" i="25"/>
  <c r="A115" i="25"/>
  <c r="A116" i="25"/>
  <c r="A117" i="25"/>
  <c r="A118" i="25"/>
  <c r="A119" i="25"/>
  <c r="A120" i="25"/>
  <c r="A121" i="25"/>
  <c r="A122" i="25"/>
  <c r="A123" i="25"/>
  <c r="A124" i="25"/>
  <c r="A125" i="25"/>
  <c r="A126" i="25"/>
  <c r="A127" i="25"/>
  <c r="A128" i="25"/>
  <c r="A129" i="25"/>
  <c r="A130" i="25"/>
  <c r="A131" i="25"/>
  <c r="A132" i="25"/>
  <c r="A133" i="25"/>
  <c r="A134" i="25"/>
  <c r="A135" i="25"/>
  <c r="A136" i="25"/>
  <c r="A137" i="25"/>
  <c r="A138" i="25"/>
  <c r="A139" i="25"/>
  <c r="A140" i="25"/>
  <c r="A141" i="25"/>
  <c r="A142" i="25"/>
  <c r="A143" i="25"/>
  <c r="A144" i="25"/>
  <c r="A145" i="25"/>
  <c r="A146" i="25"/>
  <c r="A147" i="25"/>
  <c r="A148" i="25"/>
  <c r="A149" i="25"/>
  <c r="A150" i="25"/>
  <c r="A151" i="25"/>
  <c r="A152" i="25"/>
  <c r="A153" i="25"/>
  <c r="A154" i="25"/>
  <c r="A155" i="25"/>
  <c r="A156" i="25"/>
  <c r="A157" i="25"/>
  <c r="A158" i="25"/>
  <c r="A159" i="25"/>
  <c r="A160" i="25"/>
  <c r="A161" i="25"/>
  <c r="A162" i="25"/>
  <c r="A163" i="25"/>
  <c r="A164" i="25"/>
  <c r="A165" i="25"/>
  <c r="A166" i="25"/>
  <c r="A167" i="25"/>
  <c r="A168" i="25"/>
  <c r="A169" i="25"/>
  <c r="A170" i="25"/>
  <c r="A171" i="25"/>
  <c r="A172" i="25"/>
  <c r="A173" i="25"/>
  <c r="A174" i="25"/>
  <c r="A175" i="25"/>
  <c r="A176" i="25"/>
  <c r="A177" i="25"/>
  <c r="A178" i="25"/>
  <c r="A179" i="25"/>
  <c r="A180" i="25"/>
  <c r="A181" i="25"/>
  <c r="A182" i="25"/>
  <c r="A183" i="25"/>
  <c r="A184" i="25"/>
  <c r="A185" i="25"/>
  <c r="A186" i="25"/>
  <c r="A187" i="25"/>
  <c r="A188" i="25"/>
  <c r="A189" i="25"/>
  <c r="A190" i="25"/>
  <c r="A191" i="25"/>
  <c r="A192" i="25"/>
  <c r="A193" i="25"/>
  <c r="A194" i="25"/>
  <c r="A195" i="25"/>
  <c r="A196" i="25"/>
  <c r="A197" i="25"/>
  <c r="A198" i="25"/>
  <c r="A199" i="25"/>
  <c r="A200" i="25"/>
  <c r="A201" i="25"/>
  <c r="A202" i="25"/>
  <c r="A203" i="25"/>
  <c r="A204" i="25"/>
  <c r="A205" i="25"/>
  <c r="A206" i="25"/>
  <c r="A207" i="25"/>
  <c r="A208" i="25"/>
  <c r="A209" i="25"/>
  <c r="A210" i="25"/>
  <c r="A211" i="25"/>
  <c r="A212" i="25"/>
  <c r="A213" i="25"/>
  <c r="A214" i="25"/>
  <c r="A215" i="25"/>
  <c r="A216" i="25"/>
  <c r="A217" i="25"/>
  <c r="A218" i="25"/>
  <c r="A219" i="25"/>
  <c r="A220" i="25"/>
  <c r="A221" i="25"/>
  <c r="A222" i="25"/>
  <c r="A223" i="25"/>
  <c r="A224" i="25"/>
  <c r="A225" i="25"/>
  <c r="A226" i="25"/>
  <c r="A227" i="25"/>
  <c r="A228" i="25"/>
  <c r="A229" i="25"/>
  <c r="A230" i="25"/>
  <c r="A231" i="25"/>
  <c r="A232" i="25"/>
  <c r="A233" i="25"/>
  <c r="A234" i="25"/>
  <c r="A235" i="25"/>
  <c r="A236" i="25"/>
  <c r="A237" i="25"/>
  <c r="A238" i="25"/>
  <c r="A239" i="25"/>
  <c r="A240" i="25"/>
  <c r="A241" i="25"/>
  <c r="A242" i="25"/>
  <c r="A243" i="25"/>
  <c r="A244" i="25"/>
  <c r="A245" i="25"/>
  <c r="A246" i="25"/>
  <c r="A247" i="25"/>
  <c r="A248" i="25"/>
  <c r="A249" i="25"/>
  <c r="A250" i="25"/>
  <c r="A251" i="25"/>
  <c r="A252" i="25"/>
  <c r="A253" i="25"/>
  <c r="A254" i="25"/>
  <c r="A255" i="25"/>
  <c r="A256" i="25"/>
  <c r="A257" i="25"/>
  <c r="A258" i="25"/>
  <c r="A259" i="25"/>
  <c r="A260" i="25"/>
  <c r="A261" i="25"/>
  <c r="A262" i="25"/>
  <c r="A263" i="25"/>
  <c r="A264" i="25"/>
  <c r="A265" i="25"/>
  <c r="A266" i="25"/>
  <c r="A267" i="25"/>
  <c r="A268" i="25"/>
  <c r="A269" i="25"/>
  <c r="A270" i="25"/>
  <c r="A271" i="25"/>
  <c r="A272" i="25"/>
  <c r="A273" i="25"/>
  <c r="A274" i="25"/>
  <c r="A275" i="25"/>
  <c r="A276" i="25"/>
  <c r="A277" i="25"/>
  <c r="A278" i="25"/>
  <c r="A279" i="25"/>
  <c r="A280" i="25"/>
  <c r="A281" i="25"/>
  <c r="A282" i="25"/>
  <c r="A283" i="25"/>
  <c r="A284" i="25"/>
  <c r="A285" i="25"/>
  <c r="A286" i="25"/>
  <c r="A287" i="25"/>
  <c r="A288" i="25"/>
  <c r="A289" i="25"/>
  <c r="A290" i="25"/>
  <c r="A291" i="25"/>
  <c r="A292" i="25"/>
  <c r="A293" i="25"/>
  <c r="A294" i="25"/>
  <c r="A295" i="25"/>
  <c r="A296" i="25"/>
  <c r="A297" i="25"/>
  <c r="A298" i="25"/>
  <c r="A299" i="25"/>
  <c r="A300" i="25"/>
  <c r="A301" i="25"/>
  <c r="A302" i="25"/>
  <c r="A303" i="25"/>
  <c r="A304" i="25"/>
  <c r="A305" i="25"/>
  <c r="A306" i="25"/>
  <c r="A307" i="25"/>
  <c r="A308" i="25"/>
  <c r="A309" i="25"/>
  <c r="A310" i="25"/>
  <c r="A311" i="25"/>
  <c r="A312" i="25"/>
  <c r="A313" i="25"/>
  <c r="A314" i="25"/>
  <c r="A315" i="25"/>
  <c r="A316" i="25"/>
  <c r="A317" i="25"/>
  <c r="A318" i="25"/>
  <c r="A319" i="25"/>
  <c r="A320" i="25"/>
  <c r="A321" i="25"/>
  <c r="A322" i="25"/>
  <c r="A323" i="25"/>
  <c r="A324" i="25"/>
  <c r="A325" i="25"/>
  <c r="A326" i="25"/>
  <c r="A327" i="25"/>
  <c r="A328" i="25"/>
  <c r="A329" i="25"/>
  <c r="A330" i="25"/>
  <c r="A331" i="25"/>
  <c r="A332" i="25"/>
  <c r="A333" i="25"/>
  <c r="A334" i="25"/>
  <c r="A335" i="25"/>
  <c r="A336" i="25"/>
  <c r="A337" i="25"/>
  <c r="A338" i="25"/>
  <c r="A339" i="25"/>
  <c r="A340" i="25"/>
  <c r="A341" i="25"/>
  <c r="A342" i="25"/>
  <c r="A343" i="25"/>
  <c r="A344" i="25"/>
  <c r="A345" i="25"/>
  <c r="A346" i="25"/>
  <c r="A347" i="25"/>
  <c r="A348" i="25"/>
  <c r="A349" i="25"/>
  <c r="A350" i="25"/>
  <c r="A351" i="25"/>
  <c r="A352" i="25"/>
  <c r="A353" i="25"/>
  <c r="A354" i="25"/>
  <c r="A355" i="25"/>
  <c r="A356" i="25"/>
  <c r="A357" i="25"/>
  <c r="A358" i="25"/>
  <c r="A359" i="25"/>
  <c r="A360" i="25"/>
  <c r="A361" i="25"/>
  <c r="A362" i="25"/>
  <c r="A363" i="25"/>
  <c r="A364" i="25"/>
  <c r="A365" i="25"/>
  <c r="A366" i="25"/>
  <c r="A367" i="25"/>
  <c r="A368" i="25"/>
  <c r="A369" i="25"/>
  <c r="A370" i="25"/>
  <c r="A371" i="25"/>
  <c r="A372" i="25"/>
  <c r="A373" i="25"/>
  <c r="A374" i="25"/>
  <c r="A375" i="25"/>
  <c r="A376" i="25"/>
  <c r="A377" i="25"/>
  <c r="A378" i="25"/>
  <c r="A3" i="25"/>
  <c r="A4" i="18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3" i="18"/>
  <c r="A5" i="33"/>
  <c r="A6" i="33"/>
  <c r="A7" i="33"/>
  <c r="A8" i="33"/>
  <c r="A9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A279" i="33"/>
  <c r="A280" i="33"/>
  <c r="A281" i="33"/>
  <c r="A282" i="33"/>
  <c r="A283" i="33"/>
  <c r="A284" i="33"/>
  <c r="A285" i="33"/>
  <c r="A286" i="33"/>
  <c r="A287" i="33"/>
  <c r="A288" i="33"/>
  <c r="A289" i="33"/>
  <c r="A290" i="33"/>
  <c r="A291" i="33"/>
  <c r="A292" i="33"/>
  <c r="A293" i="33"/>
  <c r="A294" i="33"/>
  <c r="A295" i="33"/>
  <c r="A296" i="33"/>
  <c r="A297" i="33"/>
  <c r="A298" i="33"/>
  <c r="A299" i="33"/>
  <c r="A300" i="33"/>
  <c r="A301" i="33"/>
  <c r="A302" i="33"/>
  <c r="A303" i="33"/>
  <c r="A304" i="33"/>
  <c r="A305" i="33"/>
  <c r="A306" i="33"/>
  <c r="A307" i="33"/>
  <c r="A308" i="33"/>
  <c r="A309" i="33"/>
  <c r="A310" i="33"/>
  <c r="A311" i="33"/>
  <c r="A312" i="33"/>
  <c r="A313" i="33"/>
  <c r="A314" i="33"/>
  <c r="A315" i="33"/>
  <c r="A316" i="33"/>
  <c r="A317" i="33"/>
  <c r="A318" i="33"/>
  <c r="A319" i="33"/>
  <c r="A320" i="33"/>
  <c r="A321" i="33"/>
  <c r="A322" i="33"/>
  <c r="A323" i="33"/>
  <c r="A324" i="33"/>
  <c r="A325" i="33"/>
  <c r="A326" i="33"/>
  <c r="A327" i="33"/>
  <c r="A328" i="33"/>
  <c r="A329" i="33"/>
  <c r="A330" i="33"/>
  <c r="A331" i="33"/>
  <c r="A332" i="33"/>
  <c r="A333" i="33"/>
  <c r="A334" i="33"/>
  <c r="A335" i="33"/>
  <c r="A336" i="33"/>
  <c r="A337" i="33"/>
  <c r="A338" i="33"/>
  <c r="A339" i="33"/>
  <c r="A340" i="33"/>
  <c r="A341" i="33"/>
  <c r="A342" i="33"/>
  <c r="A343" i="33"/>
  <c r="A344" i="33"/>
  <c r="A345" i="33"/>
  <c r="A346" i="33"/>
  <c r="A347" i="33"/>
  <c r="A348" i="33"/>
  <c r="A349" i="33"/>
  <c r="A350" i="33"/>
  <c r="A351" i="33"/>
  <c r="A352" i="33"/>
  <c r="A353" i="33"/>
  <c r="A354" i="33"/>
  <c r="A355" i="33"/>
  <c r="A356" i="33"/>
  <c r="A357" i="33"/>
  <c r="A358" i="33"/>
  <c r="A359" i="33"/>
  <c r="A360" i="33"/>
  <c r="A361" i="33"/>
  <c r="A362" i="33"/>
  <c r="A363" i="33"/>
  <c r="A364" i="33"/>
  <c r="A365" i="33"/>
  <c r="A366" i="33"/>
  <c r="A367" i="33"/>
  <c r="A368" i="33"/>
  <c r="A369" i="33"/>
  <c r="A370" i="33"/>
  <c r="A371" i="33"/>
  <c r="A372" i="33"/>
  <c r="A373" i="33"/>
  <c r="A374" i="33"/>
  <c r="A375" i="33"/>
  <c r="A376" i="33"/>
  <c r="A377" i="33"/>
  <c r="A378" i="33"/>
  <c r="A379" i="33"/>
  <c r="A380" i="33"/>
  <c r="A381" i="33"/>
  <c r="A382" i="33"/>
  <c r="A383" i="33"/>
  <c r="A384" i="33"/>
  <c r="A385" i="33"/>
  <c r="A386" i="33"/>
  <c r="A387" i="33"/>
  <c r="A388" i="33"/>
  <c r="A389" i="33"/>
  <c r="A390" i="33"/>
  <c r="A391" i="33"/>
  <c r="A392" i="33"/>
  <c r="A393" i="33"/>
  <c r="A394" i="33"/>
  <c r="A395" i="33"/>
  <c r="A396" i="33"/>
  <c r="A397" i="33"/>
  <c r="A398" i="33"/>
  <c r="A399" i="33"/>
  <c r="A400" i="33"/>
  <c r="A401" i="33"/>
  <c r="A402" i="33"/>
  <c r="A403" i="33"/>
  <c r="A404" i="33"/>
  <c r="A405" i="33"/>
  <c r="A406" i="33"/>
  <c r="A407" i="33"/>
  <c r="A408" i="33"/>
  <c r="A409" i="33"/>
  <c r="A410" i="33"/>
  <c r="A411" i="33"/>
  <c r="A412" i="33"/>
  <c r="A413" i="33"/>
  <c r="A414" i="33"/>
  <c r="A415" i="33"/>
  <c r="A416" i="33"/>
  <c r="A417" i="33"/>
  <c r="A418" i="33"/>
  <c r="A419" i="33"/>
  <c r="A420" i="33"/>
  <c r="A421" i="33"/>
  <c r="A422" i="33"/>
  <c r="A423" i="33"/>
  <c r="A424" i="33"/>
  <c r="A425" i="33"/>
  <c r="A426" i="33"/>
  <c r="A427" i="33"/>
  <c r="A428" i="33"/>
  <c r="A429" i="33"/>
  <c r="A430" i="33"/>
  <c r="A431" i="33"/>
  <c r="A432" i="33"/>
  <c r="A433" i="33"/>
  <c r="A434" i="33"/>
  <c r="A435" i="33"/>
  <c r="A436" i="33"/>
  <c r="A437" i="33"/>
  <c r="A438" i="33"/>
  <c r="A439" i="33"/>
  <c r="A440" i="33"/>
  <c r="A441" i="33"/>
  <c r="A442" i="33"/>
  <c r="A443" i="33"/>
  <c r="A444" i="33"/>
  <c r="A445" i="33"/>
  <c r="A446" i="33"/>
  <c r="A447" i="33"/>
  <c r="A448" i="33"/>
  <c r="A449" i="33"/>
  <c r="A450" i="33"/>
  <c r="A451" i="33"/>
  <c r="A452" i="33"/>
  <c r="A453" i="33"/>
  <c r="A454" i="33"/>
  <c r="A455" i="33"/>
  <c r="A456" i="33"/>
  <c r="A457" i="33"/>
  <c r="A458" i="33"/>
  <c r="A459" i="33"/>
  <c r="A460" i="33"/>
  <c r="A461" i="33"/>
  <c r="A462" i="33"/>
  <c r="A463" i="33"/>
  <c r="A464" i="33"/>
  <c r="A465" i="33"/>
  <c r="A466" i="33"/>
  <c r="A467" i="33"/>
  <c r="A468" i="33"/>
  <c r="A469" i="33"/>
  <c r="A470" i="33"/>
  <c r="A471" i="33"/>
  <c r="A472" i="33"/>
  <c r="A473" i="33"/>
  <c r="A474" i="33"/>
  <c r="A475" i="33"/>
  <c r="A476" i="33"/>
  <c r="A477" i="33"/>
  <c r="A478" i="33"/>
  <c r="A479" i="33"/>
  <c r="A480" i="33"/>
  <c r="A481" i="33"/>
  <c r="A482" i="33"/>
  <c r="A483" i="33"/>
  <c r="A484" i="33"/>
  <c r="A485" i="33"/>
  <c r="A486" i="33"/>
  <c r="A487" i="33"/>
  <c r="A488" i="33"/>
  <c r="A489" i="33"/>
  <c r="A490" i="33"/>
  <c r="A491" i="33"/>
  <c r="A492" i="33"/>
  <c r="A493" i="33"/>
  <c r="A494" i="33"/>
  <c r="A495" i="33"/>
  <c r="A496" i="33"/>
  <c r="A497" i="33"/>
  <c r="A498" i="33"/>
  <c r="A499" i="33"/>
  <c r="A500" i="33"/>
  <c r="A501" i="33"/>
  <c r="A502" i="33"/>
  <c r="A503" i="33"/>
  <c r="A504" i="33"/>
  <c r="A505" i="33"/>
  <c r="A506" i="33"/>
  <c r="A4" i="33"/>
  <c r="A3" i="33"/>
  <c r="B3" i="33"/>
  <c r="C3" i="33"/>
  <c r="B4" i="33"/>
  <c r="C4" i="33"/>
  <c r="B5" i="33"/>
  <c r="C5" i="33"/>
  <c r="B6" i="33"/>
  <c r="C6" i="33"/>
  <c r="B7" i="33"/>
  <c r="C7" i="33"/>
  <c r="B8" i="33"/>
  <c r="C8" i="33"/>
  <c r="B9" i="33"/>
  <c r="C9" i="33"/>
  <c r="B10" i="33"/>
  <c r="C10" i="33"/>
  <c r="B11" i="33"/>
  <c r="C11" i="33"/>
  <c r="B12" i="33"/>
  <c r="C12" i="33"/>
  <c r="B13" i="33"/>
  <c r="C13" i="33"/>
  <c r="B14" i="33"/>
  <c r="C14" i="33"/>
  <c r="B15" i="33"/>
  <c r="C15" i="33"/>
  <c r="B16" i="33"/>
  <c r="C16" i="33"/>
  <c r="B17" i="33"/>
  <c r="C17" i="33"/>
  <c r="B18" i="33"/>
  <c r="C18" i="33"/>
  <c r="B19" i="33"/>
  <c r="C19" i="33"/>
  <c r="B20" i="33"/>
  <c r="C20" i="33"/>
  <c r="B21" i="33"/>
  <c r="C21" i="33"/>
  <c r="B22" i="33"/>
  <c r="C22" i="33"/>
  <c r="B23" i="33"/>
  <c r="C23" i="33"/>
  <c r="B24" i="33"/>
  <c r="C24" i="33"/>
  <c r="B25" i="33"/>
  <c r="C25" i="33"/>
  <c r="B26" i="33"/>
  <c r="C26" i="33"/>
  <c r="B27" i="33"/>
  <c r="C27" i="33"/>
  <c r="B28" i="33"/>
  <c r="C28" i="33"/>
  <c r="B29" i="33"/>
  <c r="C29" i="33"/>
  <c r="B30" i="33"/>
  <c r="C30" i="33"/>
  <c r="B31" i="33"/>
  <c r="C31" i="33"/>
  <c r="B32" i="33"/>
  <c r="C32" i="33"/>
  <c r="B33" i="33"/>
  <c r="C33" i="33"/>
  <c r="B34" i="33"/>
  <c r="C34" i="33"/>
  <c r="B35" i="33"/>
  <c r="C35" i="33"/>
  <c r="B36" i="33"/>
  <c r="C36" i="33"/>
  <c r="B37" i="33"/>
  <c r="C37" i="33"/>
  <c r="B38" i="33"/>
  <c r="C38" i="33"/>
  <c r="B39" i="33"/>
  <c r="C39" i="33"/>
  <c r="B40" i="33"/>
  <c r="C40" i="33"/>
  <c r="B41" i="33"/>
  <c r="C41" i="33"/>
  <c r="B42" i="33"/>
  <c r="C42" i="33"/>
  <c r="B43" i="33"/>
  <c r="C43" i="33"/>
  <c r="B44" i="33"/>
  <c r="C44" i="33"/>
  <c r="B45" i="33"/>
  <c r="C45" i="33"/>
  <c r="B46" i="33"/>
  <c r="C46" i="33"/>
  <c r="B47" i="33"/>
  <c r="C47" i="33"/>
  <c r="B48" i="33"/>
  <c r="C48" i="33"/>
  <c r="B49" i="33"/>
  <c r="C49" i="33"/>
  <c r="B50" i="33"/>
  <c r="C50" i="33"/>
  <c r="B51" i="33"/>
  <c r="C51" i="33"/>
  <c r="B52" i="33"/>
  <c r="C52" i="33"/>
  <c r="B53" i="33"/>
  <c r="C53" i="33"/>
  <c r="B54" i="33"/>
  <c r="C54" i="33"/>
  <c r="B55" i="33"/>
  <c r="C55" i="33"/>
  <c r="B56" i="33"/>
  <c r="C56" i="33"/>
  <c r="B57" i="33"/>
  <c r="C57" i="33"/>
  <c r="B58" i="33"/>
  <c r="C58" i="33"/>
  <c r="B59" i="33"/>
  <c r="C59" i="33"/>
  <c r="B60" i="33"/>
  <c r="C60" i="33"/>
  <c r="B61" i="33"/>
  <c r="C61" i="33"/>
  <c r="B62" i="33"/>
  <c r="C62" i="33"/>
  <c r="B63" i="33"/>
  <c r="C63" i="33"/>
  <c r="B64" i="33"/>
  <c r="C64" i="33"/>
  <c r="B65" i="33"/>
  <c r="C65" i="33"/>
  <c r="B66" i="33"/>
  <c r="C66" i="33"/>
  <c r="B67" i="33"/>
  <c r="C67" i="33"/>
  <c r="B68" i="33"/>
  <c r="C68" i="33"/>
  <c r="B69" i="33"/>
  <c r="C69" i="33"/>
  <c r="B70" i="33"/>
  <c r="C70" i="33"/>
  <c r="B71" i="33"/>
  <c r="C71" i="33"/>
  <c r="B72" i="33"/>
  <c r="C72" i="33"/>
  <c r="B73" i="33"/>
  <c r="C73" i="33"/>
  <c r="B74" i="33"/>
  <c r="C74" i="33"/>
  <c r="B75" i="33"/>
  <c r="C75" i="33"/>
  <c r="B76" i="33"/>
  <c r="C76" i="33"/>
  <c r="B77" i="33"/>
  <c r="C77" i="33"/>
  <c r="B78" i="33"/>
  <c r="C78" i="33"/>
  <c r="B79" i="33"/>
  <c r="C79" i="33"/>
  <c r="B80" i="33"/>
  <c r="C80" i="33"/>
  <c r="B81" i="33"/>
  <c r="C81" i="33"/>
  <c r="B82" i="33"/>
  <c r="C82" i="33"/>
  <c r="B83" i="33"/>
  <c r="C83" i="33"/>
  <c r="B84" i="33"/>
  <c r="C84" i="33"/>
  <c r="B85" i="33"/>
  <c r="C85" i="33"/>
  <c r="B86" i="33"/>
  <c r="C86" i="33"/>
  <c r="B87" i="33"/>
  <c r="C87" i="33"/>
  <c r="B88" i="33"/>
  <c r="C88" i="33"/>
  <c r="B89" i="33"/>
  <c r="C89" i="33"/>
  <c r="B90" i="33"/>
  <c r="C90" i="33"/>
  <c r="B91" i="33"/>
  <c r="C91" i="33"/>
  <c r="B92" i="33"/>
  <c r="C92" i="33"/>
  <c r="B93" i="33"/>
  <c r="C93" i="33"/>
  <c r="B94" i="33"/>
  <c r="C94" i="33"/>
  <c r="B95" i="33"/>
  <c r="C95" i="33"/>
  <c r="B96" i="33"/>
  <c r="C96" i="33"/>
  <c r="B97" i="33"/>
  <c r="C97" i="33"/>
  <c r="B98" i="33"/>
  <c r="C98" i="33"/>
  <c r="B99" i="33"/>
  <c r="C99" i="33"/>
  <c r="B100" i="33"/>
  <c r="C100" i="33"/>
  <c r="B101" i="33"/>
  <c r="C101" i="33"/>
  <c r="B102" i="33"/>
  <c r="C102" i="33"/>
  <c r="B103" i="33"/>
  <c r="C103" i="33"/>
  <c r="B104" i="33"/>
  <c r="C104" i="33"/>
  <c r="B105" i="33"/>
  <c r="C105" i="33"/>
  <c r="B106" i="33"/>
  <c r="C106" i="33"/>
  <c r="B107" i="33"/>
  <c r="C107" i="33"/>
  <c r="B108" i="33"/>
  <c r="C108" i="33"/>
  <c r="B109" i="33"/>
  <c r="C109" i="33"/>
  <c r="B110" i="33"/>
  <c r="C110" i="33"/>
  <c r="B111" i="33"/>
  <c r="C111" i="33"/>
  <c r="B112" i="33"/>
  <c r="C112" i="33"/>
  <c r="B113" i="33"/>
  <c r="C113" i="33"/>
  <c r="B114" i="33"/>
  <c r="C114" i="33"/>
  <c r="B115" i="33"/>
  <c r="C115" i="33"/>
  <c r="B116" i="33"/>
  <c r="C116" i="33"/>
  <c r="B117" i="33"/>
  <c r="C117" i="33"/>
  <c r="B118" i="33"/>
  <c r="C118" i="33"/>
  <c r="B119" i="33"/>
  <c r="C119" i="33"/>
  <c r="B120" i="33"/>
  <c r="C120" i="33"/>
  <c r="B121" i="33"/>
  <c r="C121" i="33"/>
  <c r="B122" i="33"/>
  <c r="C122" i="33"/>
  <c r="B123" i="33"/>
  <c r="C123" i="33"/>
  <c r="B124" i="33"/>
  <c r="C124" i="33"/>
  <c r="B125" i="33"/>
  <c r="C125" i="33"/>
  <c r="B126" i="33"/>
  <c r="C126" i="33"/>
  <c r="B127" i="33"/>
  <c r="C127" i="33"/>
  <c r="B128" i="33"/>
  <c r="C128" i="33"/>
  <c r="B129" i="33"/>
  <c r="C129" i="33"/>
  <c r="B130" i="33"/>
  <c r="C130" i="33"/>
  <c r="B131" i="33"/>
  <c r="C131" i="33"/>
  <c r="B132" i="33"/>
  <c r="C132" i="33"/>
  <c r="B133" i="33"/>
  <c r="C133" i="33"/>
  <c r="B134" i="33"/>
  <c r="C134" i="33"/>
  <c r="B135" i="33"/>
  <c r="C135" i="33"/>
  <c r="B136" i="33"/>
  <c r="C136" i="33"/>
  <c r="B137" i="33"/>
  <c r="C137" i="33"/>
  <c r="B138" i="33"/>
  <c r="C138" i="33"/>
  <c r="B139" i="33"/>
  <c r="C139" i="33"/>
  <c r="B140" i="33"/>
  <c r="C140" i="33"/>
  <c r="B141" i="33"/>
  <c r="C141" i="33"/>
  <c r="B142" i="33"/>
  <c r="C142" i="33"/>
  <c r="B143" i="33"/>
  <c r="C143" i="33"/>
  <c r="B144" i="33"/>
  <c r="C144" i="33"/>
  <c r="B145" i="33"/>
  <c r="C145" i="33"/>
  <c r="B146" i="33"/>
  <c r="C146" i="33"/>
  <c r="B147" i="33"/>
  <c r="C147" i="33"/>
  <c r="B148" i="33"/>
  <c r="C148" i="33"/>
  <c r="B149" i="33"/>
  <c r="C149" i="33"/>
  <c r="B150" i="33"/>
  <c r="C150" i="33"/>
  <c r="B151" i="33"/>
  <c r="C151" i="33"/>
  <c r="B152" i="33"/>
  <c r="C152" i="33"/>
  <c r="B153" i="33"/>
  <c r="C153" i="33"/>
  <c r="B154" i="33"/>
  <c r="C154" i="33"/>
  <c r="B155" i="33"/>
  <c r="C155" i="33"/>
  <c r="B156" i="33"/>
  <c r="C156" i="33"/>
  <c r="B157" i="33"/>
  <c r="C157" i="33"/>
  <c r="B158" i="33"/>
  <c r="C158" i="33"/>
  <c r="B159" i="33"/>
  <c r="C159" i="33"/>
  <c r="B160" i="33"/>
  <c r="C160" i="33"/>
  <c r="B161" i="33"/>
  <c r="C161" i="33"/>
  <c r="B162" i="33"/>
  <c r="C162" i="33"/>
  <c r="B163" i="33"/>
  <c r="C163" i="33"/>
  <c r="B164" i="33"/>
  <c r="C164" i="33"/>
  <c r="B165" i="33"/>
  <c r="C165" i="33"/>
  <c r="B166" i="33"/>
  <c r="C166" i="33"/>
  <c r="B167" i="33"/>
  <c r="C167" i="33"/>
  <c r="B168" i="33"/>
  <c r="C168" i="33"/>
  <c r="B169" i="33"/>
  <c r="C169" i="33"/>
  <c r="B170" i="33"/>
  <c r="C170" i="33"/>
  <c r="B171" i="33"/>
  <c r="C171" i="33"/>
  <c r="B172" i="33"/>
  <c r="C172" i="33"/>
  <c r="B173" i="33"/>
  <c r="C173" i="33"/>
  <c r="B174" i="33"/>
  <c r="C174" i="33"/>
  <c r="B175" i="33"/>
  <c r="C175" i="33"/>
  <c r="B176" i="33"/>
  <c r="C176" i="33"/>
  <c r="B177" i="33"/>
  <c r="C177" i="33"/>
  <c r="B178" i="33"/>
  <c r="C178" i="33"/>
  <c r="B179" i="33"/>
  <c r="C179" i="33"/>
  <c r="B180" i="33"/>
  <c r="C180" i="33"/>
  <c r="B181" i="33"/>
  <c r="C181" i="33"/>
  <c r="B182" i="33"/>
  <c r="C182" i="33"/>
  <c r="B183" i="33"/>
  <c r="C183" i="33"/>
  <c r="B184" i="33"/>
  <c r="C184" i="33"/>
  <c r="B185" i="33"/>
  <c r="C185" i="33"/>
  <c r="B186" i="33"/>
  <c r="C186" i="33"/>
  <c r="B187" i="33"/>
  <c r="C187" i="33"/>
  <c r="B188" i="33"/>
  <c r="C188" i="33"/>
  <c r="B189" i="33"/>
  <c r="C189" i="33"/>
  <c r="B190" i="33"/>
  <c r="C190" i="33"/>
  <c r="B191" i="33"/>
  <c r="C191" i="33"/>
  <c r="B192" i="33"/>
  <c r="C192" i="33"/>
  <c r="B193" i="33"/>
  <c r="C193" i="33"/>
  <c r="B194" i="33"/>
  <c r="C194" i="33"/>
  <c r="B195" i="33"/>
  <c r="C195" i="33"/>
  <c r="B196" i="33"/>
  <c r="C196" i="33"/>
  <c r="B197" i="33"/>
  <c r="C197" i="33"/>
  <c r="B198" i="33"/>
  <c r="C198" i="33"/>
  <c r="B199" i="33"/>
  <c r="C199" i="33"/>
  <c r="B200" i="33"/>
  <c r="C200" i="33"/>
  <c r="B201" i="33"/>
  <c r="C201" i="33"/>
  <c r="B202" i="33"/>
  <c r="C202" i="33"/>
  <c r="B203" i="33"/>
  <c r="C203" i="33"/>
  <c r="B204" i="33"/>
  <c r="C204" i="33"/>
  <c r="B205" i="33"/>
  <c r="C205" i="33"/>
  <c r="B206" i="33"/>
  <c r="C206" i="33"/>
  <c r="B207" i="33"/>
  <c r="C207" i="33"/>
  <c r="B208" i="33"/>
  <c r="C208" i="33"/>
  <c r="B209" i="33"/>
  <c r="C209" i="33"/>
  <c r="B210" i="33"/>
  <c r="C210" i="33"/>
  <c r="B211" i="33"/>
  <c r="C211" i="33"/>
  <c r="B212" i="33"/>
  <c r="C212" i="33"/>
  <c r="B213" i="33"/>
  <c r="C213" i="33"/>
  <c r="B214" i="33"/>
  <c r="C214" i="33"/>
  <c r="B215" i="33"/>
  <c r="C215" i="33"/>
  <c r="B216" i="33"/>
  <c r="C216" i="33"/>
  <c r="B217" i="33"/>
  <c r="C217" i="33"/>
  <c r="B218" i="33"/>
  <c r="C218" i="33"/>
  <c r="B219" i="33"/>
  <c r="C219" i="33"/>
  <c r="B220" i="33"/>
  <c r="C220" i="33"/>
  <c r="B221" i="33"/>
  <c r="C221" i="33"/>
  <c r="B222" i="33"/>
  <c r="C222" i="33"/>
  <c r="B223" i="33"/>
  <c r="C223" i="33"/>
  <c r="B224" i="33"/>
  <c r="C224" i="33"/>
  <c r="B225" i="33"/>
  <c r="C225" i="33"/>
  <c r="B226" i="33"/>
  <c r="C226" i="33"/>
  <c r="B227" i="33"/>
  <c r="C227" i="33"/>
  <c r="B228" i="33"/>
  <c r="C228" i="33"/>
  <c r="B229" i="33"/>
  <c r="C229" i="33"/>
  <c r="B230" i="33"/>
  <c r="C230" i="33"/>
  <c r="B231" i="33"/>
  <c r="C231" i="33"/>
  <c r="B232" i="33"/>
  <c r="C232" i="33"/>
  <c r="B233" i="33"/>
  <c r="C233" i="33"/>
  <c r="B234" i="33"/>
  <c r="C234" i="33"/>
  <c r="B235" i="33"/>
  <c r="C235" i="33"/>
  <c r="B236" i="33"/>
  <c r="C236" i="33"/>
  <c r="B237" i="33"/>
  <c r="C237" i="33"/>
  <c r="B238" i="33"/>
  <c r="C238" i="33"/>
  <c r="B239" i="33"/>
  <c r="C239" i="33"/>
  <c r="B240" i="33"/>
  <c r="C240" i="33"/>
  <c r="B241" i="33"/>
  <c r="C241" i="33"/>
  <c r="B242" i="33"/>
  <c r="C242" i="33"/>
  <c r="B243" i="33"/>
  <c r="C243" i="33"/>
  <c r="B244" i="33"/>
  <c r="C244" i="33"/>
  <c r="B245" i="33"/>
  <c r="C245" i="33"/>
  <c r="B246" i="33"/>
  <c r="C246" i="33"/>
  <c r="B247" i="33"/>
  <c r="C247" i="33"/>
  <c r="B248" i="33"/>
  <c r="C248" i="33"/>
  <c r="B249" i="33"/>
  <c r="C249" i="33"/>
  <c r="B250" i="33"/>
  <c r="C250" i="33"/>
  <c r="B251" i="33"/>
  <c r="C251" i="33"/>
  <c r="B252" i="33"/>
  <c r="C252" i="33"/>
  <c r="B253" i="33"/>
  <c r="C253" i="33"/>
  <c r="B254" i="33"/>
  <c r="C254" i="33"/>
  <c r="B255" i="33"/>
  <c r="C255" i="33"/>
  <c r="B256" i="33"/>
  <c r="C256" i="33"/>
  <c r="B257" i="33"/>
  <c r="C257" i="33"/>
  <c r="B258" i="33"/>
  <c r="C258" i="33"/>
  <c r="B259" i="33"/>
  <c r="C259" i="33"/>
  <c r="B260" i="33"/>
  <c r="C260" i="33"/>
  <c r="B261" i="33"/>
  <c r="C261" i="33"/>
  <c r="B262" i="33"/>
  <c r="C262" i="33"/>
  <c r="B263" i="33"/>
  <c r="C263" i="33"/>
  <c r="B264" i="33"/>
  <c r="C264" i="33"/>
  <c r="B265" i="33"/>
  <c r="C265" i="33"/>
  <c r="B266" i="33"/>
  <c r="C266" i="33"/>
  <c r="B267" i="33"/>
  <c r="C267" i="33"/>
  <c r="B268" i="33"/>
  <c r="C268" i="33"/>
  <c r="B269" i="33"/>
  <c r="C269" i="33"/>
  <c r="B270" i="33"/>
  <c r="C270" i="33"/>
  <c r="B271" i="33"/>
  <c r="C271" i="33"/>
  <c r="B272" i="33"/>
  <c r="C272" i="33"/>
  <c r="B273" i="33"/>
  <c r="C273" i="33"/>
  <c r="B274" i="33"/>
  <c r="C274" i="33"/>
  <c r="B275" i="33"/>
  <c r="C275" i="33"/>
  <c r="B276" i="33"/>
  <c r="C276" i="33"/>
  <c r="B277" i="33"/>
  <c r="C277" i="33"/>
  <c r="B278" i="33"/>
  <c r="C278" i="33"/>
  <c r="B279" i="33"/>
  <c r="C279" i="33"/>
  <c r="B280" i="33"/>
  <c r="C280" i="33"/>
  <c r="B281" i="33"/>
  <c r="C281" i="33"/>
  <c r="B282" i="33"/>
  <c r="C282" i="33"/>
  <c r="B283" i="33"/>
  <c r="C283" i="33"/>
  <c r="B284" i="33"/>
  <c r="C284" i="33"/>
  <c r="B285" i="33"/>
  <c r="C285" i="33"/>
  <c r="B286" i="33"/>
  <c r="C286" i="33"/>
  <c r="B287" i="33"/>
  <c r="C287" i="33"/>
  <c r="B288" i="33"/>
  <c r="C288" i="33"/>
  <c r="B289" i="33"/>
  <c r="C289" i="33"/>
  <c r="B290" i="33"/>
  <c r="C290" i="33"/>
  <c r="B291" i="33"/>
  <c r="C291" i="33"/>
  <c r="B292" i="33"/>
  <c r="C292" i="33"/>
  <c r="B293" i="33"/>
  <c r="C293" i="33"/>
  <c r="B294" i="33"/>
  <c r="C294" i="33"/>
  <c r="B295" i="33"/>
  <c r="C295" i="33"/>
  <c r="B296" i="33"/>
  <c r="C296" i="33"/>
  <c r="B297" i="33"/>
  <c r="C297" i="33"/>
  <c r="B298" i="33"/>
  <c r="C298" i="33"/>
  <c r="B299" i="33"/>
  <c r="C299" i="33"/>
  <c r="B300" i="33"/>
  <c r="C300" i="33"/>
  <c r="B301" i="33"/>
  <c r="C301" i="33"/>
  <c r="B302" i="33"/>
  <c r="C302" i="33"/>
  <c r="B303" i="33"/>
  <c r="C303" i="33"/>
  <c r="B304" i="33"/>
  <c r="C304" i="33"/>
  <c r="B305" i="33"/>
  <c r="C305" i="33"/>
  <c r="B306" i="33"/>
  <c r="C306" i="33"/>
  <c r="B307" i="33"/>
  <c r="C307" i="33"/>
  <c r="B308" i="33"/>
  <c r="C308" i="33"/>
  <c r="B309" i="33"/>
  <c r="C309" i="33"/>
  <c r="B310" i="33"/>
  <c r="C310" i="33"/>
  <c r="B311" i="33"/>
  <c r="C311" i="33"/>
  <c r="B312" i="33"/>
  <c r="C312" i="33"/>
  <c r="B313" i="33"/>
  <c r="C313" i="33"/>
  <c r="B314" i="33"/>
  <c r="C314" i="33"/>
  <c r="B315" i="33"/>
  <c r="C315" i="33"/>
  <c r="B316" i="33"/>
  <c r="C316" i="33"/>
  <c r="B317" i="33"/>
  <c r="C317" i="33"/>
  <c r="B318" i="33"/>
  <c r="C318" i="33"/>
  <c r="B319" i="33"/>
  <c r="C319" i="33"/>
  <c r="B320" i="33"/>
  <c r="C320" i="33"/>
  <c r="B321" i="33"/>
  <c r="C321" i="33"/>
  <c r="B322" i="33"/>
  <c r="C322" i="33"/>
  <c r="B323" i="33"/>
  <c r="C323" i="33"/>
  <c r="B324" i="33"/>
  <c r="C324" i="33"/>
  <c r="B325" i="33"/>
  <c r="C325" i="33"/>
  <c r="B326" i="33"/>
  <c r="C326" i="33"/>
  <c r="B327" i="33"/>
  <c r="C327" i="33"/>
  <c r="B328" i="33"/>
  <c r="C328" i="33"/>
  <c r="B329" i="33"/>
  <c r="C329" i="33"/>
  <c r="B330" i="33"/>
  <c r="C330" i="33"/>
  <c r="B331" i="33"/>
  <c r="C331" i="33"/>
  <c r="B332" i="33"/>
  <c r="C332" i="33"/>
  <c r="B333" i="33"/>
  <c r="C333" i="33"/>
  <c r="B334" i="33"/>
  <c r="C334" i="33"/>
  <c r="B335" i="33"/>
  <c r="C335" i="33"/>
  <c r="B336" i="33"/>
  <c r="C336" i="33"/>
  <c r="B337" i="33"/>
  <c r="C337" i="33"/>
  <c r="B338" i="33"/>
  <c r="C338" i="33"/>
  <c r="B339" i="33"/>
  <c r="C339" i="33"/>
  <c r="B340" i="33"/>
  <c r="C340" i="33"/>
  <c r="B341" i="33"/>
  <c r="C341" i="33"/>
  <c r="B342" i="33"/>
  <c r="C342" i="33"/>
  <c r="B343" i="33"/>
  <c r="C343" i="33"/>
  <c r="B344" i="33"/>
  <c r="C344" i="33"/>
  <c r="B345" i="33"/>
  <c r="C345" i="33"/>
  <c r="B346" i="33"/>
  <c r="C346" i="33"/>
  <c r="B347" i="33"/>
  <c r="C347" i="33"/>
  <c r="B348" i="33"/>
  <c r="C348" i="33"/>
  <c r="B349" i="33"/>
  <c r="C349" i="33"/>
  <c r="B350" i="33"/>
  <c r="C350" i="33"/>
  <c r="B351" i="33"/>
  <c r="C351" i="33"/>
  <c r="B352" i="33"/>
  <c r="C352" i="33"/>
  <c r="B353" i="33"/>
  <c r="C353" i="33"/>
  <c r="B354" i="33"/>
  <c r="C354" i="33"/>
  <c r="B355" i="33"/>
  <c r="C355" i="33"/>
  <c r="B356" i="33"/>
  <c r="C356" i="33"/>
  <c r="B357" i="33"/>
  <c r="C357" i="33"/>
  <c r="B358" i="33"/>
  <c r="C358" i="33"/>
  <c r="B359" i="33"/>
  <c r="C359" i="33"/>
  <c r="B360" i="33"/>
  <c r="C360" i="33"/>
  <c r="B361" i="33"/>
  <c r="C361" i="33"/>
  <c r="B362" i="33"/>
  <c r="C362" i="33"/>
  <c r="B363" i="33"/>
  <c r="C363" i="33"/>
  <c r="B364" i="33"/>
  <c r="C364" i="33"/>
  <c r="B365" i="33"/>
  <c r="C365" i="33"/>
  <c r="B366" i="33"/>
  <c r="C366" i="33"/>
  <c r="B367" i="33"/>
  <c r="C367" i="33"/>
  <c r="B368" i="33"/>
  <c r="C368" i="33"/>
  <c r="B369" i="33"/>
  <c r="C369" i="33"/>
  <c r="B370" i="33"/>
  <c r="C370" i="33"/>
  <c r="B371" i="33"/>
  <c r="C371" i="33"/>
  <c r="B372" i="33"/>
  <c r="C372" i="33"/>
  <c r="B373" i="33"/>
  <c r="C373" i="33"/>
  <c r="B374" i="33"/>
  <c r="C374" i="33"/>
  <c r="B375" i="33"/>
  <c r="C375" i="33"/>
  <c r="B376" i="33"/>
  <c r="C376" i="33"/>
  <c r="B377" i="33"/>
  <c r="C377" i="33"/>
  <c r="B378" i="33"/>
  <c r="C378" i="33"/>
  <c r="B379" i="33"/>
  <c r="C379" i="33"/>
  <c r="B380" i="33"/>
  <c r="C380" i="33"/>
  <c r="B381" i="33"/>
  <c r="C381" i="33"/>
  <c r="B382" i="33"/>
  <c r="C382" i="33"/>
  <c r="B383" i="33"/>
  <c r="C383" i="33"/>
  <c r="B384" i="33"/>
  <c r="C384" i="33"/>
  <c r="B385" i="33"/>
  <c r="C385" i="33"/>
  <c r="B386" i="33"/>
  <c r="C386" i="33"/>
  <c r="B387" i="33"/>
  <c r="C387" i="33"/>
  <c r="B388" i="33"/>
  <c r="C388" i="33"/>
  <c r="B389" i="33"/>
  <c r="C389" i="33"/>
  <c r="B390" i="33"/>
  <c r="C390" i="33"/>
  <c r="B391" i="33"/>
  <c r="C391" i="33"/>
  <c r="B392" i="33"/>
  <c r="C392" i="33"/>
  <c r="B393" i="33"/>
  <c r="C393" i="33"/>
  <c r="B394" i="33"/>
  <c r="C394" i="33"/>
  <c r="B395" i="33"/>
  <c r="C395" i="33"/>
  <c r="B396" i="33"/>
  <c r="C396" i="33"/>
  <c r="B397" i="33"/>
  <c r="C397" i="33"/>
  <c r="B398" i="33"/>
  <c r="C398" i="33"/>
  <c r="B399" i="33"/>
  <c r="C399" i="33"/>
  <c r="B400" i="33"/>
  <c r="C400" i="33"/>
  <c r="B401" i="33"/>
  <c r="C401" i="33"/>
  <c r="B402" i="33"/>
  <c r="C402" i="33"/>
  <c r="B403" i="33"/>
  <c r="C403" i="33"/>
  <c r="B404" i="33"/>
  <c r="C404" i="33"/>
  <c r="B405" i="33"/>
  <c r="C405" i="33"/>
  <c r="B406" i="33"/>
  <c r="C406" i="33"/>
  <c r="B407" i="33"/>
  <c r="C407" i="33"/>
  <c r="B408" i="33"/>
  <c r="C408" i="33"/>
  <c r="B409" i="33"/>
  <c r="C409" i="33"/>
  <c r="B410" i="33"/>
  <c r="C410" i="33"/>
  <c r="B411" i="33"/>
  <c r="C411" i="33"/>
  <c r="B412" i="33"/>
  <c r="C412" i="33"/>
  <c r="B413" i="33"/>
  <c r="C413" i="33"/>
  <c r="B414" i="33"/>
  <c r="C414" i="33"/>
  <c r="B415" i="33"/>
  <c r="C415" i="33"/>
  <c r="B416" i="33"/>
  <c r="C416" i="33"/>
  <c r="B417" i="33"/>
  <c r="C417" i="33"/>
  <c r="B418" i="33"/>
  <c r="C418" i="33"/>
  <c r="B419" i="33"/>
  <c r="C419" i="33"/>
  <c r="B420" i="33"/>
  <c r="C420" i="33"/>
  <c r="B421" i="33"/>
  <c r="C421" i="33"/>
  <c r="B422" i="33"/>
  <c r="C422" i="33"/>
  <c r="B423" i="33"/>
  <c r="C423" i="33"/>
  <c r="B424" i="33"/>
  <c r="C424" i="33"/>
  <c r="B425" i="33"/>
  <c r="C425" i="33"/>
  <c r="B426" i="33"/>
  <c r="C426" i="33"/>
  <c r="B427" i="33"/>
  <c r="C427" i="33"/>
  <c r="B428" i="33"/>
  <c r="C428" i="33"/>
  <c r="B429" i="33"/>
  <c r="C429" i="33"/>
  <c r="B430" i="33"/>
  <c r="C430" i="33"/>
  <c r="B431" i="33"/>
  <c r="C431" i="33"/>
  <c r="B432" i="33"/>
  <c r="C432" i="33"/>
  <c r="B433" i="33"/>
  <c r="C433" i="33"/>
  <c r="B434" i="33"/>
  <c r="C434" i="33"/>
  <c r="B435" i="33"/>
  <c r="C435" i="33"/>
  <c r="B436" i="33"/>
  <c r="C436" i="33"/>
  <c r="B437" i="33"/>
  <c r="C437" i="33"/>
  <c r="B438" i="33"/>
  <c r="C438" i="33"/>
  <c r="B439" i="33"/>
  <c r="C439" i="33"/>
  <c r="B440" i="33"/>
  <c r="C440" i="33"/>
  <c r="B441" i="33"/>
  <c r="C441" i="33"/>
  <c r="B442" i="33"/>
  <c r="C442" i="33"/>
  <c r="B443" i="33"/>
  <c r="C443" i="33"/>
  <c r="B444" i="33"/>
  <c r="C444" i="33"/>
  <c r="B445" i="33"/>
  <c r="C445" i="33"/>
  <c r="B446" i="33"/>
  <c r="C446" i="33"/>
  <c r="B447" i="33"/>
  <c r="C447" i="33"/>
  <c r="B448" i="33"/>
  <c r="C448" i="33"/>
  <c r="B449" i="33"/>
  <c r="C449" i="33"/>
  <c r="B450" i="33"/>
  <c r="C450" i="33"/>
  <c r="B451" i="33"/>
  <c r="C451" i="33"/>
  <c r="B452" i="33"/>
  <c r="C452" i="33"/>
  <c r="B453" i="33"/>
  <c r="C453" i="33"/>
  <c r="B454" i="33"/>
  <c r="C454" i="33"/>
  <c r="B455" i="33"/>
  <c r="C455" i="33"/>
  <c r="B456" i="33"/>
  <c r="C456" i="33"/>
  <c r="B457" i="33"/>
  <c r="C457" i="33"/>
  <c r="B458" i="33"/>
  <c r="C458" i="33"/>
  <c r="B459" i="33"/>
  <c r="C459" i="33"/>
  <c r="B460" i="33"/>
  <c r="C460" i="33"/>
  <c r="B461" i="33"/>
  <c r="C461" i="33"/>
  <c r="B462" i="33"/>
  <c r="C462" i="33"/>
  <c r="B463" i="33"/>
  <c r="C463" i="33"/>
  <c r="B464" i="33"/>
  <c r="C464" i="33"/>
  <c r="B465" i="33"/>
  <c r="C465" i="33"/>
  <c r="B466" i="33"/>
  <c r="C466" i="33"/>
  <c r="B467" i="33"/>
  <c r="C467" i="33"/>
  <c r="B468" i="33"/>
  <c r="C468" i="33"/>
  <c r="B469" i="33"/>
  <c r="C469" i="33"/>
  <c r="B470" i="33"/>
  <c r="C470" i="33"/>
  <c r="B471" i="33"/>
  <c r="C471" i="33"/>
  <c r="B472" i="33"/>
  <c r="C472" i="33"/>
  <c r="B473" i="33"/>
  <c r="C473" i="33"/>
  <c r="B474" i="33"/>
  <c r="C474" i="33"/>
  <c r="B475" i="33"/>
  <c r="C475" i="33"/>
  <c r="B476" i="33"/>
  <c r="C476" i="33"/>
  <c r="B477" i="33"/>
  <c r="C477" i="33"/>
  <c r="B478" i="33"/>
  <c r="C478" i="33"/>
  <c r="B479" i="33"/>
  <c r="C479" i="33"/>
  <c r="B480" i="33"/>
  <c r="C480" i="33"/>
  <c r="B481" i="33"/>
  <c r="C481" i="33"/>
  <c r="B482" i="33"/>
  <c r="C482" i="33"/>
  <c r="B483" i="33"/>
  <c r="C483" i="33"/>
  <c r="B484" i="33"/>
  <c r="C484" i="33"/>
  <c r="B485" i="33"/>
  <c r="C485" i="33"/>
  <c r="B486" i="33"/>
  <c r="C486" i="33"/>
  <c r="B487" i="33"/>
  <c r="C487" i="33"/>
  <c r="B488" i="33"/>
  <c r="C488" i="33"/>
  <c r="B489" i="33"/>
  <c r="C489" i="33"/>
  <c r="B490" i="33"/>
  <c r="C490" i="33"/>
  <c r="B491" i="33"/>
  <c r="C491" i="33"/>
  <c r="B492" i="33"/>
  <c r="C492" i="33"/>
  <c r="B493" i="33"/>
  <c r="C493" i="33"/>
  <c r="B494" i="33"/>
  <c r="C494" i="33"/>
  <c r="B495" i="33"/>
  <c r="C495" i="33"/>
  <c r="B496" i="33"/>
  <c r="C496" i="33"/>
  <c r="B497" i="33"/>
  <c r="C497" i="33"/>
  <c r="B498" i="33"/>
  <c r="C498" i="33"/>
  <c r="B499" i="33"/>
  <c r="C499" i="33"/>
  <c r="B500" i="33"/>
  <c r="C500" i="33"/>
  <c r="B501" i="33"/>
  <c r="C501" i="33"/>
  <c r="B502" i="33"/>
  <c r="C502" i="33"/>
  <c r="B503" i="33"/>
  <c r="C503" i="33"/>
  <c r="B504" i="33"/>
  <c r="C504" i="33"/>
  <c r="B505" i="33"/>
  <c r="C505" i="33"/>
  <c r="B506" i="33"/>
  <c r="C506" i="33"/>
  <c r="B3" i="18"/>
  <c r="C3" i="18"/>
  <c r="B4" i="18"/>
  <c r="C4" i="18"/>
  <c r="B5" i="18"/>
  <c r="C5" i="18"/>
  <c r="B6" i="18"/>
  <c r="C6" i="18"/>
  <c r="B7" i="18"/>
  <c r="C7" i="18"/>
  <c r="B8" i="18"/>
  <c r="C8" i="18"/>
  <c r="B9" i="18"/>
  <c r="C9" i="18"/>
  <c r="B10" i="18"/>
  <c r="C10" i="18"/>
  <c r="B11" i="18"/>
  <c r="C11" i="18"/>
  <c r="B12" i="18"/>
  <c r="C12" i="18"/>
  <c r="B13" i="18"/>
  <c r="C13" i="18"/>
  <c r="B14" i="18"/>
  <c r="C14" i="18"/>
  <c r="B15" i="18"/>
  <c r="C15" i="18"/>
  <c r="B16" i="18"/>
  <c r="C16" i="18"/>
  <c r="B17" i="18"/>
  <c r="C17" i="18"/>
  <c r="B3" i="25"/>
  <c r="C3" i="25"/>
  <c r="B4" i="25"/>
  <c r="C4" i="25"/>
  <c r="B5" i="25"/>
  <c r="C5" i="25"/>
  <c r="B6" i="25"/>
  <c r="C6" i="25"/>
  <c r="B7" i="25"/>
  <c r="C7" i="25"/>
  <c r="B8" i="25"/>
  <c r="C8" i="25"/>
  <c r="B9" i="25"/>
  <c r="C9" i="25"/>
  <c r="B10" i="25"/>
  <c r="C10" i="25"/>
  <c r="B11" i="25"/>
  <c r="C11" i="25"/>
  <c r="B12" i="25"/>
  <c r="C12" i="25"/>
  <c r="B13" i="25"/>
  <c r="C13" i="25"/>
  <c r="B14" i="25"/>
  <c r="C14" i="25"/>
  <c r="B15" i="25"/>
  <c r="C15" i="25"/>
  <c r="B16" i="25"/>
  <c r="C16" i="25"/>
  <c r="B17" i="25"/>
  <c r="C17" i="25"/>
  <c r="B18" i="25"/>
  <c r="C18" i="25"/>
  <c r="B19" i="25"/>
  <c r="C19" i="25"/>
  <c r="B20" i="25"/>
  <c r="C20" i="25"/>
  <c r="B21" i="25"/>
  <c r="C21" i="25"/>
  <c r="B22" i="25"/>
  <c r="C22" i="25"/>
  <c r="B23" i="25"/>
  <c r="C23" i="25"/>
  <c r="B24" i="25"/>
  <c r="C24" i="25"/>
  <c r="B25" i="25"/>
  <c r="C25" i="25"/>
  <c r="B26" i="25"/>
  <c r="C26" i="25"/>
  <c r="B27" i="25"/>
  <c r="C27" i="25"/>
  <c r="B28" i="25"/>
  <c r="C28" i="25"/>
  <c r="B29" i="25"/>
  <c r="C29" i="25"/>
  <c r="B30" i="25"/>
  <c r="C30" i="25"/>
  <c r="B31" i="25"/>
  <c r="C31" i="25"/>
  <c r="B32" i="25"/>
  <c r="C32" i="25"/>
  <c r="B33" i="25"/>
  <c r="C33" i="25"/>
  <c r="B34" i="25"/>
  <c r="C34" i="25"/>
  <c r="B35" i="25"/>
  <c r="C35" i="25"/>
  <c r="B36" i="25"/>
  <c r="C36" i="25"/>
  <c r="B37" i="25"/>
  <c r="C37" i="25"/>
  <c r="B38" i="25"/>
  <c r="C38" i="25"/>
  <c r="B39" i="25"/>
  <c r="C39" i="25"/>
  <c r="B40" i="25"/>
  <c r="C40" i="25"/>
  <c r="B41" i="25"/>
  <c r="C41" i="25"/>
  <c r="B42" i="25"/>
  <c r="C42" i="25"/>
  <c r="B43" i="25"/>
  <c r="C43" i="25"/>
  <c r="B44" i="25"/>
  <c r="C44" i="25"/>
  <c r="B45" i="25"/>
  <c r="C45" i="25"/>
  <c r="B46" i="25"/>
  <c r="C46" i="25"/>
  <c r="B47" i="25"/>
  <c r="C47" i="25"/>
  <c r="B48" i="25"/>
  <c r="C48" i="25"/>
  <c r="B49" i="25"/>
  <c r="C49" i="25"/>
  <c r="B50" i="25"/>
  <c r="C50" i="25"/>
  <c r="B51" i="25"/>
  <c r="C51" i="25"/>
  <c r="B52" i="25"/>
  <c r="C52" i="25"/>
  <c r="B53" i="25"/>
  <c r="C53" i="25"/>
  <c r="B54" i="25"/>
  <c r="C54" i="25"/>
  <c r="B55" i="25"/>
  <c r="C55" i="25"/>
  <c r="B56" i="25"/>
  <c r="C56" i="25"/>
  <c r="B57" i="25"/>
  <c r="C57" i="25"/>
  <c r="B58" i="25"/>
  <c r="C58" i="25"/>
  <c r="B59" i="25"/>
  <c r="C59" i="25"/>
  <c r="B60" i="25"/>
  <c r="C60" i="25"/>
  <c r="B61" i="25"/>
  <c r="C61" i="25"/>
  <c r="B62" i="25"/>
  <c r="C62" i="25"/>
  <c r="B63" i="25"/>
  <c r="C63" i="25"/>
  <c r="B64" i="25"/>
  <c r="C64" i="25"/>
  <c r="B65" i="25"/>
  <c r="C65" i="25"/>
  <c r="B66" i="25"/>
  <c r="C66" i="25"/>
  <c r="B67" i="25"/>
  <c r="C67" i="25"/>
  <c r="B68" i="25"/>
  <c r="C68" i="25"/>
  <c r="B69" i="25"/>
  <c r="C69" i="25"/>
  <c r="B70" i="25"/>
  <c r="C70" i="25"/>
  <c r="B71" i="25"/>
  <c r="C71" i="25"/>
  <c r="B72" i="25"/>
  <c r="C72" i="25"/>
  <c r="B73" i="25"/>
  <c r="C73" i="25"/>
  <c r="B74" i="25"/>
  <c r="C74" i="25"/>
  <c r="B75" i="25"/>
  <c r="C75" i="25"/>
  <c r="B76" i="25"/>
  <c r="C76" i="25"/>
  <c r="B77" i="25"/>
  <c r="C77" i="25"/>
  <c r="B78" i="25"/>
  <c r="C78" i="25"/>
  <c r="B79" i="25"/>
  <c r="C79" i="25"/>
  <c r="B80" i="25"/>
  <c r="C80" i="25"/>
  <c r="B81" i="25"/>
  <c r="C81" i="25"/>
  <c r="B82" i="25"/>
  <c r="C82" i="25"/>
  <c r="B83" i="25"/>
  <c r="C83" i="25"/>
  <c r="B84" i="25"/>
  <c r="C84" i="25"/>
  <c r="B85" i="25"/>
  <c r="C85" i="25"/>
  <c r="B86" i="25"/>
  <c r="C86" i="25"/>
  <c r="B87" i="25"/>
  <c r="C87" i="25"/>
  <c r="B88" i="25"/>
  <c r="C88" i="25"/>
  <c r="B89" i="25"/>
  <c r="C89" i="25"/>
  <c r="B90" i="25"/>
  <c r="C90" i="25"/>
  <c r="B91" i="25"/>
  <c r="C91" i="25"/>
  <c r="B92" i="25"/>
  <c r="C92" i="25"/>
  <c r="B93" i="25"/>
  <c r="C93" i="25"/>
  <c r="B94" i="25"/>
  <c r="C94" i="25"/>
  <c r="B95" i="25"/>
  <c r="C95" i="25"/>
  <c r="B96" i="25"/>
  <c r="C96" i="25"/>
  <c r="B97" i="25"/>
  <c r="C97" i="25"/>
  <c r="B98" i="25"/>
  <c r="C98" i="25"/>
  <c r="B99" i="25"/>
  <c r="C99" i="25"/>
  <c r="B100" i="25"/>
  <c r="C100" i="25"/>
  <c r="B101" i="25"/>
  <c r="C101" i="25"/>
  <c r="B102" i="25"/>
  <c r="C102" i="25"/>
  <c r="B103" i="25"/>
  <c r="C103" i="25"/>
  <c r="B104" i="25"/>
  <c r="C104" i="25"/>
  <c r="B105" i="25"/>
  <c r="C105" i="25"/>
  <c r="B106" i="25"/>
  <c r="C106" i="25"/>
  <c r="B107" i="25"/>
  <c r="C107" i="25"/>
  <c r="B108" i="25"/>
  <c r="C108" i="25"/>
  <c r="B109" i="25"/>
  <c r="C109" i="25"/>
  <c r="B110" i="25"/>
  <c r="C110" i="25"/>
  <c r="B111" i="25"/>
  <c r="C111" i="25"/>
  <c r="B112" i="25"/>
  <c r="C112" i="25"/>
  <c r="B113" i="25"/>
  <c r="C113" i="25"/>
  <c r="B114" i="25"/>
  <c r="C114" i="25"/>
  <c r="B115" i="25"/>
  <c r="C115" i="25"/>
  <c r="B116" i="25"/>
  <c r="C116" i="25"/>
  <c r="B117" i="25"/>
  <c r="C117" i="25"/>
  <c r="B118" i="25"/>
  <c r="C118" i="25"/>
  <c r="B119" i="25"/>
  <c r="C119" i="25"/>
  <c r="B120" i="25"/>
  <c r="C120" i="25"/>
  <c r="B121" i="25"/>
  <c r="C121" i="25"/>
  <c r="B122" i="25"/>
  <c r="C122" i="25"/>
  <c r="B123" i="25"/>
  <c r="C123" i="25"/>
  <c r="B124" i="25"/>
  <c r="C124" i="25"/>
  <c r="B125" i="25"/>
  <c r="C125" i="25"/>
  <c r="B126" i="25"/>
  <c r="C126" i="25"/>
  <c r="B127" i="25"/>
  <c r="C127" i="25"/>
  <c r="B128" i="25"/>
  <c r="C128" i="25"/>
  <c r="B129" i="25"/>
  <c r="C129" i="25"/>
  <c r="B130" i="25"/>
  <c r="C130" i="25"/>
  <c r="B131" i="25"/>
  <c r="C131" i="25"/>
  <c r="B132" i="25"/>
  <c r="C132" i="25"/>
  <c r="B133" i="25"/>
  <c r="C133" i="25"/>
  <c r="B134" i="25"/>
  <c r="C134" i="25"/>
  <c r="B135" i="25"/>
  <c r="C135" i="25"/>
  <c r="B136" i="25"/>
  <c r="C136" i="25"/>
  <c r="B137" i="25"/>
  <c r="C137" i="25"/>
  <c r="B138" i="25"/>
  <c r="C138" i="25"/>
  <c r="B139" i="25"/>
  <c r="C139" i="25"/>
  <c r="B140" i="25"/>
  <c r="C140" i="25"/>
  <c r="B141" i="25"/>
  <c r="C141" i="25"/>
  <c r="B142" i="25"/>
  <c r="C142" i="25"/>
  <c r="B143" i="25"/>
  <c r="C143" i="25"/>
  <c r="B144" i="25"/>
  <c r="C144" i="25"/>
  <c r="B145" i="25"/>
  <c r="C145" i="25"/>
  <c r="B146" i="25"/>
  <c r="C146" i="25"/>
  <c r="B147" i="25"/>
  <c r="C147" i="25"/>
  <c r="B148" i="25"/>
  <c r="C148" i="25"/>
  <c r="B149" i="25"/>
  <c r="C149" i="25"/>
  <c r="B150" i="25"/>
  <c r="C150" i="25"/>
  <c r="B151" i="25"/>
  <c r="C151" i="25"/>
  <c r="B152" i="25"/>
  <c r="C152" i="25"/>
  <c r="B153" i="25"/>
  <c r="C153" i="25"/>
  <c r="B154" i="25"/>
  <c r="C154" i="25"/>
  <c r="B155" i="25"/>
  <c r="C155" i="25"/>
  <c r="B156" i="25"/>
  <c r="C156" i="25"/>
  <c r="B157" i="25"/>
  <c r="C157" i="25"/>
  <c r="B158" i="25"/>
  <c r="C158" i="25"/>
  <c r="B159" i="25"/>
  <c r="C159" i="25"/>
  <c r="B160" i="25"/>
  <c r="C160" i="25"/>
  <c r="B161" i="25"/>
  <c r="C161" i="25"/>
  <c r="B162" i="25"/>
  <c r="C162" i="25"/>
  <c r="B163" i="25"/>
  <c r="C163" i="25"/>
  <c r="B164" i="25"/>
  <c r="C164" i="25"/>
  <c r="B165" i="25"/>
  <c r="C165" i="25"/>
  <c r="B166" i="25"/>
  <c r="C166" i="25"/>
  <c r="B167" i="25"/>
  <c r="C167" i="25"/>
  <c r="B168" i="25"/>
  <c r="C168" i="25"/>
  <c r="B169" i="25"/>
  <c r="C169" i="25"/>
  <c r="B170" i="25"/>
  <c r="C170" i="25"/>
  <c r="B171" i="25"/>
  <c r="C171" i="25"/>
  <c r="B172" i="25"/>
  <c r="C172" i="25"/>
  <c r="B173" i="25"/>
  <c r="C173" i="25"/>
  <c r="B174" i="25"/>
  <c r="C174" i="25"/>
  <c r="B175" i="25"/>
  <c r="C175" i="25"/>
  <c r="B176" i="25"/>
  <c r="C176" i="25"/>
  <c r="B177" i="25"/>
  <c r="C177" i="25"/>
  <c r="B178" i="25"/>
  <c r="C178" i="25"/>
  <c r="B179" i="25"/>
  <c r="C179" i="25"/>
  <c r="B180" i="25"/>
  <c r="C180" i="25"/>
  <c r="B181" i="25"/>
  <c r="C181" i="25"/>
  <c r="B182" i="25"/>
  <c r="C182" i="25"/>
  <c r="B183" i="25"/>
  <c r="C183" i="25"/>
  <c r="B184" i="25"/>
  <c r="C184" i="25"/>
  <c r="B185" i="25"/>
  <c r="C185" i="25"/>
  <c r="B186" i="25"/>
  <c r="C186" i="25"/>
  <c r="B187" i="25"/>
  <c r="C187" i="25"/>
  <c r="B188" i="25"/>
  <c r="C188" i="25"/>
  <c r="B189" i="25"/>
  <c r="C189" i="25"/>
  <c r="B190" i="25"/>
  <c r="C190" i="25"/>
  <c r="B191" i="25"/>
  <c r="C191" i="25"/>
  <c r="B192" i="25"/>
  <c r="C192" i="25"/>
  <c r="B193" i="25"/>
  <c r="C193" i="25"/>
  <c r="B194" i="25"/>
  <c r="C194" i="25"/>
  <c r="B195" i="25"/>
  <c r="C195" i="25"/>
  <c r="B196" i="25"/>
  <c r="C196" i="25"/>
  <c r="B197" i="25"/>
  <c r="C197" i="25"/>
  <c r="B198" i="25"/>
  <c r="C198" i="25"/>
  <c r="B199" i="25"/>
  <c r="C199" i="25"/>
  <c r="B200" i="25"/>
  <c r="C200" i="25"/>
  <c r="B201" i="25"/>
  <c r="C201" i="25"/>
  <c r="B202" i="25"/>
  <c r="C202" i="25"/>
  <c r="B203" i="25"/>
  <c r="C203" i="25"/>
  <c r="B204" i="25"/>
  <c r="C204" i="25"/>
  <c r="B205" i="25"/>
  <c r="C205" i="25"/>
  <c r="B206" i="25"/>
  <c r="C206" i="25"/>
  <c r="B207" i="25"/>
  <c r="C207" i="25"/>
  <c r="B208" i="25"/>
  <c r="C208" i="25"/>
  <c r="B209" i="25"/>
  <c r="C209" i="25"/>
  <c r="B210" i="25"/>
  <c r="C210" i="25"/>
  <c r="B211" i="25"/>
  <c r="C211" i="25"/>
  <c r="B212" i="25"/>
  <c r="C212" i="25"/>
  <c r="B213" i="25"/>
  <c r="C213" i="25"/>
  <c r="B214" i="25"/>
  <c r="C214" i="25"/>
  <c r="B215" i="25"/>
  <c r="C215" i="25"/>
  <c r="B216" i="25"/>
  <c r="C216" i="25"/>
  <c r="B217" i="25"/>
  <c r="C217" i="25"/>
  <c r="B218" i="25"/>
  <c r="C218" i="25"/>
  <c r="B219" i="25"/>
  <c r="C219" i="25"/>
  <c r="B220" i="25"/>
  <c r="C220" i="25"/>
  <c r="B221" i="25"/>
  <c r="C221" i="25"/>
  <c r="B222" i="25"/>
  <c r="C222" i="25"/>
  <c r="B223" i="25"/>
  <c r="C223" i="25"/>
  <c r="B224" i="25"/>
  <c r="C224" i="25"/>
  <c r="B225" i="25"/>
  <c r="C225" i="25"/>
  <c r="B226" i="25"/>
  <c r="C226" i="25"/>
  <c r="B227" i="25"/>
  <c r="C227" i="25"/>
  <c r="B228" i="25"/>
  <c r="C228" i="25"/>
  <c r="B229" i="25"/>
  <c r="C229" i="25"/>
  <c r="B230" i="25"/>
  <c r="C230" i="25"/>
  <c r="B231" i="25"/>
  <c r="C231" i="25"/>
  <c r="B232" i="25"/>
  <c r="C232" i="25"/>
  <c r="B233" i="25"/>
  <c r="C233" i="25"/>
  <c r="B234" i="25"/>
  <c r="C234" i="25"/>
  <c r="B235" i="25"/>
  <c r="C235" i="25"/>
  <c r="B236" i="25"/>
  <c r="C236" i="25"/>
  <c r="B237" i="25"/>
  <c r="C237" i="25"/>
  <c r="B238" i="25"/>
  <c r="C238" i="25"/>
  <c r="B239" i="25"/>
  <c r="C239" i="25"/>
  <c r="B240" i="25"/>
  <c r="C240" i="25"/>
  <c r="B241" i="25"/>
  <c r="C241" i="25"/>
  <c r="B242" i="25"/>
  <c r="C242" i="25"/>
  <c r="B243" i="25"/>
  <c r="C243" i="25"/>
  <c r="B244" i="25"/>
  <c r="C244" i="25"/>
  <c r="B245" i="25"/>
  <c r="C245" i="25"/>
  <c r="B246" i="25"/>
  <c r="C246" i="25"/>
  <c r="B247" i="25"/>
  <c r="C247" i="25"/>
  <c r="B248" i="25"/>
  <c r="C248" i="25"/>
  <c r="B249" i="25"/>
  <c r="C249" i="25"/>
  <c r="B250" i="25"/>
  <c r="C250" i="25"/>
  <c r="B251" i="25"/>
  <c r="C251" i="25"/>
  <c r="B252" i="25"/>
  <c r="C252" i="25"/>
  <c r="B253" i="25"/>
  <c r="C253" i="25"/>
  <c r="B254" i="25"/>
  <c r="C254" i="25"/>
  <c r="B255" i="25"/>
  <c r="C255" i="25"/>
  <c r="B256" i="25"/>
  <c r="C256" i="25"/>
  <c r="B257" i="25"/>
  <c r="C257" i="25"/>
  <c r="B258" i="25"/>
  <c r="C258" i="25"/>
  <c r="B259" i="25"/>
  <c r="C259" i="25"/>
  <c r="B260" i="25"/>
  <c r="C260" i="25"/>
  <c r="B261" i="25"/>
  <c r="C261" i="25"/>
  <c r="B262" i="25"/>
  <c r="C262" i="25"/>
  <c r="B263" i="25"/>
  <c r="C263" i="25"/>
  <c r="B264" i="25"/>
  <c r="C264" i="25"/>
  <c r="B265" i="25"/>
  <c r="C265" i="25"/>
  <c r="B266" i="25"/>
  <c r="C266" i="25"/>
  <c r="B267" i="25"/>
  <c r="C267" i="25"/>
  <c r="B268" i="25"/>
  <c r="C268" i="25"/>
  <c r="B269" i="25"/>
  <c r="C269" i="25"/>
  <c r="B270" i="25"/>
  <c r="C270" i="25"/>
  <c r="B271" i="25"/>
  <c r="C271" i="25"/>
  <c r="B272" i="25"/>
  <c r="C272" i="25"/>
  <c r="B273" i="25"/>
  <c r="C273" i="25"/>
  <c r="B274" i="25"/>
  <c r="C274" i="25"/>
  <c r="B275" i="25"/>
  <c r="C275" i="25"/>
  <c r="B276" i="25"/>
  <c r="C276" i="25"/>
  <c r="B277" i="25"/>
  <c r="C277" i="25"/>
  <c r="B278" i="25"/>
  <c r="C278" i="25"/>
  <c r="B279" i="25"/>
  <c r="C279" i="25"/>
  <c r="B280" i="25"/>
  <c r="C280" i="25"/>
  <c r="B281" i="25"/>
  <c r="C281" i="25"/>
  <c r="B282" i="25"/>
  <c r="C282" i="25"/>
  <c r="B283" i="25"/>
  <c r="C283" i="25"/>
  <c r="B284" i="25"/>
  <c r="C284" i="25"/>
  <c r="B285" i="25"/>
  <c r="C285" i="25"/>
  <c r="B286" i="25"/>
  <c r="C286" i="25"/>
  <c r="B287" i="25"/>
  <c r="C287" i="25"/>
  <c r="B288" i="25"/>
  <c r="C288" i="25"/>
  <c r="B289" i="25"/>
  <c r="C289" i="25"/>
  <c r="B290" i="25"/>
  <c r="C290" i="25"/>
  <c r="B291" i="25"/>
  <c r="C291" i="25"/>
  <c r="B292" i="25"/>
  <c r="C292" i="25"/>
  <c r="B293" i="25"/>
  <c r="C293" i="25"/>
  <c r="B294" i="25"/>
  <c r="C294" i="25"/>
  <c r="B295" i="25"/>
  <c r="C295" i="25"/>
  <c r="B296" i="25"/>
  <c r="C296" i="25"/>
  <c r="B297" i="25"/>
  <c r="C297" i="25"/>
  <c r="B298" i="25"/>
  <c r="C298" i="25"/>
  <c r="B299" i="25"/>
  <c r="C299" i="25"/>
  <c r="B300" i="25"/>
  <c r="C300" i="25"/>
  <c r="B301" i="25"/>
  <c r="C301" i="25"/>
  <c r="B302" i="25"/>
  <c r="C302" i="25"/>
  <c r="B303" i="25"/>
  <c r="C303" i="25"/>
  <c r="B304" i="25"/>
  <c r="C304" i="25"/>
  <c r="B305" i="25"/>
  <c r="C305" i="25"/>
  <c r="B306" i="25"/>
  <c r="C306" i="25"/>
  <c r="B307" i="25"/>
  <c r="C307" i="25"/>
  <c r="B308" i="25"/>
  <c r="C308" i="25"/>
  <c r="B309" i="25"/>
  <c r="C309" i="25"/>
  <c r="B310" i="25"/>
  <c r="C310" i="25"/>
  <c r="B311" i="25"/>
  <c r="C311" i="25"/>
  <c r="B312" i="25"/>
  <c r="C312" i="25"/>
  <c r="B313" i="25"/>
  <c r="C313" i="25"/>
  <c r="B314" i="25"/>
  <c r="C314" i="25"/>
  <c r="B315" i="25"/>
  <c r="C315" i="25"/>
  <c r="B316" i="25"/>
  <c r="C316" i="25"/>
  <c r="B317" i="25"/>
  <c r="C317" i="25"/>
  <c r="B318" i="25"/>
  <c r="C318" i="25"/>
  <c r="B319" i="25"/>
  <c r="C319" i="25"/>
  <c r="B320" i="25"/>
  <c r="C320" i="25"/>
  <c r="B321" i="25"/>
  <c r="C321" i="25"/>
  <c r="B322" i="25"/>
  <c r="C322" i="25"/>
  <c r="B323" i="25"/>
  <c r="C323" i="25"/>
  <c r="B324" i="25"/>
  <c r="C324" i="25"/>
  <c r="B325" i="25"/>
  <c r="C325" i="25"/>
  <c r="B326" i="25"/>
  <c r="C326" i="25"/>
  <c r="B327" i="25"/>
  <c r="C327" i="25"/>
  <c r="B328" i="25"/>
  <c r="C328" i="25"/>
  <c r="B329" i="25"/>
  <c r="C329" i="25"/>
  <c r="B330" i="25"/>
  <c r="C330" i="25"/>
  <c r="B331" i="25"/>
  <c r="C331" i="25"/>
  <c r="B332" i="25"/>
  <c r="C332" i="25"/>
  <c r="B333" i="25"/>
  <c r="C333" i="25"/>
  <c r="B334" i="25"/>
  <c r="C334" i="25"/>
  <c r="B335" i="25"/>
  <c r="C335" i="25"/>
  <c r="B336" i="25"/>
  <c r="C336" i="25"/>
  <c r="B337" i="25"/>
  <c r="C337" i="25"/>
  <c r="B338" i="25"/>
  <c r="C338" i="25"/>
  <c r="B339" i="25"/>
  <c r="C339" i="25"/>
  <c r="B340" i="25"/>
  <c r="C340" i="25"/>
  <c r="B341" i="25"/>
  <c r="C341" i="25"/>
  <c r="B342" i="25"/>
  <c r="C342" i="25"/>
  <c r="B343" i="25"/>
  <c r="C343" i="25"/>
  <c r="B344" i="25"/>
  <c r="C344" i="25"/>
  <c r="B345" i="25"/>
  <c r="C345" i="25"/>
  <c r="B346" i="25"/>
  <c r="C346" i="25"/>
  <c r="B347" i="25"/>
  <c r="C347" i="25"/>
  <c r="B348" i="25"/>
  <c r="C348" i="25"/>
  <c r="B349" i="25"/>
  <c r="C349" i="25"/>
  <c r="B350" i="25"/>
  <c r="C350" i="25"/>
  <c r="B351" i="25"/>
  <c r="C351" i="25"/>
  <c r="B352" i="25"/>
  <c r="C352" i="25"/>
  <c r="B353" i="25"/>
  <c r="C353" i="25"/>
  <c r="B354" i="25"/>
  <c r="C354" i="25"/>
  <c r="B355" i="25"/>
  <c r="C355" i="25"/>
  <c r="B356" i="25"/>
  <c r="C356" i="25"/>
  <c r="B357" i="25"/>
  <c r="C357" i="25"/>
  <c r="B358" i="25"/>
  <c r="C358" i="25"/>
  <c r="B359" i="25"/>
  <c r="C359" i="25"/>
  <c r="B360" i="25"/>
  <c r="C360" i="25"/>
  <c r="B361" i="25"/>
  <c r="C361" i="25"/>
  <c r="B362" i="25"/>
  <c r="C362" i="25"/>
  <c r="B363" i="25"/>
  <c r="C363" i="25"/>
  <c r="B364" i="25"/>
  <c r="C364" i="25"/>
  <c r="B365" i="25"/>
  <c r="C365" i="25"/>
  <c r="B366" i="25"/>
  <c r="C366" i="25"/>
  <c r="B367" i="25"/>
  <c r="C367" i="25"/>
  <c r="B368" i="25"/>
  <c r="C368" i="25"/>
  <c r="B369" i="25"/>
  <c r="C369" i="25"/>
  <c r="B370" i="25"/>
  <c r="C370" i="25"/>
  <c r="B371" i="25"/>
  <c r="C371" i="25"/>
  <c r="B372" i="25"/>
  <c r="C372" i="25"/>
  <c r="B373" i="25"/>
  <c r="C373" i="25"/>
  <c r="B374" i="25"/>
  <c r="C374" i="25"/>
  <c r="B375" i="25"/>
  <c r="C375" i="25"/>
  <c r="B376" i="25"/>
  <c r="C376" i="25"/>
  <c r="B377" i="25"/>
  <c r="C377" i="25"/>
  <c r="B378" i="25"/>
  <c r="C378" i="25"/>
  <c r="B3" i="23"/>
  <c r="C3" i="23"/>
  <c r="B4" i="23"/>
  <c r="C4" i="23"/>
  <c r="B5" i="23"/>
  <c r="C5" i="23"/>
  <c r="B6" i="23"/>
  <c r="C6" i="23"/>
  <c r="B7" i="23"/>
  <c r="C7" i="23"/>
  <c r="B8" i="23"/>
  <c r="C8" i="23"/>
  <c r="B9" i="23"/>
  <c r="C9" i="23"/>
  <c r="B10" i="23"/>
  <c r="C10" i="23"/>
  <c r="B11" i="23"/>
  <c r="C11" i="23"/>
  <c r="B12" i="23"/>
  <c r="C12" i="23"/>
  <c r="B13" i="23"/>
  <c r="C13" i="23"/>
  <c r="B14" i="23"/>
  <c r="C14" i="23"/>
  <c r="B15" i="23"/>
  <c r="C15" i="23"/>
  <c r="B16" i="23"/>
  <c r="C16" i="23"/>
  <c r="B17" i="23"/>
  <c r="C17" i="23"/>
  <c r="B18" i="23"/>
  <c r="C18" i="23"/>
  <c r="B19" i="23"/>
  <c r="C19" i="23"/>
  <c r="B20" i="23"/>
  <c r="C20" i="23"/>
  <c r="B21" i="23"/>
  <c r="C21" i="23"/>
  <c r="B22" i="23"/>
  <c r="C22" i="23"/>
  <c r="B23" i="23"/>
  <c r="C23" i="23"/>
  <c r="B24" i="23"/>
  <c r="C24" i="23"/>
  <c r="B25" i="23"/>
  <c r="C25" i="23"/>
  <c r="B26" i="23"/>
  <c r="C26" i="23"/>
  <c r="B27" i="23"/>
  <c r="C27" i="23"/>
  <c r="B28" i="23"/>
  <c r="C28" i="23"/>
  <c r="B29" i="23"/>
  <c r="C29" i="23"/>
  <c r="B30" i="23"/>
  <c r="C30" i="23"/>
  <c r="B31" i="23"/>
  <c r="C31" i="23"/>
  <c r="B32" i="23"/>
  <c r="C32" i="23"/>
  <c r="B33" i="23"/>
  <c r="C33" i="23"/>
  <c r="B34" i="23"/>
  <c r="C34" i="23"/>
  <c r="B35" i="23"/>
  <c r="C35" i="23"/>
  <c r="B36" i="23"/>
  <c r="C36" i="23"/>
  <c r="B37" i="23"/>
  <c r="C37" i="23"/>
  <c r="B3" i="34"/>
  <c r="C3" i="34"/>
  <c r="B4" i="34"/>
  <c r="C4" i="34"/>
  <c r="B5" i="34"/>
  <c r="C5" i="34"/>
  <c r="B6" i="34"/>
  <c r="C6" i="34"/>
  <c r="B7" i="34"/>
  <c r="C7" i="34"/>
  <c r="B8" i="34"/>
  <c r="C8" i="34"/>
  <c r="B9" i="34"/>
  <c r="C9" i="34"/>
  <c r="B10" i="34"/>
  <c r="C10" i="34"/>
  <c r="B11" i="34"/>
  <c r="C11" i="34"/>
  <c r="B12" i="34"/>
  <c r="C12" i="34"/>
  <c r="B13" i="34"/>
  <c r="C13" i="34"/>
  <c r="B14" i="34"/>
  <c r="C14" i="34"/>
  <c r="B15" i="34"/>
  <c r="C15" i="34"/>
  <c r="B16" i="34"/>
  <c r="C16" i="34"/>
  <c r="B17" i="34"/>
  <c r="C17" i="34"/>
  <c r="B18" i="34"/>
  <c r="C18" i="34"/>
  <c r="B19" i="34"/>
  <c r="C19" i="34"/>
  <c r="B20" i="34"/>
  <c r="C20" i="34"/>
  <c r="B21" i="34"/>
  <c r="C21" i="34"/>
  <c r="B22" i="34"/>
  <c r="C22" i="34"/>
  <c r="B23" i="34"/>
  <c r="C23" i="34"/>
  <c r="B24" i="34"/>
  <c r="C24" i="34"/>
  <c r="B25" i="34"/>
  <c r="C25" i="34"/>
  <c r="B26" i="34"/>
  <c r="C26" i="34"/>
  <c r="B27" i="34"/>
  <c r="C27" i="34"/>
  <c r="B28" i="34"/>
  <c r="C28" i="34"/>
  <c r="B29" i="34"/>
  <c r="C29" i="34"/>
  <c r="B30" i="34"/>
  <c r="C30" i="34"/>
  <c r="B31" i="34"/>
  <c r="C31" i="34"/>
  <c r="B32" i="34"/>
  <c r="C32" i="34"/>
  <c r="B33" i="34"/>
  <c r="C33" i="34"/>
  <c r="B34" i="34"/>
  <c r="C34" i="34"/>
  <c r="B35" i="34"/>
  <c r="C35" i="34"/>
  <c r="B36" i="34"/>
  <c r="C36" i="34"/>
  <c r="B37" i="34"/>
  <c r="C37" i="34"/>
  <c r="B38" i="34"/>
  <c r="C38" i="34"/>
  <c r="B39" i="34"/>
  <c r="C39" i="34"/>
  <c r="B40" i="34"/>
  <c r="C40" i="34"/>
  <c r="B41" i="34"/>
  <c r="C41" i="34"/>
  <c r="B42" i="34"/>
  <c r="C42" i="34"/>
  <c r="B43" i="34"/>
  <c r="C43" i="34"/>
  <c r="B44" i="34"/>
  <c r="C44" i="34"/>
  <c r="B45" i="34"/>
  <c r="C45" i="34"/>
  <c r="B46" i="34"/>
  <c r="C46" i="34"/>
  <c r="B47" i="34"/>
  <c r="C47" i="34"/>
  <c r="B48" i="34"/>
  <c r="C48" i="34"/>
  <c r="B49" i="34"/>
  <c r="C49" i="34"/>
  <c r="B50" i="34"/>
  <c r="C50" i="34"/>
  <c r="B51" i="34"/>
  <c r="C51" i="34"/>
  <c r="B52" i="34"/>
  <c r="C52" i="34"/>
  <c r="B53" i="34"/>
  <c r="C53" i="34"/>
  <c r="B54" i="34"/>
  <c r="C54" i="34"/>
  <c r="B55" i="34"/>
  <c r="C55" i="34"/>
  <c r="B56" i="34"/>
  <c r="C56" i="34"/>
  <c r="B57" i="34"/>
  <c r="C57" i="34"/>
  <c r="B58" i="34"/>
  <c r="C58" i="34"/>
  <c r="B59" i="34"/>
  <c r="C59" i="34"/>
  <c r="B60" i="34"/>
  <c r="C60" i="34"/>
  <c r="B61" i="34"/>
  <c r="C61" i="34"/>
  <c r="B62" i="34"/>
  <c r="C62" i="34"/>
  <c r="B63" i="34"/>
  <c r="C63" i="34"/>
  <c r="B64" i="34"/>
  <c r="C64" i="34"/>
  <c r="B65" i="34"/>
  <c r="C65" i="34"/>
  <c r="B66" i="34"/>
  <c r="C66" i="34"/>
  <c r="B67" i="34"/>
  <c r="C67" i="34"/>
  <c r="B68" i="34"/>
  <c r="C68" i="34"/>
  <c r="B69" i="34"/>
  <c r="C69" i="34"/>
  <c r="B70" i="34"/>
  <c r="C70" i="34"/>
  <c r="B71" i="34"/>
  <c r="C71" i="34"/>
  <c r="B72" i="34"/>
  <c r="C72" i="34"/>
  <c r="B73" i="34"/>
  <c r="C73" i="34"/>
  <c r="B74" i="34"/>
  <c r="C74" i="34"/>
  <c r="B75" i="34"/>
  <c r="C75" i="34"/>
  <c r="B76" i="34"/>
  <c r="C76" i="34"/>
  <c r="B77" i="34"/>
  <c r="C77" i="34"/>
  <c r="B78" i="34"/>
  <c r="C78" i="34"/>
  <c r="B79" i="34"/>
  <c r="C79" i="34"/>
  <c r="B80" i="34"/>
  <c r="C80" i="34"/>
  <c r="B81" i="34"/>
  <c r="C81" i="34"/>
  <c r="B82" i="34"/>
  <c r="C82" i="34"/>
  <c r="B83" i="34"/>
  <c r="C83" i="34"/>
  <c r="B84" i="34"/>
  <c r="C84" i="34"/>
  <c r="B85" i="34"/>
  <c r="C85" i="34"/>
  <c r="B86" i="34"/>
  <c r="C86" i="34"/>
  <c r="B87" i="34"/>
  <c r="C87" i="34"/>
  <c r="B88" i="34"/>
  <c r="C88" i="34"/>
  <c r="B89" i="34"/>
  <c r="C89" i="34"/>
  <c r="B90" i="34"/>
  <c r="C90" i="34"/>
  <c r="B91" i="34"/>
  <c r="C91" i="34"/>
  <c r="B92" i="34"/>
  <c r="C92" i="34"/>
  <c r="B93" i="34"/>
  <c r="C93" i="34"/>
  <c r="B94" i="34"/>
  <c r="C94" i="34"/>
  <c r="B95" i="34"/>
  <c r="C95" i="34"/>
  <c r="B96" i="34"/>
  <c r="C96" i="34"/>
  <c r="B97" i="34"/>
  <c r="C97" i="34"/>
  <c r="B98" i="34"/>
  <c r="C98" i="34"/>
  <c r="B99" i="34"/>
  <c r="C99" i="34"/>
  <c r="B100" i="34"/>
  <c r="C100" i="34"/>
  <c r="B101" i="34"/>
  <c r="C101" i="34"/>
  <c r="B102" i="34"/>
  <c r="C102" i="34"/>
  <c r="B103" i="34"/>
  <c r="C103" i="34"/>
  <c r="B104" i="34"/>
  <c r="C104" i="34"/>
  <c r="B105" i="34"/>
  <c r="C105" i="34"/>
  <c r="B106" i="34"/>
  <c r="C106" i="34"/>
  <c r="B107" i="34"/>
  <c r="C107" i="34"/>
  <c r="B108" i="34"/>
  <c r="C108" i="34"/>
  <c r="B109" i="34"/>
  <c r="C109" i="34"/>
  <c r="B110" i="34"/>
  <c r="C110" i="34"/>
  <c r="B111" i="34"/>
  <c r="C111" i="34"/>
  <c r="B112" i="34"/>
  <c r="C112" i="34"/>
  <c r="B113" i="34"/>
  <c r="C113" i="34"/>
  <c r="B114" i="34"/>
  <c r="C114" i="34"/>
  <c r="B115" i="34"/>
  <c r="C115" i="34"/>
  <c r="B116" i="34"/>
  <c r="C116" i="34"/>
  <c r="B117" i="34"/>
  <c r="C117" i="34"/>
  <c r="B118" i="34"/>
  <c r="C118" i="34"/>
  <c r="B119" i="34"/>
  <c r="C119" i="34"/>
  <c r="B120" i="34"/>
  <c r="C120" i="34"/>
  <c r="B121" i="34"/>
  <c r="C121" i="34"/>
  <c r="B122" i="34"/>
  <c r="C122" i="34"/>
  <c r="B123" i="34"/>
  <c r="C123" i="34"/>
  <c r="B124" i="34"/>
  <c r="C124" i="34"/>
  <c r="B125" i="34"/>
  <c r="C125" i="34"/>
  <c r="B126" i="34"/>
  <c r="C126" i="34"/>
  <c r="B127" i="34"/>
  <c r="C127" i="34"/>
  <c r="B128" i="34"/>
  <c r="C128" i="34"/>
  <c r="B129" i="34"/>
  <c r="C129" i="34"/>
  <c r="B130" i="34"/>
  <c r="C130" i="34"/>
  <c r="B131" i="34"/>
  <c r="C131" i="34"/>
  <c r="B132" i="34"/>
  <c r="C132" i="34"/>
  <c r="B133" i="34"/>
  <c r="C133" i="34"/>
  <c r="B134" i="34"/>
  <c r="C134" i="34"/>
  <c r="B135" i="34"/>
  <c r="C135" i="34"/>
  <c r="B136" i="34"/>
  <c r="C136" i="34"/>
  <c r="B137" i="34"/>
  <c r="C137" i="34"/>
  <c r="B138" i="34"/>
  <c r="C138" i="34"/>
  <c r="B139" i="34"/>
  <c r="C139" i="34"/>
  <c r="B140" i="34"/>
  <c r="C140" i="34"/>
  <c r="B141" i="34"/>
  <c r="C141" i="34"/>
  <c r="B142" i="34"/>
  <c r="C142" i="34"/>
  <c r="B143" i="34"/>
  <c r="C143" i="34"/>
  <c r="B144" i="34"/>
  <c r="C144" i="34"/>
  <c r="B145" i="34"/>
  <c r="C145" i="34"/>
  <c r="B146" i="34"/>
  <c r="C146" i="34"/>
  <c r="B147" i="34"/>
  <c r="C147" i="34"/>
  <c r="B148" i="34"/>
  <c r="C148" i="34"/>
  <c r="B149" i="34"/>
  <c r="C149" i="34"/>
  <c r="B150" i="34"/>
  <c r="C150" i="34"/>
  <c r="B151" i="34"/>
  <c r="C151" i="34"/>
  <c r="B152" i="34"/>
  <c r="C152" i="34"/>
  <c r="B153" i="34"/>
  <c r="C153" i="34"/>
  <c r="B154" i="34"/>
  <c r="C154" i="34"/>
  <c r="B155" i="34"/>
  <c r="C155" i="34"/>
  <c r="B156" i="34"/>
  <c r="C156" i="34"/>
  <c r="B157" i="34"/>
  <c r="C157" i="34"/>
  <c r="B158" i="34"/>
  <c r="C158" i="34"/>
  <c r="B159" i="34"/>
  <c r="C159" i="34"/>
  <c r="B160" i="34"/>
  <c r="C160" i="34"/>
  <c r="B161" i="34"/>
  <c r="C161" i="34"/>
  <c r="B162" i="34"/>
  <c r="C162" i="34"/>
  <c r="B163" i="34"/>
  <c r="C163" i="34"/>
  <c r="B164" i="34"/>
  <c r="C164" i="34"/>
  <c r="B165" i="34"/>
  <c r="C165" i="34"/>
  <c r="B166" i="34"/>
  <c r="C166" i="34"/>
  <c r="B167" i="34"/>
  <c r="C167" i="34"/>
  <c r="B168" i="34"/>
  <c r="C168" i="34"/>
  <c r="B169" i="34"/>
  <c r="C169" i="34"/>
  <c r="B170" i="34"/>
  <c r="C170" i="34"/>
  <c r="B171" i="34"/>
  <c r="C171" i="34"/>
  <c r="B172" i="34"/>
  <c r="C172" i="34"/>
  <c r="B173" i="34"/>
  <c r="C173" i="34"/>
  <c r="B174" i="34"/>
  <c r="C174" i="34"/>
  <c r="B175" i="34"/>
  <c r="C175" i="34"/>
  <c r="B176" i="34"/>
  <c r="C176" i="34"/>
  <c r="B177" i="34"/>
  <c r="C177" i="34"/>
  <c r="B178" i="34"/>
  <c r="C178" i="34"/>
  <c r="B179" i="34"/>
  <c r="C179" i="34"/>
  <c r="B180" i="34"/>
  <c r="C180" i="34"/>
  <c r="B181" i="34"/>
  <c r="C181" i="34"/>
  <c r="B182" i="34"/>
  <c r="C182" i="34"/>
  <c r="B183" i="34"/>
  <c r="C183" i="34"/>
  <c r="B184" i="34"/>
  <c r="C184" i="34"/>
  <c r="B185" i="34"/>
  <c r="C185" i="34"/>
  <c r="B186" i="34"/>
  <c r="C186" i="34"/>
  <c r="B187" i="34"/>
  <c r="C187" i="34"/>
  <c r="B188" i="34"/>
  <c r="C188" i="34"/>
  <c r="B189" i="34"/>
  <c r="C189" i="34"/>
  <c r="B190" i="34"/>
  <c r="C190" i="34"/>
  <c r="B191" i="34"/>
  <c r="C191" i="34"/>
  <c r="B192" i="34"/>
  <c r="C192" i="34"/>
  <c r="B193" i="34"/>
  <c r="C193" i="34"/>
  <c r="B194" i="34"/>
  <c r="C194" i="34"/>
  <c r="B195" i="34"/>
  <c r="C195" i="34"/>
  <c r="B196" i="34"/>
  <c r="C196" i="34"/>
  <c r="B197" i="34"/>
  <c r="C197" i="34"/>
  <c r="B198" i="34"/>
  <c r="C198" i="34"/>
  <c r="B199" i="34"/>
  <c r="C199" i="34"/>
  <c r="B200" i="34"/>
  <c r="C200" i="34"/>
  <c r="B201" i="34"/>
  <c r="C201" i="34"/>
  <c r="B202" i="34"/>
  <c r="C202" i="34"/>
  <c r="B203" i="34"/>
  <c r="C203" i="34"/>
  <c r="B204" i="34"/>
  <c r="C204" i="34"/>
  <c r="B205" i="34"/>
  <c r="C205" i="34"/>
  <c r="B206" i="34"/>
  <c r="C206" i="34"/>
  <c r="B207" i="34"/>
  <c r="C207" i="34"/>
  <c r="B208" i="34"/>
  <c r="C208" i="34"/>
  <c r="B209" i="34"/>
  <c r="C209" i="34"/>
  <c r="B210" i="34"/>
  <c r="C210" i="34"/>
  <c r="B211" i="34"/>
  <c r="C211" i="34"/>
  <c r="B212" i="34"/>
  <c r="C212" i="34"/>
  <c r="B213" i="34"/>
  <c r="C213" i="34"/>
  <c r="B214" i="34"/>
  <c r="C214" i="34"/>
  <c r="B215" i="34"/>
  <c r="C215" i="34"/>
  <c r="B216" i="34"/>
  <c r="C216" i="34"/>
  <c r="B217" i="34"/>
  <c r="C217" i="34"/>
  <c r="B218" i="34"/>
  <c r="C218" i="34"/>
  <c r="B219" i="34"/>
  <c r="C219" i="34"/>
  <c r="B220" i="34"/>
  <c r="C220" i="34"/>
  <c r="B221" i="34"/>
  <c r="C221" i="34"/>
  <c r="B222" i="34"/>
  <c r="C222" i="34"/>
  <c r="B223" i="34"/>
  <c r="C223" i="34"/>
  <c r="B224" i="34"/>
  <c r="C224" i="34"/>
  <c r="B225" i="34"/>
  <c r="C225" i="34"/>
  <c r="B226" i="34"/>
  <c r="C226" i="34"/>
  <c r="B227" i="34"/>
  <c r="C227" i="34"/>
  <c r="B228" i="34"/>
  <c r="C228" i="34"/>
  <c r="B229" i="34"/>
  <c r="C229" i="34"/>
  <c r="B230" i="34"/>
  <c r="C230" i="34"/>
  <c r="B231" i="34"/>
  <c r="C231" i="34"/>
  <c r="B232" i="34"/>
  <c r="C232" i="34"/>
  <c r="B233" i="34"/>
  <c r="C233" i="34"/>
  <c r="B234" i="34"/>
  <c r="C234" i="34"/>
  <c r="B235" i="34"/>
  <c r="C235" i="34"/>
  <c r="B236" i="34"/>
  <c r="C236" i="34"/>
  <c r="B237" i="34"/>
  <c r="C237" i="34"/>
  <c r="B238" i="34"/>
  <c r="C238" i="34"/>
  <c r="B239" i="34"/>
  <c r="C239" i="34"/>
  <c r="B240" i="34"/>
  <c r="C240" i="34"/>
  <c r="B241" i="34"/>
  <c r="C241" i="34"/>
  <c r="B242" i="34"/>
  <c r="C242" i="34"/>
  <c r="B243" i="34"/>
  <c r="C243" i="34"/>
  <c r="B244" i="34"/>
  <c r="C244" i="34"/>
  <c r="B245" i="34"/>
  <c r="C245" i="34"/>
  <c r="B246" i="34"/>
  <c r="C246" i="34"/>
  <c r="B247" i="34"/>
  <c r="C247" i="34"/>
  <c r="B248" i="34"/>
  <c r="C248" i="34"/>
  <c r="B249" i="34"/>
  <c r="C249" i="34"/>
  <c r="B250" i="34"/>
  <c r="C250" i="34"/>
  <c r="B251" i="34"/>
  <c r="C251" i="34"/>
  <c r="B252" i="34"/>
  <c r="C252" i="34"/>
  <c r="B253" i="34"/>
  <c r="C253" i="34"/>
  <c r="B254" i="34"/>
  <c r="C254" i="34"/>
  <c r="B255" i="34"/>
  <c r="C255" i="34"/>
  <c r="B256" i="34"/>
  <c r="C256" i="34"/>
  <c r="B257" i="34"/>
  <c r="C257" i="34"/>
  <c r="B258" i="34"/>
  <c r="C258" i="34"/>
  <c r="B259" i="34"/>
  <c r="C259" i="34"/>
  <c r="B260" i="34"/>
  <c r="C260" i="34"/>
  <c r="B261" i="34"/>
  <c r="C261" i="34"/>
  <c r="B262" i="34"/>
  <c r="C262" i="34"/>
  <c r="B263" i="34"/>
  <c r="C263" i="34"/>
  <c r="B264" i="34"/>
  <c r="C264" i="34"/>
  <c r="B265" i="34"/>
  <c r="C265" i="34"/>
  <c r="B266" i="34"/>
  <c r="C266" i="34"/>
  <c r="B267" i="34"/>
  <c r="C267" i="34"/>
  <c r="B268" i="34"/>
  <c r="C268" i="34"/>
  <c r="B269" i="34"/>
  <c r="C269" i="34"/>
  <c r="B270" i="34"/>
  <c r="C270" i="34"/>
  <c r="B271" i="34"/>
  <c r="C271" i="34"/>
  <c r="B272" i="34"/>
  <c r="C272" i="34"/>
  <c r="B273" i="34"/>
  <c r="C273" i="34"/>
  <c r="B274" i="34"/>
  <c r="C274" i="34"/>
  <c r="B275" i="34"/>
  <c r="C275" i="34"/>
  <c r="B276" i="34"/>
  <c r="C276" i="34"/>
  <c r="B277" i="34"/>
  <c r="C277" i="34"/>
  <c r="B278" i="34"/>
  <c r="C278" i="34"/>
  <c r="B279" i="34"/>
  <c r="C279" i="34"/>
  <c r="B280" i="34"/>
  <c r="C280" i="34"/>
  <c r="B281" i="34"/>
  <c r="C281" i="34"/>
  <c r="B282" i="34"/>
  <c r="C282" i="34"/>
  <c r="B283" i="34"/>
  <c r="C283" i="34"/>
  <c r="B284" i="34"/>
  <c r="C284" i="34"/>
  <c r="B285" i="34"/>
  <c r="C285" i="34"/>
  <c r="B286" i="34"/>
  <c r="C286" i="34"/>
  <c r="B287" i="34"/>
  <c r="C287" i="34"/>
  <c r="B288" i="34"/>
  <c r="C288" i="34"/>
  <c r="B289" i="34"/>
  <c r="C289" i="34"/>
  <c r="B290" i="34"/>
  <c r="C290" i="34"/>
  <c r="B291" i="34"/>
  <c r="C291" i="34"/>
  <c r="B292" i="34"/>
  <c r="C292" i="34"/>
  <c r="B293" i="34"/>
  <c r="C293" i="34"/>
  <c r="B294" i="34"/>
  <c r="C294" i="34"/>
  <c r="B295" i="34"/>
  <c r="C295" i="34"/>
  <c r="B296" i="34"/>
  <c r="C296" i="34"/>
  <c r="B297" i="34"/>
  <c r="C297" i="34"/>
  <c r="B298" i="34"/>
  <c r="C298" i="34"/>
  <c r="B299" i="34"/>
  <c r="C299" i="34"/>
  <c r="B300" i="34"/>
  <c r="C300" i="34"/>
  <c r="B301" i="34"/>
  <c r="C301" i="34"/>
  <c r="B302" i="34"/>
  <c r="C302" i="34"/>
  <c r="B303" i="34"/>
  <c r="C303" i="34"/>
  <c r="B304" i="34"/>
  <c r="C304" i="34"/>
  <c r="B305" i="34"/>
  <c r="C305" i="34"/>
  <c r="B306" i="34"/>
  <c r="C306" i="34"/>
  <c r="B307" i="34"/>
  <c r="C307" i="34"/>
  <c r="B308" i="34"/>
  <c r="C308" i="34"/>
  <c r="B309" i="34"/>
  <c r="C309" i="34"/>
  <c r="B310" i="34"/>
  <c r="C310" i="34"/>
  <c r="B311" i="34"/>
  <c r="C311" i="34"/>
  <c r="B312" i="34"/>
  <c r="C312" i="34"/>
  <c r="B313" i="34"/>
  <c r="C313" i="34"/>
  <c r="B314" i="34"/>
  <c r="C314" i="34"/>
  <c r="B315" i="34"/>
  <c r="C315" i="34"/>
  <c r="B316" i="34"/>
  <c r="C316" i="34"/>
  <c r="B317" i="34"/>
  <c r="C317" i="34"/>
  <c r="B318" i="34"/>
  <c r="C318" i="34"/>
  <c r="B319" i="34"/>
  <c r="C319" i="34"/>
  <c r="B320" i="34"/>
  <c r="C320" i="34"/>
  <c r="B321" i="34"/>
  <c r="C321" i="34"/>
  <c r="B322" i="34"/>
  <c r="C322" i="34"/>
  <c r="B323" i="34"/>
  <c r="C323" i="34"/>
  <c r="B324" i="34"/>
  <c r="C324" i="34"/>
  <c r="B325" i="34"/>
  <c r="C325" i="34"/>
  <c r="B326" i="34"/>
  <c r="C326" i="34"/>
  <c r="B327" i="34"/>
  <c r="C327" i="34"/>
  <c r="B328" i="34"/>
  <c r="C328" i="34"/>
  <c r="B329" i="34"/>
  <c r="C329" i="34"/>
  <c r="B330" i="34"/>
  <c r="C330" i="34"/>
  <c r="B331" i="34"/>
  <c r="C331" i="34"/>
  <c r="B332" i="34"/>
  <c r="C332" i="34"/>
  <c r="B333" i="34"/>
  <c r="C333" i="34"/>
  <c r="B334" i="34"/>
  <c r="C334" i="34"/>
  <c r="B335" i="34"/>
  <c r="C335" i="34"/>
  <c r="B336" i="34"/>
  <c r="C336" i="34"/>
  <c r="B337" i="34"/>
  <c r="C337" i="34"/>
  <c r="B338" i="34"/>
  <c r="C338" i="34"/>
  <c r="B339" i="34"/>
  <c r="C339" i="34"/>
  <c r="B340" i="34"/>
  <c r="C340" i="34"/>
  <c r="B341" i="34"/>
  <c r="C341" i="34"/>
  <c r="B342" i="34"/>
  <c r="C342" i="34"/>
  <c r="B343" i="34"/>
  <c r="C343" i="34"/>
  <c r="B344" i="34"/>
  <c r="C344" i="34"/>
  <c r="B345" i="34"/>
  <c r="C345" i="34"/>
  <c r="B346" i="34"/>
  <c r="C346" i="34"/>
  <c r="B347" i="34"/>
  <c r="C347" i="34"/>
  <c r="B348" i="34"/>
  <c r="C348" i="34"/>
  <c r="B349" i="34"/>
  <c r="C349" i="34"/>
  <c r="B350" i="34"/>
  <c r="C350" i="34"/>
  <c r="B351" i="34"/>
  <c r="C351" i="34"/>
  <c r="B352" i="34"/>
  <c r="C352" i="34"/>
  <c r="B353" i="34"/>
  <c r="C353" i="34"/>
  <c r="B354" i="34"/>
  <c r="C354" i="34"/>
  <c r="B355" i="34"/>
  <c r="C355" i="34"/>
  <c r="B356" i="34"/>
  <c r="C356" i="34"/>
  <c r="B357" i="34"/>
  <c r="C357" i="34"/>
  <c r="B358" i="34"/>
  <c r="C358" i="34"/>
  <c r="B359" i="34"/>
  <c r="C359" i="34"/>
  <c r="B360" i="34"/>
  <c r="C360" i="34"/>
  <c r="B361" i="34"/>
  <c r="C361" i="34"/>
  <c r="B362" i="34"/>
  <c r="C362" i="34"/>
  <c r="B363" i="34"/>
  <c r="C363" i="34"/>
  <c r="B364" i="34"/>
  <c r="C364" i="34"/>
  <c r="B365" i="34"/>
  <c r="C365" i="34"/>
  <c r="B366" i="34"/>
  <c r="C366" i="34"/>
  <c r="B367" i="34"/>
  <c r="C367" i="34"/>
  <c r="B368" i="34"/>
  <c r="C368" i="34"/>
  <c r="B369" i="34"/>
  <c r="C369" i="34"/>
  <c r="B370" i="34"/>
  <c r="C370" i="34"/>
  <c r="B371" i="34"/>
  <c r="C371" i="34"/>
  <c r="B372" i="34"/>
  <c r="C372" i="34"/>
  <c r="B373" i="34"/>
  <c r="C373" i="34"/>
  <c r="B374" i="34"/>
  <c r="C374" i="34"/>
  <c r="B375" i="34"/>
  <c r="C375" i="34"/>
  <c r="B376" i="34"/>
  <c r="C376" i="34"/>
  <c r="B377" i="34"/>
  <c r="C377" i="34"/>
  <c r="B378" i="34"/>
  <c r="C378" i="34"/>
  <c r="B379" i="34"/>
  <c r="C379" i="34"/>
  <c r="B380" i="34"/>
  <c r="C380" i="34"/>
  <c r="B381" i="34"/>
  <c r="C381" i="34"/>
  <c r="B382" i="34"/>
  <c r="C382" i="34"/>
  <c r="B383" i="34"/>
  <c r="C383" i="34"/>
  <c r="B384" i="34"/>
  <c r="C384" i="34"/>
  <c r="B385" i="34"/>
  <c r="C385" i="34"/>
  <c r="B386" i="34"/>
  <c r="C386" i="34"/>
  <c r="B387" i="34"/>
  <c r="C387" i="34"/>
  <c r="B388" i="34"/>
  <c r="C388" i="34"/>
  <c r="B389" i="34"/>
  <c r="C389" i="34"/>
  <c r="B390" i="34"/>
  <c r="C390" i="34"/>
  <c r="B391" i="34"/>
  <c r="C391" i="34"/>
  <c r="B392" i="34"/>
  <c r="C392" i="34"/>
  <c r="B393" i="34"/>
  <c r="C393" i="34"/>
  <c r="B394" i="34"/>
  <c r="C394" i="34"/>
  <c r="B395" i="34"/>
  <c r="C395" i="34"/>
  <c r="B396" i="34"/>
  <c r="C396" i="34"/>
  <c r="B397" i="34"/>
  <c r="C397" i="34"/>
  <c r="B398" i="34"/>
  <c r="C398" i="34"/>
  <c r="B399" i="34"/>
  <c r="C399" i="34"/>
  <c r="B400" i="34"/>
  <c r="C400" i="34"/>
  <c r="B401" i="34"/>
  <c r="C401" i="34"/>
  <c r="B402" i="34"/>
  <c r="C402" i="34"/>
  <c r="B403" i="34"/>
  <c r="C403" i="34"/>
  <c r="B404" i="34"/>
  <c r="C404" i="34"/>
  <c r="B405" i="34"/>
  <c r="C405" i="34"/>
  <c r="B406" i="34"/>
  <c r="C406" i="34"/>
  <c r="B407" i="34"/>
  <c r="C407" i="34"/>
  <c r="B408" i="34"/>
  <c r="C408" i="34"/>
  <c r="B409" i="34"/>
  <c r="C409" i="34"/>
  <c r="B410" i="34"/>
  <c r="C410" i="34"/>
  <c r="B411" i="34"/>
  <c r="C411" i="34"/>
  <c r="B412" i="34"/>
  <c r="C412" i="34"/>
  <c r="B413" i="34"/>
  <c r="C413" i="34"/>
  <c r="B414" i="34"/>
  <c r="C414" i="34"/>
  <c r="B415" i="34"/>
  <c r="C415" i="34"/>
  <c r="B416" i="34"/>
  <c r="C416" i="34"/>
  <c r="B417" i="34"/>
  <c r="C417" i="34"/>
  <c r="B418" i="34"/>
  <c r="C418" i="34"/>
  <c r="B419" i="34"/>
  <c r="C419" i="34"/>
  <c r="B420" i="34"/>
  <c r="C420" i="34"/>
  <c r="B421" i="34"/>
  <c r="C421" i="34"/>
  <c r="B422" i="34"/>
  <c r="C422" i="34"/>
  <c r="B423" i="34"/>
  <c r="C423" i="34"/>
  <c r="B424" i="34"/>
  <c r="C424" i="34"/>
  <c r="B425" i="34"/>
  <c r="C425" i="34"/>
  <c r="B426" i="34"/>
  <c r="C426" i="34"/>
  <c r="B427" i="34"/>
  <c r="C427" i="34"/>
  <c r="B428" i="34"/>
  <c r="C428" i="34"/>
  <c r="B429" i="34"/>
  <c r="C429" i="34"/>
  <c r="B430" i="34"/>
  <c r="C430" i="34"/>
  <c r="B431" i="34"/>
  <c r="C431" i="34"/>
  <c r="B432" i="34"/>
  <c r="C432" i="34"/>
  <c r="B433" i="34"/>
  <c r="C433" i="34"/>
  <c r="B434" i="34"/>
  <c r="C434" i="34"/>
  <c r="B435" i="34"/>
  <c r="C435" i="34"/>
  <c r="B436" i="34"/>
  <c r="C436" i="34"/>
  <c r="B437" i="34"/>
  <c r="C437" i="34"/>
  <c r="B438" i="34"/>
  <c r="C438" i="34"/>
  <c r="B439" i="34"/>
  <c r="C439" i="34"/>
  <c r="B440" i="34"/>
  <c r="C440" i="34"/>
  <c r="B441" i="34"/>
  <c r="C441" i="34"/>
  <c r="B442" i="34"/>
  <c r="C442" i="34"/>
  <c r="B443" i="34"/>
  <c r="C443" i="34"/>
  <c r="B444" i="34"/>
  <c r="C444" i="34"/>
  <c r="B445" i="34"/>
  <c r="C445" i="34"/>
  <c r="B446" i="34"/>
  <c r="C446" i="34"/>
  <c r="B447" i="34"/>
  <c r="C447" i="34"/>
  <c r="B448" i="34"/>
  <c r="C448" i="34"/>
  <c r="B449" i="34"/>
  <c r="C449" i="34"/>
  <c r="B450" i="34"/>
  <c r="C450" i="34"/>
  <c r="B451" i="34"/>
  <c r="C451" i="34"/>
  <c r="B452" i="34"/>
  <c r="C452" i="34"/>
  <c r="B453" i="34"/>
  <c r="C453" i="34"/>
  <c r="B454" i="34"/>
  <c r="C454" i="34"/>
  <c r="B455" i="34"/>
  <c r="C455" i="34"/>
  <c r="B456" i="34"/>
  <c r="C456" i="34"/>
  <c r="B457" i="34"/>
  <c r="C457" i="34"/>
  <c r="B458" i="34"/>
  <c r="C458" i="34"/>
  <c r="B459" i="34"/>
  <c r="C459" i="34"/>
  <c r="B460" i="34"/>
  <c r="C460" i="34"/>
  <c r="B461" i="34"/>
  <c r="C461" i="34"/>
  <c r="B462" i="34"/>
  <c r="C462" i="34"/>
  <c r="B463" i="34"/>
  <c r="C463" i="34"/>
  <c r="B464" i="34"/>
  <c r="C464" i="34"/>
  <c r="B465" i="34"/>
  <c r="C465" i="34"/>
  <c r="B466" i="34"/>
  <c r="C466" i="34"/>
  <c r="B467" i="34"/>
  <c r="C467" i="34"/>
  <c r="B468" i="34"/>
  <c r="C468" i="34"/>
  <c r="B469" i="34"/>
  <c r="C469" i="34"/>
  <c r="B470" i="34"/>
  <c r="C470" i="34"/>
  <c r="B471" i="34"/>
  <c r="C471" i="34"/>
  <c r="B472" i="34"/>
  <c r="C472" i="34"/>
  <c r="B473" i="34"/>
  <c r="C473" i="34"/>
  <c r="B474" i="34"/>
  <c r="C474" i="34"/>
  <c r="B475" i="34"/>
  <c r="C475" i="34"/>
  <c r="B476" i="34"/>
  <c r="C476" i="34"/>
  <c r="B477" i="34"/>
  <c r="C477" i="34"/>
  <c r="B478" i="34"/>
  <c r="C478" i="34"/>
  <c r="B479" i="34"/>
  <c r="C479" i="34"/>
  <c r="B480" i="34"/>
  <c r="C480" i="34"/>
  <c r="B481" i="34"/>
  <c r="C481" i="34"/>
  <c r="B482" i="34"/>
  <c r="C482" i="34"/>
  <c r="B483" i="34"/>
  <c r="C483" i="34"/>
  <c r="B484" i="34"/>
  <c r="C484" i="34"/>
  <c r="B485" i="34"/>
  <c r="C485" i="34"/>
  <c r="B486" i="34"/>
  <c r="C486" i="34"/>
  <c r="B487" i="34"/>
  <c r="C487" i="34"/>
  <c r="B488" i="34"/>
  <c r="C488" i="34"/>
  <c r="B489" i="34"/>
  <c r="C489" i="34"/>
  <c r="B490" i="34"/>
  <c r="C490" i="34"/>
  <c r="B491" i="34"/>
  <c r="C491" i="34"/>
  <c r="B492" i="34"/>
  <c r="C492" i="34"/>
  <c r="B493" i="34"/>
  <c r="C493" i="34"/>
  <c r="B494" i="34"/>
  <c r="C494" i="34"/>
  <c r="B495" i="34"/>
  <c r="C495" i="34"/>
  <c r="B496" i="34"/>
  <c r="C496" i="34"/>
  <c r="B497" i="34"/>
  <c r="C497" i="34"/>
  <c r="B498" i="34"/>
  <c r="C498" i="34"/>
  <c r="B499" i="34"/>
  <c r="C499" i="34"/>
  <c r="B500" i="34"/>
  <c r="C500" i="34"/>
  <c r="B501" i="34"/>
  <c r="C501" i="34"/>
  <c r="B502" i="34"/>
  <c r="C502" i="34"/>
  <c r="B503" i="34"/>
  <c r="C503" i="34"/>
  <c r="B504" i="34"/>
  <c r="C504" i="34"/>
  <c r="B505" i="34"/>
  <c r="C505" i="34"/>
  <c r="B506" i="34"/>
  <c r="C506" i="34"/>
  <c r="B507" i="34"/>
  <c r="C507" i="34"/>
  <c r="B508" i="34"/>
  <c r="C508" i="34"/>
  <c r="B509" i="34"/>
  <c r="C509" i="34"/>
  <c r="B510" i="34"/>
  <c r="C510" i="34"/>
  <c r="B511" i="34"/>
  <c r="C511" i="34"/>
  <c r="B512" i="34"/>
  <c r="C512" i="34"/>
  <c r="B513" i="34"/>
  <c r="C513" i="34"/>
  <c r="B514" i="34"/>
  <c r="C514" i="34"/>
  <c r="B515" i="34"/>
  <c r="C515" i="34"/>
  <c r="B516" i="34"/>
  <c r="C516" i="34"/>
  <c r="B517" i="34"/>
  <c r="C517" i="34"/>
  <c r="B518" i="34"/>
  <c r="C518" i="34"/>
  <c r="B519" i="34"/>
  <c r="C519" i="34"/>
  <c r="B520" i="34"/>
  <c r="C520" i="34"/>
  <c r="B521" i="34"/>
  <c r="C521" i="34"/>
  <c r="B522" i="34"/>
  <c r="C522" i="34"/>
  <c r="B523" i="34"/>
  <c r="C523" i="34"/>
  <c r="B524" i="34"/>
  <c r="C524" i="34"/>
  <c r="B525" i="34"/>
  <c r="C525" i="34"/>
  <c r="B526" i="34"/>
  <c r="C526" i="34"/>
  <c r="B527" i="34"/>
  <c r="C527" i="34"/>
  <c r="B528" i="34"/>
  <c r="C528" i="34"/>
  <c r="B529" i="34"/>
  <c r="C529" i="34"/>
  <c r="B530" i="34"/>
  <c r="C530" i="34"/>
  <c r="B531" i="34"/>
  <c r="C531" i="34"/>
  <c r="B532" i="34"/>
  <c r="C532" i="34"/>
  <c r="B533" i="34"/>
  <c r="C533" i="34"/>
  <c r="B3" i="8"/>
  <c r="C3" i="8"/>
  <c r="B4" i="8"/>
  <c r="C4" i="8"/>
  <c r="B5" i="8"/>
  <c r="C5" i="8"/>
  <c r="B6" i="8"/>
  <c r="C6" i="8"/>
  <c r="B7" i="8"/>
  <c r="C7" i="8"/>
  <c r="B8" i="8"/>
  <c r="C8" i="8"/>
  <c r="B9" i="8"/>
  <c r="C9" i="8"/>
  <c r="B10" i="8"/>
  <c r="C10" i="8"/>
  <c r="B11" i="8"/>
  <c r="C11" i="8"/>
  <c r="B12" i="8"/>
  <c r="C12" i="8"/>
  <c r="B13" i="8"/>
  <c r="C13" i="8"/>
  <c r="B14" i="8"/>
  <c r="C14" i="8"/>
  <c r="B15" i="8"/>
  <c r="C15" i="8"/>
  <c r="B16" i="8"/>
  <c r="C16" i="8"/>
  <c r="B17" i="8"/>
  <c r="C17" i="8"/>
  <c r="B18" i="8"/>
  <c r="C18" i="8"/>
  <c r="B19" i="8"/>
  <c r="C19" i="8"/>
  <c r="B20" i="8"/>
  <c r="C20" i="8"/>
  <c r="B21" i="8"/>
  <c r="C21" i="8"/>
  <c r="B22" i="8"/>
  <c r="C22" i="8"/>
  <c r="B23" i="8"/>
  <c r="C23" i="8"/>
  <c r="B24" i="8"/>
  <c r="C24" i="8"/>
  <c r="B25" i="8"/>
  <c r="C25" i="8"/>
  <c r="B26" i="8"/>
  <c r="C26" i="8"/>
  <c r="B27" i="8"/>
  <c r="C27" i="8"/>
  <c r="B28" i="8"/>
  <c r="C28" i="8"/>
  <c r="B29" i="8"/>
  <c r="C29" i="8"/>
  <c r="B30" i="8"/>
  <c r="C30" i="8"/>
  <c r="B31" i="8"/>
  <c r="C31" i="8"/>
  <c r="B32" i="8"/>
  <c r="C32" i="8"/>
  <c r="B33" i="8"/>
  <c r="C33" i="8"/>
  <c r="B34" i="8"/>
  <c r="C34" i="8"/>
  <c r="B35" i="8"/>
  <c r="C35" i="8"/>
  <c r="B36" i="8"/>
  <c r="C36" i="8"/>
  <c r="B37" i="8"/>
  <c r="C37" i="8"/>
  <c r="B38" i="8"/>
  <c r="C38" i="8"/>
  <c r="B39" i="8"/>
  <c r="C39" i="8"/>
  <c r="B40" i="8"/>
  <c r="C40" i="8"/>
  <c r="B41" i="8"/>
  <c r="C41" i="8"/>
  <c r="B42" i="8"/>
  <c r="C42" i="8"/>
  <c r="B43" i="8"/>
  <c r="C43" i="8"/>
  <c r="B44" i="8"/>
  <c r="C44" i="8"/>
  <c r="B45" i="8"/>
  <c r="C45" i="8"/>
  <c r="B46" i="8"/>
  <c r="C46" i="8"/>
  <c r="B47" i="8"/>
  <c r="C47" i="8"/>
  <c r="B48" i="8"/>
  <c r="C48" i="8"/>
  <c r="B49" i="8"/>
  <c r="C49" i="8"/>
  <c r="B50" i="8"/>
  <c r="C50" i="8"/>
  <c r="B51" i="8"/>
  <c r="C51" i="8"/>
  <c r="B52" i="8"/>
  <c r="C52" i="8"/>
  <c r="B53" i="8"/>
  <c r="C53" i="8"/>
  <c r="B54" i="8"/>
  <c r="C54" i="8"/>
  <c r="B55" i="8"/>
  <c r="C55" i="8"/>
  <c r="B56" i="8"/>
  <c r="C56" i="8"/>
  <c r="B57" i="8"/>
  <c r="C57" i="8"/>
  <c r="B58" i="8"/>
  <c r="C58" i="8"/>
  <c r="B59" i="8"/>
  <c r="C59" i="8"/>
  <c r="B60" i="8"/>
  <c r="C60" i="8"/>
  <c r="B61" i="8"/>
  <c r="C61" i="8"/>
  <c r="B62" i="8"/>
  <c r="C62" i="8"/>
  <c r="B63" i="8"/>
  <c r="C63" i="8"/>
  <c r="B64" i="8"/>
  <c r="C64" i="8"/>
  <c r="B65" i="8"/>
  <c r="C65" i="8"/>
  <c r="B66" i="8"/>
  <c r="C66" i="8"/>
  <c r="B67" i="8"/>
  <c r="C67" i="8"/>
  <c r="B68" i="8"/>
  <c r="C68" i="8"/>
  <c r="B69" i="8"/>
  <c r="C69" i="8"/>
  <c r="B70" i="8"/>
  <c r="C70" i="8"/>
  <c r="B71" i="8"/>
  <c r="C71" i="8"/>
  <c r="B72" i="8"/>
  <c r="C72" i="8"/>
  <c r="B73" i="8"/>
  <c r="C73" i="8"/>
  <c r="B74" i="8"/>
  <c r="C74" i="8"/>
  <c r="B75" i="8"/>
  <c r="C75" i="8"/>
  <c r="B76" i="8"/>
  <c r="C76" i="8"/>
  <c r="B77" i="8"/>
  <c r="C77" i="8"/>
  <c r="B78" i="8"/>
  <c r="C78" i="8"/>
  <c r="B79" i="8"/>
  <c r="C79" i="8"/>
  <c r="B80" i="8"/>
  <c r="C80" i="8"/>
  <c r="B81" i="8"/>
  <c r="C81" i="8"/>
  <c r="B82" i="8"/>
  <c r="C82" i="8"/>
  <c r="B83" i="8"/>
  <c r="C83" i="8"/>
  <c r="B84" i="8"/>
  <c r="C84" i="8"/>
  <c r="B85" i="8"/>
  <c r="C85" i="8"/>
  <c r="B86" i="8"/>
  <c r="C86" i="8"/>
  <c r="B87" i="8"/>
  <c r="C87" i="8"/>
  <c r="B88" i="8"/>
  <c r="C88" i="8"/>
  <c r="B89" i="8"/>
  <c r="C89" i="8"/>
  <c r="B90" i="8"/>
  <c r="C90" i="8"/>
  <c r="B91" i="8"/>
  <c r="C91" i="8"/>
  <c r="B92" i="8"/>
  <c r="C92" i="8"/>
  <c r="B93" i="8"/>
  <c r="C93" i="8"/>
  <c r="B94" i="8"/>
  <c r="C94" i="8"/>
  <c r="B95" i="8"/>
  <c r="C95" i="8"/>
  <c r="B96" i="8"/>
  <c r="C96" i="8"/>
  <c r="B97" i="8"/>
  <c r="C97" i="8"/>
  <c r="B98" i="8"/>
  <c r="C98" i="8"/>
  <c r="B99" i="8"/>
  <c r="C99" i="8"/>
  <c r="B100" i="8"/>
  <c r="C100" i="8"/>
  <c r="B101" i="8"/>
  <c r="C101" i="8"/>
  <c r="B102" i="8"/>
  <c r="C102" i="8"/>
  <c r="B103" i="8"/>
  <c r="C103" i="8"/>
  <c r="B104" i="8"/>
  <c r="C104" i="8"/>
  <c r="B105" i="8"/>
  <c r="C105" i="8"/>
  <c r="B106" i="8"/>
  <c r="C106" i="8"/>
  <c r="B107" i="8"/>
  <c r="C107" i="8"/>
  <c r="B108" i="8"/>
  <c r="C108" i="8"/>
  <c r="B109" i="8"/>
  <c r="C109" i="8"/>
  <c r="B110" i="8"/>
  <c r="C110" i="8"/>
  <c r="B111" i="8"/>
  <c r="C111" i="8"/>
  <c r="B112" i="8"/>
  <c r="C112" i="8"/>
  <c r="B113" i="8"/>
  <c r="C113" i="8"/>
  <c r="B114" i="8"/>
  <c r="C114" i="8"/>
  <c r="B115" i="8"/>
  <c r="C115" i="8"/>
  <c r="B116" i="8"/>
  <c r="C116" i="8"/>
  <c r="B117" i="8"/>
  <c r="C117" i="8"/>
  <c r="B118" i="8"/>
  <c r="C118" i="8"/>
  <c r="B119" i="8"/>
  <c r="C119" i="8"/>
  <c r="B120" i="8"/>
  <c r="C120" i="8"/>
  <c r="B121" i="8"/>
  <c r="C121" i="8"/>
  <c r="B122" i="8"/>
  <c r="C122" i="8"/>
  <c r="B123" i="8"/>
  <c r="C123" i="8"/>
  <c r="B124" i="8"/>
  <c r="C124" i="8"/>
  <c r="B125" i="8"/>
  <c r="C125" i="8"/>
  <c r="B126" i="8"/>
  <c r="C126" i="8"/>
  <c r="B127" i="8"/>
  <c r="C127" i="8"/>
  <c r="B128" i="8"/>
  <c r="C128" i="8"/>
  <c r="B129" i="8"/>
  <c r="C129" i="8"/>
  <c r="B130" i="8"/>
  <c r="C130" i="8"/>
  <c r="B131" i="8"/>
  <c r="C131" i="8"/>
  <c r="B132" i="8"/>
  <c r="C132" i="8"/>
  <c r="B133" i="8"/>
  <c r="C133" i="8"/>
  <c r="B134" i="8"/>
  <c r="C134" i="8"/>
  <c r="B135" i="8"/>
  <c r="C135" i="8"/>
  <c r="B136" i="8"/>
  <c r="C136" i="8"/>
  <c r="B137" i="8"/>
  <c r="C137" i="8"/>
  <c r="B138" i="8"/>
  <c r="C138" i="8"/>
  <c r="B139" i="8"/>
  <c r="C139" i="8"/>
  <c r="B140" i="8"/>
  <c r="C140" i="8"/>
  <c r="B141" i="8"/>
  <c r="C141" i="8"/>
  <c r="B142" i="8"/>
  <c r="C142" i="8"/>
  <c r="B143" i="8"/>
  <c r="C143" i="8"/>
  <c r="B144" i="8"/>
  <c r="C144" i="8"/>
  <c r="B145" i="8"/>
  <c r="C145" i="8"/>
  <c r="B146" i="8"/>
  <c r="C146" i="8"/>
  <c r="B147" i="8"/>
  <c r="C147" i="8"/>
  <c r="B148" i="8"/>
  <c r="C148" i="8"/>
  <c r="B149" i="8"/>
  <c r="C149" i="8"/>
  <c r="B150" i="8"/>
  <c r="C150" i="8"/>
  <c r="B151" i="8"/>
  <c r="C151" i="8"/>
  <c r="B152" i="8"/>
  <c r="C152" i="8"/>
  <c r="B153" i="8"/>
  <c r="C153" i="8"/>
  <c r="B154" i="8"/>
  <c r="C154" i="8"/>
  <c r="B155" i="8"/>
  <c r="C155" i="8"/>
  <c r="B156" i="8"/>
  <c r="C156" i="8"/>
  <c r="B157" i="8"/>
  <c r="C157" i="8"/>
  <c r="B158" i="8"/>
  <c r="C158" i="8"/>
  <c r="B159" i="8"/>
  <c r="C159" i="8"/>
  <c r="B160" i="8"/>
  <c r="C160" i="8"/>
  <c r="B161" i="8"/>
  <c r="C161" i="8"/>
  <c r="B162" i="8"/>
  <c r="C162" i="8"/>
  <c r="B163" i="8"/>
  <c r="C163" i="8"/>
  <c r="B164" i="8"/>
  <c r="C164" i="8"/>
  <c r="B165" i="8"/>
  <c r="C165" i="8"/>
  <c r="B166" i="8"/>
  <c r="C166" i="8"/>
  <c r="B167" i="8"/>
  <c r="C167" i="8"/>
  <c r="B168" i="8"/>
  <c r="C168" i="8"/>
  <c r="B169" i="8"/>
  <c r="C169" i="8"/>
  <c r="B170" i="8"/>
  <c r="C170" i="8"/>
  <c r="B171" i="8"/>
  <c r="C171" i="8"/>
  <c r="B172" i="8"/>
  <c r="C172" i="8"/>
  <c r="B173" i="8"/>
  <c r="C173" i="8"/>
  <c r="B174" i="8"/>
  <c r="C174" i="8"/>
  <c r="B175" i="8"/>
  <c r="C175" i="8"/>
  <c r="B176" i="8"/>
  <c r="C176" i="8"/>
  <c r="B177" i="8"/>
  <c r="C177" i="8"/>
  <c r="B178" i="8"/>
  <c r="C178" i="8"/>
  <c r="B179" i="8"/>
  <c r="C179" i="8"/>
  <c r="B180" i="8"/>
  <c r="C180" i="8"/>
  <c r="B181" i="8"/>
  <c r="C181" i="8"/>
  <c r="B182" i="8"/>
  <c r="C182" i="8"/>
  <c r="B183" i="8"/>
  <c r="C183" i="8"/>
  <c r="B184" i="8"/>
  <c r="C184" i="8"/>
  <c r="B185" i="8"/>
  <c r="C185" i="8"/>
  <c r="B186" i="8"/>
  <c r="C186" i="8"/>
  <c r="B187" i="8"/>
  <c r="C187" i="8"/>
  <c r="B188" i="8"/>
  <c r="C188" i="8"/>
  <c r="B189" i="8"/>
  <c r="C189" i="8"/>
  <c r="B190" i="8"/>
  <c r="C190" i="8"/>
  <c r="B191" i="8"/>
  <c r="C191" i="8"/>
  <c r="B192" i="8"/>
  <c r="C192" i="8"/>
  <c r="B193" i="8"/>
  <c r="C193" i="8"/>
  <c r="B194" i="8"/>
  <c r="C194" i="8"/>
  <c r="B195" i="8"/>
  <c r="C195" i="8"/>
  <c r="B196" i="8"/>
  <c r="C196" i="8"/>
  <c r="B197" i="8"/>
  <c r="C197" i="8"/>
  <c r="B198" i="8"/>
  <c r="C198" i="8"/>
  <c r="B199" i="8"/>
  <c r="C199" i="8"/>
  <c r="B200" i="8"/>
  <c r="C200" i="8"/>
  <c r="B201" i="8"/>
  <c r="C201" i="8"/>
  <c r="B202" i="8"/>
  <c r="C202" i="8"/>
  <c r="B203" i="8"/>
  <c r="C203" i="8"/>
  <c r="B204" i="8"/>
  <c r="C204" i="8"/>
  <c r="B205" i="8"/>
  <c r="C205" i="8"/>
  <c r="B206" i="8"/>
  <c r="C206" i="8"/>
  <c r="B207" i="8"/>
  <c r="C207" i="8"/>
  <c r="B208" i="8"/>
  <c r="C208" i="8"/>
  <c r="B209" i="8"/>
  <c r="C209" i="8"/>
  <c r="B210" i="8"/>
  <c r="C210" i="8"/>
  <c r="B211" i="8"/>
  <c r="C211" i="8"/>
  <c r="B212" i="8"/>
  <c r="C212" i="8"/>
  <c r="B213" i="8"/>
  <c r="C213" i="8"/>
  <c r="B214" i="8"/>
  <c r="C214" i="8"/>
  <c r="B215" i="8"/>
  <c r="C215" i="8"/>
  <c r="B216" i="8"/>
  <c r="C216" i="8"/>
  <c r="B217" i="8"/>
  <c r="C217" i="8"/>
  <c r="B218" i="8"/>
  <c r="C218" i="8"/>
  <c r="B219" i="8"/>
  <c r="C219" i="8"/>
  <c r="B220" i="8"/>
  <c r="C220" i="8"/>
  <c r="B221" i="8"/>
  <c r="C221" i="8"/>
  <c r="B222" i="8"/>
  <c r="C222" i="8"/>
  <c r="B223" i="8"/>
  <c r="C223" i="8"/>
  <c r="B224" i="8"/>
  <c r="C224" i="8"/>
  <c r="B225" i="8"/>
  <c r="C225" i="8"/>
  <c r="B226" i="8"/>
  <c r="C226" i="8"/>
  <c r="B227" i="8"/>
  <c r="C227" i="8"/>
  <c r="B228" i="8"/>
  <c r="C228" i="8"/>
  <c r="B229" i="8"/>
  <c r="C229" i="8"/>
  <c r="B230" i="8"/>
  <c r="C230" i="8"/>
  <c r="B231" i="8"/>
  <c r="C231" i="8"/>
  <c r="B232" i="8"/>
  <c r="C232" i="8"/>
  <c r="B233" i="8"/>
  <c r="C233" i="8"/>
  <c r="B234" i="8"/>
  <c r="C234" i="8"/>
  <c r="B235" i="8"/>
  <c r="C235" i="8"/>
  <c r="B236" i="8"/>
  <c r="C236" i="8"/>
  <c r="B237" i="8"/>
  <c r="C237" i="8"/>
  <c r="B238" i="8"/>
  <c r="C238" i="8"/>
  <c r="B239" i="8"/>
  <c r="C239" i="8"/>
  <c r="B240" i="8"/>
  <c r="C240" i="8"/>
  <c r="B241" i="8"/>
  <c r="C241" i="8"/>
  <c r="B242" i="8"/>
  <c r="C242" i="8"/>
  <c r="B243" i="8"/>
  <c r="C243" i="8"/>
  <c r="B244" i="8"/>
  <c r="C244" i="8"/>
  <c r="B245" i="8"/>
  <c r="C245" i="8"/>
  <c r="B246" i="8"/>
  <c r="C246" i="8"/>
  <c r="B247" i="8"/>
  <c r="C247" i="8"/>
  <c r="B248" i="8"/>
  <c r="C248" i="8"/>
  <c r="B249" i="8"/>
  <c r="C249" i="8"/>
  <c r="B250" i="8"/>
  <c r="C250" i="8"/>
  <c r="B251" i="8"/>
  <c r="C251" i="8"/>
  <c r="B252" i="8"/>
  <c r="C252" i="8"/>
  <c r="B253" i="8"/>
  <c r="C253" i="8"/>
  <c r="B254" i="8"/>
  <c r="C254" i="8"/>
  <c r="B255" i="8"/>
  <c r="C255" i="8"/>
  <c r="B256" i="8"/>
  <c r="C256" i="8"/>
  <c r="B257" i="8"/>
  <c r="C257" i="8"/>
  <c r="B258" i="8"/>
  <c r="C258" i="8"/>
  <c r="B259" i="8"/>
  <c r="C259" i="8"/>
  <c r="B260" i="8"/>
  <c r="C260" i="8"/>
  <c r="B261" i="8"/>
  <c r="C261" i="8"/>
  <c r="B262" i="8"/>
  <c r="C262" i="8"/>
  <c r="B263" i="8"/>
  <c r="C263" i="8"/>
  <c r="B264" i="8"/>
  <c r="C264" i="8"/>
  <c r="B265" i="8"/>
  <c r="C265" i="8"/>
  <c r="B266" i="8"/>
  <c r="C266" i="8"/>
  <c r="B267" i="8"/>
  <c r="C267" i="8"/>
  <c r="B268" i="8"/>
  <c r="C268" i="8"/>
  <c r="B269" i="8"/>
  <c r="C269" i="8"/>
  <c r="B270" i="8"/>
  <c r="C270" i="8"/>
  <c r="B271" i="8"/>
  <c r="C271" i="8"/>
  <c r="B272" i="8"/>
  <c r="C272" i="8"/>
  <c r="B273" i="8"/>
  <c r="C273" i="8"/>
  <c r="B274" i="8"/>
  <c r="C274" i="8"/>
  <c r="B275" i="8"/>
  <c r="C275" i="8"/>
  <c r="B276" i="8"/>
  <c r="C276" i="8"/>
  <c r="B277" i="8"/>
  <c r="C277" i="8"/>
  <c r="B278" i="8"/>
  <c r="C278" i="8"/>
  <c r="B279" i="8"/>
  <c r="C279" i="8"/>
  <c r="B280" i="8"/>
  <c r="C280" i="8"/>
  <c r="B281" i="8"/>
  <c r="C281" i="8"/>
  <c r="B282" i="8"/>
  <c r="C282" i="8"/>
  <c r="B283" i="8"/>
  <c r="C283" i="8"/>
  <c r="B284" i="8"/>
  <c r="C284" i="8"/>
  <c r="B285" i="8"/>
  <c r="C285" i="8"/>
  <c r="B286" i="8"/>
  <c r="C286" i="8"/>
  <c r="B287" i="8"/>
  <c r="C287" i="8"/>
  <c r="B288" i="8"/>
  <c r="C288" i="8"/>
  <c r="B289" i="8"/>
  <c r="C289" i="8"/>
  <c r="B290" i="8"/>
  <c r="C290" i="8"/>
  <c r="B291" i="8"/>
  <c r="C291" i="8"/>
  <c r="B292" i="8"/>
  <c r="C292" i="8"/>
  <c r="B293" i="8"/>
  <c r="C293" i="8"/>
  <c r="B294" i="8"/>
  <c r="C294" i="8"/>
  <c r="B295" i="8"/>
  <c r="C295" i="8"/>
  <c r="B296" i="8"/>
  <c r="C296" i="8"/>
  <c r="B297" i="8"/>
  <c r="C297" i="8"/>
  <c r="B298" i="8"/>
  <c r="C298" i="8"/>
  <c r="B299" i="8"/>
  <c r="C299" i="8"/>
  <c r="B300" i="8"/>
  <c r="C300" i="8"/>
  <c r="B301" i="8"/>
  <c r="C301" i="8"/>
  <c r="B302" i="8"/>
  <c r="C302" i="8"/>
  <c r="B303" i="8"/>
  <c r="C303" i="8"/>
  <c r="B304" i="8"/>
  <c r="C304" i="8"/>
  <c r="B305" i="8"/>
  <c r="C305" i="8"/>
  <c r="B306" i="8"/>
  <c r="C306" i="8"/>
  <c r="B307" i="8"/>
  <c r="C307" i="8"/>
  <c r="B308" i="8"/>
  <c r="C308" i="8"/>
  <c r="B309" i="8"/>
  <c r="C309" i="8"/>
  <c r="B310" i="8"/>
  <c r="C310" i="8"/>
  <c r="B311" i="8"/>
  <c r="C311" i="8"/>
  <c r="B312" i="8"/>
  <c r="C312" i="8"/>
  <c r="B313" i="8"/>
  <c r="C313" i="8"/>
  <c r="B314" i="8"/>
  <c r="C314" i="8"/>
  <c r="B315" i="8"/>
  <c r="C315" i="8"/>
  <c r="B316" i="8"/>
  <c r="C316" i="8"/>
  <c r="B317" i="8"/>
  <c r="C317" i="8"/>
  <c r="B318" i="8"/>
  <c r="C318" i="8"/>
  <c r="B319" i="8"/>
  <c r="C319" i="8"/>
  <c r="B320" i="8"/>
  <c r="C320" i="8"/>
  <c r="B321" i="8"/>
  <c r="C321" i="8"/>
  <c r="B322" i="8"/>
  <c r="C322" i="8"/>
  <c r="B323" i="8"/>
  <c r="C323" i="8"/>
  <c r="B324" i="8"/>
  <c r="C324" i="8"/>
  <c r="B325" i="8"/>
  <c r="C325" i="8"/>
  <c r="B326" i="8"/>
  <c r="C326" i="8"/>
  <c r="B327" i="8"/>
  <c r="C327" i="8"/>
  <c r="B328" i="8"/>
  <c r="C328" i="8"/>
  <c r="B329" i="8"/>
  <c r="C329" i="8"/>
  <c r="B330" i="8"/>
  <c r="C330" i="8"/>
  <c r="B331" i="8"/>
  <c r="C331" i="8"/>
  <c r="B332" i="8"/>
  <c r="C332" i="8"/>
  <c r="B333" i="8"/>
  <c r="C333" i="8"/>
  <c r="B334" i="8"/>
  <c r="C334" i="8"/>
  <c r="B335" i="8"/>
  <c r="C335" i="8"/>
  <c r="B336" i="8"/>
  <c r="C336" i="8"/>
  <c r="B337" i="8"/>
  <c r="C337" i="8"/>
  <c r="B338" i="8"/>
  <c r="C338" i="8"/>
  <c r="B339" i="8"/>
  <c r="C339" i="8"/>
  <c r="B340" i="8"/>
  <c r="C340" i="8"/>
  <c r="B341" i="8"/>
  <c r="C341" i="8"/>
  <c r="B342" i="8"/>
  <c r="C342" i="8"/>
  <c r="B343" i="8"/>
  <c r="C343" i="8"/>
  <c r="B344" i="8"/>
  <c r="C344" i="8"/>
  <c r="B345" i="8"/>
  <c r="C345" i="8"/>
  <c r="B346" i="8"/>
  <c r="C346" i="8"/>
  <c r="B347" i="8"/>
  <c r="C347" i="8"/>
  <c r="B348" i="8"/>
  <c r="C348" i="8"/>
  <c r="B349" i="8"/>
  <c r="C349" i="8"/>
  <c r="B350" i="8"/>
  <c r="C350" i="8"/>
  <c r="B351" i="8"/>
  <c r="C351" i="8"/>
  <c r="B352" i="8"/>
  <c r="C352" i="8"/>
  <c r="B353" i="8"/>
  <c r="C353" i="8"/>
  <c r="B354" i="8"/>
  <c r="C354" i="8"/>
  <c r="B355" i="8"/>
  <c r="C355" i="8"/>
  <c r="B356" i="8"/>
  <c r="C356" i="8"/>
  <c r="B357" i="8"/>
  <c r="C357" i="8"/>
  <c r="B358" i="8"/>
  <c r="C358" i="8"/>
  <c r="B359" i="8"/>
  <c r="C359" i="8"/>
  <c r="B360" i="8"/>
  <c r="C360" i="8"/>
  <c r="B361" i="8"/>
  <c r="C361" i="8"/>
  <c r="B362" i="8"/>
  <c r="C362" i="8"/>
  <c r="B363" i="8"/>
  <c r="C363" i="8"/>
  <c r="B364" i="8"/>
  <c r="C364" i="8"/>
  <c r="B365" i="8"/>
  <c r="C365" i="8"/>
  <c r="B366" i="8"/>
  <c r="C366" i="8"/>
  <c r="B367" i="8"/>
  <c r="C367" i="8"/>
  <c r="B368" i="8"/>
  <c r="C368" i="8"/>
  <c r="B369" i="8"/>
  <c r="C369" i="8"/>
  <c r="B370" i="8"/>
  <c r="C370" i="8"/>
  <c r="B371" i="8"/>
  <c r="C371" i="8"/>
  <c r="B372" i="8"/>
  <c r="C372" i="8"/>
  <c r="B373" i="8"/>
  <c r="C373" i="8"/>
  <c r="B374" i="8"/>
  <c r="C374" i="8"/>
  <c r="B375" i="8"/>
  <c r="C375" i="8"/>
  <c r="B376" i="8"/>
  <c r="C376" i="8"/>
  <c r="B377" i="8"/>
  <c r="C377" i="8"/>
  <c r="B378" i="8"/>
  <c r="C378" i="8"/>
  <c r="B379" i="8"/>
  <c r="C379" i="8"/>
  <c r="B380" i="8"/>
  <c r="C380" i="8"/>
  <c r="B381" i="8"/>
  <c r="C381" i="8"/>
  <c r="B382" i="8"/>
  <c r="C382" i="8"/>
  <c r="B383" i="8"/>
  <c r="C383" i="8"/>
  <c r="B384" i="8"/>
  <c r="C384" i="8"/>
  <c r="B385" i="8"/>
  <c r="C385" i="8"/>
  <c r="B386" i="8"/>
  <c r="C386" i="8"/>
  <c r="B387" i="8"/>
  <c r="C387" i="8"/>
  <c r="B388" i="8"/>
  <c r="C388" i="8"/>
  <c r="B389" i="8"/>
  <c r="C389" i="8"/>
  <c r="B390" i="8"/>
  <c r="C390" i="8"/>
  <c r="B391" i="8"/>
  <c r="C391" i="8"/>
  <c r="B392" i="8"/>
  <c r="C392" i="8"/>
  <c r="B393" i="8"/>
  <c r="C393" i="8"/>
  <c r="B394" i="8"/>
  <c r="C394" i="8"/>
  <c r="B395" i="8"/>
  <c r="C395" i="8"/>
  <c r="B396" i="8"/>
  <c r="C396" i="8"/>
  <c r="B397" i="8"/>
  <c r="C397" i="8"/>
  <c r="B398" i="8"/>
  <c r="C398" i="8"/>
  <c r="B399" i="8"/>
  <c r="C399" i="8"/>
  <c r="B400" i="8"/>
  <c r="C400" i="8"/>
  <c r="B401" i="8"/>
  <c r="C401" i="8"/>
  <c r="B402" i="8"/>
  <c r="C402" i="8"/>
  <c r="B403" i="8"/>
  <c r="C403" i="8"/>
  <c r="B404" i="8"/>
  <c r="C404" i="8"/>
  <c r="B405" i="8"/>
  <c r="C405" i="8"/>
  <c r="B406" i="8"/>
  <c r="C406" i="8"/>
  <c r="B407" i="8"/>
  <c r="C407" i="8"/>
  <c r="B408" i="8"/>
  <c r="C408" i="8"/>
  <c r="B409" i="8"/>
  <c r="C409" i="8"/>
  <c r="B410" i="8"/>
  <c r="C410" i="8"/>
  <c r="B411" i="8"/>
  <c r="C411" i="8"/>
  <c r="B412" i="8"/>
  <c r="C412" i="8"/>
  <c r="B413" i="8"/>
  <c r="C413" i="8"/>
  <c r="B414" i="8"/>
  <c r="C414" i="8"/>
  <c r="B415" i="8"/>
  <c r="C415" i="8"/>
  <c r="B416" i="8"/>
  <c r="C416" i="8"/>
  <c r="B417" i="8"/>
  <c r="C417" i="8"/>
  <c r="B418" i="8"/>
  <c r="C418" i="8"/>
  <c r="B419" i="8"/>
  <c r="C419" i="8"/>
  <c r="B420" i="8"/>
  <c r="C420" i="8"/>
  <c r="B421" i="8"/>
  <c r="C421" i="8"/>
  <c r="B422" i="8"/>
  <c r="C422" i="8"/>
  <c r="B423" i="8"/>
  <c r="C423" i="8"/>
  <c r="B424" i="8"/>
  <c r="C424" i="8"/>
  <c r="B425" i="8"/>
  <c r="C425" i="8"/>
  <c r="B426" i="8"/>
  <c r="C426" i="8"/>
  <c r="B427" i="8"/>
  <c r="C427" i="8"/>
  <c r="B428" i="8"/>
  <c r="C428" i="8"/>
  <c r="B429" i="8"/>
  <c r="C429" i="8"/>
  <c r="B430" i="8"/>
  <c r="C430" i="8"/>
  <c r="B431" i="8"/>
  <c r="C431" i="8"/>
  <c r="B432" i="8"/>
  <c r="C432" i="8"/>
  <c r="B433" i="8"/>
  <c r="C433" i="8"/>
  <c r="B434" i="8"/>
  <c r="C434" i="8"/>
  <c r="B435" i="8"/>
  <c r="C435" i="8"/>
  <c r="B436" i="8"/>
  <c r="C436" i="8"/>
  <c r="B437" i="8"/>
  <c r="C437" i="8"/>
  <c r="B438" i="8"/>
  <c r="C438" i="8"/>
  <c r="B439" i="8"/>
  <c r="C439" i="8"/>
  <c r="B440" i="8"/>
  <c r="C440" i="8"/>
  <c r="B441" i="8"/>
  <c r="C441" i="8"/>
  <c r="B442" i="8"/>
  <c r="C442" i="8"/>
  <c r="B443" i="8"/>
  <c r="C443" i="8"/>
  <c r="B444" i="8"/>
  <c r="C444" i="8"/>
  <c r="B445" i="8"/>
  <c r="C445" i="8"/>
  <c r="B446" i="8"/>
  <c r="C446" i="8"/>
  <c r="B447" i="8"/>
  <c r="C447" i="8"/>
  <c r="B448" i="8"/>
  <c r="C448" i="8"/>
  <c r="B449" i="8"/>
  <c r="C449" i="8"/>
  <c r="B450" i="8"/>
  <c r="C450" i="8"/>
  <c r="B451" i="8"/>
  <c r="C451" i="8"/>
  <c r="B452" i="8"/>
  <c r="C452" i="8"/>
  <c r="B453" i="8"/>
  <c r="C453" i="8"/>
  <c r="B454" i="8"/>
  <c r="C454" i="8"/>
  <c r="B455" i="8"/>
  <c r="C455" i="8"/>
  <c r="B456" i="8"/>
  <c r="C456" i="8"/>
  <c r="B457" i="8"/>
  <c r="C457" i="8"/>
  <c r="B458" i="8"/>
  <c r="C458" i="8"/>
  <c r="B459" i="8"/>
  <c r="C459" i="8"/>
  <c r="B460" i="8"/>
  <c r="C460" i="8"/>
  <c r="B461" i="8"/>
  <c r="C461" i="8"/>
  <c r="B462" i="8"/>
  <c r="C462" i="8"/>
  <c r="B463" i="8"/>
  <c r="C463" i="8"/>
  <c r="B464" i="8"/>
  <c r="C464" i="8"/>
  <c r="B465" i="8"/>
  <c r="C465" i="8"/>
  <c r="B466" i="8"/>
  <c r="C466" i="8"/>
  <c r="B467" i="8"/>
  <c r="C467" i="8"/>
  <c r="B468" i="8"/>
  <c r="C468" i="8"/>
  <c r="B469" i="8"/>
  <c r="C469" i="8"/>
  <c r="B470" i="8"/>
  <c r="C470" i="8"/>
  <c r="B471" i="8"/>
  <c r="C471" i="8"/>
  <c r="B472" i="8"/>
  <c r="C472" i="8"/>
  <c r="B473" i="8"/>
  <c r="C473" i="8"/>
  <c r="B474" i="8"/>
  <c r="C474" i="8"/>
  <c r="B475" i="8"/>
  <c r="C475" i="8"/>
  <c r="B476" i="8"/>
  <c r="C476" i="8"/>
  <c r="B477" i="8"/>
  <c r="C477" i="8"/>
  <c r="B478" i="8"/>
  <c r="C478" i="8"/>
  <c r="B479" i="8"/>
  <c r="C479" i="8"/>
  <c r="B480" i="8"/>
  <c r="C480" i="8"/>
  <c r="B481" i="8"/>
  <c r="C481" i="8"/>
  <c r="B482" i="8"/>
  <c r="C482" i="8"/>
  <c r="B483" i="8"/>
  <c r="C483" i="8"/>
  <c r="B484" i="8"/>
  <c r="C484" i="8"/>
  <c r="B485" i="8"/>
  <c r="C485" i="8"/>
  <c r="B486" i="8"/>
  <c r="C486" i="8"/>
  <c r="B487" i="8"/>
  <c r="C487" i="8"/>
  <c r="B488" i="8"/>
  <c r="C488" i="8"/>
  <c r="B489" i="8"/>
  <c r="C489" i="8"/>
  <c r="B490" i="8"/>
  <c r="C490" i="8"/>
  <c r="B491" i="8"/>
  <c r="C491" i="8"/>
  <c r="B492" i="8"/>
  <c r="C492" i="8"/>
  <c r="B493" i="8"/>
  <c r="C493" i="8"/>
  <c r="B494" i="8"/>
  <c r="C494" i="8"/>
  <c r="B495" i="8"/>
  <c r="C495" i="8"/>
  <c r="B496" i="8"/>
  <c r="C496" i="8"/>
  <c r="B497" i="8"/>
  <c r="C497" i="8"/>
  <c r="B498" i="8"/>
  <c r="C498" i="8"/>
  <c r="B499" i="8"/>
  <c r="C499" i="8"/>
  <c r="B500" i="8"/>
  <c r="C500" i="8"/>
  <c r="B501" i="8"/>
  <c r="C501" i="8"/>
  <c r="B502" i="8"/>
  <c r="C502" i="8"/>
  <c r="B503" i="8"/>
  <c r="C503" i="8"/>
  <c r="B504" i="8"/>
  <c r="C504" i="8"/>
  <c r="B505" i="8"/>
  <c r="C505" i="8"/>
  <c r="B506" i="8"/>
  <c r="C506" i="8"/>
  <c r="B507" i="8"/>
  <c r="C507" i="8"/>
  <c r="B508" i="8"/>
  <c r="C508" i="8"/>
  <c r="B509" i="8"/>
  <c r="C509" i="8"/>
  <c r="B510" i="8"/>
  <c r="C510" i="8"/>
  <c r="B511" i="8"/>
  <c r="C511" i="8"/>
  <c r="B512" i="8"/>
  <c r="C512" i="8"/>
  <c r="B513" i="8"/>
  <c r="C513" i="8"/>
  <c r="B514" i="8"/>
  <c r="C514" i="8"/>
  <c r="B515" i="8"/>
  <c r="C515" i="8"/>
  <c r="B516" i="8"/>
  <c r="C516" i="8"/>
  <c r="B517" i="8"/>
  <c r="C517" i="8"/>
  <c r="B518" i="8"/>
  <c r="C518" i="8"/>
  <c r="B519" i="8"/>
  <c r="C519" i="8"/>
  <c r="B520" i="8"/>
  <c r="C520" i="8"/>
  <c r="B521" i="8"/>
  <c r="C521" i="8"/>
  <c r="B522" i="8"/>
  <c r="C522" i="8"/>
  <c r="B523" i="8"/>
  <c r="C523" i="8"/>
  <c r="B524" i="8"/>
  <c r="C524" i="8"/>
  <c r="B525" i="8"/>
  <c r="C525" i="8"/>
  <c r="B526" i="8"/>
  <c r="C526" i="8"/>
  <c r="B527" i="8"/>
  <c r="C527" i="8"/>
  <c r="B528" i="8"/>
  <c r="C528" i="8"/>
  <c r="B529" i="8"/>
  <c r="C529" i="8"/>
  <c r="B530" i="8"/>
  <c r="C530" i="8"/>
  <c r="B531" i="8"/>
  <c r="C531" i="8"/>
  <c r="B532" i="8"/>
  <c r="C532" i="8"/>
  <c r="B533" i="8"/>
  <c r="C533" i="8"/>
  <c r="B534" i="8"/>
  <c r="C534" i="8"/>
  <c r="B535" i="8"/>
  <c r="C535" i="8"/>
  <c r="B536" i="8"/>
  <c r="C536" i="8"/>
  <c r="B537" i="8"/>
  <c r="C537" i="8"/>
  <c r="B538" i="8"/>
  <c r="C538" i="8"/>
  <c r="B539" i="8"/>
  <c r="C539" i="8"/>
  <c r="B540" i="8"/>
  <c r="C540" i="8"/>
  <c r="B541" i="8"/>
  <c r="C541" i="8"/>
  <c r="B542" i="8"/>
  <c r="C542" i="8"/>
  <c r="B543" i="8"/>
  <c r="C543" i="8"/>
  <c r="B544" i="8"/>
  <c r="C544" i="8"/>
  <c r="B545" i="8"/>
  <c r="C545" i="8"/>
  <c r="B546" i="8"/>
  <c r="C546" i="8"/>
  <c r="B547" i="8"/>
  <c r="C547" i="8"/>
  <c r="B548" i="8"/>
  <c r="C548" i="8"/>
  <c r="B549" i="8"/>
  <c r="C549" i="8"/>
  <c r="B550" i="8"/>
  <c r="C550" i="8"/>
  <c r="B551" i="8"/>
  <c r="C551" i="8"/>
  <c r="B552" i="8"/>
  <c r="C552" i="8"/>
  <c r="B553" i="8"/>
  <c r="C553" i="8"/>
  <c r="B554" i="8"/>
  <c r="C554" i="8"/>
  <c r="B555" i="8"/>
  <c r="C555" i="8"/>
  <c r="B556" i="8"/>
  <c r="C556" i="8"/>
  <c r="B557" i="8"/>
  <c r="C557" i="8"/>
  <c r="B558" i="8"/>
  <c r="C558" i="8"/>
  <c r="B559" i="8"/>
  <c r="C559" i="8"/>
  <c r="B560" i="8"/>
  <c r="C560" i="8"/>
  <c r="B561" i="8"/>
  <c r="C561" i="8"/>
  <c r="B562" i="8"/>
  <c r="C562" i="8"/>
  <c r="B563" i="8"/>
  <c r="C563" i="8"/>
  <c r="B564" i="8"/>
  <c r="C564" i="8"/>
  <c r="B565" i="8"/>
  <c r="C565" i="8"/>
  <c r="B566" i="8"/>
  <c r="C566" i="8"/>
  <c r="B567" i="8"/>
  <c r="C567" i="8"/>
  <c r="B568" i="8"/>
  <c r="C568" i="8"/>
  <c r="B569" i="8"/>
  <c r="C569" i="8"/>
  <c r="B570" i="8"/>
  <c r="C570" i="8"/>
  <c r="B571" i="8"/>
  <c r="C571" i="8"/>
  <c r="B572" i="8"/>
  <c r="C572" i="8"/>
  <c r="B573" i="8"/>
  <c r="C573" i="8"/>
  <c r="B574" i="8"/>
  <c r="C574" i="8"/>
  <c r="B575" i="8"/>
  <c r="C575" i="8"/>
  <c r="B576" i="8"/>
  <c r="C576" i="8"/>
  <c r="B577" i="8"/>
  <c r="C577" i="8"/>
  <c r="B578" i="8"/>
  <c r="C578" i="8"/>
  <c r="B579" i="8"/>
  <c r="C579" i="8"/>
  <c r="B580" i="8"/>
  <c r="C580" i="8"/>
  <c r="B581" i="8"/>
  <c r="C581" i="8"/>
  <c r="B582" i="8"/>
  <c r="C582" i="8"/>
  <c r="B583" i="8"/>
  <c r="C583" i="8"/>
  <c r="B584" i="8"/>
  <c r="C584" i="8"/>
  <c r="B585" i="8"/>
  <c r="C585" i="8"/>
  <c r="B586" i="8"/>
  <c r="C586" i="8"/>
  <c r="B587" i="8"/>
  <c r="C587" i="8"/>
  <c r="B588" i="8"/>
  <c r="C588" i="8"/>
  <c r="B589" i="8"/>
  <c r="C589" i="8"/>
  <c r="B590" i="8"/>
  <c r="C590" i="8"/>
  <c r="B591" i="8"/>
  <c r="C591" i="8"/>
  <c r="B592" i="8"/>
  <c r="C592" i="8"/>
  <c r="B593" i="8"/>
  <c r="C593" i="8"/>
  <c r="B594" i="8"/>
  <c r="C594" i="8"/>
  <c r="B595" i="8"/>
  <c r="C595" i="8"/>
  <c r="B596" i="8"/>
  <c r="C596" i="8"/>
  <c r="B597" i="8"/>
  <c r="C597" i="8"/>
  <c r="B598" i="8"/>
  <c r="C598" i="8"/>
  <c r="B599" i="8"/>
  <c r="C599" i="8"/>
  <c r="B600" i="8"/>
  <c r="C600" i="8"/>
  <c r="B601" i="8"/>
  <c r="C601" i="8"/>
  <c r="B602" i="8"/>
  <c r="C602" i="8"/>
  <c r="B603" i="8"/>
  <c r="C603" i="8"/>
  <c r="B604" i="8"/>
  <c r="C604" i="8"/>
  <c r="B605" i="8"/>
  <c r="C605" i="8"/>
  <c r="B606" i="8"/>
  <c r="C606" i="8"/>
  <c r="B607" i="8"/>
  <c r="C607" i="8"/>
  <c r="B608" i="8"/>
  <c r="C608" i="8"/>
  <c r="B609" i="8"/>
  <c r="C609" i="8"/>
  <c r="B610" i="8"/>
  <c r="C610" i="8"/>
  <c r="B611" i="8"/>
  <c r="C611" i="8"/>
  <c r="B612" i="8"/>
  <c r="C612" i="8"/>
  <c r="B613" i="8"/>
  <c r="C613" i="8"/>
  <c r="B614" i="8"/>
  <c r="C614" i="8"/>
  <c r="B615" i="8"/>
  <c r="C615" i="8"/>
  <c r="B616" i="8"/>
  <c r="C616" i="8"/>
  <c r="B617" i="8"/>
  <c r="C617" i="8"/>
  <c r="B618" i="8"/>
  <c r="C618" i="8"/>
  <c r="B619" i="8"/>
  <c r="C619" i="8"/>
  <c r="B620" i="8"/>
  <c r="C620" i="8"/>
  <c r="B621" i="8"/>
  <c r="C621" i="8"/>
  <c r="B622" i="8"/>
  <c r="C622" i="8"/>
  <c r="B623" i="8"/>
  <c r="C623" i="8"/>
  <c r="B624" i="8"/>
  <c r="C624" i="8"/>
  <c r="B625" i="8"/>
  <c r="C625" i="8"/>
  <c r="B626" i="8"/>
  <c r="C626" i="8"/>
  <c r="B627" i="8"/>
  <c r="C627" i="8"/>
  <c r="B628" i="8"/>
  <c r="C628" i="8"/>
  <c r="B629" i="8"/>
  <c r="C629" i="8"/>
  <c r="B630" i="8"/>
  <c r="C630" i="8"/>
  <c r="B631" i="8"/>
  <c r="C631" i="8"/>
  <c r="B632" i="8"/>
  <c r="C632" i="8"/>
  <c r="B633" i="8"/>
  <c r="C633" i="8"/>
  <c r="B634" i="8"/>
  <c r="C634" i="8"/>
  <c r="B635" i="8"/>
  <c r="C635" i="8"/>
  <c r="B636" i="8"/>
  <c r="C636" i="8"/>
  <c r="B637" i="8"/>
  <c r="C637" i="8"/>
  <c r="B638" i="8"/>
  <c r="C638" i="8"/>
  <c r="B639" i="8"/>
  <c r="C639" i="8"/>
  <c r="B640" i="8"/>
  <c r="C640" i="8"/>
  <c r="B641" i="8"/>
  <c r="C641" i="8"/>
  <c r="B642" i="8"/>
  <c r="C642" i="8"/>
  <c r="B643" i="8"/>
  <c r="C643" i="8"/>
  <c r="B644" i="8"/>
  <c r="C644" i="8"/>
  <c r="B645" i="8"/>
  <c r="C645" i="8"/>
  <c r="B646" i="8"/>
  <c r="C646" i="8"/>
  <c r="B647" i="8"/>
  <c r="C647" i="8"/>
  <c r="B648" i="8"/>
  <c r="C648" i="8"/>
  <c r="B649" i="8"/>
  <c r="C649" i="8"/>
  <c r="B650" i="8"/>
  <c r="C650" i="8"/>
  <c r="B651" i="8"/>
  <c r="C651" i="8"/>
  <c r="B652" i="8"/>
  <c r="C652" i="8"/>
  <c r="B653" i="8"/>
  <c r="C653" i="8"/>
  <c r="B654" i="8"/>
  <c r="C654" i="8"/>
  <c r="B655" i="8"/>
  <c r="C655" i="8"/>
  <c r="B656" i="8"/>
  <c r="C656" i="8"/>
  <c r="B657" i="8"/>
  <c r="C657" i="8"/>
  <c r="B658" i="8"/>
  <c r="C658" i="8"/>
  <c r="B659" i="8"/>
  <c r="C659" i="8"/>
  <c r="B660" i="8"/>
  <c r="C660" i="8"/>
  <c r="B661" i="8"/>
  <c r="C661" i="8"/>
  <c r="B662" i="8"/>
  <c r="C662" i="8"/>
  <c r="B663" i="8"/>
  <c r="C663" i="8"/>
  <c r="B664" i="8"/>
  <c r="C664" i="8"/>
  <c r="B665" i="8"/>
  <c r="C665" i="8"/>
  <c r="B666" i="8"/>
  <c r="C666" i="8"/>
  <c r="B667" i="8"/>
  <c r="C667" i="8"/>
  <c r="B668" i="8"/>
  <c r="C668" i="8"/>
  <c r="B669" i="8"/>
  <c r="C669" i="8"/>
  <c r="B670" i="8"/>
  <c r="C670" i="8"/>
  <c r="B671" i="8"/>
  <c r="C671" i="8"/>
  <c r="B672" i="8"/>
  <c r="C672" i="8"/>
  <c r="B673" i="8"/>
  <c r="C673" i="8"/>
  <c r="B674" i="8"/>
  <c r="C674" i="8"/>
  <c r="B675" i="8"/>
  <c r="C675" i="8"/>
  <c r="B676" i="8"/>
  <c r="C676" i="8"/>
  <c r="B677" i="8"/>
  <c r="C677" i="8"/>
  <c r="B678" i="8"/>
  <c r="C678" i="8"/>
  <c r="B679" i="8"/>
  <c r="C679" i="8"/>
  <c r="B680" i="8"/>
  <c r="C680" i="8"/>
  <c r="B681" i="8"/>
  <c r="C681" i="8"/>
  <c r="B682" i="8"/>
  <c r="C682" i="8"/>
  <c r="B683" i="8"/>
  <c r="C683" i="8"/>
  <c r="B684" i="8"/>
  <c r="C684" i="8"/>
  <c r="B685" i="8"/>
  <c r="C685" i="8"/>
  <c r="B686" i="8"/>
  <c r="C686" i="8"/>
  <c r="B687" i="8"/>
  <c r="C687" i="8"/>
  <c r="B688" i="8"/>
  <c r="C688" i="8"/>
  <c r="B689" i="8"/>
  <c r="C689" i="8"/>
  <c r="B690" i="8"/>
  <c r="C690" i="8"/>
  <c r="B691" i="8"/>
  <c r="C691" i="8"/>
  <c r="B692" i="8"/>
  <c r="C692" i="8"/>
  <c r="B693" i="8"/>
  <c r="C693" i="8"/>
  <c r="B694" i="8"/>
  <c r="C694" i="8"/>
  <c r="B695" i="8"/>
  <c r="C695" i="8"/>
  <c r="B696" i="8"/>
  <c r="C696" i="8"/>
  <c r="B697" i="8"/>
  <c r="C697" i="8"/>
  <c r="B698" i="8"/>
  <c r="C698" i="8"/>
  <c r="B699" i="8"/>
  <c r="C699" i="8"/>
  <c r="B700" i="8"/>
  <c r="C700" i="8"/>
  <c r="B701" i="8"/>
  <c r="C701" i="8"/>
  <c r="B702" i="8"/>
  <c r="C702" i="8"/>
  <c r="B703" i="8"/>
  <c r="C703" i="8"/>
  <c r="B704" i="8"/>
  <c r="C704" i="8"/>
  <c r="B705" i="8"/>
  <c r="C705" i="8"/>
  <c r="B706" i="8"/>
  <c r="C706" i="8"/>
  <c r="B707" i="8"/>
  <c r="C707" i="8"/>
  <c r="B708" i="8"/>
  <c r="C708" i="8"/>
  <c r="B709" i="8"/>
  <c r="C709" i="8"/>
  <c r="B710" i="8"/>
  <c r="C710" i="8"/>
  <c r="B711" i="8"/>
  <c r="C711" i="8"/>
  <c r="B712" i="8"/>
  <c r="C712" i="8"/>
  <c r="B713" i="8"/>
  <c r="C713" i="8"/>
  <c r="B714" i="8"/>
  <c r="C714" i="8"/>
  <c r="B715" i="8"/>
  <c r="C715" i="8"/>
  <c r="B716" i="8"/>
  <c r="C716" i="8"/>
  <c r="B717" i="8"/>
  <c r="C717" i="8"/>
  <c r="B718" i="8"/>
  <c r="C718" i="8"/>
  <c r="B719" i="8"/>
  <c r="C719" i="8"/>
  <c r="B720" i="8"/>
  <c r="C720" i="8"/>
  <c r="B721" i="8"/>
  <c r="C721" i="8"/>
  <c r="B722" i="8"/>
  <c r="C722" i="8"/>
  <c r="B723" i="8"/>
  <c r="C723" i="8"/>
  <c r="B724" i="8"/>
  <c r="C724" i="8"/>
  <c r="B725" i="8"/>
  <c r="C725" i="8"/>
  <c r="B726" i="8"/>
  <c r="C726" i="8"/>
  <c r="B727" i="8"/>
  <c r="C727" i="8"/>
  <c r="B728" i="8"/>
  <c r="C728" i="8"/>
  <c r="B729" i="8"/>
  <c r="C729" i="8"/>
  <c r="B730" i="8"/>
  <c r="C730" i="8"/>
  <c r="B731" i="8"/>
  <c r="C731" i="8"/>
  <c r="B732" i="8"/>
  <c r="C732" i="8"/>
  <c r="B733" i="8"/>
  <c r="C733" i="8"/>
  <c r="B734" i="8"/>
  <c r="C734" i="8"/>
  <c r="B735" i="8"/>
  <c r="C735" i="8"/>
  <c r="B736" i="8"/>
  <c r="C736" i="8"/>
  <c r="B737" i="8"/>
  <c r="C737" i="8"/>
  <c r="B738" i="8"/>
  <c r="C738" i="8"/>
  <c r="B739" i="8"/>
  <c r="C739" i="8"/>
  <c r="B740" i="8"/>
  <c r="C740" i="8"/>
  <c r="B741" i="8"/>
  <c r="C741" i="8"/>
  <c r="B742" i="8"/>
  <c r="C742" i="8"/>
  <c r="B743" i="8"/>
  <c r="C743" i="8"/>
  <c r="B744" i="8"/>
  <c r="C744" i="8"/>
  <c r="B745" i="8"/>
  <c r="C745" i="8"/>
  <c r="B746" i="8"/>
  <c r="C746" i="8"/>
  <c r="B747" i="8"/>
  <c r="C747" i="8"/>
  <c r="B748" i="8"/>
  <c r="C748" i="8"/>
  <c r="B749" i="8"/>
  <c r="C749" i="8"/>
  <c r="B750" i="8"/>
  <c r="C750" i="8"/>
  <c r="B751" i="8"/>
  <c r="C751" i="8"/>
  <c r="B752" i="8"/>
  <c r="C752" i="8"/>
  <c r="B753" i="8"/>
  <c r="C753" i="8"/>
  <c r="B754" i="8"/>
  <c r="C754" i="8"/>
  <c r="B755" i="8"/>
  <c r="C755" i="8"/>
  <c r="B756" i="8"/>
  <c r="C756" i="8"/>
  <c r="B757" i="8"/>
  <c r="C757" i="8"/>
  <c r="B758" i="8"/>
  <c r="C758" i="8"/>
  <c r="B759" i="8"/>
  <c r="C759" i="8"/>
  <c r="B760" i="8"/>
  <c r="C760" i="8"/>
  <c r="B761" i="8"/>
  <c r="C761" i="8"/>
  <c r="B762" i="8"/>
  <c r="C762" i="8"/>
  <c r="B763" i="8"/>
  <c r="C763" i="8"/>
  <c r="B764" i="8"/>
  <c r="C764" i="8"/>
  <c r="B765" i="8"/>
  <c r="C765" i="8"/>
  <c r="B766" i="8"/>
  <c r="C766" i="8"/>
  <c r="B767" i="8"/>
  <c r="C767" i="8"/>
  <c r="B768" i="8"/>
  <c r="C768" i="8"/>
  <c r="B769" i="8"/>
  <c r="C769" i="8"/>
  <c r="B770" i="8"/>
  <c r="C770" i="8"/>
  <c r="B771" i="8"/>
  <c r="C771" i="8"/>
  <c r="B772" i="8"/>
  <c r="C772" i="8"/>
  <c r="B773" i="8"/>
  <c r="C773" i="8"/>
  <c r="B774" i="8"/>
  <c r="C774" i="8"/>
  <c r="B775" i="8"/>
  <c r="C775" i="8"/>
  <c r="B776" i="8"/>
  <c r="C776" i="8"/>
  <c r="B777" i="8"/>
  <c r="C777" i="8"/>
  <c r="B3" i="9"/>
  <c r="C3" i="9"/>
  <c r="B4" i="9"/>
  <c r="C4" i="9"/>
  <c r="B5" i="9"/>
  <c r="C5" i="9"/>
  <c r="B6" i="9"/>
  <c r="C6" i="9"/>
  <c r="B7" i="9"/>
  <c r="C7" i="9"/>
  <c r="B8" i="9"/>
  <c r="C8" i="9"/>
  <c r="B9" i="9"/>
  <c r="C9" i="9"/>
  <c r="B10" i="9"/>
  <c r="C10" i="9"/>
  <c r="B11" i="9"/>
  <c r="C11" i="9"/>
  <c r="B12" i="9"/>
  <c r="C12" i="9"/>
  <c r="B13" i="9"/>
  <c r="C13" i="9"/>
  <c r="B14" i="9"/>
  <c r="C14" i="9"/>
  <c r="B15" i="9"/>
  <c r="C15" i="9"/>
  <c r="B16" i="9"/>
  <c r="C16" i="9"/>
  <c r="B17" i="9"/>
  <c r="C17" i="9"/>
  <c r="B18" i="9"/>
  <c r="C18" i="9"/>
  <c r="B19" i="9"/>
  <c r="C19" i="9"/>
  <c r="B20" i="9"/>
  <c r="C20" i="9"/>
  <c r="B21" i="9"/>
  <c r="C21" i="9"/>
  <c r="B22" i="9"/>
  <c r="C22" i="9"/>
  <c r="B23" i="9"/>
  <c r="C23" i="9"/>
  <c r="B24" i="9"/>
  <c r="C24" i="9"/>
  <c r="B25" i="9"/>
  <c r="C25" i="9"/>
  <c r="B26" i="9"/>
  <c r="C26" i="9"/>
  <c r="B27" i="9"/>
  <c r="C27" i="9"/>
  <c r="B28" i="9"/>
  <c r="C28" i="9"/>
  <c r="B29" i="9"/>
  <c r="C29" i="9"/>
  <c r="B30" i="9"/>
  <c r="C30" i="9"/>
  <c r="B31" i="9"/>
  <c r="C31" i="9"/>
  <c r="B32" i="9"/>
  <c r="C32" i="9"/>
  <c r="B33" i="9"/>
  <c r="C33" i="9"/>
  <c r="B34" i="9"/>
  <c r="C34" i="9"/>
  <c r="B35" i="9"/>
  <c r="C35" i="9"/>
  <c r="B36" i="9"/>
  <c r="C36" i="9"/>
  <c r="B37" i="9"/>
  <c r="C37" i="9"/>
  <c r="B38" i="9"/>
  <c r="C38" i="9"/>
  <c r="B39" i="9"/>
  <c r="C39" i="9"/>
  <c r="B40" i="9"/>
  <c r="C40" i="9"/>
  <c r="B41" i="9"/>
  <c r="C41" i="9"/>
  <c r="B42" i="9"/>
  <c r="C42" i="9"/>
  <c r="B43" i="9"/>
  <c r="C43" i="9"/>
  <c r="B44" i="9"/>
  <c r="C44" i="9"/>
  <c r="B45" i="9"/>
  <c r="C45" i="9"/>
  <c r="B46" i="9"/>
  <c r="C46" i="9"/>
  <c r="B47" i="9"/>
  <c r="C47" i="9"/>
  <c r="B48" i="9"/>
  <c r="C48" i="9"/>
  <c r="B49" i="9"/>
  <c r="C49" i="9"/>
  <c r="B50" i="9"/>
  <c r="C50" i="9"/>
  <c r="B51" i="9"/>
  <c r="C51" i="9"/>
  <c r="B52" i="9"/>
  <c r="C52" i="9"/>
  <c r="B53" i="9"/>
  <c r="C53" i="9"/>
  <c r="B54" i="9"/>
  <c r="C54" i="9"/>
  <c r="B55" i="9"/>
  <c r="C55" i="9"/>
  <c r="B56" i="9"/>
  <c r="C56" i="9"/>
  <c r="B57" i="9"/>
  <c r="C57" i="9"/>
  <c r="B58" i="9"/>
  <c r="C58" i="9"/>
  <c r="B59" i="9"/>
  <c r="C59" i="9"/>
  <c r="B60" i="9"/>
  <c r="C60" i="9"/>
  <c r="B61" i="9"/>
  <c r="C61" i="9"/>
  <c r="B62" i="9"/>
  <c r="C62" i="9"/>
  <c r="B63" i="9"/>
  <c r="C63" i="9"/>
  <c r="B64" i="9"/>
  <c r="C64" i="9"/>
  <c r="B65" i="9"/>
  <c r="C65" i="9"/>
  <c r="B66" i="9"/>
  <c r="C66" i="9"/>
  <c r="B67" i="9"/>
  <c r="C67" i="9"/>
  <c r="B68" i="9"/>
  <c r="C68" i="9"/>
  <c r="B69" i="9"/>
  <c r="C69" i="9"/>
  <c r="B70" i="9"/>
  <c r="C70" i="9"/>
  <c r="B71" i="9"/>
  <c r="C71" i="9"/>
  <c r="B72" i="9"/>
  <c r="C72" i="9"/>
  <c r="B73" i="9"/>
  <c r="C73" i="9"/>
  <c r="B74" i="9"/>
  <c r="C74" i="9"/>
  <c r="B75" i="9"/>
  <c r="C75" i="9"/>
  <c r="B76" i="9"/>
  <c r="C76" i="9"/>
  <c r="B77" i="9"/>
  <c r="C77" i="9"/>
  <c r="B78" i="9"/>
  <c r="C78" i="9"/>
  <c r="B79" i="9"/>
  <c r="C79" i="9"/>
  <c r="B80" i="9"/>
  <c r="C80" i="9"/>
  <c r="B81" i="9"/>
  <c r="C81" i="9"/>
  <c r="B82" i="9"/>
  <c r="C82" i="9"/>
  <c r="B83" i="9"/>
  <c r="C83" i="9"/>
  <c r="B84" i="9"/>
  <c r="C84" i="9"/>
  <c r="B85" i="9"/>
  <c r="C85" i="9"/>
  <c r="B86" i="9"/>
  <c r="C86" i="9"/>
  <c r="B87" i="9"/>
  <c r="C87" i="9"/>
  <c r="B88" i="9"/>
  <c r="C88" i="9"/>
  <c r="B89" i="9"/>
  <c r="C89" i="9"/>
  <c r="B90" i="9"/>
  <c r="C90" i="9"/>
  <c r="B91" i="9"/>
  <c r="C91" i="9"/>
  <c r="B92" i="9"/>
  <c r="C92" i="9"/>
  <c r="B93" i="9"/>
  <c r="C93" i="9"/>
  <c r="B94" i="9"/>
  <c r="C94" i="9"/>
  <c r="B95" i="9"/>
  <c r="C95" i="9"/>
  <c r="B96" i="9"/>
  <c r="C96" i="9"/>
  <c r="B97" i="9"/>
  <c r="C97" i="9"/>
  <c r="B98" i="9"/>
  <c r="C98" i="9"/>
  <c r="B99" i="9"/>
  <c r="C99" i="9"/>
  <c r="B100" i="9"/>
  <c r="C100" i="9"/>
  <c r="B101" i="9"/>
  <c r="C101" i="9"/>
  <c r="B102" i="9"/>
  <c r="C102" i="9"/>
  <c r="B103" i="9"/>
  <c r="C103" i="9"/>
  <c r="B104" i="9"/>
  <c r="C104" i="9"/>
  <c r="B105" i="9"/>
  <c r="C105" i="9"/>
  <c r="B106" i="9"/>
  <c r="C106" i="9"/>
  <c r="B107" i="9"/>
  <c r="C107" i="9"/>
  <c r="B108" i="9"/>
  <c r="C108" i="9"/>
  <c r="B109" i="9"/>
  <c r="C109" i="9"/>
  <c r="B110" i="9"/>
  <c r="C110" i="9"/>
  <c r="B111" i="9"/>
  <c r="C111" i="9"/>
  <c r="B112" i="9"/>
  <c r="C112" i="9"/>
  <c r="B113" i="9"/>
  <c r="C113" i="9"/>
  <c r="B114" i="9"/>
  <c r="C114" i="9"/>
  <c r="B115" i="9"/>
  <c r="C115" i="9"/>
  <c r="B116" i="9"/>
  <c r="C116" i="9"/>
  <c r="B117" i="9"/>
  <c r="C117" i="9"/>
  <c r="B118" i="9"/>
  <c r="C118" i="9"/>
  <c r="B119" i="9"/>
  <c r="C119" i="9"/>
  <c r="B120" i="9"/>
  <c r="C120" i="9"/>
  <c r="B121" i="9"/>
  <c r="C121" i="9"/>
  <c r="B122" i="9"/>
  <c r="C122" i="9"/>
  <c r="B123" i="9"/>
  <c r="C123" i="9"/>
  <c r="B124" i="9"/>
  <c r="C124" i="9"/>
  <c r="B125" i="9"/>
  <c r="C125" i="9"/>
  <c r="B126" i="9"/>
  <c r="C126" i="9"/>
  <c r="B127" i="9"/>
  <c r="C127" i="9"/>
  <c r="B128" i="9"/>
  <c r="C128" i="9"/>
  <c r="B129" i="9"/>
  <c r="C129" i="9"/>
  <c r="B130" i="9"/>
  <c r="C130" i="9"/>
  <c r="B131" i="9"/>
  <c r="C131" i="9"/>
  <c r="B132" i="9"/>
  <c r="C132" i="9"/>
  <c r="B133" i="9"/>
  <c r="C133" i="9"/>
  <c r="B134" i="9"/>
  <c r="C134" i="9"/>
  <c r="B135" i="9"/>
  <c r="C135" i="9"/>
  <c r="B136" i="9"/>
  <c r="C136" i="9"/>
  <c r="B137" i="9"/>
  <c r="C137" i="9"/>
  <c r="B138" i="9"/>
  <c r="C138" i="9"/>
  <c r="B139" i="9"/>
  <c r="C139" i="9"/>
  <c r="B140" i="9"/>
  <c r="C140" i="9"/>
  <c r="B141" i="9"/>
  <c r="C141" i="9"/>
  <c r="B142" i="9"/>
  <c r="C142" i="9"/>
  <c r="B143" i="9"/>
  <c r="C143" i="9"/>
  <c r="B144" i="9"/>
  <c r="C144" i="9"/>
  <c r="B145" i="9"/>
  <c r="C145" i="9"/>
  <c r="B146" i="9"/>
  <c r="C146" i="9"/>
  <c r="B147" i="9"/>
  <c r="C147" i="9"/>
  <c r="B148" i="9"/>
  <c r="C148" i="9"/>
  <c r="B149" i="9"/>
  <c r="C149" i="9"/>
  <c r="B150" i="9"/>
  <c r="C150" i="9"/>
  <c r="B151" i="9"/>
  <c r="C151" i="9"/>
  <c r="B152" i="9"/>
  <c r="C152" i="9"/>
  <c r="B153" i="9"/>
  <c r="C153" i="9"/>
  <c r="B154" i="9"/>
  <c r="C154" i="9"/>
  <c r="B155" i="9"/>
  <c r="C155" i="9"/>
  <c r="B156" i="9"/>
  <c r="C156" i="9"/>
  <c r="B157" i="9"/>
  <c r="C157" i="9"/>
  <c r="B158" i="9"/>
  <c r="C158" i="9"/>
  <c r="B159" i="9"/>
  <c r="C159" i="9"/>
  <c r="B160" i="9"/>
  <c r="C160" i="9"/>
  <c r="B161" i="9"/>
  <c r="C161" i="9"/>
  <c r="B162" i="9"/>
  <c r="C162" i="9"/>
  <c r="B163" i="9"/>
  <c r="C163" i="9"/>
  <c r="B164" i="9"/>
  <c r="C164" i="9"/>
  <c r="B165" i="9"/>
  <c r="C165" i="9"/>
  <c r="B166" i="9"/>
  <c r="C166" i="9"/>
  <c r="B167" i="9"/>
  <c r="C167" i="9"/>
  <c r="B168" i="9"/>
  <c r="C168" i="9"/>
  <c r="B169" i="9"/>
  <c r="C169" i="9"/>
  <c r="B170" i="9"/>
  <c r="C170" i="9"/>
  <c r="B171" i="9"/>
  <c r="C171" i="9"/>
  <c r="B172" i="9"/>
  <c r="C172" i="9"/>
  <c r="B173" i="9"/>
  <c r="C173" i="9"/>
  <c r="B174" i="9"/>
  <c r="C174" i="9"/>
  <c r="B175" i="9"/>
  <c r="C175" i="9"/>
  <c r="B176" i="9"/>
  <c r="C176" i="9"/>
  <c r="B177" i="9"/>
  <c r="C177" i="9"/>
  <c r="B178" i="9"/>
  <c r="C178" i="9"/>
  <c r="B179" i="9"/>
  <c r="C179" i="9"/>
  <c r="B180" i="9"/>
  <c r="C180" i="9"/>
  <c r="B181" i="9"/>
  <c r="C181" i="9"/>
  <c r="B182" i="9"/>
  <c r="C182" i="9"/>
  <c r="B183" i="9"/>
  <c r="C183" i="9"/>
  <c r="B184" i="9"/>
  <c r="C184" i="9"/>
  <c r="B185" i="9"/>
  <c r="C185" i="9"/>
  <c r="B186" i="9"/>
  <c r="C186" i="9"/>
  <c r="B187" i="9"/>
  <c r="C187" i="9"/>
  <c r="B188" i="9"/>
  <c r="C188" i="9"/>
  <c r="B189" i="9"/>
  <c r="C189" i="9"/>
  <c r="B190" i="9"/>
  <c r="C190" i="9"/>
  <c r="B191" i="9"/>
  <c r="C191" i="9"/>
  <c r="B192" i="9"/>
  <c r="C192" i="9"/>
  <c r="B193" i="9"/>
  <c r="C193" i="9"/>
  <c r="B194" i="9"/>
  <c r="C194" i="9"/>
  <c r="B195" i="9"/>
  <c r="C195" i="9"/>
  <c r="B196" i="9"/>
  <c r="C196" i="9"/>
  <c r="B197" i="9"/>
  <c r="C197" i="9"/>
  <c r="B198" i="9"/>
  <c r="C198" i="9"/>
  <c r="B199" i="9"/>
  <c r="C199" i="9"/>
  <c r="B200" i="9"/>
  <c r="C200" i="9"/>
  <c r="B201" i="9"/>
  <c r="C201" i="9"/>
  <c r="B202" i="9"/>
  <c r="C202" i="9"/>
  <c r="B203" i="9"/>
  <c r="C203" i="9"/>
  <c r="B204" i="9"/>
  <c r="C204" i="9"/>
  <c r="B205" i="9"/>
  <c r="C205" i="9"/>
  <c r="B206" i="9"/>
  <c r="C206" i="9"/>
  <c r="B207" i="9"/>
  <c r="C207" i="9"/>
  <c r="B208" i="9"/>
  <c r="C208" i="9"/>
  <c r="B209" i="9"/>
  <c r="C209" i="9"/>
  <c r="B210" i="9"/>
  <c r="C210" i="9"/>
  <c r="B211" i="9"/>
  <c r="C211" i="9"/>
  <c r="B212" i="9"/>
  <c r="C212" i="9"/>
  <c r="B213" i="9"/>
  <c r="C213" i="9"/>
  <c r="B214" i="9"/>
  <c r="C214" i="9"/>
  <c r="B215" i="9"/>
  <c r="C215" i="9"/>
  <c r="B216" i="9"/>
  <c r="C216" i="9"/>
  <c r="B217" i="9"/>
  <c r="C217" i="9"/>
  <c r="B218" i="9"/>
  <c r="C218" i="9"/>
  <c r="B219" i="9"/>
  <c r="C219" i="9"/>
  <c r="B220" i="9"/>
  <c r="C220" i="9"/>
  <c r="B221" i="9"/>
  <c r="C221" i="9"/>
  <c r="B222" i="9"/>
  <c r="C222" i="9"/>
  <c r="B223" i="9"/>
  <c r="C223" i="9"/>
  <c r="B224" i="9"/>
  <c r="C224" i="9"/>
  <c r="B225" i="9"/>
  <c r="C225" i="9"/>
  <c r="B226" i="9"/>
  <c r="C226" i="9"/>
  <c r="B227" i="9"/>
  <c r="C227" i="9"/>
  <c r="B228" i="9"/>
  <c r="C228" i="9"/>
  <c r="B229" i="9"/>
  <c r="C229" i="9"/>
  <c r="B230" i="9"/>
  <c r="C230" i="9"/>
  <c r="B231" i="9"/>
  <c r="C231" i="9"/>
  <c r="B232" i="9"/>
  <c r="C232" i="9"/>
  <c r="B233" i="9"/>
  <c r="C233" i="9"/>
  <c r="B234" i="9"/>
  <c r="C234" i="9"/>
  <c r="B235" i="9"/>
  <c r="C235" i="9"/>
  <c r="B236" i="9"/>
  <c r="C236" i="9"/>
  <c r="B237" i="9"/>
  <c r="C237" i="9"/>
  <c r="B238" i="9"/>
  <c r="C238" i="9"/>
  <c r="B239" i="9"/>
  <c r="C239" i="9"/>
  <c r="B240" i="9"/>
  <c r="C240" i="9"/>
  <c r="B241" i="9"/>
  <c r="C241" i="9"/>
  <c r="B242" i="9"/>
  <c r="C242" i="9"/>
  <c r="B243" i="9"/>
  <c r="C243" i="9"/>
  <c r="B244" i="9"/>
  <c r="C244" i="9"/>
  <c r="B245" i="9"/>
  <c r="C245" i="9"/>
  <c r="B246" i="9"/>
  <c r="C246" i="9"/>
  <c r="B247" i="9"/>
  <c r="C247" i="9"/>
  <c r="B248" i="9"/>
  <c r="C248" i="9"/>
  <c r="B249" i="9"/>
  <c r="C249" i="9"/>
  <c r="B250" i="9"/>
  <c r="C250" i="9"/>
  <c r="B251" i="9"/>
  <c r="C251" i="9"/>
  <c r="B252" i="9"/>
  <c r="C252" i="9"/>
  <c r="B253" i="9"/>
  <c r="C253" i="9"/>
  <c r="B254" i="9"/>
  <c r="C254" i="9"/>
  <c r="B255" i="9"/>
  <c r="C255" i="9"/>
  <c r="B256" i="9"/>
  <c r="C256" i="9"/>
  <c r="B257" i="9"/>
  <c r="C257" i="9"/>
  <c r="B258" i="9"/>
  <c r="C258" i="9"/>
  <c r="B259" i="9"/>
  <c r="C259" i="9"/>
  <c r="B260" i="9"/>
  <c r="C260" i="9"/>
  <c r="B261" i="9"/>
  <c r="C261" i="9"/>
  <c r="B262" i="9"/>
  <c r="C262" i="9"/>
  <c r="B263" i="9"/>
  <c r="C263" i="9"/>
  <c r="B264" i="9"/>
  <c r="C264" i="9"/>
  <c r="B265" i="9"/>
  <c r="C265" i="9"/>
  <c r="B266" i="9"/>
  <c r="C266" i="9"/>
  <c r="B267" i="9"/>
  <c r="C267" i="9"/>
  <c r="B268" i="9"/>
  <c r="C268" i="9"/>
  <c r="B269" i="9"/>
  <c r="C269" i="9"/>
  <c r="B270" i="9"/>
  <c r="C270" i="9"/>
  <c r="B271" i="9"/>
  <c r="C271" i="9"/>
  <c r="B272" i="9"/>
  <c r="C272" i="9"/>
  <c r="B273" i="9"/>
  <c r="C273" i="9"/>
  <c r="B274" i="9"/>
  <c r="C274" i="9"/>
  <c r="B275" i="9"/>
  <c r="C275" i="9"/>
  <c r="B276" i="9"/>
  <c r="C276" i="9"/>
  <c r="B277" i="9"/>
  <c r="C277" i="9"/>
  <c r="B278" i="9"/>
  <c r="C278" i="9"/>
  <c r="B279" i="9"/>
  <c r="C279" i="9"/>
  <c r="B280" i="9"/>
  <c r="C280" i="9"/>
  <c r="B281" i="9"/>
  <c r="C281" i="9"/>
  <c r="B282" i="9"/>
  <c r="C282" i="9"/>
  <c r="B283" i="9"/>
  <c r="C283" i="9"/>
  <c r="B284" i="9"/>
  <c r="C284" i="9"/>
  <c r="B285" i="9"/>
  <c r="C285" i="9"/>
  <c r="B286" i="9"/>
  <c r="C286" i="9"/>
  <c r="B287" i="9"/>
  <c r="C287" i="9"/>
  <c r="B288" i="9"/>
  <c r="C288" i="9"/>
  <c r="B289" i="9"/>
  <c r="C289" i="9"/>
  <c r="B290" i="9"/>
  <c r="C290" i="9"/>
  <c r="B291" i="9"/>
  <c r="C291" i="9"/>
  <c r="B292" i="9"/>
  <c r="C292" i="9"/>
  <c r="B293" i="9"/>
  <c r="C293" i="9"/>
  <c r="B294" i="9"/>
  <c r="C294" i="9"/>
  <c r="B295" i="9"/>
  <c r="C295" i="9"/>
  <c r="B296" i="9"/>
  <c r="C296" i="9"/>
  <c r="B297" i="9"/>
  <c r="C297" i="9"/>
  <c r="B298" i="9"/>
  <c r="C298" i="9"/>
  <c r="B299" i="9"/>
  <c r="C299" i="9"/>
  <c r="B300" i="9"/>
  <c r="C300" i="9"/>
  <c r="B301" i="9"/>
  <c r="C301" i="9"/>
  <c r="B302" i="9"/>
  <c r="C302" i="9"/>
  <c r="B303" i="9"/>
  <c r="C303" i="9"/>
  <c r="B304" i="9"/>
  <c r="C304" i="9"/>
  <c r="B305" i="9"/>
  <c r="C305" i="9"/>
  <c r="B306" i="9"/>
  <c r="C306" i="9"/>
  <c r="B307" i="9"/>
  <c r="C307" i="9"/>
  <c r="B308" i="9"/>
  <c r="C308" i="9"/>
  <c r="B309" i="9"/>
  <c r="C309" i="9"/>
  <c r="B310" i="9"/>
  <c r="C310" i="9"/>
  <c r="B311" i="9"/>
  <c r="C311" i="9"/>
  <c r="B312" i="9"/>
  <c r="C312" i="9"/>
  <c r="B313" i="9"/>
  <c r="C313" i="9"/>
  <c r="B314" i="9"/>
  <c r="C314" i="9"/>
  <c r="B315" i="9"/>
  <c r="C315" i="9"/>
  <c r="B316" i="9"/>
  <c r="C316" i="9"/>
  <c r="B317" i="9"/>
  <c r="C317" i="9"/>
  <c r="B318" i="9"/>
  <c r="C318" i="9"/>
  <c r="B319" i="9"/>
  <c r="C319" i="9"/>
  <c r="B320" i="9"/>
  <c r="C320" i="9"/>
  <c r="B321" i="9"/>
  <c r="C321" i="9"/>
  <c r="B322" i="9"/>
  <c r="C322" i="9"/>
  <c r="B323" i="9"/>
  <c r="C323" i="9"/>
  <c r="B324" i="9"/>
  <c r="C324" i="9"/>
  <c r="B325" i="9"/>
  <c r="C325" i="9"/>
  <c r="B326" i="9"/>
  <c r="C326" i="9"/>
  <c r="B327" i="9"/>
  <c r="C327" i="9"/>
  <c r="B328" i="9"/>
  <c r="C328" i="9"/>
  <c r="B329" i="9"/>
  <c r="C329" i="9"/>
  <c r="B330" i="9"/>
  <c r="C330" i="9"/>
  <c r="B331" i="9"/>
  <c r="C331" i="9"/>
  <c r="B332" i="9"/>
  <c r="C332" i="9"/>
  <c r="B333" i="9"/>
  <c r="C333" i="9"/>
  <c r="B334" i="9"/>
  <c r="C334" i="9"/>
  <c r="B335" i="9"/>
  <c r="C335" i="9"/>
  <c r="B336" i="9"/>
  <c r="C336" i="9"/>
  <c r="B337" i="9"/>
  <c r="C337" i="9"/>
  <c r="B338" i="9"/>
  <c r="C338" i="9"/>
  <c r="B339" i="9"/>
  <c r="C339" i="9"/>
  <c r="B340" i="9"/>
  <c r="C340" i="9"/>
  <c r="B341" i="9"/>
  <c r="C341" i="9"/>
  <c r="B342" i="9"/>
  <c r="C342" i="9"/>
  <c r="B343" i="9"/>
  <c r="C343" i="9"/>
  <c r="B344" i="9"/>
  <c r="C344" i="9"/>
  <c r="B345" i="9"/>
  <c r="C345" i="9"/>
  <c r="B346" i="9"/>
  <c r="C346" i="9"/>
  <c r="B347" i="9"/>
  <c r="C347" i="9"/>
  <c r="B348" i="9"/>
  <c r="C348" i="9"/>
  <c r="B349" i="9"/>
  <c r="C349" i="9"/>
  <c r="B350" i="9"/>
  <c r="C350" i="9"/>
  <c r="B351" i="9"/>
  <c r="C351" i="9"/>
  <c r="B352" i="9"/>
  <c r="C352" i="9"/>
  <c r="B353" i="9"/>
  <c r="C353" i="9"/>
  <c r="B354" i="9"/>
  <c r="C354" i="9"/>
  <c r="B355" i="9"/>
  <c r="C355" i="9"/>
  <c r="B356" i="9"/>
  <c r="C356" i="9"/>
  <c r="B357" i="9"/>
  <c r="C357" i="9"/>
  <c r="B358" i="9"/>
  <c r="C358" i="9"/>
  <c r="B359" i="9"/>
  <c r="C359" i="9"/>
  <c r="B360" i="9"/>
  <c r="C360" i="9"/>
  <c r="B361" i="9"/>
  <c r="C361" i="9"/>
  <c r="B362" i="9"/>
  <c r="C362" i="9"/>
  <c r="B363" i="9"/>
  <c r="C363" i="9"/>
  <c r="B364" i="9"/>
  <c r="C364" i="9"/>
  <c r="B365" i="9"/>
  <c r="C365" i="9"/>
  <c r="B366" i="9"/>
  <c r="C366" i="9"/>
  <c r="B367" i="9"/>
  <c r="C367" i="9"/>
  <c r="B368" i="9"/>
  <c r="C368" i="9"/>
  <c r="B3" i="13"/>
  <c r="C3" i="13"/>
  <c r="B4" i="13"/>
  <c r="C4" i="13"/>
  <c r="B5" i="13"/>
  <c r="C5" i="13"/>
  <c r="B6" i="13"/>
  <c r="C6" i="13"/>
  <c r="B7" i="13"/>
  <c r="C7" i="13"/>
  <c r="B8" i="13"/>
  <c r="C8" i="13"/>
  <c r="B9" i="13"/>
  <c r="C9" i="13"/>
  <c r="B10" i="13"/>
  <c r="C10" i="13"/>
  <c r="B11" i="13"/>
  <c r="C11" i="13"/>
  <c r="B12" i="13"/>
  <c r="C12" i="13"/>
  <c r="B13" i="13"/>
  <c r="C13" i="13"/>
  <c r="B14" i="13"/>
  <c r="C14" i="13"/>
  <c r="B15" i="13"/>
  <c r="C15" i="13"/>
  <c r="B16" i="13"/>
  <c r="C16" i="13"/>
  <c r="B17" i="13"/>
  <c r="C17" i="13"/>
  <c r="B18" i="13"/>
  <c r="C18" i="13"/>
  <c r="B19" i="13"/>
  <c r="C19" i="13"/>
  <c r="B20" i="13"/>
  <c r="C20" i="13"/>
  <c r="B21" i="13"/>
  <c r="C21" i="13"/>
  <c r="B22" i="13"/>
  <c r="C22" i="13"/>
  <c r="B23" i="13"/>
  <c r="C23" i="13"/>
  <c r="B24" i="13"/>
  <c r="C24" i="13"/>
  <c r="B25" i="13"/>
  <c r="C25" i="13"/>
  <c r="B26" i="13"/>
  <c r="C26" i="13"/>
  <c r="B27" i="13"/>
  <c r="C27" i="13"/>
  <c r="B28" i="13"/>
  <c r="C28" i="13"/>
  <c r="B29" i="13"/>
  <c r="C29" i="13"/>
  <c r="B30" i="13"/>
  <c r="C30" i="13"/>
  <c r="B31" i="13"/>
  <c r="C31" i="13"/>
  <c r="B32" i="13"/>
  <c r="C32" i="13"/>
  <c r="B33" i="13"/>
  <c r="C33" i="13"/>
  <c r="B34" i="13"/>
  <c r="C34" i="13"/>
  <c r="B35" i="13"/>
  <c r="C35" i="13"/>
  <c r="B36" i="13"/>
  <c r="C36" i="13"/>
  <c r="B37" i="13"/>
  <c r="C37" i="13"/>
  <c r="B38" i="13"/>
  <c r="C38" i="13"/>
  <c r="B39" i="13"/>
  <c r="C39" i="13"/>
  <c r="B40" i="13"/>
  <c r="C40" i="13"/>
  <c r="B41" i="13"/>
  <c r="C41" i="13"/>
  <c r="B42" i="13"/>
  <c r="C42" i="13"/>
  <c r="B43" i="13"/>
  <c r="C43" i="13"/>
  <c r="B44" i="13"/>
  <c r="C44" i="13"/>
  <c r="B45" i="13"/>
  <c r="C45" i="13"/>
  <c r="B46" i="13"/>
  <c r="C46" i="13"/>
  <c r="B47" i="13"/>
  <c r="C47" i="13"/>
  <c r="B48" i="13"/>
  <c r="C48" i="13"/>
  <c r="B49" i="13"/>
  <c r="C49" i="13"/>
  <c r="B50" i="13"/>
  <c r="C50" i="13"/>
  <c r="B51" i="13"/>
  <c r="C51" i="13"/>
  <c r="B52" i="13"/>
  <c r="C52" i="13"/>
  <c r="B53" i="13"/>
  <c r="C53" i="13"/>
  <c r="B54" i="13"/>
  <c r="C54" i="13"/>
  <c r="B55" i="13"/>
  <c r="C55" i="13"/>
  <c r="B56" i="13"/>
  <c r="C56" i="13"/>
  <c r="B57" i="13"/>
  <c r="C57" i="13"/>
  <c r="B58" i="13"/>
  <c r="C58" i="13"/>
  <c r="B59" i="13"/>
  <c r="C59" i="13"/>
  <c r="B60" i="13"/>
  <c r="C60" i="13"/>
  <c r="B61" i="13"/>
  <c r="C61" i="13"/>
  <c r="B62" i="13"/>
  <c r="C62" i="13"/>
  <c r="B63" i="13"/>
  <c r="C63" i="13"/>
  <c r="B64" i="13"/>
  <c r="C64" i="13"/>
  <c r="B65" i="13"/>
  <c r="C65" i="13"/>
  <c r="B66" i="13"/>
  <c r="C66" i="13"/>
  <c r="B67" i="13"/>
  <c r="C67" i="13"/>
  <c r="B68" i="13"/>
  <c r="C68" i="13"/>
  <c r="B69" i="13"/>
  <c r="C69" i="13"/>
  <c r="B70" i="13"/>
  <c r="C70" i="13"/>
  <c r="B71" i="13"/>
  <c r="C71" i="13"/>
  <c r="B72" i="13"/>
  <c r="C72" i="13"/>
  <c r="B73" i="13"/>
  <c r="C73" i="13"/>
  <c r="B74" i="13"/>
  <c r="C74" i="13"/>
  <c r="B75" i="13"/>
  <c r="C75" i="13"/>
  <c r="B76" i="13"/>
  <c r="C76" i="13"/>
  <c r="B77" i="13"/>
  <c r="C77" i="13"/>
  <c r="B78" i="13"/>
  <c r="C78" i="13"/>
  <c r="B79" i="13"/>
  <c r="C79" i="13"/>
  <c r="B80" i="13"/>
  <c r="C80" i="13"/>
  <c r="B81" i="13"/>
  <c r="C81" i="13"/>
  <c r="B82" i="13"/>
  <c r="C82" i="13"/>
  <c r="B83" i="13"/>
  <c r="C83" i="13"/>
  <c r="B84" i="13"/>
  <c r="C84" i="13"/>
  <c r="B85" i="13"/>
  <c r="C85" i="13"/>
  <c r="B86" i="13"/>
  <c r="C86" i="13"/>
  <c r="B87" i="13"/>
  <c r="C87" i="13"/>
  <c r="B88" i="13"/>
  <c r="C88" i="13"/>
  <c r="B89" i="13"/>
  <c r="C89" i="13"/>
  <c r="B90" i="13"/>
  <c r="C90" i="13"/>
  <c r="B91" i="13"/>
  <c r="C91" i="13"/>
  <c r="B92" i="13"/>
  <c r="C92" i="13"/>
  <c r="B93" i="13"/>
  <c r="C93" i="13"/>
  <c r="B94" i="13"/>
  <c r="C94" i="13"/>
  <c r="B95" i="13"/>
  <c r="C95" i="13"/>
  <c r="B96" i="13"/>
  <c r="C96" i="13"/>
  <c r="B97" i="13"/>
  <c r="C97" i="13"/>
  <c r="B98" i="13"/>
  <c r="C98" i="13"/>
  <c r="B99" i="13"/>
  <c r="C99" i="13"/>
  <c r="B3" i="14"/>
  <c r="C3" i="14"/>
  <c r="B4" i="14"/>
  <c r="C4" i="14"/>
  <c r="B5" i="14"/>
  <c r="C5" i="14"/>
  <c r="B6" i="14"/>
  <c r="C6" i="14"/>
  <c r="B7" i="14"/>
  <c r="C7" i="14"/>
  <c r="B8" i="14"/>
  <c r="C8" i="14"/>
  <c r="B9" i="14"/>
  <c r="C9" i="14"/>
  <c r="B10" i="14"/>
  <c r="C10" i="14"/>
  <c r="B11" i="14"/>
  <c r="C11" i="14"/>
  <c r="B12" i="14"/>
  <c r="C12" i="14"/>
  <c r="B13" i="14"/>
  <c r="C13" i="14"/>
  <c r="B14" i="14"/>
  <c r="C14" i="14"/>
  <c r="B15" i="14"/>
  <c r="C15" i="14"/>
  <c r="B16" i="14"/>
  <c r="C16" i="14"/>
  <c r="B17" i="14"/>
  <c r="C17" i="14"/>
  <c r="B18" i="14"/>
  <c r="C18" i="14"/>
  <c r="B19" i="14"/>
  <c r="C19" i="14"/>
  <c r="B20" i="14"/>
  <c r="C20" i="14"/>
  <c r="B21" i="14"/>
  <c r="C21" i="14"/>
  <c r="B22" i="14"/>
  <c r="C22" i="14"/>
  <c r="B23" i="14"/>
  <c r="C23" i="14"/>
  <c r="B24" i="14"/>
  <c r="C24" i="14"/>
  <c r="B25" i="14"/>
  <c r="C25" i="14"/>
  <c r="B26" i="14"/>
  <c r="C26" i="14"/>
  <c r="B27" i="14"/>
  <c r="C27" i="14"/>
  <c r="B28" i="14"/>
  <c r="C28" i="14"/>
  <c r="B29" i="14"/>
  <c r="C29" i="14"/>
  <c r="B30" i="14"/>
  <c r="C30" i="14"/>
  <c r="B31" i="14"/>
  <c r="C31" i="14"/>
  <c r="B32" i="14"/>
  <c r="C32" i="14"/>
  <c r="B33" i="14"/>
  <c r="C33" i="14"/>
  <c r="B34" i="14"/>
  <c r="C34" i="14"/>
  <c r="B35" i="14"/>
  <c r="C35" i="14"/>
  <c r="B36" i="14"/>
  <c r="C36" i="14"/>
  <c r="B37" i="14"/>
  <c r="C37" i="14"/>
  <c r="B38" i="14"/>
  <c r="C38" i="14"/>
  <c r="B39" i="14"/>
  <c r="C39" i="14"/>
  <c r="B40" i="14"/>
  <c r="C40" i="14"/>
  <c r="B41" i="14"/>
  <c r="C41" i="14"/>
  <c r="B42" i="14"/>
  <c r="C42" i="14"/>
  <c r="B43" i="14"/>
  <c r="C43" i="14"/>
  <c r="B44" i="14"/>
  <c r="C44" i="14"/>
  <c r="B45" i="14"/>
  <c r="C45" i="14"/>
  <c r="B46" i="14"/>
  <c r="C46" i="14"/>
  <c r="B47" i="14"/>
  <c r="C47" i="14"/>
  <c r="B48" i="14"/>
  <c r="C48" i="14"/>
  <c r="B49" i="14"/>
  <c r="C49" i="14"/>
  <c r="B50" i="14"/>
  <c r="C50" i="14"/>
  <c r="B51" i="14"/>
  <c r="C51" i="14"/>
  <c r="B52" i="14"/>
  <c r="C52" i="14"/>
  <c r="B53" i="14"/>
  <c r="C53" i="14"/>
  <c r="B54" i="14"/>
  <c r="C54" i="14"/>
  <c r="B55" i="14"/>
  <c r="C55" i="14"/>
  <c r="B56" i="14"/>
  <c r="C56" i="14"/>
  <c r="B57" i="14"/>
  <c r="C57" i="14"/>
  <c r="B58" i="14"/>
  <c r="C58" i="14"/>
  <c r="B59" i="14"/>
  <c r="C59" i="14"/>
  <c r="B60" i="14"/>
  <c r="C60" i="14"/>
  <c r="B61" i="14"/>
  <c r="C61" i="14"/>
  <c r="B62" i="14"/>
  <c r="C62" i="14"/>
  <c r="B63" i="14"/>
  <c r="C63" i="14"/>
  <c r="B64" i="14"/>
  <c r="C64" i="14"/>
  <c r="B65" i="14"/>
  <c r="C65" i="14"/>
  <c r="B66" i="14"/>
  <c r="C66" i="14"/>
  <c r="B67" i="14"/>
  <c r="C67" i="14"/>
  <c r="B68" i="14"/>
  <c r="C68" i="14"/>
  <c r="B69" i="14"/>
  <c r="C69" i="14"/>
  <c r="B70" i="14"/>
  <c r="C70" i="14"/>
  <c r="B71" i="14"/>
  <c r="C71" i="14"/>
  <c r="B72" i="14"/>
  <c r="C72" i="14"/>
  <c r="B73" i="14"/>
  <c r="C73" i="14"/>
  <c r="B74" i="14"/>
  <c r="C74" i="14"/>
  <c r="B75" i="14"/>
  <c r="C75" i="14"/>
  <c r="B76" i="14"/>
  <c r="C76" i="14"/>
  <c r="B77" i="14"/>
  <c r="C77" i="14"/>
  <c r="B78" i="14"/>
  <c r="C78" i="14"/>
  <c r="B79" i="14"/>
  <c r="C79" i="14"/>
  <c r="B80" i="14"/>
  <c r="C80" i="14"/>
  <c r="B81" i="14"/>
  <c r="C81" i="14"/>
  <c r="B82" i="14"/>
  <c r="C82" i="14"/>
  <c r="B83" i="14"/>
  <c r="C83" i="14"/>
  <c r="B84" i="14"/>
  <c r="C84" i="14"/>
  <c r="B85" i="14"/>
  <c r="C85" i="14"/>
  <c r="B86" i="14"/>
  <c r="C86" i="14"/>
  <c r="B87" i="14"/>
  <c r="C87" i="14"/>
  <c r="B88" i="14"/>
  <c r="C88" i="14"/>
  <c r="C2" i="13"/>
  <c r="B2" i="13"/>
  <c r="C2" i="14"/>
  <c r="B2" i="14"/>
  <c r="C2" i="9"/>
  <c r="B2" i="9"/>
  <c r="C2" i="8"/>
  <c r="B2" i="8"/>
  <c r="C2" i="34"/>
  <c r="B2" i="34"/>
  <c r="C2" i="23"/>
  <c r="B2" i="23"/>
  <c r="C2" i="25"/>
  <c r="B2" i="25"/>
  <c r="C2" i="18"/>
  <c r="B2" i="18"/>
  <c r="C2" i="33"/>
  <c r="B2" i="33"/>
  <c r="C3" i="35" l="1"/>
  <c r="C4" i="35"/>
  <c r="C5" i="35"/>
  <c r="C6" i="35"/>
  <c r="C7" i="35"/>
  <c r="C8" i="35"/>
  <c r="C9" i="35"/>
  <c r="C10" i="35"/>
  <c r="C11" i="35"/>
  <c r="C12" i="35"/>
  <c r="C13" i="35"/>
  <c r="C14" i="35"/>
  <c r="C15" i="35"/>
  <c r="C16" i="35"/>
  <c r="C17" i="35"/>
  <c r="C18" i="35"/>
  <c r="C19" i="35"/>
  <c r="C20" i="35"/>
  <c r="C21" i="35"/>
  <c r="C22" i="35"/>
  <c r="C23" i="35"/>
  <c r="C24" i="35"/>
  <c r="C25" i="35"/>
  <c r="C26" i="35"/>
  <c r="C27" i="35"/>
  <c r="C28" i="35"/>
  <c r="C29" i="35"/>
  <c r="C30" i="35"/>
  <c r="C31" i="35"/>
  <c r="C32" i="35"/>
  <c r="C33" i="35"/>
  <c r="C34" i="35"/>
  <c r="C35" i="35"/>
  <c r="C36" i="35"/>
  <c r="C37" i="35"/>
  <c r="C38" i="35"/>
  <c r="C39" i="35"/>
  <c r="C40" i="35"/>
  <c r="C41" i="35"/>
  <c r="C42" i="35"/>
  <c r="C43" i="35"/>
  <c r="C44" i="35"/>
  <c r="C45" i="35"/>
  <c r="C46" i="35"/>
  <c r="C47" i="35"/>
  <c r="C48" i="35"/>
  <c r="C49" i="35"/>
  <c r="C50" i="35"/>
  <c r="C51" i="35"/>
  <c r="C52" i="35"/>
  <c r="C53" i="35"/>
  <c r="C54" i="35"/>
  <c r="C55" i="35"/>
  <c r="C56" i="35"/>
  <c r="C57" i="35"/>
  <c r="C58" i="35"/>
  <c r="C59" i="35"/>
  <c r="C60" i="35"/>
  <c r="C61" i="35"/>
  <c r="C62" i="35"/>
  <c r="C63" i="35"/>
  <c r="C64" i="35"/>
  <c r="C65" i="35"/>
  <c r="C66" i="35"/>
  <c r="C67" i="35"/>
  <c r="C68" i="35"/>
  <c r="C69" i="35"/>
  <c r="C70" i="35"/>
  <c r="C71" i="35"/>
  <c r="C72" i="35"/>
  <c r="C73" i="35"/>
  <c r="C74" i="35"/>
  <c r="C75" i="35"/>
  <c r="C76" i="35"/>
  <c r="C77" i="35"/>
  <c r="C78" i="35"/>
  <c r="C79" i="35"/>
  <c r="C80" i="35"/>
  <c r="C81" i="35"/>
  <c r="C82" i="35"/>
  <c r="C83" i="35"/>
  <c r="C84" i="35"/>
  <c r="C85" i="35"/>
  <c r="C86" i="35"/>
  <c r="C87" i="35"/>
  <c r="C88" i="35"/>
  <c r="C89" i="35"/>
  <c r="C90" i="35"/>
  <c r="C91" i="35"/>
  <c r="C92" i="35"/>
  <c r="C93" i="35"/>
  <c r="C94" i="35"/>
  <c r="C95" i="35"/>
  <c r="C96" i="35"/>
  <c r="C97" i="35"/>
  <c r="C98" i="35"/>
  <c r="C99" i="35"/>
  <c r="C100" i="35"/>
  <c r="C101" i="35"/>
  <c r="C102" i="35"/>
  <c r="C103" i="35"/>
  <c r="C104" i="35"/>
  <c r="C105" i="35"/>
  <c r="C106" i="35"/>
  <c r="C107" i="35"/>
  <c r="C108" i="35"/>
  <c r="C109" i="35"/>
  <c r="C110" i="35"/>
  <c r="C111" i="35"/>
  <c r="C112" i="35"/>
  <c r="C113" i="35"/>
  <c r="C114" i="35"/>
  <c r="C115" i="35"/>
  <c r="C116" i="35"/>
  <c r="C117" i="35"/>
  <c r="C118" i="35"/>
  <c r="C119" i="35"/>
  <c r="C120" i="35"/>
  <c r="C121" i="35"/>
  <c r="C122" i="35"/>
  <c r="C123" i="35"/>
  <c r="C124" i="35"/>
  <c r="C125" i="35"/>
  <c r="C126" i="35"/>
  <c r="C127" i="35"/>
  <c r="C128" i="35"/>
  <c r="C129" i="35"/>
  <c r="C130" i="35"/>
  <c r="C131" i="35"/>
  <c r="C132" i="35"/>
  <c r="C133" i="35"/>
  <c r="C134" i="35"/>
  <c r="C135" i="35"/>
  <c r="C136" i="35"/>
  <c r="C137" i="35"/>
  <c r="C138" i="35"/>
  <c r="C139" i="35"/>
  <c r="C140" i="35"/>
  <c r="C141" i="35"/>
  <c r="B5" i="35"/>
  <c r="B6" i="35"/>
  <c r="B7" i="35"/>
  <c r="B8" i="35"/>
  <c r="B9" i="35"/>
  <c r="B10" i="35"/>
  <c r="B11" i="35"/>
  <c r="B12" i="35"/>
  <c r="B13" i="35"/>
  <c r="B14" i="35"/>
  <c r="B15" i="35"/>
  <c r="B16" i="35"/>
  <c r="B17" i="35"/>
  <c r="B18" i="35"/>
  <c r="B19" i="35"/>
  <c r="B20" i="35"/>
  <c r="B21" i="35"/>
  <c r="B22" i="35"/>
  <c r="B23" i="35"/>
  <c r="B24" i="35"/>
  <c r="B25" i="35"/>
  <c r="B26" i="35"/>
  <c r="B27" i="35"/>
  <c r="B28" i="35"/>
  <c r="B29" i="35"/>
  <c r="B30" i="35"/>
  <c r="B31" i="35"/>
  <c r="B32" i="35"/>
  <c r="B33" i="35"/>
  <c r="B34" i="35"/>
  <c r="B35" i="35"/>
  <c r="B36" i="35"/>
  <c r="B37" i="35"/>
  <c r="B38" i="35"/>
  <c r="B39" i="35"/>
  <c r="B40" i="35"/>
  <c r="B41" i="35"/>
  <c r="B42" i="35"/>
  <c r="B43" i="35"/>
  <c r="B44" i="35"/>
  <c r="B45" i="35"/>
  <c r="B46" i="35"/>
  <c r="B47" i="35"/>
  <c r="B48" i="35"/>
  <c r="B49" i="35"/>
  <c r="B50" i="35"/>
  <c r="B51" i="35"/>
  <c r="B52" i="35"/>
  <c r="B53" i="35"/>
  <c r="B54" i="35"/>
  <c r="B55" i="35"/>
  <c r="B56" i="35"/>
  <c r="B57" i="35"/>
  <c r="B58" i="35"/>
  <c r="B59" i="35"/>
  <c r="B60" i="35"/>
  <c r="B61" i="35"/>
  <c r="B62" i="35"/>
  <c r="B63" i="35"/>
  <c r="B64" i="35"/>
  <c r="B65" i="35"/>
  <c r="B66" i="35"/>
  <c r="B67" i="35"/>
  <c r="B68" i="35"/>
  <c r="B69" i="35"/>
  <c r="B70" i="35"/>
  <c r="B71" i="35"/>
  <c r="B72" i="35"/>
  <c r="B73" i="35"/>
  <c r="B74" i="35"/>
  <c r="B75" i="35"/>
  <c r="B76" i="35"/>
  <c r="B77" i="35"/>
  <c r="B78" i="35"/>
  <c r="B79" i="35"/>
  <c r="B80" i="35"/>
  <c r="B81" i="35"/>
  <c r="B82" i="35"/>
  <c r="B83" i="35"/>
  <c r="B84" i="35"/>
  <c r="B85" i="35"/>
  <c r="B86" i="35"/>
  <c r="B87" i="35"/>
  <c r="B88" i="35"/>
  <c r="B89" i="35"/>
  <c r="B90" i="35"/>
  <c r="B91" i="35"/>
  <c r="B92" i="35"/>
  <c r="B93" i="35"/>
  <c r="B94" i="35"/>
  <c r="B95" i="35"/>
  <c r="B96" i="35"/>
  <c r="B97" i="35"/>
  <c r="B98" i="35"/>
  <c r="B99" i="35"/>
  <c r="B100" i="35"/>
  <c r="B101" i="35"/>
  <c r="B102" i="35"/>
  <c r="B103" i="35"/>
  <c r="B104" i="35"/>
  <c r="B105" i="35"/>
  <c r="B106" i="35"/>
  <c r="B107" i="35"/>
  <c r="B108" i="35"/>
  <c r="B109" i="35"/>
  <c r="B110" i="35"/>
  <c r="B111" i="35"/>
  <c r="B112" i="35"/>
  <c r="B113" i="35"/>
  <c r="B114" i="35"/>
  <c r="B115" i="35"/>
  <c r="B116" i="35"/>
  <c r="B117" i="35"/>
  <c r="B118" i="35"/>
  <c r="B119" i="35"/>
  <c r="B120" i="35"/>
  <c r="B121" i="35"/>
  <c r="B122" i="35"/>
  <c r="B123" i="35"/>
  <c r="B124" i="35"/>
  <c r="B125" i="35"/>
  <c r="B126" i="35"/>
  <c r="B127" i="35"/>
  <c r="B128" i="35"/>
  <c r="B129" i="35"/>
  <c r="B130" i="35"/>
  <c r="B131" i="35"/>
  <c r="B132" i="35"/>
  <c r="B133" i="35"/>
  <c r="B134" i="35"/>
  <c r="B135" i="35"/>
  <c r="B136" i="35"/>
  <c r="B137" i="35"/>
  <c r="B138" i="35"/>
  <c r="B139" i="35"/>
  <c r="B140" i="35"/>
  <c r="B141" i="35"/>
  <c r="B4" i="35"/>
  <c r="B3" i="35"/>
  <c r="O12" i="33" l="1"/>
  <c r="O13" i="33"/>
  <c r="O14" i="33"/>
  <c r="O15" i="33"/>
  <c r="O16" i="33"/>
  <c r="O17" i="33"/>
  <c r="O18" i="33"/>
  <c r="O19" i="33"/>
  <c r="O20" i="33"/>
  <c r="O21" i="33"/>
  <c r="O22" i="33"/>
  <c r="O23" i="33"/>
  <c r="O24" i="33"/>
  <c r="O25" i="33"/>
  <c r="O26" i="33"/>
  <c r="O27" i="33"/>
  <c r="O28" i="33"/>
  <c r="O29" i="33"/>
  <c r="O30" i="33"/>
  <c r="O31" i="33"/>
  <c r="O32" i="33"/>
  <c r="O33" i="33"/>
  <c r="O34" i="33"/>
  <c r="O35" i="33"/>
  <c r="O36" i="33"/>
  <c r="O37" i="33"/>
  <c r="O38" i="33"/>
  <c r="O39" i="33"/>
  <c r="O40" i="33"/>
  <c r="O41" i="33"/>
  <c r="O42" i="33"/>
  <c r="O43" i="33"/>
  <c r="O44" i="33"/>
  <c r="O45" i="33"/>
  <c r="O46" i="33"/>
  <c r="O47" i="33"/>
  <c r="O48" i="33"/>
  <c r="O49" i="33"/>
  <c r="O50" i="33"/>
  <c r="O51" i="33"/>
  <c r="O52" i="33"/>
  <c r="O53" i="33"/>
  <c r="O54" i="33"/>
  <c r="O55" i="33"/>
  <c r="O56" i="33"/>
  <c r="O57" i="33"/>
  <c r="O58" i="33"/>
  <c r="O59" i="33"/>
  <c r="O60" i="33"/>
  <c r="O61" i="33"/>
  <c r="O62" i="33"/>
  <c r="O63" i="33"/>
  <c r="O64" i="33"/>
  <c r="O65" i="33"/>
  <c r="O66" i="33"/>
  <c r="O67" i="33"/>
  <c r="O68" i="33"/>
  <c r="O69" i="33"/>
  <c r="O70" i="33"/>
  <c r="O71" i="33"/>
  <c r="O72" i="33"/>
  <c r="O73" i="33"/>
  <c r="O74" i="33"/>
  <c r="O75" i="33"/>
  <c r="O76" i="33"/>
  <c r="O77" i="33"/>
  <c r="O78" i="33"/>
  <c r="O79" i="33"/>
  <c r="O80" i="33"/>
  <c r="O81" i="33"/>
  <c r="O82" i="33"/>
  <c r="O83" i="33"/>
  <c r="O84" i="33"/>
  <c r="O85" i="33"/>
  <c r="O86" i="33"/>
  <c r="O87" i="33"/>
  <c r="O88" i="33"/>
  <c r="O89" i="33"/>
  <c r="O90" i="33"/>
  <c r="O91" i="33"/>
  <c r="O92" i="33"/>
  <c r="O93" i="33"/>
  <c r="O94" i="33"/>
  <c r="O95" i="33"/>
  <c r="O96" i="33"/>
  <c r="O97" i="33"/>
  <c r="O98" i="33"/>
  <c r="O99" i="33"/>
  <c r="O100" i="33"/>
  <c r="O101" i="33"/>
  <c r="O102" i="33"/>
  <c r="O103" i="33"/>
  <c r="O104" i="33"/>
  <c r="O105" i="33"/>
  <c r="O106" i="33"/>
  <c r="O107" i="33"/>
  <c r="O108" i="33"/>
  <c r="O109" i="33"/>
  <c r="O110" i="33"/>
  <c r="O111" i="33"/>
  <c r="O112" i="33"/>
  <c r="O113" i="33"/>
  <c r="O114" i="33"/>
  <c r="O115" i="33"/>
  <c r="O116" i="33"/>
  <c r="O117" i="33"/>
  <c r="O118" i="33"/>
  <c r="O119" i="33"/>
  <c r="O120" i="33"/>
  <c r="O121" i="33"/>
  <c r="O122" i="33"/>
  <c r="O123" i="33"/>
  <c r="O124" i="33"/>
  <c r="O125" i="33"/>
  <c r="O126" i="33"/>
  <c r="O127" i="33"/>
  <c r="O128" i="33"/>
  <c r="O129" i="33"/>
  <c r="O130" i="33"/>
  <c r="O131" i="33"/>
  <c r="O132" i="33"/>
  <c r="O133" i="33"/>
  <c r="O134" i="33"/>
  <c r="O135" i="33"/>
  <c r="O136" i="33"/>
  <c r="O137" i="33"/>
  <c r="O138" i="33"/>
  <c r="O139" i="33"/>
  <c r="O140" i="33"/>
  <c r="O141" i="33"/>
  <c r="O142" i="33"/>
  <c r="O143" i="33"/>
  <c r="O144" i="33"/>
  <c r="O145" i="33"/>
  <c r="O146" i="33"/>
  <c r="O147" i="33"/>
  <c r="O148" i="33"/>
  <c r="O149" i="33"/>
  <c r="O150" i="33"/>
  <c r="O151" i="33"/>
  <c r="O152" i="33"/>
  <c r="O153" i="33"/>
  <c r="O154" i="33"/>
  <c r="O155" i="33"/>
  <c r="O156" i="33"/>
  <c r="O157" i="33"/>
  <c r="O158" i="33"/>
  <c r="O159" i="33"/>
  <c r="O160" i="33"/>
  <c r="O161" i="33"/>
  <c r="O162" i="33"/>
  <c r="O163" i="33"/>
  <c r="O164" i="33"/>
  <c r="O165" i="33"/>
  <c r="O166" i="33"/>
  <c r="O167" i="33"/>
  <c r="O168" i="33"/>
  <c r="O169" i="33"/>
  <c r="O170" i="33"/>
  <c r="O171" i="33"/>
  <c r="O172" i="33"/>
  <c r="O173" i="33"/>
  <c r="O174" i="33"/>
  <c r="O175" i="33"/>
  <c r="O176" i="33"/>
  <c r="O177" i="33"/>
  <c r="O178" i="33"/>
  <c r="O179" i="33"/>
  <c r="O180" i="33"/>
  <c r="O181" i="33"/>
  <c r="O182" i="33"/>
  <c r="O183" i="33"/>
  <c r="O184" i="33"/>
  <c r="O185" i="33"/>
  <c r="O186" i="33"/>
  <c r="O187" i="33"/>
  <c r="O188" i="33"/>
  <c r="O189" i="33"/>
  <c r="O190" i="33"/>
  <c r="O191" i="33"/>
  <c r="O192" i="33"/>
  <c r="O193" i="33"/>
  <c r="O194" i="33"/>
  <c r="O195" i="33"/>
  <c r="O196" i="33"/>
  <c r="O197" i="33"/>
  <c r="O198" i="33"/>
  <c r="O199" i="33"/>
  <c r="O200" i="33"/>
  <c r="O201" i="33"/>
  <c r="O202" i="33"/>
  <c r="O203" i="33"/>
  <c r="O204" i="33"/>
  <c r="O205" i="33"/>
  <c r="O206" i="33"/>
  <c r="O207" i="33"/>
  <c r="O208" i="33"/>
  <c r="O209" i="33"/>
  <c r="O210" i="33"/>
  <c r="O211" i="33"/>
  <c r="O212" i="33"/>
  <c r="O213" i="33"/>
  <c r="O214" i="33"/>
  <c r="O215" i="33"/>
  <c r="O216" i="33"/>
  <c r="O217" i="33"/>
  <c r="O218" i="33"/>
  <c r="O219" i="33"/>
  <c r="O220" i="33"/>
  <c r="O221" i="33"/>
  <c r="O222" i="33"/>
  <c r="O223" i="33"/>
  <c r="O224" i="33"/>
  <c r="O225" i="33"/>
  <c r="O226" i="33"/>
  <c r="O227" i="33"/>
  <c r="O228" i="33"/>
  <c r="O229" i="33"/>
  <c r="O230" i="33"/>
  <c r="O231" i="33"/>
  <c r="O232" i="33"/>
  <c r="O233" i="33"/>
  <c r="O234" i="33"/>
  <c r="O235" i="33"/>
  <c r="O236" i="33"/>
  <c r="O237" i="33"/>
  <c r="O238" i="33"/>
  <c r="O239" i="33"/>
  <c r="O240" i="33"/>
  <c r="O241" i="33"/>
  <c r="O242" i="33"/>
  <c r="O243" i="33"/>
  <c r="O244" i="33"/>
  <c r="O245" i="33"/>
  <c r="O246" i="33"/>
  <c r="O247" i="33"/>
  <c r="O248" i="33"/>
  <c r="O249" i="33"/>
  <c r="O250" i="33"/>
  <c r="O251" i="33"/>
  <c r="O252" i="33"/>
  <c r="O253" i="33"/>
  <c r="O254" i="33"/>
  <c r="O255" i="33"/>
  <c r="O256" i="33"/>
  <c r="O257" i="33"/>
  <c r="O258" i="33"/>
  <c r="O259" i="33"/>
  <c r="O260" i="33"/>
  <c r="O261" i="33"/>
  <c r="O262" i="33"/>
  <c r="O263" i="33"/>
  <c r="O264" i="33"/>
  <c r="O265" i="33"/>
  <c r="O266" i="33"/>
  <c r="O267" i="33"/>
  <c r="O268" i="33"/>
  <c r="O269" i="33"/>
  <c r="O270" i="33"/>
  <c r="O271" i="33"/>
  <c r="O272" i="33"/>
  <c r="O273" i="33"/>
  <c r="O274" i="33"/>
  <c r="O275" i="33"/>
  <c r="O276" i="33"/>
  <c r="O277" i="33"/>
  <c r="O278" i="33"/>
  <c r="O279" i="33"/>
  <c r="O280" i="33"/>
  <c r="O281" i="33"/>
  <c r="O282" i="33"/>
  <c r="O283" i="33"/>
  <c r="O284" i="33"/>
  <c r="O285" i="33"/>
  <c r="O286" i="33"/>
  <c r="O287" i="33"/>
  <c r="O288" i="33"/>
  <c r="O289" i="33"/>
  <c r="O290" i="33"/>
  <c r="O291" i="33"/>
  <c r="O292" i="33"/>
  <c r="O293" i="33"/>
  <c r="O294" i="33"/>
  <c r="O295" i="33"/>
  <c r="O296" i="33"/>
  <c r="O297" i="33"/>
  <c r="O298" i="33"/>
  <c r="O299" i="33"/>
  <c r="O300" i="33"/>
  <c r="O301" i="33"/>
  <c r="O302" i="33"/>
  <c r="O303" i="33"/>
  <c r="O304" i="33"/>
  <c r="O305" i="33"/>
  <c r="O306" i="33"/>
  <c r="O307" i="33"/>
  <c r="O308" i="33"/>
  <c r="O309" i="33"/>
  <c r="O310" i="33"/>
  <c r="O311" i="33"/>
  <c r="O312" i="33"/>
  <c r="O313" i="33"/>
  <c r="O314" i="33"/>
  <c r="O315" i="33"/>
  <c r="O316" i="33"/>
  <c r="O317" i="33"/>
  <c r="O318" i="33"/>
  <c r="O319" i="33"/>
  <c r="O320" i="33"/>
  <c r="O321" i="33"/>
  <c r="O322" i="33"/>
  <c r="O323" i="33"/>
  <c r="O324" i="33"/>
  <c r="O325" i="33"/>
  <c r="O326" i="33"/>
  <c r="O327" i="33"/>
  <c r="O328" i="33"/>
  <c r="O329" i="33"/>
  <c r="O330" i="33"/>
  <c r="O331" i="33"/>
  <c r="O332" i="33"/>
  <c r="O333" i="33"/>
  <c r="O334" i="33"/>
  <c r="O335" i="33"/>
  <c r="O336" i="33"/>
  <c r="O337" i="33"/>
  <c r="O338" i="33"/>
  <c r="O339" i="33"/>
  <c r="O340" i="33"/>
  <c r="O341" i="33"/>
  <c r="O342" i="33"/>
  <c r="O343" i="33"/>
  <c r="O344" i="33"/>
  <c r="O345" i="33"/>
  <c r="O346" i="33"/>
  <c r="O347" i="33"/>
  <c r="O348" i="33"/>
  <c r="O349" i="33"/>
  <c r="O350" i="33"/>
  <c r="O351" i="33"/>
  <c r="O352" i="33"/>
  <c r="O353" i="33"/>
  <c r="O354" i="33"/>
  <c r="O355" i="33"/>
  <c r="O356" i="33"/>
  <c r="O357" i="33"/>
  <c r="O358" i="33"/>
  <c r="O359" i="33"/>
  <c r="O360" i="33"/>
  <c r="O361" i="33"/>
  <c r="O362" i="33"/>
  <c r="O363" i="33"/>
  <c r="O364" i="33"/>
  <c r="O365" i="33"/>
  <c r="O366" i="33"/>
  <c r="O367" i="33"/>
  <c r="O368" i="33"/>
  <c r="O369" i="33"/>
  <c r="O370" i="33"/>
  <c r="O371" i="33"/>
  <c r="O372" i="33"/>
  <c r="O373" i="33"/>
  <c r="O374" i="33"/>
  <c r="O375" i="33"/>
  <c r="O376" i="33"/>
  <c r="O377" i="33"/>
  <c r="O378" i="33"/>
  <c r="O379" i="33"/>
  <c r="O380" i="33"/>
  <c r="O381" i="33"/>
  <c r="O382" i="33"/>
  <c r="O383" i="33"/>
  <c r="O384" i="33"/>
  <c r="O385" i="33"/>
  <c r="O386" i="33"/>
  <c r="O387" i="33"/>
  <c r="O388" i="33"/>
  <c r="O389" i="33"/>
  <c r="O390" i="33"/>
  <c r="O391" i="33"/>
  <c r="O392" i="33"/>
  <c r="O393" i="33"/>
  <c r="O394" i="33"/>
  <c r="O395" i="33"/>
  <c r="O396" i="33"/>
  <c r="O397" i="33"/>
  <c r="O398" i="33"/>
  <c r="O399" i="33"/>
  <c r="O400" i="33"/>
  <c r="O401" i="33"/>
  <c r="O402" i="33"/>
  <c r="O403" i="33"/>
  <c r="O404" i="33"/>
  <c r="O405" i="33"/>
  <c r="O406" i="33"/>
  <c r="O407" i="33"/>
  <c r="O408" i="33"/>
  <c r="O409" i="33"/>
  <c r="O410" i="33"/>
  <c r="O411" i="33"/>
  <c r="O412" i="33"/>
  <c r="O413" i="33"/>
  <c r="O414" i="33"/>
  <c r="O415" i="33"/>
  <c r="O416" i="33"/>
  <c r="O417" i="33"/>
  <c r="O418" i="33"/>
  <c r="O419" i="33"/>
  <c r="O420" i="33"/>
  <c r="O421" i="33"/>
  <c r="O422" i="33"/>
  <c r="O423" i="33"/>
  <c r="O424" i="33"/>
  <c r="O425" i="33"/>
  <c r="O426" i="33"/>
  <c r="O427" i="33"/>
  <c r="O428" i="33"/>
  <c r="O429" i="33"/>
  <c r="O430" i="33"/>
  <c r="O431" i="33"/>
  <c r="O432" i="33"/>
  <c r="O433" i="33"/>
  <c r="O434" i="33"/>
  <c r="O435" i="33"/>
  <c r="O436" i="33"/>
  <c r="O437" i="33"/>
  <c r="O438" i="33"/>
  <c r="O439" i="33"/>
  <c r="O440" i="33"/>
  <c r="O441" i="33"/>
  <c r="O442" i="33"/>
  <c r="O443" i="33"/>
  <c r="O444" i="33"/>
  <c r="O445" i="33"/>
  <c r="O446" i="33"/>
  <c r="O447" i="33"/>
  <c r="O448" i="33"/>
  <c r="O449" i="33"/>
  <c r="O450" i="33"/>
  <c r="O451" i="33"/>
  <c r="O452" i="33"/>
  <c r="O453" i="33"/>
  <c r="O454" i="33"/>
  <c r="O455" i="33"/>
  <c r="O456" i="33"/>
  <c r="O457" i="33"/>
  <c r="O458" i="33"/>
  <c r="O459" i="33"/>
  <c r="O460" i="33"/>
  <c r="O461" i="33"/>
  <c r="O462" i="33"/>
  <c r="O463" i="33"/>
  <c r="O464" i="33"/>
  <c r="O465" i="33"/>
  <c r="O466" i="33"/>
  <c r="O467" i="33"/>
  <c r="O468" i="33"/>
  <c r="O469" i="33"/>
  <c r="O470" i="33"/>
  <c r="O471" i="33"/>
  <c r="O472" i="33"/>
  <c r="O473" i="33"/>
  <c r="O474" i="33"/>
  <c r="O475" i="33"/>
  <c r="O476" i="33"/>
  <c r="O477" i="33"/>
  <c r="O478" i="33"/>
  <c r="O479" i="33"/>
  <c r="O480" i="33"/>
  <c r="O481" i="33"/>
  <c r="O482" i="33"/>
  <c r="O483" i="33"/>
  <c r="O484" i="33"/>
  <c r="O485" i="33"/>
  <c r="O486" i="33"/>
  <c r="O487" i="33"/>
  <c r="O488" i="33"/>
  <c r="O489" i="33"/>
  <c r="O490" i="33"/>
  <c r="O491" i="33"/>
  <c r="O492" i="33"/>
  <c r="O493" i="33"/>
  <c r="O494" i="33"/>
  <c r="O495" i="33"/>
  <c r="O496" i="33"/>
  <c r="O497" i="33"/>
  <c r="O498" i="33"/>
  <c r="O499" i="33"/>
  <c r="O500" i="33"/>
  <c r="O501" i="33"/>
  <c r="O502" i="33"/>
  <c r="O503" i="33"/>
  <c r="O504" i="33"/>
  <c r="O505" i="33"/>
  <c r="O506" i="33"/>
  <c r="O12" i="35"/>
  <c r="O13" i="35"/>
  <c r="O14" i="35"/>
  <c r="O15" i="35"/>
  <c r="O16" i="35"/>
  <c r="O17" i="35"/>
  <c r="O18" i="35"/>
  <c r="O19" i="35"/>
  <c r="O20" i="35"/>
  <c r="O21" i="35"/>
  <c r="O22" i="35"/>
  <c r="O23" i="35"/>
  <c r="O24" i="35"/>
  <c r="O25" i="35"/>
  <c r="O26" i="35"/>
  <c r="O27" i="35"/>
  <c r="O28" i="35"/>
  <c r="O29" i="35"/>
  <c r="O30" i="35"/>
  <c r="O31" i="35"/>
  <c r="O32" i="35"/>
  <c r="O33" i="35"/>
  <c r="O34" i="35"/>
  <c r="O35" i="35"/>
  <c r="O36" i="35"/>
  <c r="O37" i="35"/>
  <c r="O38" i="35"/>
  <c r="O39" i="35"/>
  <c r="O40" i="35"/>
  <c r="O41" i="35"/>
  <c r="O42" i="35"/>
  <c r="O43" i="35"/>
  <c r="O44" i="35"/>
  <c r="O45" i="35"/>
  <c r="O46" i="35"/>
  <c r="O47" i="35"/>
  <c r="O48" i="35"/>
  <c r="O49" i="35"/>
  <c r="O50" i="35"/>
  <c r="O51" i="35"/>
  <c r="O52" i="35"/>
  <c r="O53" i="35"/>
  <c r="O54" i="35"/>
  <c r="O55" i="35"/>
  <c r="O56" i="35"/>
  <c r="O57" i="35"/>
  <c r="O58" i="35"/>
  <c r="O59" i="35"/>
  <c r="O60" i="35"/>
  <c r="O61" i="35"/>
  <c r="O62" i="35"/>
  <c r="O63" i="35"/>
  <c r="O64" i="35"/>
  <c r="O65" i="35"/>
  <c r="O66" i="35"/>
  <c r="O67" i="35"/>
  <c r="O68" i="35"/>
  <c r="O69" i="35"/>
  <c r="O70" i="35"/>
  <c r="O71" i="35"/>
  <c r="O72" i="35"/>
  <c r="O73" i="35"/>
  <c r="O74" i="35"/>
  <c r="O75" i="35"/>
  <c r="O76" i="35"/>
  <c r="O77" i="35"/>
  <c r="O78" i="35"/>
  <c r="O79" i="35"/>
  <c r="O80" i="35"/>
  <c r="O81" i="35"/>
  <c r="O82" i="35"/>
  <c r="O83" i="35"/>
  <c r="O84" i="35"/>
  <c r="O85" i="35"/>
  <c r="O86" i="35"/>
  <c r="O87" i="35"/>
  <c r="O88" i="35"/>
  <c r="O89" i="35"/>
  <c r="O90" i="35"/>
  <c r="O91" i="35"/>
  <c r="O92" i="35"/>
  <c r="O93" i="35"/>
  <c r="O94" i="35"/>
  <c r="O95" i="35"/>
  <c r="O96" i="35"/>
  <c r="O97" i="35"/>
  <c r="O98" i="35"/>
  <c r="O99" i="35"/>
  <c r="O100" i="35"/>
  <c r="O101" i="35"/>
  <c r="O102" i="35"/>
  <c r="O103" i="35"/>
  <c r="O104" i="35"/>
  <c r="O105" i="35"/>
  <c r="O106" i="35"/>
  <c r="O107" i="35"/>
  <c r="O108" i="35"/>
  <c r="O109" i="35"/>
  <c r="O110" i="35"/>
  <c r="O111" i="35"/>
  <c r="O112" i="35"/>
  <c r="O113" i="35"/>
  <c r="O114" i="35"/>
  <c r="O115" i="35"/>
  <c r="O116" i="35"/>
  <c r="O117" i="35"/>
  <c r="O118" i="35"/>
  <c r="O119" i="35"/>
  <c r="O120" i="35"/>
  <c r="O121" i="35"/>
  <c r="O122" i="35"/>
  <c r="O123" i="35"/>
  <c r="O124" i="35"/>
  <c r="O125" i="35"/>
  <c r="O126" i="35"/>
  <c r="O127" i="35"/>
  <c r="O128" i="35"/>
  <c r="O129" i="35"/>
  <c r="O130" i="35"/>
  <c r="O131" i="35"/>
  <c r="O132" i="35"/>
  <c r="O133" i="35"/>
  <c r="O134" i="35"/>
  <c r="O135" i="35"/>
  <c r="O136" i="35"/>
  <c r="O137" i="35"/>
  <c r="O138" i="35"/>
  <c r="O139" i="35"/>
  <c r="O140" i="35"/>
  <c r="O141" i="35"/>
  <c r="O4" i="33" l="1"/>
  <c r="O5" i="33"/>
  <c r="O6" i="33"/>
  <c r="O7" i="33"/>
  <c r="O8" i="33"/>
  <c r="O9" i="33"/>
  <c r="O10" i="33"/>
  <c r="O11" i="33"/>
  <c r="O3" i="33"/>
  <c r="O2" i="33"/>
  <c r="O5" i="35" l="1"/>
  <c r="O6" i="35"/>
  <c r="O7" i="35"/>
  <c r="O8" i="35"/>
  <c r="O9" i="35"/>
  <c r="O10" i="35"/>
  <c r="O11" i="35"/>
  <c r="O4" i="35" l="1"/>
  <c r="O3" i="35"/>
  <c r="O2" i="35"/>
  <c r="O260" i="25" l="1"/>
  <c r="O261" i="25"/>
  <c r="O262" i="25"/>
  <c r="O263" i="25"/>
  <c r="O264" i="25"/>
  <c r="O265" i="25"/>
  <c r="O266" i="25"/>
  <c r="O267" i="25"/>
  <c r="O268" i="25"/>
  <c r="O269" i="25"/>
  <c r="O270" i="25"/>
  <c r="O271" i="25"/>
  <c r="O272" i="25"/>
  <c r="O273" i="25"/>
  <c r="O274" i="25"/>
  <c r="O275" i="25"/>
  <c r="O276" i="25"/>
  <c r="O277" i="25"/>
  <c r="O278" i="25"/>
  <c r="O279" i="25"/>
  <c r="O280" i="25"/>
  <c r="O281" i="25"/>
  <c r="O282" i="25"/>
  <c r="O283" i="25"/>
  <c r="O284" i="25"/>
  <c r="O285" i="25"/>
  <c r="O286" i="25"/>
  <c r="O287" i="25"/>
  <c r="O288" i="25"/>
  <c r="O289" i="25"/>
  <c r="O290" i="25"/>
  <c r="O291" i="25"/>
  <c r="O292" i="25"/>
  <c r="O293" i="25"/>
  <c r="O294" i="25"/>
  <c r="O295" i="25"/>
  <c r="O296" i="25"/>
  <c r="O297" i="25"/>
  <c r="O298" i="25"/>
  <c r="O299" i="25"/>
  <c r="O300" i="25"/>
  <c r="O301" i="25"/>
  <c r="O302" i="25"/>
  <c r="O303" i="25"/>
  <c r="O304" i="25"/>
  <c r="O305" i="25"/>
  <c r="O306" i="25"/>
  <c r="O307" i="25"/>
  <c r="O308" i="25"/>
  <c r="O309" i="25"/>
  <c r="O310" i="25"/>
  <c r="O311" i="25"/>
  <c r="O312" i="25"/>
  <c r="O313" i="25"/>
  <c r="O314" i="25"/>
  <c r="O315" i="25"/>
  <c r="O316" i="25"/>
  <c r="O317" i="25"/>
  <c r="O318" i="25"/>
  <c r="O319" i="25"/>
  <c r="O320" i="25"/>
  <c r="O321" i="25"/>
  <c r="O322" i="25"/>
  <c r="O323" i="25"/>
  <c r="O324" i="25"/>
  <c r="O325" i="25"/>
  <c r="O326" i="25"/>
  <c r="O327" i="25"/>
  <c r="O328" i="25"/>
  <c r="O329" i="25"/>
  <c r="O330" i="25"/>
  <c r="O331" i="25"/>
  <c r="O332" i="25"/>
  <c r="O333" i="25"/>
  <c r="O334" i="25"/>
  <c r="O335" i="25"/>
  <c r="O336" i="25"/>
  <c r="O337" i="25"/>
  <c r="O338" i="25"/>
  <c r="O339" i="25"/>
  <c r="O340" i="25"/>
  <c r="O341" i="25"/>
  <c r="O342" i="25"/>
  <c r="O343" i="25"/>
  <c r="O344" i="25"/>
  <c r="O345" i="25"/>
  <c r="O346" i="25"/>
  <c r="O347" i="25"/>
  <c r="O348" i="25"/>
  <c r="O349" i="25"/>
  <c r="O350" i="25"/>
  <c r="O351" i="25"/>
  <c r="O352" i="25"/>
  <c r="O353" i="25"/>
  <c r="O354" i="25"/>
  <c r="O355" i="25"/>
  <c r="O356" i="25"/>
  <c r="O357" i="25"/>
  <c r="O358" i="25"/>
  <c r="O359" i="25"/>
  <c r="O360" i="25"/>
  <c r="O361" i="25"/>
  <c r="O362" i="25"/>
  <c r="O363" i="25"/>
  <c r="O364" i="25"/>
  <c r="O365" i="25"/>
  <c r="O366" i="25"/>
  <c r="O367" i="25"/>
  <c r="O368" i="25"/>
  <c r="O369" i="25"/>
  <c r="O370" i="25"/>
  <c r="O371" i="25"/>
  <c r="O372" i="25"/>
  <c r="O373" i="25"/>
  <c r="O374" i="25"/>
  <c r="O375" i="25"/>
  <c r="O376" i="25"/>
  <c r="O377" i="25"/>
  <c r="O378" i="25"/>
  <c r="O240" i="25" l="1"/>
  <c r="O241" i="25"/>
  <c r="O242" i="25"/>
  <c r="O243" i="25"/>
  <c r="O244" i="25"/>
  <c r="O245" i="25"/>
  <c r="O246" i="25"/>
  <c r="O247" i="25"/>
  <c r="O248" i="25"/>
  <c r="O249" i="25"/>
  <c r="O250" i="25"/>
  <c r="O251" i="25"/>
  <c r="O252" i="25"/>
  <c r="O253" i="25"/>
  <c r="O254" i="25"/>
  <c r="O255" i="25"/>
  <c r="O256" i="25"/>
  <c r="O257" i="25"/>
  <c r="O258" i="25"/>
  <c r="O259" i="25"/>
  <c r="O512" i="34"/>
  <c r="O513" i="34"/>
  <c r="O514" i="34"/>
  <c r="O515" i="34"/>
  <c r="O516" i="34"/>
  <c r="O517" i="34"/>
  <c r="O518" i="34"/>
  <c r="O519" i="34"/>
  <c r="O520" i="34"/>
  <c r="O521" i="34"/>
  <c r="O522" i="34"/>
  <c r="O523" i="34"/>
  <c r="O524" i="34"/>
  <c r="O525" i="34"/>
  <c r="O526" i="34"/>
  <c r="O527" i="34"/>
  <c r="O528" i="34"/>
  <c r="O529" i="34"/>
  <c r="O530" i="34"/>
  <c r="O531" i="34"/>
  <c r="O532" i="34"/>
  <c r="O533" i="34"/>
  <c r="O228" i="25" l="1"/>
  <c r="O229" i="25"/>
  <c r="O230" i="25"/>
  <c r="O231" i="25"/>
  <c r="O232" i="25"/>
  <c r="O233" i="25"/>
  <c r="O234" i="25"/>
  <c r="O235" i="25"/>
  <c r="O236" i="25"/>
  <c r="O237" i="25"/>
  <c r="O238" i="25"/>
  <c r="O239" i="25"/>
  <c r="O6" i="25"/>
  <c r="O7" i="25"/>
  <c r="O8" i="25"/>
  <c r="O9" i="25"/>
  <c r="O10" i="25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6" i="25"/>
  <c r="O37" i="25"/>
  <c r="O38" i="25"/>
  <c r="O39" i="25"/>
  <c r="O40" i="25"/>
  <c r="O41" i="25"/>
  <c r="O42" i="25"/>
  <c r="O43" i="25"/>
  <c r="O44" i="25"/>
  <c r="O45" i="25"/>
  <c r="O46" i="25"/>
  <c r="O47" i="25"/>
  <c r="O48" i="25"/>
  <c r="O49" i="25"/>
  <c r="O50" i="25"/>
  <c r="O51" i="25"/>
  <c r="O52" i="25"/>
  <c r="O53" i="25"/>
  <c r="O54" i="25"/>
  <c r="O55" i="25"/>
  <c r="O56" i="25"/>
  <c r="O57" i="25"/>
  <c r="O58" i="25"/>
  <c r="O59" i="25"/>
  <c r="O60" i="25"/>
  <c r="O61" i="25"/>
  <c r="O62" i="25"/>
  <c r="O63" i="25"/>
  <c r="O64" i="25"/>
  <c r="O65" i="25"/>
  <c r="O66" i="25"/>
  <c r="O67" i="25"/>
  <c r="O68" i="25"/>
  <c r="O69" i="25"/>
  <c r="O70" i="25"/>
  <c r="O71" i="25"/>
  <c r="O72" i="25"/>
  <c r="O73" i="25"/>
  <c r="O74" i="25"/>
  <c r="O75" i="25"/>
  <c r="O76" i="25"/>
  <c r="O77" i="25"/>
  <c r="O78" i="25"/>
  <c r="O79" i="25"/>
  <c r="O80" i="25"/>
  <c r="O81" i="25"/>
  <c r="O82" i="25"/>
  <c r="O83" i="25"/>
  <c r="O84" i="25"/>
  <c r="O85" i="25"/>
  <c r="O86" i="25"/>
  <c r="O87" i="25"/>
  <c r="O88" i="25"/>
  <c r="O89" i="25"/>
  <c r="O90" i="25"/>
  <c r="O91" i="25"/>
  <c r="O92" i="25"/>
  <c r="O93" i="25"/>
  <c r="O94" i="25"/>
  <c r="O95" i="25"/>
  <c r="O96" i="25"/>
  <c r="O97" i="25"/>
  <c r="O98" i="25"/>
  <c r="O99" i="25"/>
  <c r="O100" i="25"/>
  <c r="O101" i="25"/>
  <c r="O102" i="25"/>
  <c r="O103" i="25"/>
  <c r="O104" i="25"/>
  <c r="O105" i="25"/>
  <c r="O106" i="25"/>
  <c r="O107" i="25"/>
  <c r="O108" i="25"/>
  <c r="O109" i="25"/>
  <c r="O110" i="25"/>
  <c r="O111" i="25"/>
  <c r="O112" i="25"/>
  <c r="O113" i="25"/>
  <c r="O114" i="25"/>
  <c r="O115" i="25"/>
  <c r="O116" i="25"/>
  <c r="O117" i="25"/>
  <c r="O118" i="25"/>
  <c r="O119" i="25"/>
  <c r="O120" i="25"/>
  <c r="O121" i="25"/>
  <c r="O122" i="25"/>
  <c r="O123" i="25"/>
  <c r="O124" i="25"/>
  <c r="O125" i="25"/>
  <c r="O126" i="25"/>
  <c r="O127" i="25"/>
  <c r="O128" i="25"/>
  <c r="O129" i="25"/>
  <c r="O130" i="25"/>
  <c r="O131" i="25"/>
  <c r="O132" i="25"/>
  <c r="O133" i="25"/>
  <c r="O134" i="25"/>
  <c r="O135" i="25"/>
  <c r="O136" i="25"/>
  <c r="O137" i="25"/>
  <c r="O138" i="25"/>
  <c r="O139" i="25"/>
  <c r="O140" i="25"/>
  <c r="O141" i="25"/>
  <c r="O142" i="25"/>
  <c r="O143" i="25"/>
  <c r="O144" i="25"/>
  <c r="O145" i="25"/>
  <c r="O146" i="25"/>
  <c r="O147" i="25"/>
  <c r="O148" i="25"/>
  <c r="O149" i="25"/>
  <c r="O150" i="25"/>
  <c r="O151" i="25"/>
  <c r="O152" i="25"/>
  <c r="O153" i="25"/>
  <c r="O154" i="25"/>
  <c r="O155" i="25"/>
  <c r="O156" i="25"/>
  <c r="O157" i="25"/>
  <c r="O158" i="25"/>
  <c r="O159" i="25"/>
  <c r="O160" i="25"/>
  <c r="O161" i="25"/>
  <c r="O162" i="25"/>
  <c r="O163" i="25"/>
  <c r="O164" i="25"/>
  <c r="O165" i="25"/>
  <c r="O166" i="25"/>
  <c r="O167" i="25"/>
  <c r="O168" i="25"/>
  <c r="O169" i="25"/>
  <c r="O170" i="25"/>
  <c r="O171" i="25"/>
  <c r="O172" i="25"/>
  <c r="O173" i="25"/>
  <c r="O174" i="25"/>
  <c r="O175" i="25"/>
  <c r="O176" i="25"/>
  <c r="O177" i="25"/>
  <c r="O178" i="25"/>
  <c r="O179" i="25"/>
  <c r="O180" i="25"/>
  <c r="O181" i="25"/>
  <c r="O182" i="25"/>
  <c r="O183" i="25"/>
  <c r="O184" i="25"/>
  <c r="O185" i="25"/>
  <c r="O186" i="25"/>
  <c r="O187" i="25"/>
  <c r="O188" i="25"/>
  <c r="O189" i="25"/>
  <c r="O190" i="25"/>
  <c r="O191" i="25"/>
  <c r="O192" i="25"/>
  <c r="O193" i="25"/>
  <c r="O194" i="25"/>
  <c r="O195" i="25"/>
  <c r="O196" i="25"/>
  <c r="O197" i="25"/>
  <c r="O198" i="25"/>
  <c r="O199" i="25"/>
  <c r="O200" i="25"/>
  <c r="O201" i="25"/>
  <c r="O202" i="25"/>
  <c r="O203" i="25"/>
  <c r="O204" i="25"/>
  <c r="O205" i="25"/>
  <c r="O206" i="25"/>
  <c r="O207" i="25"/>
  <c r="O208" i="25"/>
  <c r="O209" i="25"/>
  <c r="O210" i="25"/>
  <c r="O211" i="25"/>
  <c r="O212" i="25"/>
  <c r="O213" i="25"/>
  <c r="O214" i="25"/>
  <c r="O215" i="25"/>
  <c r="O216" i="25"/>
  <c r="O217" i="25"/>
  <c r="O218" i="25"/>
  <c r="O219" i="25"/>
  <c r="O220" i="25"/>
  <c r="O221" i="25"/>
  <c r="O222" i="25"/>
  <c r="O223" i="25"/>
  <c r="O224" i="25"/>
  <c r="O225" i="25"/>
  <c r="O226" i="25"/>
  <c r="O227" i="25"/>
  <c r="O4" i="25" l="1"/>
  <c r="O5" i="25"/>
  <c r="O3" i="25"/>
  <c r="O2" i="25"/>
  <c r="O4" i="34" l="1"/>
  <c r="O5" i="34"/>
  <c r="O6" i="34"/>
  <c r="O7" i="34"/>
  <c r="O8" i="34"/>
  <c r="O9" i="34"/>
  <c r="O10" i="34"/>
  <c r="O11" i="34"/>
  <c r="O12" i="34"/>
  <c r="O13" i="34"/>
  <c r="O14" i="34"/>
  <c r="O15" i="34"/>
  <c r="O16" i="34"/>
  <c r="O17" i="34"/>
  <c r="O18" i="34"/>
  <c r="O19" i="34"/>
  <c r="O20" i="34"/>
  <c r="O21" i="34"/>
  <c r="O22" i="34"/>
  <c r="O23" i="34"/>
  <c r="O24" i="34"/>
  <c r="O25" i="34"/>
  <c r="O26" i="34"/>
  <c r="O27" i="34"/>
  <c r="O28" i="34"/>
  <c r="O29" i="34"/>
  <c r="O30" i="34"/>
  <c r="O31" i="34"/>
  <c r="O32" i="34"/>
  <c r="O33" i="34"/>
  <c r="O34" i="34"/>
  <c r="O35" i="34"/>
  <c r="O36" i="34"/>
  <c r="O37" i="34"/>
  <c r="O38" i="34"/>
  <c r="O39" i="34"/>
  <c r="O40" i="34"/>
  <c r="O41" i="34"/>
  <c r="O42" i="34"/>
  <c r="O43" i="34"/>
  <c r="O44" i="34"/>
  <c r="O45" i="34"/>
  <c r="O46" i="34"/>
  <c r="O47" i="34"/>
  <c r="O48" i="34"/>
  <c r="O49" i="34"/>
  <c r="O50" i="34"/>
  <c r="O51" i="34"/>
  <c r="O52" i="34"/>
  <c r="O53" i="34"/>
  <c r="O54" i="34"/>
  <c r="O55" i="34"/>
  <c r="O56" i="34"/>
  <c r="O57" i="34"/>
  <c r="O58" i="34"/>
  <c r="O59" i="34"/>
  <c r="O60" i="34"/>
  <c r="O61" i="34"/>
  <c r="O62" i="34"/>
  <c r="O63" i="34"/>
  <c r="O64" i="34"/>
  <c r="O65" i="34"/>
  <c r="O66" i="34"/>
  <c r="O67" i="34"/>
  <c r="O68" i="34"/>
  <c r="O69" i="34"/>
  <c r="O70" i="34"/>
  <c r="O71" i="34"/>
  <c r="O72" i="34"/>
  <c r="O73" i="34"/>
  <c r="O74" i="34"/>
  <c r="O75" i="34"/>
  <c r="O76" i="34"/>
  <c r="O77" i="34"/>
  <c r="O78" i="34"/>
  <c r="O79" i="34"/>
  <c r="O80" i="34"/>
  <c r="O81" i="34"/>
  <c r="O82" i="34"/>
  <c r="O83" i="34"/>
  <c r="O84" i="34"/>
  <c r="O85" i="34"/>
  <c r="O86" i="34"/>
  <c r="O87" i="34"/>
  <c r="O88" i="34"/>
  <c r="O89" i="34"/>
  <c r="O90" i="34"/>
  <c r="O91" i="34"/>
  <c r="O92" i="34"/>
  <c r="O93" i="34"/>
  <c r="O94" i="34"/>
  <c r="O95" i="34"/>
  <c r="O96" i="34"/>
  <c r="O97" i="34"/>
  <c r="O98" i="34"/>
  <c r="O99" i="34"/>
  <c r="O100" i="34"/>
  <c r="O101" i="34"/>
  <c r="O102" i="34"/>
  <c r="O103" i="34"/>
  <c r="O104" i="34"/>
  <c r="O105" i="34"/>
  <c r="O106" i="34"/>
  <c r="O107" i="34"/>
  <c r="O108" i="34"/>
  <c r="O109" i="34"/>
  <c r="O110" i="34"/>
  <c r="O111" i="34"/>
  <c r="O112" i="34"/>
  <c r="O113" i="34"/>
  <c r="O114" i="34"/>
  <c r="O115" i="34"/>
  <c r="O116" i="34"/>
  <c r="O117" i="34"/>
  <c r="O118" i="34"/>
  <c r="O119" i="34"/>
  <c r="O120" i="34"/>
  <c r="O121" i="34"/>
  <c r="O122" i="34"/>
  <c r="O123" i="34"/>
  <c r="O124" i="34"/>
  <c r="O125" i="34"/>
  <c r="O126" i="34"/>
  <c r="O127" i="34"/>
  <c r="O128" i="34"/>
  <c r="O129" i="34"/>
  <c r="O130" i="34"/>
  <c r="O131" i="34"/>
  <c r="O132" i="34"/>
  <c r="O133" i="34"/>
  <c r="O134" i="34"/>
  <c r="O135" i="34"/>
  <c r="O136" i="34"/>
  <c r="O137" i="34"/>
  <c r="O138" i="34"/>
  <c r="O139" i="34"/>
  <c r="O140" i="34"/>
  <c r="O141" i="34"/>
  <c r="O142" i="34"/>
  <c r="O143" i="34"/>
  <c r="O144" i="34"/>
  <c r="O145" i="34"/>
  <c r="O146" i="34"/>
  <c r="O147" i="34"/>
  <c r="O148" i="34"/>
  <c r="O149" i="34"/>
  <c r="O150" i="34"/>
  <c r="O151" i="34"/>
  <c r="O152" i="34"/>
  <c r="O153" i="34"/>
  <c r="O154" i="34"/>
  <c r="O155" i="34"/>
  <c r="O156" i="34"/>
  <c r="O157" i="34"/>
  <c r="O158" i="34"/>
  <c r="O159" i="34"/>
  <c r="O160" i="34"/>
  <c r="O161" i="34"/>
  <c r="O162" i="34"/>
  <c r="O163" i="34"/>
  <c r="O164" i="34"/>
  <c r="O165" i="34"/>
  <c r="O166" i="34"/>
  <c r="O167" i="34"/>
  <c r="O168" i="34"/>
  <c r="O169" i="34"/>
  <c r="O170" i="34"/>
  <c r="O171" i="34"/>
  <c r="O172" i="34"/>
  <c r="O173" i="34"/>
  <c r="O174" i="34"/>
  <c r="O175" i="34"/>
  <c r="O176" i="34"/>
  <c r="O177" i="34"/>
  <c r="O178" i="34"/>
  <c r="O179" i="34"/>
  <c r="O180" i="34"/>
  <c r="O181" i="34"/>
  <c r="O182" i="34"/>
  <c r="O183" i="34"/>
  <c r="O184" i="34"/>
  <c r="O185" i="34"/>
  <c r="O186" i="34"/>
  <c r="O187" i="34"/>
  <c r="O188" i="34"/>
  <c r="O189" i="34"/>
  <c r="O190" i="34"/>
  <c r="O191" i="34"/>
  <c r="O192" i="34"/>
  <c r="O193" i="34"/>
  <c r="O194" i="34"/>
  <c r="O195" i="34"/>
  <c r="O196" i="34"/>
  <c r="O197" i="34"/>
  <c r="O198" i="34"/>
  <c r="O199" i="34"/>
  <c r="O200" i="34"/>
  <c r="O201" i="34"/>
  <c r="O202" i="34"/>
  <c r="O203" i="34"/>
  <c r="O204" i="34"/>
  <c r="O205" i="34"/>
  <c r="O206" i="34"/>
  <c r="O207" i="34"/>
  <c r="O208" i="34"/>
  <c r="O209" i="34"/>
  <c r="O210" i="34"/>
  <c r="O211" i="34"/>
  <c r="O212" i="34"/>
  <c r="O213" i="34"/>
  <c r="O214" i="34"/>
  <c r="O215" i="34"/>
  <c r="O216" i="34"/>
  <c r="O217" i="34"/>
  <c r="O218" i="34"/>
  <c r="O219" i="34"/>
  <c r="O220" i="34"/>
  <c r="O221" i="34"/>
  <c r="O222" i="34"/>
  <c r="O223" i="34"/>
  <c r="O224" i="34"/>
  <c r="O225" i="34"/>
  <c r="O226" i="34"/>
  <c r="O227" i="34"/>
  <c r="O228" i="34"/>
  <c r="O229" i="34"/>
  <c r="O230" i="34"/>
  <c r="O231" i="34"/>
  <c r="O232" i="34"/>
  <c r="O233" i="34"/>
  <c r="O234" i="34"/>
  <c r="O235" i="34"/>
  <c r="O236" i="34"/>
  <c r="O237" i="34"/>
  <c r="O238" i="34"/>
  <c r="O239" i="34"/>
  <c r="O240" i="34"/>
  <c r="O241" i="34"/>
  <c r="O242" i="34"/>
  <c r="O243" i="34"/>
  <c r="O244" i="34"/>
  <c r="O245" i="34"/>
  <c r="O246" i="34"/>
  <c r="O247" i="34"/>
  <c r="O248" i="34"/>
  <c r="O249" i="34"/>
  <c r="O250" i="34"/>
  <c r="O251" i="34"/>
  <c r="O252" i="34"/>
  <c r="O253" i="34"/>
  <c r="O254" i="34"/>
  <c r="O255" i="34"/>
  <c r="O256" i="34"/>
  <c r="O257" i="34"/>
  <c r="O258" i="34"/>
  <c r="O259" i="34"/>
  <c r="O260" i="34"/>
  <c r="O261" i="34"/>
  <c r="O262" i="34"/>
  <c r="O263" i="34"/>
  <c r="O264" i="34"/>
  <c r="O265" i="34"/>
  <c r="O266" i="34"/>
  <c r="O267" i="34"/>
  <c r="O268" i="34"/>
  <c r="O269" i="34"/>
  <c r="O270" i="34"/>
  <c r="O271" i="34"/>
  <c r="O272" i="34"/>
  <c r="O273" i="34"/>
  <c r="O274" i="34"/>
  <c r="O275" i="34"/>
  <c r="O276" i="34"/>
  <c r="O277" i="34"/>
  <c r="O278" i="34"/>
  <c r="O279" i="34"/>
  <c r="O280" i="34"/>
  <c r="O281" i="34"/>
  <c r="O282" i="34"/>
  <c r="O283" i="34"/>
  <c r="O284" i="34"/>
  <c r="O285" i="34"/>
  <c r="O286" i="34"/>
  <c r="O287" i="34"/>
  <c r="O288" i="34"/>
  <c r="O289" i="34"/>
  <c r="O290" i="34"/>
  <c r="O291" i="34"/>
  <c r="O292" i="34"/>
  <c r="O293" i="34"/>
  <c r="O294" i="34"/>
  <c r="O295" i="34"/>
  <c r="O296" i="34"/>
  <c r="O297" i="34"/>
  <c r="O298" i="34"/>
  <c r="O299" i="34"/>
  <c r="O300" i="34"/>
  <c r="O301" i="34"/>
  <c r="O302" i="34"/>
  <c r="O303" i="34"/>
  <c r="O304" i="34"/>
  <c r="O305" i="34"/>
  <c r="O306" i="34"/>
  <c r="O307" i="34"/>
  <c r="O308" i="34"/>
  <c r="O309" i="34"/>
  <c r="O310" i="34"/>
  <c r="O311" i="34"/>
  <c r="O312" i="34"/>
  <c r="O313" i="34"/>
  <c r="O314" i="34"/>
  <c r="O315" i="34"/>
  <c r="O316" i="34"/>
  <c r="O317" i="34"/>
  <c r="O318" i="34"/>
  <c r="O319" i="34"/>
  <c r="O320" i="34"/>
  <c r="O321" i="34"/>
  <c r="O322" i="34"/>
  <c r="O323" i="34"/>
  <c r="O324" i="34"/>
  <c r="O325" i="34"/>
  <c r="O326" i="34"/>
  <c r="O327" i="34"/>
  <c r="O328" i="34"/>
  <c r="O329" i="34"/>
  <c r="O330" i="34"/>
  <c r="O331" i="34"/>
  <c r="O332" i="34"/>
  <c r="O333" i="34"/>
  <c r="O334" i="34"/>
  <c r="O335" i="34"/>
  <c r="O336" i="34"/>
  <c r="O337" i="34"/>
  <c r="O338" i="34"/>
  <c r="O339" i="34"/>
  <c r="O340" i="34"/>
  <c r="O341" i="34"/>
  <c r="O342" i="34"/>
  <c r="O343" i="34"/>
  <c r="O344" i="34"/>
  <c r="O345" i="34"/>
  <c r="O346" i="34"/>
  <c r="O347" i="34"/>
  <c r="O348" i="34"/>
  <c r="O349" i="34"/>
  <c r="O350" i="34"/>
  <c r="O351" i="34"/>
  <c r="O352" i="34"/>
  <c r="O353" i="34"/>
  <c r="O354" i="34"/>
  <c r="O355" i="34"/>
  <c r="O356" i="34"/>
  <c r="O357" i="34"/>
  <c r="O358" i="34"/>
  <c r="O359" i="34"/>
  <c r="O360" i="34"/>
  <c r="O361" i="34"/>
  <c r="O362" i="34"/>
  <c r="O363" i="34"/>
  <c r="O364" i="34"/>
  <c r="O365" i="34"/>
  <c r="O366" i="34"/>
  <c r="O367" i="34"/>
  <c r="O368" i="34"/>
  <c r="O369" i="34"/>
  <c r="O370" i="34"/>
  <c r="O371" i="34"/>
  <c r="O372" i="34"/>
  <c r="O373" i="34"/>
  <c r="O374" i="34"/>
  <c r="O375" i="34"/>
  <c r="O376" i="34"/>
  <c r="O377" i="34"/>
  <c r="O378" i="34"/>
  <c r="O379" i="34"/>
  <c r="O380" i="34"/>
  <c r="O381" i="34"/>
  <c r="O382" i="34"/>
  <c r="O383" i="34"/>
  <c r="O384" i="34"/>
  <c r="O385" i="34"/>
  <c r="O386" i="34"/>
  <c r="O387" i="34"/>
  <c r="O388" i="34"/>
  <c r="O389" i="34"/>
  <c r="O390" i="34"/>
  <c r="O391" i="34"/>
  <c r="O392" i="34"/>
  <c r="O393" i="34"/>
  <c r="O394" i="34"/>
  <c r="O395" i="34"/>
  <c r="O396" i="34"/>
  <c r="O397" i="34"/>
  <c r="O398" i="34"/>
  <c r="O399" i="34"/>
  <c r="O400" i="34"/>
  <c r="O401" i="34"/>
  <c r="O402" i="34"/>
  <c r="O403" i="34"/>
  <c r="O404" i="34"/>
  <c r="O405" i="34"/>
  <c r="O406" i="34"/>
  <c r="O407" i="34"/>
  <c r="O408" i="34"/>
  <c r="O409" i="34"/>
  <c r="O410" i="34"/>
  <c r="O411" i="34"/>
  <c r="O412" i="34"/>
  <c r="O413" i="34"/>
  <c r="O414" i="34"/>
  <c r="O415" i="34"/>
  <c r="O416" i="34"/>
  <c r="O417" i="34"/>
  <c r="O418" i="34"/>
  <c r="O419" i="34"/>
  <c r="O420" i="34"/>
  <c r="O421" i="34"/>
  <c r="O422" i="34"/>
  <c r="O423" i="34"/>
  <c r="O424" i="34"/>
  <c r="O425" i="34"/>
  <c r="O426" i="34"/>
  <c r="O427" i="34"/>
  <c r="O428" i="34"/>
  <c r="O429" i="34"/>
  <c r="O430" i="34"/>
  <c r="O431" i="34"/>
  <c r="O432" i="34"/>
  <c r="O433" i="34"/>
  <c r="O434" i="34"/>
  <c r="O435" i="34"/>
  <c r="O436" i="34"/>
  <c r="O437" i="34"/>
  <c r="O438" i="34"/>
  <c r="O439" i="34"/>
  <c r="O440" i="34"/>
  <c r="O441" i="34"/>
  <c r="O442" i="34"/>
  <c r="O443" i="34"/>
  <c r="O444" i="34"/>
  <c r="O445" i="34"/>
  <c r="O446" i="34"/>
  <c r="O447" i="34"/>
  <c r="O448" i="34"/>
  <c r="O449" i="34"/>
  <c r="O450" i="34"/>
  <c r="O451" i="34"/>
  <c r="O452" i="34"/>
  <c r="O453" i="34"/>
  <c r="O454" i="34"/>
  <c r="O455" i="34"/>
  <c r="O456" i="34"/>
  <c r="O457" i="34"/>
  <c r="O458" i="34"/>
  <c r="O459" i="34"/>
  <c r="O460" i="34"/>
  <c r="O461" i="34"/>
  <c r="O462" i="34"/>
  <c r="O463" i="34"/>
  <c r="O464" i="34"/>
  <c r="O465" i="34"/>
  <c r="O466" i="34"/>
  <c r="O467" i="34"/>
  <c r="O468" i="34"/>
  <c r="O469" i="34"/>
  <c r="O470" i="34"/>
  <c r="O471" i="34"/>
  <c r="O472" i="34"/>
  <c r="O473" i="34"/>
  <c r="O474" i="34"/>
  <c r="O475" i="34"/>
  <c r="O476" i="34"/>
  <c r="O477" i="34"/>
  <c r="O478" i="34"/>
  <c r="O479" i="34"/>
  <c r="O480" i="34"/>
  <c r="O481" i="34"/>
  <c r="O482" i="34"/>
  <c r="O483" i="34"/>
  <c r="O484" i="34"/>
  <c r="O485" i="34"/>
  <c r="O486" i="34"/>
  <c r="O487" i="34"/>
  <c r="O488" i="34"/>
  <c r="O489" i="34"/>
  <c r="O490" i="34"/>
  <c r="O491" i="34"/>
  <c r="O492" i="34"/>
  <c r="O493" i="34"/>
  <c r="O494" i="34"/>
  <c r="O495" i="34"/>
  <c r="O496" i="34"/>
  <c r="O497" i="34"/>
  <c r="O498" i="34"/>
  <c r="O499" i="34"/>
  <c r="O500" i="34"/>
  <c r="O501" i="34"/>
  <c r="O502" i="34"/>
  <c r="O503" i="34"/>
  <c r="O504" i="34"/>
  <c r="O505" i="34"/>
  <c r="O506" i="34"/>
  <c r="O507" i="34"/>
  <c r="O508" i="34"/>
  <c r="O509" i="34"/>
  <c r="O510" i="34"/>
  <c r="O511" i="34"/>
  <c r="O3" i="34"/>
  <c r="O2" i="34"/>
  <c r="O17" i="23" l="1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16" i="23"/>
  <c r="O15" i="23"/>
  <c r="O14" i="23"/>
  <c r="O13" i="23"/>
  <c r="O12" i="23"/>
  <c r="O11" i="23"/>
  <c r="O10" i="23"/>
  <c r="O9" i="23"/>
  <c r="O8" i="23"/>
  <c r="O7" i="23"/>
  <c r="O6" i="23"/>
  <c r="O5" i="23"/>
  <c r="O4" i="23"/>
  <c r="O3" i="23"/>
  <c r="O2" i="23"/>
  <c r="O2" i="18" l="1"/>
  <c r="O3" i="18"/>
  <c r="O4" i="18"/>
  <c r="O5" i="18"/>
  <c r="O6" i="18"/>
  <c r="O7" i="18"/>
  <c r="O8" i="18"/>
  <c r="O9" i="18"/>
  <c r="O10" i="18"/>
  <c r="O11" i="18"/>
  <c r="O12" i="18"/>
  <c r="O13" i="18"/>
  <c r="O14" i="18"/>
  <c r="O15" i="18"/>
  <c r="O16" i="18"/>
  <c r="O17" i="18"/>
  <c r="O3" i="13" l="1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3" i="9" l="1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2" i="13"/>
  <c r="O2" i="9" l="1"/>
  <c r="O9" i="14" l="1"/>
  <c r="O10" i="14"/>
  <c r="O11" i="14"/>
  <c r="O12" i="14"/>
  <c r="O13" i="14"/>
  <c r="O14" i="14"/>
  <c r="O15" i="14"/>
  <c r="O16" i="14"/>
  <c r="O17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2" i="14"/>
  <c r="O3" i="14"/>
  <c r="O4" i="14"/>
  <c r="O5" i="14"/>
  <c r="O6" i="14"/>
  <c r="O7" i="14"/>
  <c r="O8" i="14"/>
  <c r="O19" i="14"/>
  <c r="O18" i="14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654" i="8"/>
  <c r="O655" i="8"/>
  <c r="O656" i="8"/>
  <c r="O657" i="8"/>
  <c r="O658" i="8"/>
  <c r="O659" i="8"/>
  <c r="O660" i="8"/>
  <c r="O661" i="8"/>
  <c r="O662" i="8"/>
  <c r="O663" i="8"/>
  <c r="O664" i="8"/>
  <c r="O665" i="8"/>
  <c r="O666" i="8"/>
  <c r="O667" i="8"/>
  <c r="O668" i="8"/>
  <c r="O669" i="8"/>
  <c r="O670" i="8"/>
  <c r="O671" i="8"/>
  <c r="O672" i="8"/>
  <c r="O673" i="8"/>
  <c r="O674" i="8"/>
  <c r="O675" i="8"/>
  <c r="O676" i="8"/>
  <c r="O677" i="8"/>
  <c r="O678" i="8"/>
  <c r="O679" i="8"/>
  <c r="O680" i="8"/>
  <c r="O681" i="8"/>
  <c r="O682" i="8"/>
  <c r="O683" i="8"/>
  <c r="O684" i="8"/>
  <c r="O685" i="8"/>
  <c r="O686" i="8"/>
  <c r="O687" i="8"/>
  <c r="O688" i="8"/>
  <c r="O689" i="8"/>
  <c r="O690" i="8"/>
  <c r="O691" i="8"/>
  <c r="O692" i="8"/>
  <c r="O693" i="8"/>
  <c r="O694" i="8"/>
  <c r="O695" i="8"/>
  <c r="O696" i="8"/>
  <c r="O697" i="8"/>
  <c r="O698" i="8"/>
  <c r="O699" i="8"/>
  <c r="O700" i="8"/>
  <c r="O701" i="8"/>
  <c r="O702" i="8"/>
  <c r="O703" i="8"/>
  <c r="O704" i="8"/>
  <c r="O705" i="8"/>
  <c r="O706" i="8"/>
  <c r="O707" i="8"/>
  <c r="O708" i="8"/>
  <c r="O709" i="8"/>
  <c r="O710" i="8"/>
  <c r="O711" i="8"/>
  <c r="O712" i="8"/>
  <c r="O713" i="8"/>
  <c r="O714" i="8"/>
  <c r="O715" i="8"/>
  <c r="O716" i="8"/>
  <c r="O717" i="8"/>
  <c r="O718" i="8"/>
  <c r="O719" i="8"/>
  <c r="O720" i="8"/>
  <c r="O721" i="8"/>
  <c r="O722" i="8"/>
  <c r="O723" i="8"/>
  <c r="O724" i="8"/>
  <c r="O725" i="8"/>
  <c r="O726" i="8"/>
  <c r="O727" i="8"/>
  <c r="O728" i="8"/>
  <c r="O729" i="8"/>
  <c r="O730" i="8"/>
  <c r="O731" i="8"/>
  <c r="O732" i="8"/>
  <c r="O733" i="8"/>
  <c r="O734" i="8"/>
  <c r="O735" i="8"/>
  <c r="O736" i="8"/>
  <c r="O737" i="8"/>
  <c r="O738" i="8"/>
  <c r="O739" i="8"/>
  <c r="O740" i="8"/>
  <c r="O741" i="8"/>
  <c r="O742" i="8"/>
  <c r="O743" i="8"/>
  <c r="O744" i="8"/>
  <c r="O745" i="8"/>
  <c r="O746" i="8"/>
  <c r="O747" i="8"/>
  <c r="O748" i="8"/>
  <c r="O749" i="8"/>
  <c r="O750" i="8"/>
  <c r="O751" i="8"/>
  <c r="O752" i="8"/>
  <c r="O753" i="8"/>
  <c r="O754" i="8"/>
  <c r="O755" i="8"/>
  <c r="O756" i="8"/>
  <c r="O757" i="8"/>
  <c r="O758" i="8"/>
  <c r="O759" i="8"/>
  <c r="O760" i="8"/>
  <c r="O761" i="8"/>
  <c r="O762" i="8"/>
  <c r="O763" i="8"/>
  <c r="O764" i="8"/>
  <c r="O765" i="8"/>
  <c r="O766" i="8"/>
  <c r="O767" i="8"/>
  <c r="O768" i="8"/>
  <c r="O769" i="8"/>
  <c r="O770" i="8"/>
  <c r="O771" i="8"/>
  <c r="O772" i="8"/>
  <c r="O773" i="8"/>
  <c r="O774" i="8"/>
  <c r="O775" i="8"/>
  <c r="O776" i="8"/>
  <c r="O777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O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<sst xmlns="http://schemas.openxmlformats.org/spreadsheetml/2006/main" count="12131" uniqueCount="3668">
  <si>
    <t>DISCOUNT TYPE</t>
  </si>
  <si>
    <t>HARGA PROMO</t>
  </si>
  <si>
    <t>DISKON</t>
  </si>
  <si>
    <t>HARGA NORMAL</t>
  </si>
  <si>
    <t>DESCRIPTION</t>
  </si>
  <si>
    <t>ARTICLE</t>
  </si>
  <si>
    <t>SKU</t>
  </si>
  <si>
    <t>BRAND</t>
  </si>
  <si>
    <t>SUPPLIER</t>
  </si>
  <si>
    <t>CLASS</t>
  </si>
  <si>
    <t>DIVISION</t>
  </si>
  <si>
    <t>WORLD</t>
  </si>
  <si>
    <t>DEPT</t>
  </si>
  <si>
    <t>TO DATE</t>
  </si>
  <si>
    <t>FROM DATE</t>
  </si>
  <si>
    <t>ACARA</t>
  </si>
  <si>
    <t>DETAILS</t>
  </si>
  <si>
    <t>OGTL398</t>
  </si>
  <si>
    <t>SWEATSHIRT OGOLD TOP STR KOMB WVN TAPE OGTL398:OLD GOLD:S:STRIPES:SWEATSHIRT</t>
  </si>
  <si>
    <t>SWEATSHIRT OGOLD TOP STR KOMB WVN TAPE OGTL398:OLD GOLD:M:STRIPES:SWEATSHIRT</t>
  </si>
  <si>
    <t>SWEATSHIRT OGOLD TOP STR KOMB WVN TAPE OGTL398:OLD GOLD:L:STRIPES:SWEATSHIRT</t>
  </si>
  <si>
    <t>PINKTL394</t>
  </si>
  <si>
    <t>SWEATSHIRT PINK TOP KOMB CORDUROY PINKTL394:DUSTY PINK:S:SOLID:SWEATSHIRT</t>
  </si>
  <si>
    <t>SWEATSHIRT PINK TOP KOMB CORDUROY PINKTL394:DUSTY PINK:M:SOLID:SWEATSHIRT</t>
  </si>
  <si>
    <t>SWEATSHIRT PINK TOP KOMB CORDUROY PINKTL394:DUSTY PINK:L:SOLID:SWEATSHIRT</t>
  </si>
  <si>
    <t>PINKTL392</t>
  </si>
  <si>
    <t>SWEATSHIRT PINK TOP KOMB TX WVN PINKTL392:MISTY LIGHT GREY:S:SOLID:SWEATSHIRT</t>
  </si>
  <si>
    <t>SWEATSHIRT PINK TOP KOMB TX WVN PINKTL392:MISTY LIGHT GREY:M:SOLID:SWEATSHIRT</t>
  </si>
  <si>
    <t>SWEATSHIRT PINK TOP KOMB TX WVN PINKTL392:MISTY LIGHT GREY:L:SOLID:SWEATSHIRT</t>
  </si>
  <si>
    <t>BAESWT041</t>
  </si>
  <si>
    <t>SWEATSHIRT QUILTED KANGAROO POCKET AND ZIPPER BAESWT041:SAND:S:SOLID:SWEATSHIRT</t>
  </si>
  <si>
    <t>SWEATSHIRT QUILTED KANGAROO POCKET AND ZIPPER BAESWT041:SAND:M:SOLID:SWEATSHIRT</t>
  </si>
  <si>
    <t>SWEATSHIRT QUILTED KANGAROO POCKET AND ZIPPER BAESWT041:SAND:L:SOLID:SWEATSHIRT</t>
  </si>
  <si>
    <t>SWEATSHIRT QUILTED KANGAROO POCKET AND ZIPPER BAESWT041:PASTEL GREY:S:SOLID:SWEATSHIRT</t>
  </si>
  <si>
    <t>SWEATSHIRT QUILTED KANGAROO POCKET AND ZIPPER BAESWT041:PASTEL GREY:M:SOLID:SWEATSHIRT</t>
  </si>
  <si>
    <t>SWEATSHIRT QUILTED KANGAROO POCKET AND ZIPPER BAESWT041:PASTEL GREY:L:SOLID:SWEATSHIRT</t>
  </si>
  <si>
    <t>BAESWT069</t>
  </si>
  <si>
    <t>SWEATSHIRT WITH FLOWER AND CUP PRINT BAESWT069:RUSTIC BROWN:S:SOLID:SWEATSHIRT</t>
  </si>
  <si>
    <t>SWEATSHIRT WITH FLOWER AND CUP PRINT BAESWT069:RUSTIC BROWN:M:SOLID:SWEATSHIRT</t>
  </si>
  <si>
    <t>SWEATSHIRT WITH FLOWER AND CUP PRINT BAESWT069:RUSTIC BROWN:L:SOLID:SWEATSHIRT</t>
  </si>
  <si>
    <t>SWEATSHIRT WITH FLOWER AND CUP PRINT BAESWT069:DUSTY PINK:S:SOLID:SWEATSHIRT</t>
  </si>
  <si>
    <t>SWEATSHIRT WITH FLOWER AND CUP PRINT BAESWT069:DUSTY PINK:M:SOLID:SWEATSHIRT</t>
  </si>
  <si>
    <t>SWEATSHIRT WITH FLOWER AND CUP PRINT BAESWT069:DUSTY PINK:L:SOLID:SWEATSHIRT</t>
  </si>
  <si>
    <t>SWEATSHIRT OGOLD TOP STR KOMB WVN TAPE OGTL398:OLD GOLD:XL:STRIPES:SWEATSHIRT</t>
  </si>
  <si>
    <t>SWEATSHIRT PINK TOP KOMB CORDUROY PINKTL394:DUSTY PINK:XL:SOLID:SWEATSHIRT</t>
  </si>
  <si>
    <t>SWEATSHIRT PINK TOP KOMB TX WVN PINKTL392:MISTY LIGHT GREY:XL:SOLID:SWEATSHIRT</t>
  </si>
  <si>
    <t>SWEATSHIRT QUILTED KANGAROO POCKET AND ZIPPER BAESWT041:SAND:XL:SOLID:SWEATSHIRT</t>
  </si>
  <si>
    <t>SWEATSHIRT QUILTED KANGAROO POCKET AND ZIPPER BAESWT041:PASTEL GREY:XL:SOLID:SWEATSHIRT</t>
  </si>
  <si>
    <t>SWEATSHIRT WITH FLOWER AND CUP PRINT BAESWT069:RUSTIC BROWN:XL:SOLID:SWEATSHIRT</t>
  </si>
  <si>
    <t>SWEATSHIRT WITH FLOWER AND CUP PRINT BAESWT069:DUSTY PINK:XL:SOLID:SWEATSHIRT</t>
  </si>
  <si>
    <t>BAESWT047</t>
  </si>
  <si>
    <t>SWEATSHIRT WITH RIBBON APPLICATION BAESWT047:SAND:S:GRAPHIC:SWEATSHIRT</t>
  </si>
  <si>
    <t>SWEATSHIRT WITH RIBBON APPLICATION BAESWT047:SAND:M:GRAPHIC:SWEATSHIRT</t>
  </si>
  <si>
    <t>SWEATSHIRT WITH RIBBON APPLICATION BAESWT047:SAND:L:GRAPHIC:SWEATSHIRT</t>
  </si>
  <si>
    <t>SWEATSHIRT WITH RIBBON APPLICATION BAESWT047:SAND:XL:GRAPHIC:SWEATSHIRT</t>
  </si>
  <si>
    <t>BAESWT052</t>
  </si>
  <si>
    <t>SWEATSHIRT CROP WITH VARSITY 88 PRINT BAESWT052:CLASSIC BLUE:S:TEXT:SWEATSHIRT</t>
  </si>
  <si>
    <t>SWEATSHIRT CROP WITH VARSITY 88 PRINT BAESWT052:CLASSIC BLUE:M:TEXT:SWEATSHIRT</t>
  </si>
  <si>
    <t>SWEATSHIRT CROP WITH VARSITY 88 PRINT BAESWT052:CLASSIC BLUE:L:TEXT:SWEATSHIRT</t>
  </si>
  <si>
    <t>SWEATSHIRT CROP WITH VARSITY 88 PRINT BAESWT052:CLASSIC BLUE:XL:TEXT:SWEATSHIRT</t>
  </si>
  <si>
    <t>CHOTL402</t>
  </si>
  <si>
    <t>SWEATSHIRT TOP KNIT LS W PLEATS CHOTL402:PASTEL GREEN:S:SOLID:SWEATSHIRT</t>
  </si>
  <si>
    <t>SWEATSHIRT TOP KNIT LS W PLEATS CHOTL402:PASTEL GREEN:M:SOLID:SWEATSHIRT</t>
  </si>
  <si>
    <t>SWEATSHIRT TOP KNIT LS W PLEATS CHOTL402:PASTEL GREEN:L:SOLID:SWEATSHIRT</t>
  </si>
  <si>
    <t>SWEATSHIRT TOP KNIT LS W PLEATS CHOTL402:PASTEL GREEN:XL:SOLID:SWEATSHIRT</t>
  </si>
  <si>
    <t>RKOUT282</t>
  </si>
  <si>
    <t>BLAZER WITH 2 BUTTONS PLAID CHECK RKOUT282:FROST GREY:S:CHECKS:BLAZER</t>
  </si>
  <si>
    <t>BLAZER WITH 2 BUTTONS PLAID CHECK RKOUT282:FROST GREY:M:CHECKS:BLAZER</t>
  </si>
  <si>
    <t>BLAZER WITH 2 BUTTONS PLAID CHECK RKOUT282:FROST GREY:L:CHECKS:BLAZER</t>
  </si>
  <si>
    <t>BLAZER WITH 2 BUTTONS PLAID CHECK RKOUT282:FROST GREY:XL:CHECKS:BLAZER</t>
  </si>
  <si>
    <t>RK272</t>
  </si>
  <si>
    <t>LONG PANTS WITH STRAIGHT FIT LEG RK272:BLACK:S:SOLID:LONG PANTS</t>
  </si>
  <si>
    <t>LONG PANTS WITH STRAIGHT FIT LEG RK272:BLACK:M:SOLID:LONG PANTS</t>
  </si>
  <si>
    <t>LONG PANTS WITH STRAIGHT FIT LEG RK272:BLACK:L:SOLID:LONG PANTS</t>
  </si>
  <si>
    <t>LONG PANTS WITH STRAIGHT FIT LEG RK272:BLACK:XL:SOLID:LONG PANTS</t>
  </si>
  <si>
    <t>RK279</t>
  </si>
  <si>
    <t>LONG PANTS REGULAR FIT CARGO PANTS RK279:RUSTIC BROWN:S:SOLID:LONG PANTS</t>
  </si>
  <si>
    <t>LONG PANTS REGULAR FIT CARGO PANTS RK279:RUSTIC BROWN:M:SOLID:LONG PANTS</t>
  </si>
  <si>
    <t>LONG PANTS REGULAR FIT CARGO PANTS RK279:RUSTIC BROWN:L:SOLID:LONG PANTS</t>
  </si>
  <si>
    <t>LONG PANTS REGULAR FIT CARGO PANTS RK279:RUSTIC BROWN:XL:SOLID:LONG PANTS</t>
  </si>
  <si>
    <t>RK277</t>
  </si>
  <si>
    <t>LONG PANTS HIGH WAIST FIT PAPER BAG RK277:BLACK:S:SOLID:LONG PANTS</t>
  </si>
  <si>
    <t>LONG PANTS HIGH WAIST FIT PAPER BAG RK277:BLACK:M:SOLID:LONG PANTS</t>
  </si>
  <si>
    <t>LONG PANTS HIGH WAIST FIT PAPER BAG RK277:BLACK:L:SOLID:LONG PANTS</t>
  </si>
  <si>
    <t>LONG PANTS HIGH WAIST FIT PAPER BAG RK277:BLACK:XL:SOLID:LONG PANTS</t>
  </si>
  <si>
    <t>LONG PANTS HIGH WAIST FIT PAPER BAG RK277:FROST GREY:S:SOLID:LONG PANTS</t>
  </si>
  <si>
    <t>LONG PANTS HIGH WAIST FIT PAPER BAG RK277:FROST GREY:M:SOLID:LONG PANTS</t>
  </si>
  <si>
    <t>LONG PANTS HIGH WAIST FIT PAPER BAG RK277:FROST GREY:L:SOLID:LONG PANTS</t>
  </si>
  <si>
    <t>LONG PANTS HIGH WAIST FIT PAPER BAG RK277:FROST GREY:XL:SOLID:LONG PANTS</t>
  </si>
  <si>
    <t>RK283</t>
  </si>
  <si>
    <t>LONG PANTS REGULAR FIT WITH FRONT BUTTON RK283:FROST GREY:S:CHECKS:LONG PANTS</t>
  </si>
  <si>
    <t>LONG PANTS REGULAR FIT WITH FRONT BUTTON RK283:FROST GREY:M:CHECKS:LONG PANTS</t>
  </si>
  <si>
    <t>LONG PANTS REGULAR FIT WITH FRONT BUTTON RK283:FROST GREY:L:CHECKS:LONG PANTS</t>
  </si>
  <si>
    <t>LONG PANTS REGULAR FIT WITH FRONT BUTTON RK283:FROST GREY:XL:CHECKS:LONG PANTS</t>
  </si>
  <si>
    <t>BAEKB045</t>
  </si>
  <si>
    <t>LONG PANTS KNIT WITH OUR TIED PATCH POCKET BAEKB045:SAND:S:SOLID:LONG PANTS</t>
  </si>
  <si>
    <t>LONG PANTS KNIT WITH OUR TIED PATCH POCKET BAEKB045:SAND:M:SOLID:LONG PANTS</t>
  </si>
  <si>
    <t>LONG PANTS KNIT WITH OUR TIED PATCH POCKET BAEKB045:SAND:L:SOLID:LONG PANTS</t>
  </si>
  <si>
    <t>LONG PANTS KNIT WITH OUR TIED PATCH POCKET BAEKB045:PASTEL GREY:S:SOLID:LONG PANTS</t>
  </si>
  <si>
    <t>LONG PANTS KNIT WITH OUR TIED PATCH POCKET BAEKB045:PASTEL GREY:M:SOLID:LONG PANTS</t>
  </si>
  <si>
    <t>LONG PANTS KNIT WITH OUR TIED PATCH POCKET BAEKB045:PASTEL GREY:L:SOLID:LONG PANTS</t>
  </si>
  <si>
    <t>BAEKB070</t>
  </si>
  <si>
    <t>LONG PANTS KNIT BOTTOM WITH ELASTIC WAIST STRING BAEKB070:RUSTIC BROWN:S:SOLID:LONG PANTS</t>
  </si>
  <si>
    <t>LONG PANTS KNIT BOTTOM WITH ELASTIC WAIST STRING BAEKB070:RUSTIC BROWN:M:SOLID:LONG PANTS</t>
  </si>
  <si>
    <t>LONG PANTS KNIT BOTTOM WITH ELASTIC WAIST STRING BAEKB070:RUSTIC BROWN:L:SOLID:LONG PANTS</t>
  </si>
  <si>
    <t>LONG PANTS KNIT BOTTOM WITH ELASTIC WAIST STRING BAEKB070:DUSTY PINK:S:SOLID:LONG PANTS</t>
  </si>
  <si>
    <t>LONG PANTS KNIT BOTTOM WITH ELASTIC WAIST STRING BAEKB070:DUSTY PINK:M:SOLID:LONG PANTS</t>
  </si>
  <si>
    <t>LONG PANTS KNIT BOTTOM WITH ELASTIC WAIST STRING BAEKB070:DUSTY PINK:L:SOLID:LONG PANTS</t>
  </si>
  <si>
    <t>LONG PANTS KNIT WITH OUR TIED PATCH POCKET BAEKB045:KHAKI:S:SOLID:LONG PANTS</t>
  </si>
  <si>
    <t>LONG PANTS KNIT WITH OUR TIED PATCH POCKET BAEKB045:KHAKI:M:SOLID:LONG PANTS</t>
  </si>
  <si>
    <t>LONG PANTS KNIT WITH OUR TIED PATCH POCKET BAEKB045:KHAKI:L:SOLID:LONG PANTS</t>
  </si>
  <si>
    <t>LONG PANTS KNIT WITH OUR TIED PATCH POCKET BAEKB045:SAND:XL:SOLID:LONG PANTS</t>
  </si>
  <si>
    <t>LONG PANTS KNIT WITH OUR TIED PATCH POCKET BAEKB045:PASTEL GREY:XL:SOLID:LONG PANTS</t>
  </si>
  <si>
    <t>LONG PANTS KNIT BOTTOM WITH ELASTIC WAIST STRING BAEKB070:RUSTIC BROWN:XL:SOLID:LONG PANTS</t>
  </si>
  <si>
    <t>LONG PANTS KNIT BOTTOM WITH ELASTIC WAIST STRING BAEKB070:DUSTY PINK:XL:SOLID:LONG PANTS</t>
  </si>
  <si>
    <t>LONG PANTS KNIT WITH OUR TIED PATCH POCKET BAEKB045:KHAKI:XL:SOLID:LONG PANTS</t>
  </si>
  <si>
    <t>KIWVNBLK</t>
  </si>
  <si>
    <t>KI KEMEJA RIVET FEBRUARY BLACK:BLACK:S</t>
  </si>
  <si>
    <t>KI KEMEJA RIVET FEBRUARY BLACK:BLACK:M</t>
  </si>
  <si>
    <t>KI KEMEJA RIVET FEBRUARY BLACK:BLACK:L</t>
  </si>
  <si>
    <t>KI KEMEJA RIVET FEBRUARY BLACK:BLACK:XL</t>
  </si>
  <si>
    <t>KIWVNOLV</t>
  </si>
  <si>
    <t>KI KEMEJA OLIVE:OLIVE:S</t>
  </si>
  <si>
    <t>KI KEMEJA OLIVE:OLIVE:M</t>
  </si>
  <si>
    <t>KI KEMEJA OLIVE:OLIVE:L</t>
  </si>
  <si>
    <t>KI KEMEJA OLIVE:OLIVE:XL</t>
  </si>
  <si>
    <t>KIWVNBW</t>
  </si>
  <si>
    <t>KI KEMEJA RIVET MARET 2018 OFF WHITE:OFF WHITE:S</t>
  </si>
  <si>
    <t>KI KEMEJA RIVET MARET 2018 OFF WHITE:OFF WHITE:M</t>
  </si>
  <si>
    <t>KI KEMEJA RIVET MARET 2018 OFF WHITE:OFF WHITE:L</t>
  </si>
  <si>
    <t>KI KEMEJA RIVET MARET 2018 OFF WHITE:OFF WHITE:XL</t>
  </si>
  <si>
    <t>KIWVNSCR</t>
  </si>
  <si>
    <t>KI KEMEJA MAROON:MAROON:S</t>
  </si>
  <si>
    <t>KI KEMEJA MAROON:MAROON:M</t>
  </si>
  <si>
    <t>KI KEMEJA MAROON:MAROON:L</t>
  </si>
  <si>
    <t>KI KEMEJA MAROON:MAROON:XL</t>
  </si>
  <si>
    <t>KIWVNLB</t>
  </si>
  <si>
    <t>KI KEMEJA RIVET SEPTEMBER AQUAMARINE:PASTEL BLUE:S</t>
  </si>
  <si>
    <t>KI KEMEJA RIVET SEPTEMBER AQUAMARINE:PASTEL BLUE:M</t>
  </si>
  <si>
    <t>KI KEMEJA RIVET SEPTEMBER AQUAMARINE:PASTEL BLUE:L</t>
  </si>
  <si>
    <t>KI KEMEJA RIVET SEPTEMBER AQUAMARINE:PASTEL BLUE:XL</t>
  </si>
  <si>
    <t>TZPJ022</t>
  </si>
  <si>
    <t>SS T-SHIRT REGULAR TEE ROSE WORDING PRINT TZPJ022:CLASSIC BLUE:S:GRAPHIC:SS T-SHIRT</t>
  </si>
  <si>
    <t>SS T-SHIRT REGULAR TEE ROSE WORDING PRINT TZPJ022:CLASSIC BLUE:M:GRAPHIC:SS T-SHIRT</t>
  </si>
  <si>
    <t>SS T-SHIRT REGULAR TEE ROSE WORDING PRINT TZPJ022:CLASSIC BLUE:L:GRAPHIC:SS T-SHIRT</t>
  </si>
  <si>
    <t>SS T-SHIRT REGULAR TEE ROSE WORDING PRINT TZPJ022:CLASSIC BLUE:XL:GRAPHIC:SS T-SHIRT</t>
  </si>
  <si>
    <t>SS T-SHIRT REGULAR TEE ROSE WORDING PRINT TZPJ022:BLACK:S:GRAPHIC:SS T-SHIRT</t>
  </si>
  <si>
    <t>SS T-SHIRT REGULAR TEE ROSE WORDING PRINT TZPJ022:BLACK:M:GRAPHIC:SS T-SHIRT</t>
  </si>
  <si>
    <t>SS T-SHIRT REGULAR TEE ROSE WORDING PRINT TZPJ022:BLACK:L:GRAPHIC:SS T-SHIRT</t>
  </si>
  <si>
    <t>SS T-SHIRT REGULAR TEE ROSE WORDING PRINT TZPJ022:BLACK:XL:GRAPHIC:SS T-SHIRT</t>
  </si>
  <si>
    <t>TZCA036</t>
  </si>
  <si>
    <t>TZCA034</t>
  </si>
  <si>
    <t>SS T-SHIRT OVERIZE TEE PRINT WITH THE BEST IS YET TO COME TZCA034:WHITE:S:TEXT:SS T-SHIRT</t>
  </si>
  <si>
    <t>SS T-SHIRT OVERIZE TEE PRINT WITH THE BEST IS YET TO COME TZCA034:WHITE:M:TEXT:SS T-SHIRT</t>
  </si>
  <si>
    <t>SS T-SHIRT OVERIZE TEE PRINT WITH THE BEST IS YET TO COME TZCA034:WHITE:L:TEXT:SS T-SHIRT</t>
  </si>
  <si>
    <t>SS T-SHIRT OVERIZE TEE PRINT WITH THE BEST IS YET TO COME TZCA034:WHITE:XL:TEXT:SS T-SHIRT</t>
  </si>
  <si>
    <t>TZCA062</t>
  </si>
  <si>
    <t>TZCA064</t>
  </si>
  <si>
    <t>SGWT051</t>
  </si>
  <si>
    <t>SS SHIRT WITH CHUNKY BUTTON AND WIDE COLLAR SGWT051:PASTEL BLUE:S:SOLID:SS SHIRT</t>
  </si>
  <si>
    <t>SS SHIRT WITH CHUNKY BUTTON AND WIDE COLLAR SGWT051:PASTEL BLUE:M:SOLID:SS SHIRT</t>
  </si>
  <si>
    <t>SS SHIRT WITH CHUNKY BUTTON AND WIDE COLLAR SGWT051:PASTEL BLUE:L:SOLID:SS SHIRT</t>
  </si>
  <si>
    <t>SS SHIRT WITH CHUNKY BUTTON AND WIDE COLLAR SGWT051:PASTEL BLUE:XL:SOLID:SS SHIRT</t>
  </si>
  <si>
    <t>SGWT056</t>
  </si>
  <si>
    <t>LS BLOUSE WITH ASSYMETRIC WAIST SGWT056:KHAKI:S:FLORAL:LS BLOUSE</t>
  </si>
  <si>
    <t>LS BLOUSE WITH ASSYMETRIC WAIST SGWT056:KHAKI:M:FLORAL:LS BLOUSE</t>
  </si>
  <si>
    <t>LS BLOUSE WITH ASSYMETRIC WAIST SGWT056:KHAKI:L:FLORAL:LS BLOUSE</t>
  </si>
  <si>
    <t>LS BLOUSE WITH ASSYMETRIC WAIST SGWT056:KHAKI:XL:FLORAL:LS BLOUSE</t>
  </si>
  <si>
    <t>SGWT058</t>
  </si>
  <si>
    <t>LS BLOUSE WITH SHANGHAI COLLAR SGWT058:OLIVE:S:SOLID:LS BLOUSE</t>
  </si>
  <si>
    <t>LS BLOUSE WITH SHANGHAI COLLAR SGWT058:OLIVE:M:SOLID:LS BLOUSE</t>
  </si>
  <si>
    <t>LS BLOUSE WITH SHANGHAI COLLAR SGWT058:OLIVE:L:SOLID:LS BLOUSE</t>
  </si>
  <si>
    <t>LS BLOUSE WITH SHANGHAI COLLAR SGWT058:OLIVE:XL:SOLID:LS BLOUSE</t>
  </si>
  <si>
    <t>MASWT042</t>
  </si>
  <si>
    <t>LS BLOUSE WITH SHANGHAI COLLAR MASWT042:PASTEL PINK:S:SOLID:LS BLOUSE</t>
  </si>
  <si>
    <t>LS BLOUSE WITH SHANGHAI COLLAR MASWT042:PASTEL PINK:M:SOLID:LS BLOUSE</t>
  </si>
  <si>
    <t>LS BLOUSE WITH SHANGHAI COLLAR MASWT042:PASTEL PINK:L:SOLID:LS BLOUSE</t>
  </si>
  <si>
    <t>LS BLOUSE WITH SHANGHAI COLLAR MASWT042:PASTEL PINK:XL:SOLID:LS BLOUSE</t>
  </si>
  <si>
    <t>NIFWT02</t>
  </si>
  <si>
    <t>LS BLOUSE WITH LACE AT TOP CHEST AND SLEEVE NIFWT02:WHITE:S:SOLID:LS BLOUSE</t>
  </si>
  <si>
    <t>LS BLOUSE WITH LACE AT TOP CHEST AND SLEEVE NIFWT02:WHITE:M:SOLID:LS BLOUSE</t>
  </si>
  <si>
    <t>LS BLOUSE WITH LACE AT TOP CHEST AND SLEEVE NIFWT02:WHITE:L:SOLID:LS BLOUSE</t>
  </si>
  <si>
    <t>LS BLOUSE WITH LACE AT TOP CHEST AND SLEEVE NIFWT02:WHITE:XL:SOLID:LS BLOUSE</t>
  </si>
  <si>
    <t>MELWT02</t>
  </si>
  <si>
    <t>SS SHIRT CROP PLAIN LINEN LOCK MELWT02:KHAKI:S:SOLID:SS SHIRT</t>
  </si>
  <si>
    <t>SS SHIRT CROP PLAIN LINEN LOCK MELWT02:KHAKI:M:SOLID:SS SHIRT</t>
  </si>
  <si>
    <t>SS SHIRT CROP PLAIN LINEN LOCK MELWT02:KHAKI:L:SOLID:SS SHIRT</t>
  </si>
  <si>
    <t>SS SHIRT CROP PLAIN LINEN LOCK MELWT02:KHAKI:XL:SOLID:SS SHIRT</t>
  </si>
  <si>
    <t>SS SHIRT CROP PLAIN LINEN LOCK MELWT02:BLACK:S:SOLID:SS SHIRT</t>
  </si>
  <si>
    <t>SS SHIRT CROP PLAIN LINEN LOCK MELWT02:BLACK:M:SOLID:SS SHIRT</t>
  </si>
  <si>
    <t>SS SHIRT CROP PLAIN LINEN LOCK MELWT02:BLACK:L:SOLID:SS SHIRT</t>
  </si>
  <si>
    <t>SS SHIRT CROP PLAIN LINEN LOCK MELWT02:BLACK:XL:SOLID:SS SHIRT</t>
  </si>
  <si>
    <t>MELWT01</t>
  </si>
  <si>
    <t>SS SHIRT CROP TOP BROKAT EYELET MELWT01:BLACK:S:SOLID:SS SHIRT</t>
  </si>
  <si>
    <t>SS SHIRT CROP TOP BROKAT EYELET MELWT01:BLACK:M:SOLID:SS SHIRT</t>
  </si>
  <si>
    <t>SS SHIRT CROP TOP BROKAT EYELET MELWT01:BLACK:L:SOLID:SS SHIRT</t>
  </si>
  <si>
    <t>SS SHIRT CROP TOP BROKAT EYELET MELWT01:BLACK:XL:SOLID:SS SHIRT</t>
  </si>
  <si>
    <t>SS SHIRT CROP TOP BROKAT EYELET MELWT01:PASTEL PINK:S:SOLID:SS SHIRT</t>
  </si>
  <si>
    <t>SS SHIRT CROP TOP BROKAT EYELET MELWT01:PASTEL PINK:M:SOLID:SS SHIRT</t>
  </si>
  <si>
    <t>SS SHIRT CROP TOP BROKAT EYELET MELWT01:PASTEL PINK:L:SOLID:SS SHIRT</t>
  </si>
  <si>
    <t>SS SHIRT CROP TOP BROKAT EYELET MELWT01:PASTEL PINK:XL:SOLID:SS SHIRT</t>
  </si>
  <si>
    <t>SGWT055</t>
  </si>
  <si>
    <t>3/4 BLOUSE SHIRT WITH WIDE PLACKET SGWT055:WHITE:S:SOLID:3/4 BLOUSE</t>
  </si>
  <si>
    <t>3/4 BLOUSE SHIRT WITH WIDE PLACKET SGWT055:WHITE:M:SOLID:3/4 BLOUSE</t>
  </si>
  <si>
    <t>3/4 BLOUSE SHIRT WITH WIDE PLACKET SGWT055:BLACK:S:SOLID:3/4 BLOUSE</t>
  </si>
  <si>
    <t>3/4 BLOUSE SHIRT WITH WIDE PLACKET SGWT055:BLACK:M:SOLID:3/4 BLOUSE</t>
  </si>
  <si>
    <t>3/4 BLOUSE SHIRT WITH WIDE PLACKET SGWT055:CLASSIC BLUE:S:SOLID:3/4 BLOUSE</t>
  </si>
  <si>
    <t>3/4 BLOUSE SHIRT WITH WIDE PLACKET SGWT055:CLASSIC BLUE:M:SOLID:3/4 BLOUSE</t>
  </si>
  <si>
    <t>SGWT057</t>
  </si>
  <si>
    <t>LS BLOUSE WITH ASSYMETRIC WAIST SGWT057:KHAKI:S:SOLID:LS BLOUSE</t>
  </si>
  <si>
    <t>LS BLOUSE WITH ASSYMETRIC WAIST SGWT057:KHAKI:M:SOLID:LS BLOUSE</t>
  </si>
  <si>
    <t>LS BLOUSE WITH ASSYMETRIC WAIST SGWT057:KHAKI:L:SOLID:LS BLOUSE</t>
  </si>
  <si>
    <t>LS BLOUSE WITH ASSYMETRIC WAIST SGWT057:KHAKI:XL:SOLID:LS BLOUSE</t>
  </si>
  <si>
    <t>SGWT044</t>
  </si>
  <si>
    <t>LS T-SHIRT FLAP POCKET AT FRONT SGWT044:KHAKI:S:SOLID:LS T-SHIRT</t>
  </si>
  <si>
    <t>LS T-SHIRT FLAP POCKET AT FRONT SGWT044:KHAKI:M:SOLID:LS T-SHIRT</t>
  </si>
  <si>
    <t>LS T-SHIRT FLAP POCKET AT FRONT SGWT044:KHAKI:L:SOLID:LS T-SHIRT</t>
  </si>
  <si>
    <t>LS T-SHIRT FLAP POCKET AT FRONT SGWT044:KHAKI:XL:SOLID:LS T-SHIRT</t>
  </si>
  <si>
    <t>LS T-SHIRT FLAP POCKET AT FRONT SGWT044:OLIVE:S:SOLID:LS T-SHIRT</t>
  </si>
  <si>
    <t>LS T-SHIRT FLAP POCKET AT FRONT SGWT044:OLIVE:M:SOLID:LS T-SHIRT</t>
  </si>
  <si>
    <t>LS T-SHIRT FLAP POCKET AT FRONT SGWT044:OLIVE:L:SOLID:LS T-SHIRT</t>
  </si>
  <si>
    <t>LS T-SHIRT FLAP POCKET AT FRONT SGWT044:OLIVE:XL:SOLID:LS T-SHIRT</t>
  </si>
  <si>
    <t>LS T-SHIRT FLAP POCKET AT FRONT SGWT044:PASTEL GREY:S:SOLID:LS T-SHIRT</t>
  </si>
  <si>
    <t>LS T-SHIRT FLAP POCKET AT FRONT SGWT044:PASTEL GREY:M:SOLID:LS T-SHIRT</t>
  </si>
  <si>
    <t>LS T-SHIRT FLAP POCKET AT FRONT SGWT044:PASTEL GREY:L:SOLID:LS T-SHIRT</t>
  </si>
  <si>
    <t>LS T-SHIRT FLAP POCKET AT FRONT SGWT044:PASTEL GREY:XL:SOLID:LS T-SHIRT</t>
  </si>
  <si>
    <t>L3MAWT53</t>
  </si>
  <si>
    <t>LS BLOUSE WITH LACE AND NECK STRING L3MAWT53:KHAKI:S:SOLID:LS BLOUSE</t>
  </si>
  <si>
    <t>LS BLOUSE WITH LACE AND NECK STRING L3MAWT53:KHAKI:M:SOLID:LS BLOUSE</t>
  </si>
  <si>
    <t>LS BLOUSE WITH LACE AND NECK STRING L3MAWT53:KHAKI:L:SOLID:LS BLOUSE</t>
  </si>
  <si>
    <t>LS BLOUSE WITH LACE AND NECK STRING L3MAWT53:KHAKI:XL:SOLID:LS BLOUSE</t>
  </si>
  <si>
    <t>LS BLOUSE WITH LACE AND NECK STRING L3MAWT53:PASTEL GREEN:S:SOLID:LS BLOUSE</t>
  </si>
  <si>
    <t>LS BLOUSE WITH LACE AND NECK STRING L3MAWT53:PASTEL GREEN:M:SOLID:LS BLOUSE</t>
  </si>
  <si>
    <t>LS BLOUSE WITH LACE AND NECK STRING L3MAWT53:PASTEL GREEN:L:SOLID:LS BLOUSE</t>
  </si>
  <si>
    <t>LS BLOUSE WITH LACE AND NECK STRING L3MAWT53:PASTEL GREEN:XL:SOLID:LS BLOUSE</t>
  </si>
  <si>
    <t>LS BLOUSE WITH LACE AND NECK STRING L3MAWT53:PASTEL PINK:S:SOLID:LS BLOUSE</t>
  </si>
  <si>
    <t>LS BLOUSE WITH LACE AND NECK STRING L3MAWT53:PASTEL PINK:M:SOLID:LS BLOUSE</t>
  </si>
  <si>
    <t>LS BLOUSE WITH LACE AND NECK STRING L3MAWT53:PASTEL PINK:L:SOLID:LS BLOUSE</t>
  </si>
  <si>
    <t>LS BLOUSE WITH LACE AND NECK STRING L3MAWT53:PASTEL PINK:XL:SOLID:LS BLOUSE</t>
  </si>
  <si>
    <t>LS BLOUSE WITH SHANGHAI COLLAR MASWT042:PASTEL GREE:S:CHECKS:LS BLOUSE</t>
  </si>
  <si>
    <t>LS BLOUSE WITH SHANGHAI COLLAR MASWT042:PASTEL GREE:M:CHECKS:LS BLOUSE</t>
  </si>
  <si>
    <t>LS BLOUSE WITH SHANGHAI COLLAR MASWT042:PASTEL GREE:L:CHECKS:LS BLOUSE</t>
  </si>
  <si>
    <t>LS BLOUSE WITH SHANGHAI COLLAR MASWT042:PASTEL GREE:XL:CHECKS:LS BLOUSE</t>
  </si>
  <si>
    <t>MASWT067</t>
  </si>
  <si>
    <t>LS BLOUSE PRINT WITH NECK STRING MASWT067:WHITE:S:PRINT:LS BLOUSE</t>
  </si>
  <si>
    <t>LS BLOUSE PRINT WITH NECK STRING MASWT067:WHITE:M:PRINT:LS BLOUSE</t>
  </si>
  <si>
    <t>LS BLOUSE PRINT WITH NECK STRING MASWT067:WHITE:L:PRINT:LS BLOUSE</t>
  </si>
  <si>
    <t>LS BLOUSE PRINT WITH NECK STRING MASWT067:WHITE:XL:PRINT:LS BLOUSE</t>
  </si>
  <si>
    <t>TCLWT05</t>
  </si>
  <si>
    <t>LS SHIRT WITH TWILL FABRIC TCLWT05:DUSTY PINK:S:SOLID:LS SHIRT</t>
  </si>
  <si>
    <t>LS SHIRT WITH TWILL FABRIC TCLWT05:DUSTY PINK:M:SOLID:LS SHIRT</t>
  </si>
  <si>
    <t>LS SHIRT WITH TWILL FABRIC TCLWT05:DUSTY PINK:L:SOLID:LS SHIRT</t>
  </si>
  <si>
    <t>LS SHIRT WITH TWILL FABRIC TCLWT05:DUSTY PINK:XL:SOLID:LS SHIRT</t>
  </si>
  <si>
    <t>LS SHIRT WITH TWILL FABRIC TCLWT05:BROWN SUGAR:S:SOLID:LS SHIRT</t>
  </si>
  <si>
    <t>LS SHIRT WITH TWILL FABRIC TCLWT05:BROWN SUGAR:M:SOLID:LS SHIRT</t>
  </si>
  <si>
    <t>LS SHIRT WITH TWILL FABRIC TCLWT05:BROWN SUGAR:L:SOLID:LS SHIRT</t>
  </si>
  <si>
    <t>LS SHIRT WITH TWILL FABRIC TCLWT05:BROWN SUGAR:XL:SOLID:LS SHIRT</t>
  </si>
  <si>
    <t>TCLWT06</t>
  </si>
  <si>
    <t>LS BLOUSE WITH RUFFLE TCLWT06:MAROON:S:SOLID:LS BLOUSE</t>
  </si>
  <si>
    <t>LS BLOUSE WITH RUFFLE TCLWT06:MAROON:M:SOLID:LS BLOUSE</t>
  </si>
  <si>
    <t>LS BLOUSE WITH RUFFLE TCLWT06:MAROON:L:SOLID:LS BLOUSE</t>
  </si>
  <si>
    <t>LS BLOUSE WITH RUFFLE TCLWT06:MAROON:XL:SOLID:LS BLOUSE</t>
  </si>
  <si>
    <t>LS BLOUSE WITH RUFFLE TCLWT06:OLIVE:S:SOLID:LS BLOUSE</t>
  </si>
  <si>
    <t>LS BLOUSE WITH RUFFLE TCLWT06:OLIVE:M:SOLID:LS BLOUSE</t>
  </si>
  <si>
    <t>LS BLOUSE WITH RUFFLE TCLWT06:OLIVE:L:SOLID:LS BLOUSE</t>
  </si>
  <si>
    <t>LS BLOUSE WITH RUFFLE TCLWT06:OLIVE:XL:SOLID:LS BLOUSE</t>
  </si>
  <si>
    <t>NIFWT04</t>
  </si>
  <si>
    <t>SS BLOUSE TEXTURED RUFFLE NIFWT04:KHAKI:S:TEXTURE:SS BLOUSE</t>
  </si>
  <si>
    <t>SS BLOUSE TEXTURED RUFFLE NIFWT04:KHAKI:M:TEXTURE:SS BLOUSE</t>
  </si>
  <si>
    <t>SS BLOUSE TEXTURED RUFFLE NIFWT04:KHAKI:L:TEXTURE:SS BLOUSE</t>
  </si>
  <si>
    <t>SS BLOUSE TEXTURED RUFFLE NIFWT04:KHAKI:XL:TEXTURE:SS BLOUSE</t>
  </si>
  <si>
    <t>SS BLOUSE TEXTURED RUFFLE NIFWT04:PINK LEMONADE:S:TEXTURE:SS BLOUSE</t>
  </si>
  <si>
    <t>SS BLOUSE TEXTURED RUFFLE NIFWT04:PINK LEMONADE:M:TEXTURE:SS BLOUSE</t>
  </si>
  <si>
    <t>SS BLOUSE TEXTURED RUFFLE NIFWT04:PINK LEMONADE:L:TEXTURE:SS BLOUSE</t>
  </si>
  <si>
    <t>SS BLOUSE TEXTURED RUFFLE NIFWT04:PINK LEMONADE:XL:TEXTURE:SS BLOUSE</t>
  </si>
  <si>
    <t>MELWT03</t>
  </si>
  <si>
    <t>SS SHIRT CROP TOP BROKAT WITH SIDE RIBBON MELWT03:PASTEL PINK:S:TEXTURE:SS SHIRT</t>
  </si>
  <si>
    <t>SS SHIRT CROP TOP BROKAT WITH SIDE RIBBON MELWT03:PASTEL PINK:M:TEXTURE:SS SHIRT</t>
  </si>
  <si>
    <t>SS SHIRT CROP TOP BROKAT WITH SIDE RIBBON MELWT03:PASTEL PINK:L:TEXTURE:SS SHIRT</t>
  </si>
  <si>
    <t>SS SHIRT CROP TOP BROKAT WITH SIDE RIBBON MELWT03:PASTEL PINK:XL:TEXTURE:SS SHIRT</t>
  </si>
  <si>
    <t>SS SHIRT CROP TOP BROKAT WITH SIDE RIBBON MELWT03:PASTEL GREEN:S:TEXTURE:SS SHIRT</t>
  </si>
  <si>
    <t>SS SHIRT CROP TOP BROKAT WITH SIDE RIBBON MELWT03:PASTEL GREEN:M:TEXTURE:SS SHIRT</t>
  </si>
  <si>
    <t>SS SHIRT CROP TOP BROKAT WITH SIDE RIBBON MELWT03:PASTEL GREEN:L:TEXTURE:SS SHIRT</t>
  </si>
  <si>
    <t>SS SHIRT CROP TOP BROKAT WITH SIDE RIBBON MELWT03:PASTEL GREEN:XL:TEXTURE:SS SHIRT</t>
  </si>
  <si>
    <t>SGWT27LS</t>
  </si>
  <si>
    <t>LS SHIRT WITH LEFT POCKET SGWT27LS:PASTEL BLUE:S:SOLID:LS SHIRT</t>
  </si>
  <si>
    <t>LS SHIRT WITH LEFT POCKET SGWT27LS:PASTEL BLUE:M:SOLID:LS SHIRT</t>
  </si>
  <si>
    <t>LS SHIRT WITH LEFT POCKET SGWT27LS:PASTEL BLUE:L:SOLID:LS SHIRT</t>
  </si>
  <si>
    <t>LS SHIRT WITH LEFT POCKET SGWT27LS:PASTEL BLUE:XL:SOLID:LS SHIRT</t>
  </si>
  <si>
    <t>SGWT27SS</t>
  </si>
  <si>
    <t>SS SHIRT WITH LEFT POCKET SGWT27SS:KHAKI:S:SOLID:SS SHIRT</t>
  </si>
  <si>
    <t>SS SHIRT WITH LEFT POCKET SGWT27SS:KHAKI:M:SOLID:SS SHIRT</t>
  </si>
  <si>
    <t>SS SHIRT WITH LEFT POCKET SGWT27SS:KHAKI:L:SOLID:SS SHIRT</t>
  </si>
  <si>
    <t>SS SHIRT WITH LEFT POCKET SGWT27SS:KHAKI:XL:SOLID:SS SHIRT</t>
  </si>
  <si>
    <t>LS SHIRT WITH LEFT POCKET SGWT27LS:KHAKI:S:SOLID:LS SHIRT</t>
  </si>
  <si>
    <t>LS SHIRT WITH LEFT POCKET SGWT27LS:KHAKI:M:SOLID:LS SHIRT</t>
  </si>
  <si>
    <t>LS SHIRT WITH LEFT POCKET SGWT27LS:KHAKI:L:SOLID:LS SHIRT</t>
  </si>
  <si>
    <t>LS SHIRT WITH LEFT POCKET SGWT27LS:KHAKI:XL:SOLID:LS SHIRT</t>
  </si>
  <si>
    <t>BELTEE01</t>
  </si>
  <si>
    <t>SS T-SHIRT PLAIN WITH EMBRO  BELTEE01:KHAKI:S:SOLID:SS T-SHIRT</t>
  </si>
  <si>
    <t>SS T-SHIRT PLAIN WITH EMBRO  BELTEE01:KHAKI:M:SOLID:SS T-SHIRT</t>
  </si>
  <si>
    <t>SS T-SHIRT PLAIN WITH EMBRO  BELTEE01:KHAKI:L:SOLID:SS T-SHIRT</t>
  </si>
  <si>
    <t>SS T-SHIRT PLAIN WITH EMBRO  BELTEE01:KHAKI:XL:SOLID:SS T-SHIRT</t>
  </si>
  <si>
    <t>SS T-SHIRT PLAIN WITH EMBRO  BELTEE01:DUSTY PINK:S:SOLID:SS T-SHIRT</t>
  </si>
  <si>
    <t>SS T-SHIRT PLAIN WITH EMBRO  BELTEE01:DUSTY PINK:M:SOLID:SS T-SHIRT</t>
  </si>
  <si>
    <t>SS T-SHIRT PLAIN WITH EMBRO  BELTEE01:DUSTY PINK:L:SOLID:SS T-SHIRT</t>
  </si>
  <si>
    <t>SS T-SHIRT PLAIN WITH EMBRO  BELTEE01:DUSTY PINK:XL:SOLID:SS T-SHIRT</t>
  </si>
  <si>
    <t>SS T-SHIRT PLAIN WITH EMBRO  BELTEE01:PASTEL GREEN:S:SOLID:SS T-SHIRT</t>
  </si>
  <si>
    <t>SS T-SHIRT PLAIN WITH EMBRO  BELTEE01:PASTEL GREEN:M:SOLID:SS T-SHIRT</t>
  </si>
  <si>
    <t>SS T-SHIRT PLAIN WITH EMBRO  BELTEE01:PASTEL GREEN:L:SOLID:SS T-SHIRT</t>
  </si>
  <si>
    <t>SS T-SHIRT PLAIN WITH EMBRO  BELTEE01:PASTEL GREEN:XL:SOLID:SS T-SHIRT</t>
  </si>
  <si>
    <t>BAETEE060</t>
  </si>
  <si>
    <t>SS POLO SHIRT TEE WITH OPEN PLACKET BAETEE060:FROST GREY:S:SOLID:SS POLO SHIRT</t>
  </si>
  <si>
    <t>SS POLO SHIRT TEE WITH OPEN PLACKET BAETEE060:FROST GREY:M:SOLID:SS POLO SHIRT</t>
  </si>
  <si>
    <t>SS POLO SHIRT TEE WITH OPEN PLACKET BAETEE060:FROST GREY:L:SOLID:SS POLO SHIRT</t>
  </si>
  <si>
    <t>SS POLO SHIRT TEE WITH OPEN PLACKET BAETEE060:FROST GREY:XL:SOLID:SS POLO SHIRT</t>
  </si>
  <si>
    <t>SS POLO SHIRT TEE WITH OPEN PLACKET BAETEE060:BLACK:S:SOLID:SS POLO SHIRT</t>
  </si>
  <si>
    <t>SS POLO SHIRT TEE WITH OPEN PLACKET BAETEE060:BLACK:M:SOLID:SS POLO SHIRT</t>
  </si>
  <si>
    <t>SS POLO SHIRT TEE WITH OPEN PLACKET BAETEE060:BLACK:L:SOLID:SS POLO SHIRT</t>
  </si>
  <si>
    <t>SS POLO SHIRT TEE WITH OPEN PLACKET BAETEE060:BLACK:XL:SOLID:SS POLO SHIRT</t>
  </si>
  <si>
    <t>SS POLO SHIRT TEE WITH OPEN PLACKET BAETEE060:RUSTIC BROWN:S:SOLID:SS POLO SHIRT</t>
  </si>
  <si>
    <t>SS POLO SHIRT TEE WITH OPEN PLACKET BAETEE060:RUSTIC BROWN:M:SOLID:SS POLO SHIRT</t>
  </si>
  <si>
    <t>SS POLO SHIRT TEE WITH OPEN PLACKET BAETEE060:RUSTIC BROWN:L:SOLID:SS POLO SHIRT</t>
  </si>
  <si>
    <t>SS POLO SHIRT TEE WITH OPEN PLACKET BAETEE060:RUSTIC BROWN:XL:SOLID:SS POLO SHIRT</t>
  </si>
  <si>
    <t>BAETEE062</t>
  </si>
  <si>
    <t>SS T-SHIRT KNIT WITH BOW AT SIDE BAETEE062:WHITE:S:SOLID:SS T-SHIRT</t>
  </si>
  <si>
    <t>SS T-SHIRT KNIT WITH BOW AT SIDE BAETEE062:WHITE:M:SOLID:SS T-SHIRT</t>
  </si>
  <si>
    <t>SS T-SHIRT KNIT WITH BOW AT SIDE BAETEE062:WHITE:L:SOLID:SS T-SHIRT</t>
  </si>
  <si>
    <t>SS T-SHIRT KNIT WITH BOW AT SIDE BAETEE062:WHITE:XL:SOLID:SS T-SHIRT</t>
  </si>
  <si>
    <t>SS T-SHIRT KNIT WITH BOW AT SIDE BAETEE062:PASTEL BLUE:S:SOLID:SS T-SHIRT</t>
  </si>
  <si>
    <t>SS T-SHIRT KNIT WITH BOW AT SIDE BAETEE062:PASTEL BLUE:M:SOLID:SS T-SHIRT</t>
  </si>
  <si>
    <t>SS T-SHIRT KNIT WITH BOW AT SIDE BAETEE062:PASTEL BLUE:L:SOLID:SS T-SHIRT</t>
  </si>
  <si>
    <t>SS T-SHIRT KNIT WITH BOW AT SIDE BAETEE062:PASTEL BLUE:XL:SOLID:SS T-SHIRT</t>
  </si>
  <si>
    <t>BELTEE02</t>
  </si>
  <si>
    <t>SS T-SHIRT KNIT TOP WITH FRONT STRING BELTEE02:BLACK:S:SOLID:SS T-SHIRT</t>
  </si>
  <si>
    <t>SS T-SHIRT KNIT TOP WITH FRONT STRING BELTEE02:BLACK:M:SOLID:SS T-SHIRT</t>
  </si>
  <si>
    <t>SS T-SHIRT KNIT TOP WITH FRONT STRING BELTEE02:BLACK:L:SOLID:SS T-SHIRT</t>
  </si>
  <si>
    <t>SS T-SHIRT KNIT TOP WITH FRONT STRING BELTEE02:BLACK:XL:SOLID:SS T-SHIRT</t>
  </si>
  <si>
    <t>SS T-SHIRT KNIT TOP WITH FRONT STRING BELTEE02:KHAKI:S:SOLID:SS T-SHIRT</t>
  </si>
  <si>
    <t>SS T-SHIRT KNIT TOP WITH FRONT STRING BELTEE02:KHAKI:M:SOLID:SS T-SHIRT</t>
  </si>
  <si>
    <t>SS T-SHIRT KNIT TOP WITH FRONT STRING BELTEE02:KHAKI:L:SOLID:SS T-SHIRT</t>
  </si>
  <si>
    <t>SS T-SHIRT KNIT TOP WITH FRONT STRING BELTEE02:KHAKI:XL:SOLID:SS T-SHIRT</t>
  </si>
  <si>
    <t>TCLOUT10</t>
  </si>
  <si>
    <t>BLAZER OVERSIZE WITH ROLLABLE CUFF TCLOUT10:KHAKI:S:SOLID:BLAZER</t>
  </si>
  <si>
    <t>BLAZER OVERSIZE WITH ROLLABLE CUFF TCLOUT10:KHAKI:M:SOLID:BLAZER</t>
  </si>
  <si>
    <t>BLAZER OVERSIZE WITH ROLLABLE CUFF TCLOUT10:KHAKI:L:SOLID:BLAZER</t>
  </si>
  <si>
    <t>BLAZER OVERSIZE WITH ROLLABLE CUFF TCLOUT10:KHAKI:XL:SOLID:BLAZER</t>
  </si>
  <si>
    <t>BLAZER OVERSIZE WITH ROLLABLE CUFF TCLOUT10:DUSTY PINK:S:SOLID:BLAZER</t>
  </si>
  <si>
    <t>BLAZER OVERSIZE WITH ROLLABLE CUFF TCLOUT10:DUSTY PINK:M:SOLID:BLAZER</t>
  </si>
  <si>
    <t>BLAZER OVERSIZE WITH ROLLABLE CUFF TCLOUT10:DUSTY PINK:L:SOLID:BLAZER</t>
  </si>
  <si>
    <t>BLAZER OVERSIZE WITH ROLLABLE CUFF TCLOUT10:DUSTY PINK:XL:SOLID:BLAZER</t>
  </si>
  <si>
    <t>MASWD066</t>
  </si>
  <si>
    <t>SS MIDI DRESS WITH AIRFLOW FABRIC MASWD066:KHAKI:S:SOLID:SS MIDI DRESS</t>
  </si>
  <si>
    <t>SS MIDI DRESS WITH AIRFLOW FABRIC MASWD066:KHAKI:M:SOLID:SS MIDI DRESS</t>
  </si>
  <si>
    <t>SS MIDI DRESS WITH AIRFLOW FABRIC MASWD066:KHAKI:L:SOLID:SS MIDI DRESS</t>
  </si>
  <si>
    <t>SS MIDI DRESS WITH AIRFLOW FABRIC MASWD066:KHAKI:XL:SOLID:SS MIDI DRESS</t>
  </si>
  <si>
    <t>SS MIDI DRESS WITH AIRFLOW FABRIC MASWD066:BLACK:S:SOLID:SS MIDI DRESS</t>
  </si>
  <si>
    <t>SS MIDI DRESS WITH AIRFLOW FABRIC MASWD066:BLACK:M:SOLID:SS MIDI DRESS</t>
  </si>
  <si>
    <t>SS MIDI DRESS WITH AIRFLOW FABRIC MASWD066:BLACK:L:SOLID:SS MIDI DRESS</t>
  </si>
  <si>
    <t>SS MIDI DRESS WITH AIRFLOW FABRIC MASWD066:BLACK:XL:SOLID:SS MIDI DRESS</t>
  </si>
  <si>
    <t>MASWD067</t>
  </si>
  <si>
    <t>LS MIDI DRESS WITH FRILL NEC MASWD067:BLACK:S:SOLID:LS MIDI DRESS</t>
  </si>
  <si>
    <t>LS MIDI DRESS WITH FRILL NEC MASWD067:BLACK:M:SOLID:LS MIDI DRESS</t>
  </si>
  <si>
    <t>LS MIDI DRESS WITH FRILL NEC MASWD067:BLACK:L:SOLID:LS MIDI DRESS</t>
  </si>
  <si>
    <t>LS MIDI DRESS WITH FRILL NEC MASWD067:BLACK:XL:SOLID:LS MIDI DRESS</t>
  </si>
  <si>
    <t>LS MIDI DRESS WITH FRILL NEC MASWD067:OLIVE:S:SOLID:LS MIDI DRESS</t>
  </si>
  <si>
    <t>LS MIDI DRESS WITH FRILL NEC MASWD067:OLIVE:M:SOLID:LS MIDI DRESS</t>
  </si>
  <si>
    <t>LS MIDI DRESS WITH FRILL NEC MASWD067:OLIVE:L:SOLID:LS MIDI DRESS</t>
  </si>
  <si>
    <t>LS MIDI DRESS WITH FRILL NEC MASWD067:OLIVE:XL:SOLID:LS MIDI DRESS</t>
  </si>
  <si>
    <t>BELD01</t>
  </si>
  <si>
    <t>LS MIDI DRESS BABYDOLL BELD01:PASTEL GREY:S:SOLID:LS MIDI DRESS</t>
  </si>
  <si>
    <t>LS MIDI DRESS BABYDOLL BELD01:PASTEL GREY:M:SOLID:LS MIDI DRESS</t>
  </si>
  <si>
    <t>LS MIDI DRESS BABYDOLL BELD01:PASTEL GREY:L:SOLID:LS MIDI DRESS</t>
  </si>
  <si>
    <t>LS MIDI DRESS BABYDOLL BELD01:PASTEL GREY:XL:SOLID:LS MIDI DRESS</t>
  </si>
  <si>
    <t>LS MIDI DRESS BABYDOLL BELD01:MISTY LIGHT BROWN:S:SOLID:LS MIDI DRESS</t>
  </si>
  <si>
    <t>LS MIDI DRESS BABYDOLL BELD01:MISTY LIGHT BROWN:M:SOLID:LS MIDI DRESS</t>
  </si>
  <si>
    <t>LS MIDI DRESS BABYDOLL BELD01:MISTY LIGHT BROWN:L:SOLID:LS MIDI DRESS</t>
  </si>
  <si>
    <t>LS MIDI DRESS BABYDOLL BELD01:MISTY LIGHT BROWN:XL:SOLID:LS MIDI DRESS</t>
  </si>
  <si>
    <t>SGSP056</t>
  </si>
  <si>
    <t>SHORT PANTS WITH HALF ELASTIC WAISTBAND SGSP056:BLACK:S:SOLID:SHORT PANTS</t>
  </si>
  <si>
    <t>SHORT PANTS WITH HALF ELASTIC WAISTBAND SGSP056:BLACK:M:SOLID:SHORT PANTS</t>
  </si>
  <si>
    <t>SHORT PANTS WITH HALF ELASTIC WAISTBAND SGSP056:BLACK:L:SOLID:SHORT PANTS</t>
  </si>
  <si>
    <t>SHORT PANTS WITH HALF ELASTIC WAISTBAND SGSP056:BLACK:XL:SOLID:SHORT PANTS</t>
  </si>
  <si>
    <t>SHORT PANTS WITH HALF ELASTIC WAISTBAND SGSP056:KHAKI:S:SOLID:SHORT PANTS</t>
  </si>
  <si>
    <t>SHORT PANTS WITH HALF ELASTIC WAISTBAND SGSP056:KHAKI:M:SOLID:SHORT PANTS</t>
  </si>
  <si>
    <t>SHORT PANTS WITH HALF ELASTIC WAISTBAND SGSP056:KHAKI:L:SOLID:SHORT PANTS</t>
  </si>
  <si>
    <t>SHORT PANTS WITH HALF ELASTIC WAISTBAND SGSP056:KHAKI:XL:SOLID:SHORT PANTS</t>
  </si>
  <si>
    <t>SGWB052</t>
  </si>
  <si>
    <t>MIDI SKIRT A LINE WITH BIG POCKET SGWB052:KHAKI:S:SOLID:MIDI SKIRT</t>
  </si>
  <si>
    <t>MIDI SKIRT A LINE WITH BIG POCKET SGWB052:KHAKI:M:SOLID:MIDI SKIRT</t>
  </si>
  <si>
    <t>MIDI SKIRT A LINE WITH BIG POCKET SGWB052:KHAKI:L:SOLID:MIDI SKIRT</t>
  </si>
  <si>
    <t>MIDI SKIRT A LINE WITH BIG POCKET SGWB052:KHAKI:XL:SOLID:MIDI SKIRT</t>
  </si>
  <si>
    <t>MIDI SKIRT A LINE WITH BIG POCKET SGWB052:OLIVE:S:SOLID:MIDI SKIRT</t>
  </si>
  <si>
    <t>MIDI SKIRT A LINE WITH BIG POCKET SGWB052:OLIVE:M:SOLID:MIDI SKIRT</t>
  </si>
  <si>
    <t>MIDI SKIRT A LINE WITH BIG POCKET SGWB052:OLIVE:L:SOLID:MIDI SKIRT</t>
  </si>
  <si>
    <t>MIDI SKIRT A LINE WITH BIG POCKET SGWB052:OLIVE:XL:SOLID:MIDI SKIRT</t>
  </si>
  <si>
    <t>MASWB036</t>
  </si>
  <si>
    <t>LONG PANTS WITH STRAIGHT LEG MASWB036:KHAKI:S:SOLID:LONG PANTS</t>
  </si>
  <si>
    <t>LONG PANTS WITH STRAIGHT LEG MASWB036:KHAKI:M:SOLID:LONG PANTS</t>
  </si>
  <si>
    <t>LONG PANTS WITH STRAIGHT LEG MASWB036:KHAKI:L:SOLID:LONG PANTS</t>
  </si>
  <si>
    <t>LONG PANTS WITH STRAIGHT LEG MASWB036:KHAKI:XL:SOLID:LONG PANTS</t>
  </si>
  <si>
    <t>LONG PANTS WITH STRAIGHT LEG MASWB036:BLACK:S:SOLID:LONG PANTS</t>
  </si>
  <si>
    <t>LONG PANTS WITH STRAIGHT LEG MASWB036:BLACK:M:SOLID:LONG PANTS</t>
  </si>
  <si>
    <t>LONG PANTS WITH STRAIGHT LEG MASWB036:BLACK:L:SOLID:LONG PANTS</t>
  </si>
  <si>
    <t>LONG PANTS WITH STRAIGHT LEG MASWB036:BLACK:XL:SOLID:LONG PANTS</t>
  </si>
  <si>
    <t>MASWB051</t>
  </si>
  <si>
    <t>LONG PANTS CULLOTE WITH DOUBLE LINE BUTTON AND STRING MASWB051:BLACK:S:SOLID:LONG PANTS</t>
  </si>
  <si>
    <t>LONG PANTS CULLOTE WITH DOUBLE LINE BUTTON AND STRING MASWB051:BLACK:M:SOLID:LONG PANTS</t>
  </si>
  <si>
    <t>LONG PANTS CULLOTE WITH DOUBLE LINE BUTTON AND STRING MASWB051:BLACK:L:SOLID:LONG PANTS</t>
  </si>
  <si>
    <t>LONG PANTS CULLOTE WITH DOUBLE LINE BUTTON AND STRING MASWB051:BLACK:XL:SOLID:LONG PANTS</t>
  </si>
  <si>
    <t>LONG PANTS CULLOTE WITH DOUBLE LINE BUTTON AND STRING MASWB051:OLIVE:S:SOLID:LONG PANTS</t>
  </si>
  <si>
    <t>LONG PANTS CULLOTE WITH DOUBLE LINE BUTTON AND STRING MASWB051:OLIVE:M:SOLID:LONG PANTS</t>
  </si>
  <si>
    <t>LONG PANTS CULLOTE WITH DOUBLE LINE BUTTON AND STRING MASWB051:OLIVE:L:SOLID:LONG PANTS</t>
  </si>
  <si>
    <t>LONG PANTS CULLOTE WITH DOUBLE LINE BUTTON AND STRING MASWB051:OLIVE:XL:SOLID:LONG PANTS</t>
  </si>
  <si>
    <t>LONG PANTS CULLOTE WITH DOUBLE LINE BUTTON AND STRING MASWB051:RUSTIC ORANGE:S:SOLID:LONG PANTS</t>
  </si>
  <si>
    <t>LONG PANTS CULLOTE WITH DOUBLE LINE BUTTON AND STRING MASWB051:RUSTIC ORANGE:M:SOLID:LONG PANTS</t>
  </si>
  <si>
    <t>LONG PANTS CULLOTE WITH DOUBLE LINE BUTTON AND STRING MASWB051:RUSTIC ORANGE:L:SOLID:LONG PANTS</t>
  </si>
  <si>
    <t>LONG PANTS CULLOTE WITH DOUBLE LINE BUTTON AND STRING MASWB051:RUSTIC ORANGE:XL:SOLID:LONG PANTS</t>
  </si>
  <si>
    <t>RK289</t>
  </si>
  <si>
    <t>SHORT PANTS WITH BUCKLE AT WAIST RK289:BLACK:S:SOLID:SHORT PANTS</t>
  </si>
  <si>
    <t>SHORT PANTS WITH BUCKLE AT WAIST RK289:BLACK:M:SOLID:SHORT PANTS</t>
  </si>
  <si>
    <t>SHORT PANTS WITH BUCKLE AT WAIST RK289:BLACK:L:SOLID:SHORT PANTS</t>
  </si>
  <si>
    <t>SHORT PANTS WITH BUCKLE AT WAIST RK289:BLACK:XL:SOLID:SHORT PANTS</t>
  </si>
  <si>
    <t>RKWB04</t>
  </si>
  <si>
    <t>LONG PANTS WITH HALF ELASTIC AT WAIST AND TAPERED FIT RKWB04:MISTY DARK GREY:S:SOLID:LONG PANTS</t>
  </si>
  <si>
    <t>LONG PANTS WITH HALF ELASTIC AT WAIST AND TAPERED FIT RKWB04:MISTY DARK GREY:M:SOLID:LONG PANTS</t>
  </si>
  <si>
    <t>LONG PANTS WITH HALF ELASTIC AT WAIST AND TAPERED FIT RKWB04:MISTY DARK GREY:L:SOLID:LONG PANTS</t>
  </si>
  <si>
    <t>LONG PANTS WITH HALF ELASTIC AT WAIST AND TAPERED FIT RKWB04:MISTY DARK GREY:XL:SOLID:LONG PANTS</t>
  </si>
  <si>
    <t>MELWB02</t>
  </si>
  <si>
    <t>SHORT PANTS LINEN LOOK MELWB02:KHAKI:S:SOLID:SHORT PANTS</t>
  </si>
  <si>
    <t>SHORT PANTS LINEN LOOK MELWB02:KHAKI:M:SOLID:SHORT PANTS</t>
  </si>
  <si>
    <t>SHORT PANTS LINEN LOOK MELWB02:KHAKI:L:SOLID:SHORT PANTS</t>
  </si>
  <si>
    <t>SHORT PANTS LINEN LOOK MELWB02:KHAKI:XL:SOLID:SHORT PANTS</t>
  </si>
  <si>
    <t>SHORT PANTS LINEN LOOK MELWB02:BLACK:S:SOLID:SHORT PANTS</t>
  </si>
  <si>
    <t>SHORT PANTS LINEN LOOK MELWB02:BLACK:M:SOLID:SHORT PANTS</t>
  </si>
  <si>
    <t>SHORT PANTS LINEN LOOK MELWB02:BLACK:L:SOLID:SHORT PANTS</t>
  </si>
  <si>
    <t>SHORT PANTS LINEN LOOK MELWB02:BLACK:XL:SOLID:SHORT PANTS</t>
  </si>
  <si>
    <t>MELWB01</t>
  </si>
  <si>
    <t>LONG PANTS TAPERED STRETCH WITH V POCKET MELWB01:BLACK:S:SOLID:LONG PANTS</t>
  </si>
  <si>
    <t>LONG PANTS TAPERED STRETCH WITH V POCKET MELWB01:BLACK:M:SOLID:LONG PANTS</t>
  </si>
  <si>
    <t>LONG PANTS TAPERED STRETCH WITH V POCKET MELWB01:BLACK:L:SOLID:LONG PANTS</t>
  </si>
  <si>
    <t>LONG PANTS TAPERED STRETCH WITH V POCKET MELWB01:BLACK:XL:SOLID:LONG PANTS</t>
  </si>
  <si>
    <t>LONG PANTS TAPERED STRETCH WITH V POCKET MELWB01:OLIVE:S:SOLID:LONG PANTS</t>
  </si>
  <si>
    <t>LONG PANTS TAPERED STRETCH WITH V POCKET MELWB01:OLIVE:M:SOLID:LONG PANTS</t>
  </si>
  <si>
    <t>LONG PANTS TAPERED STRETCH WITH V POCKET MELWB01:OLIVE:L:SOLID:LONG PANTS</t>
  </si>
  <si>
    <t>LONG PANTS TAPERED STRETCH WITH V POCKET MELWB01:OLIVE:XL:SOLID:LONG PANTS</t>
  </si>
  <si>
    <t>LONG PANTS TAPERED STRETCH WITH V POCKET MELWB01:GOLD:S:SOLID:LONG PANTS</t>
  </si>
  <si>
    <t>LONG PANTS TAPERED STRETCH WITH V POCKET MELWB01:GOLD:M:SOLID:LONG PANTS</t>
  </si>
  <si>
    <t>LONG PANTS TAPERED STRETCH WITH V POCKET MELWB01:GOLD:L:SOLID:LONG PANTS</t>
  </si>
  <si>
    <t>LONG PANTS TAPERED STRETCH WITH V POCKET MELWB01:GOLD:XL:SOLID:LONG PANTS</t>
  </si>
  <si>
    <t>MASWB049</t>
  </si>
  <si>
    <t>LONG PANTS CARGO STYLE WITH WIDE LEG FIT MASWB049:OLIVE:S:SOLID:LONG PANTS</t>
  </si>
  <si>
    <t>LONG PANTS CARGO STYLE WITH WIDE LEG FIT MASWB049:OLIVE:M:SOLID:LONG PANTS</t>
  </si>
  <si>
    <t>LONG PANTS CARGO STYLE WITH WIDE LEG FIT MASWB049:OLIVE:L:SOLID:LONG PANTS</t>
  </si>
  <si>
    <t>LONG PANTS CARGO STYLE WITH WIDE LEG FIT MASWB049:OLIVE:XL:SOLID:LONG PANTS</t>
  </si>
  <si>
    <t>RKWB03</t>
  </si>
  <si>
    <t>SHORT PANTS BLACK SKORT WITH FRONT BUTTON RKWB03:KHAKI:S:SOLID:SHORT PANTS</t>
  </si>
  <si>
    <t>SHORT PANTS BLACK SKORT WITH FRONT BUTTON RKWB03:KHAKI:M:SOLID:SHORT PANTS</t>
  </si>
  <si>
    <t>SHORT PANTS BLACK SKORT WITH FRONT BUTTON RKWB03:KHAKI:L:SOLID:SHORT PANTS</t>
  </si>
  <si>
    <t>SHORT PANTS BLACK SKORT WITH FRONT BUTTON RKWB03:KHAKI:XL:SOLID:SHORT PANTS</t>
  </si>
  <si>
    <t>SHORT PANTS BLACK SKORT WITH FRONT BUTTON RKWB03:DUSTY PINK:S:SOLID:SHORT PANTS</t>
  </si>
  <si>
    <t>SHORT PANTS BLACK SKORT WITH FRONT BUTTON RKWB03:DUSTY PINK:M:SOLID:SHORT PANTS</t>
  </si>
  <si>
    <t>SHORT PANTS BLACK SKORT WITH FRONT BUTTON RKWB03:DUSTY PINK:L:SOLID:SHORT PANTS</t>
  </si>
  <si>
    <t>SHORT PANTS BLACK SKORT WITH FRONT BUTTON RKWB03:DUSTY PINK:XL:SOLID:SHORT PANTS</t>
  </si>
  <si>
    <t>MELWB03</t>
  </si>
  <si>
    <t>MIDI SKIRT A LINE BROKAT MELWB03:PASTEL PINK:S:TEXTURE:MIDI SKIRT</t>
  </si>
  <si>
    <t>MIDI SKIRT A LINE BROKAT MELWB03:PASTEL PINK:M:TEXTURE:MIDI SKIRT</t>
  </si>
  <si>
    <t>MIDI SKIRT A LINE BROKAT MELWB03:PASTEL PINK:L:TEXTURE:MIDI SKIRT</t>
  </si>
  <si>
    <t>MIDI SKIRT A LINE BROKAT MELWB03:PASTEL PINK:XL:TEXTURE:MIDI SKIRT</t>
  </si>
  <si>
    <t>MIDI SKIRT A LINE BROKAT MELWB03:PASTEL GREEN:S:TEXTURE:MIDI SKIRT</t>
  </si>
  <si>
    <t>MIDI SKIRT A LINE BROKAT MELWB03:PASTEL GREEN:M:TEXTURE:MIDI SKIRT</t>
  </si>
  <si>
    <t>MIDI SKIRT A LINE BROKAT MELWB03:PASTEL GREEN:L:TEXTURE:MIDI SKIRT</t>
  </si>
  <si>
    <t>MIDI SKIRT A LINE BROKAT MELWB03:PASTEL GREEN:XL:TEXTURE:MIDI SKIRT</t>
  </si>
  <si>
    <t>MELWB04</t>
  </si>
  <si>
    <t>MAXI SKIRT TULLE MELWB04:BLACK:S:SOLID:MAXI SKIRT</t>
  </si>
  <si>
    <t>MAXI SKIRT TULLE MELWB04:BLACK:M:SOLID:MAXI SKIRT</t>
  </si>
  <si>
    <t>MAXI SKIRT TULLE MELWB04:BLACK:L:SOLID:MAXI SKIRT</t>
  </si>
  <si>
    <t>MAXI SKIRT TULLE MELWB04:KHAKI:S:SOLID:MAXI SKIRT</t>
  </si>
  <si>
    <t>MAXI SKIRT TULLE MELWB04:KHAKI:M:SOLID:MAXI SKIRT</t>
  </si>
  <si>
    <t>MAXI SKIRT TULLE MELWB04:KHAKI:L:SOLID:MAXI SKIRT</t>
  </si>
  <si>
    <t>MAXI SKIRT TULLE MELWB04:KHAKI:XL:SOLID:MAXI SKIRT</t>
  </si>
  <si>
    <t>BAEKB061</t>
  </si>
  <si>
    <t>LONG PANTS KNIT WITH ELASTIC WAIST BAEKB061:BLACK:S:SOLID:LONG PANTS</t>
  </si>
  <si>
    <t>LONG PANTS KNIT WITH ELASTIC WAIST BAEKB061:BLACK:M:SOLID:LONG PANTS</t>
  </si>
  <si>
    <t>LONG PANTS KNIT WITH ELASTIC WAIST BAEKB061:BLACK:L:SOLID:LONG PANTS</t>
  </si>
  <si>
    <t>LONG PANTS KNIT WITH ELASTIC WAIST BAEKB061:BLACK:XL:SOLID:LONG PANTS</t>
  </si>
  <si>
    <t>LONG PANTS KNIT WITH ELASTIC WAIST BAEKB061:RUSTIC BROWN:S:SOLID:LONG PANTS</t>
  </si>
  <si>
    <t>LONG PANTS KNIT WITH ELASTIC WAIST BAEKB061:RUSTIC BROWN:M:SOLID:LONG PANTS</t>
  </si>
  <si>
    <t>LONG PANTS KNIT WITH ELASTIC WAIST BAEKB061:RUSTIC BROWN:L:SOLID:LONG PANTS</t>
  </si>
  <si>
    <t>LONG PANTS KNIT WITH ELASTIC WAIST BAEKB061:RUSTIC BROWN:XL:SOLID:LONG PANTS</t>
  </si>
  <si>
    <t>BELKB01</t>
  </si>
  <si>
    <t>LONG PANTS BASIC KNIT BOTTOM BELKB01:BLACK:S:SOLID:LONG PANTS</t>
  </si>
  <si>
    <t>LONG PANTS BASIC KNIT BOTTOM BELKB01:BLACK:M:SOLID:LONG PANTS</t>
  </si>
  <si>
    <t>LONG PANTS BASIC KNIT BOTTOM BELKB01:BLACK:L:SOLID:LONG PANTS</t>
  </si>
  <si>
    <t>LONG PANTS BASIC KNIT BOTTOM BELKB01:BLACK:XL:SOLID:LONG PANTS</t>
  </si>
  <si>
    <t>LONG PANTS BASIC KNIT BOTTOM BELKB01:KHAKI:S:SOLID:LONG PANTS</t>
  </si>
  <si>
    <t>LONG PANTS BASIC KNIT BOTTOM BELKB01:KHAKI:M:SOLID:LONG PANTS</t>
  </si>
  <si>
    <t>LONG PANTS BASIC KNIT BOTTOM BELKB01:KHAKI:L:SOLID:LONG PANTS</t>
  </si>
  <si>
    <t>LONG PANTS BASIC KNIT BOTTOM BELKB01:KHAKI:XL:SOLID:LONG PANTS</t>
  </si>
  <si>
    <t>PRDD020</t>
  </si>
  <si>
    <t>DENIM SHORT PANTS WITH FOLDED HEM AND DESTROYED EFFECT PRDD020:MEDIUM DENIM:S:SOLID:DENIM SHORT PANT</t>
  </si>
  <si>
    <t>DENIM SHORT PANTS WITH FOLDED HEM AND DESTROYED EFFECT PRDD020:MEDIUM DENIM:M:SOLID:DENIM SHORT PANT</t>
  </si>
  <si>
    <t>DENIM SHORT PANTS WITH FOLDED HEM AND DESTROYED EFFECT PRDD020:MEDIUM DENIM:L:SOLID:DENIM SHORT PANT</t>
  </si>
  <si>
    <t>DENIM SHORT PANTS WITH FOLDED HEM AND DESTROYED EFFECT PRDD020:MEDIUM DENIM:XL:SOLID:DENIM SHORT PAN</t>
  </si>
  <si>
    <t>PERCENTAGE</t>
  </si>
  <si>
    <t>SGWT25</t>
  </si>
  <si>
    <t>34 SHIRT WITH OVERSIZE POCKET SGWT25:WHITE:S:SOLID:3/4 SHIRT</t>
  </si>
  <si>
    <t>34 SHIRT WITH OVERSIZE POCKET SGWT25:WHITE:M:SOLID:3/4 SHIRT</t>
  </si>
  <si>
    <t>SGWT26</t>
  </si>
  <si>
    <t>LS BLOUSE WITH RUFFLE AT BACK SGWT26:WOOD BROWN:S:SOLID:LS BLOUSE</t>
  </si>
  <si>
    <t>LS BLOUSE WITH RUFFLE AT BACK SGWT26:WOOD BROWN:M:SOLID:LS BLOUSE</t>
  </si>
  <si>
    <t>LS BLOUSE WITH RUFFLE AT BACK SGWT26:WOOD BROWN:L:SOLID:LS BLOUSE</t>
  </si>
  <si>
    <t>LS BLOUSE WITH RUFFLE AT BACK SGWT26:WOOD BROWN:XL:SOLID:LS BLOUSE</t>
  </si>
  <si>
    <t>LS BLOUSE WITH RUFFLE AT BACK SGWT26:CLASSIC BLUE:S:SOLID:LS BLOUSE</t>
  </si>
  <si>
    <t>LS BLOUSE WITH RUFFLE AT BACK SGWT26:CLASSIC BLUE:M:SOLID:LS BLOUSE</t>
  </si>
  <si>
    <t>LS BLOUSE WITH RUFFLE AT BACK SGWT26:CLASSIC BLUE:L:SOLID:LS BLOUSE</t>
  </si>
  <si>
    <t>LS BLOUSE WITH RUFFLE AT BACK SGWT26:CLASSIC BLUE:XL:SOLID:LS BLOUSE</t>
  </si>
  <si>
    <t>SGWT29</t>
  </si>
  <si>
    <t>LS BLOUSE WITH BUTTON AT SLEEVES SGWT29:PASTEL BLUE:S:SOLID:LS BLOUSE</t>
  </si>
  <si>
    <t>LS BLOUSE WITH BUTTON AT SLEEVES SGWT29:PASTEL BLUE:L:SOLID:LS BLOUSE</t>
  </si>
  <si>
    <t>LS BLOUSE WITH BUTTON AT SLEEVES SGWT29:PASTEL BLUE:XL:SOLID:LS BLOUSE</t>
  </si>
  <si>
    <t>SGWT31</t>
  </si>
  <si>
    <t>SS BLOUSE WITH ABSTRACT PRINT SGWT31:CLASSIC RED:S:SOLID:SS BLOUSE</t>
  </si>
  <si>
    <t>SS BLOUSE WITH ABSTRACT PRINT SGWT31:CLASSIC RED:M:SOLID:SS BLOUSE</t>
  </si>
  <si>
    <t>SS BLOUSE WITH ABSTRACT PRINT SGWT31:CLASSIC RED:L:SOLID:SS BLOUSE</t>
  </si>
  <si>
    <t>SS BLOUSE WITH ABSTRACT PRINT SGWT31:CLASSIC RED:XL:SOLID:SS BLOUSE</t>
  </si>
  <si>
    <t>SGWT039</t>
  </si>
  <si>
    <t>LS BLOUSE PLAIN WITH FULL ROUND ELASTIC ON WAIST SGWT039:PEPPERMINT:S:SOLID:LS BLOUSE</t>
  </si>
  <si>
    <t>LS BLOUSE PLAIN WITH FULL ROUND ELASTIC ON WAIST SGWT039:PEPPERMINT:M:SOLID:LS BLOUSE</t>
  </si>
  <si>
    <t>LS BLOUSE PLAIN WITH FULL ROUND ELASTIC ON WAIST SGWT039:PEPPERMINT:L:SOLID:LS BLOUSE</t>
  </si>
  <si>
    <t>LS BLOUSE PLAIN WITH FULL ROUND ELASTIC ON WAIST SGWT039:PEPPERMINT:XL:SOLID:LS BLOUSE</t>
  </si>
  <si>
    <t>SGWT28</t>
  </si>
  <si>
    <t>3/4 SHIRT WITH LEFT POCKET SGWT28:PASTEL PURPLE:S:SOLID:3/4 SHIRT</t>
  </si>
  <si>
    <t>3/4 SHIRT WITH LEFT POCKET SGWT28:PASTEL PURPLE:M:SOLID:3/4 SHIRT</t>
  </si>
  <si>
    <t>3/4 SHIRT WITH LEFT POCKET SGWT28:PASTEL PURPLE:L:SOLID:3/4 SHIRT</t>
  </si>
  <si>
    <t>3/4 SHIRT WITH LEFT POCKET SGWT28:PASTEL PURPLE:XL:SOLID:3/4 SHIRT</t>
  </si>
  <si>
    <t>3/4 SHIRT WITH LEFT POCKET SGWT28:BLACK:S:SOLID:3/4 SHIRT</t>
  </si>
  <si>
    <t>3/4 SHIRT WITH LEFT POCKET SGWT28:BLACK:M:SOLID:3/4 SHIRT</t>
  </si>
  <si>
    <t>3/4 SHIRT WITH LEFT POCKET SGWT28:BLACK:L:SOLID:3/4 SHIRT</t>
  </si>
  <si>
    <t>3/4 SHIRT WITH LEFT POCKET SGWT28:BLACK:XL:SOLID:3/4 SHIRT</t>
  </si>
  <si>
    <t>LS SHIRT FLAP POCKET AT FRONT SGWT044:WHITE:S:SOLID:LS SHIRT</t>
  </si>
  <si>
    <t>LS SHIRT FLAP POCKET AT FRONT SGWT044:WHITE:M:SOLID:LS SHIRT</t>
  </si>
  <si>
    <t>LS SHIRT FLAP POCKET AT FRONT SGWT044:WHITE:L:SOLID:LS SHIRT</t>
  </si>
  <si>
    <t>LS SHIRT FLAP POCKET AT FRONT SGWT044:WHITE:XL:SOLID:LS SHIRT</t>
  </si>
  <si>
    <t>SGWT049</t>
  </si>
  <si>
    <t>SS BLOUSE WITH 2 FRONT POCKET SGWT049:KHAKI:S:SOLID:SS BLOUSE</t>
  </si>
  <si>
    <t>SS BLOUSE WITH 2 FRONT POCKET SGWT049:KHAKI:M:SOLID:SS BLOUSE</t>
  </si>
  <si>
    <t>SS BLOUSE WITH 2 FRONT POCKET SGWT049:KHAKI:L:SOLID:SS BLOUSE</t>
  </si>
  <si>
    <t>SS BLOUSE WITH 2 FRONT POCKET SGWT049:KHAKI:XL:SOLID:SS BLOUSE</t>
  </si>
  <si>
    <t>SS BLOUSE WITH 2 FRONT POCKET SGWT049:BLACK:S:SOLID:SS BLOUSE</t>
  </si>
  <si>
    <t>SS BLOUSE WITH 2 FRONT POCKET SGWT049:BLACK:M:SOLID:SS BLOUSE</t>
  </si>
  <si>
    <t>SS BLOUSE WITH 2 FRONT POCKET SGWT049:BLACK:L:SOLID:SS BLOUSE</t>
  </si>
  <si>
    <t>SS BLOUSE WITH 2 FRONT POCKET SGWT049:BLACK:XL:SOLID:SS BLOUSE</t>
  </si>
  <si>
    <t>SGWT047</t>
  </si>
  <si>
    <t>LS BLOUSE FRONT PLACKET AND ROUNDED EDGE COLLAR  SGWT047:PASTEL PINK:S:SOLID:LS BLOUSE</t>
  </si>
  <si>
    <t>LS BLOUSE FRONT PLACKET AND ROUNDED EDGE COLLAR  SGWT047:PASTEL PINK:M:SOLID:LS BLOUSE</t>
  </si>
  <si>
    <t>LS BLOUSE FRONT PLACKET AND ROUNDED EDGE COLLAR  SGWT047:PASTEL PINK:L:SOLID:LS BLOUSE</t>
  </si>
  <si>
    <t>LS BLOUSE FRONT PLACKET AND ROUNDED EDGE COLLAR  SGWT047:PASTEL PINK:XL:SOLID:LS BLOUSE</t>
  </si>
  <si>
    <t>LS BLOUSE FRONT PLACKET AND ROUNDED EDGE COLLAR  SGWT047:WHITE:S:SOLID:LS BLOUSE</t>
  </si>
  <si>
    <t>LS BLOUSE FRONT PLACKET AND ROUNDED EDGE COLLAR  SGWT047:WHITE:M:SOLID:LS BLOUSE</t>
  </si>
  <si>
    <t>LS BLOUSE FRONT PLACKET AND ROUNDED EDGE COLLAR  SGWT047:WHITE:L:SOLID:LS BLOUSE</t>
  </si>
  <si>
    <t>LS BLOUSE FRONT PLACKET AND ROUNDED EDGE COLLAR  SGWT047:WHITE:XL:SOLID:LS BLOUSE</t>
  </si>
  <si>
    <t>SGWT053</t>
  </si>
  <si>
    <t>LS SHIRT WITH STRIPES PRINT SGWT053:PASTEL BLUE:S:STRIPES:LS SHIRT</t>
  </si>
  <si>
    <t>LS SHIRT WITH STRIPES PRINT SGWT053:PASTEL BLUE:M:STRIPES:LS SHIRT</t>
  </si>
  <si>
    <t>LS SHIRT WITH STRIPES PRINT SGWT053:PASTEL BLUE:L:STRIPES:LS SHIRT</t>
  </si>
  <si>
    <t>LS SHIRT WITH STRIPES PRINT SGWT053:PASTEL BLUE:XL:STRIPES:LS SHIRT</t>
  </si>
  <si>
    <t>LS SHIRT WITH STRIPES PRINT SGWT053:PASTEL GREEN:S:STRIPES:LS SHIRT</t>
  </si>
  <si>
    <t>LS SHIRT WITH STRIPES PRINT SGWT053:PASTEL GREEN:M:STRIPES:LS SHIRT</t>
  </si>
  <si>
    <t>LS SHIRT WITH STRIPES PRINT SGWT053:PASTEL GREEN:L:STRIPES:LS SHIRT</t>
  </si>
  <si>
    <t>LS SHIRT WITH STRIPES PRINT SGWT053:PASTEL GREEN:XL:STRIPES:LS SHIRT</t>
  </si>
  <si>
    <t>SGWT052</t>
  </si>
  <si>
    <t>SS BLOUSE BALOON SLEEVES SHIRT WITH WIDE COLLAR SGWT052:PINK LEMONADE:S:SOLID:SS BLOUSE</t>
  </si>
  <si>
    <t>SS BLOUSE BALOON SLEEVES SHIRT WITH WIDE COLLAR SGWT052:PINK LEMONADE:M:SOLID:SS BLOUSE</t>
  </si>
  <si>
    <t>SS BLOUSE BALOON SLEEVES SHIRT WITH WIDE COLLAR SGWT052:PINK LEMONADE:L:SOLID:SS BLOUSE</t>
  </si>
  <si>
    <t>SS BLOUSE BALOON SLEEVES SHIRT WITH WIDE COLLAR SGWT052:PINK LEMONADE:XL:SOLID:SS BLOUSE</t>
  </si>
  <si>
    <t>SS BLOUSE BALOON SLEEVES SHIRT WITH WIDE COLLAR SGWT052:KHAKI:S:SOLID:SS BLOUSE</t>
  </si>
  <si>
    <t>SS BLOUSE BALOON SLEEVES SHIRT WITH WIDE COLLAR SGWT052:KHAKI:M:SOLID:SS BLOUSE</t>
  </si>
  <si>
    <t>SS BLOUSE BALOON SLEEVES SHIRT WITH WIDE COLLAR SGWT052:KHAKI:L:SOLID:SS BLOUSE</t>
  </si>
  <si>
    <t>SS BLOUSE BALOON SLEEVES SHIRT WITH WIDE COLLAR SGWT052:KHAKI:XL:SOLID:SS BLOUSE</t>
  </si>
  <si>
    <t>SGWT054</t>
  </si>
  <si>
    <t>LS BLOUSE WITH FRONT PLACKET AND CUT AND SEWN AT WAIST  SGWT054:PASTEL GREEN:S:SOLID:LS BLOUSE</t>
  </si>
  <si>
    <t>LS BLOUSE WITH FRONT PLACKET AND CUT AND SEWN AT WAIST  SGWT054:PASTEL GREEN:M:SOLID:LS BLOUSE</t>
  </si>
  <si>
    <t>LS BLOUSE WITH FRONT PLACKET AND CUT AND SEWN AT WAIST  SGWT054:PASTEL GREEN:L:SOLID:LS BLOUSE</t>
  </si>
  <si>
    <t>LS BLOUSE WITH FRONT PLACKET AND CUT AND SEWN AT WAIST  SGWT054:PASTEL GREEN:XL:SOLID:LS BLOUSE</t>
  </si>
  <si>
    <t>LS BLOUSE WITH FRONT PLACKET AND CUT AND SEWN AT WAIST  SGWT054:KHAKI:S:SOLID:LS BLOUSE</t>
  </si>
  <si>
    <t>LS BLOUSE WITH FRONT PLACKET AND CUT AND SEWN AT WAIST  SGWT054:KHAKI:M:SOLID:LS BLOUSE</t>
  </si>
  <si>
    <t>LS BLOUSE WITH FRONT PLACKET AND CUT AND SEWN AT WAIST  SGWT054:KHAKI:L:SOLID:LS BLOUSE</t>
  </si>
  <si>
    <t>LS BLOUSE WITH FRONT PLACKET AND CUT AND SEWN AT WAIST  SGWT054:KHAKI:XL:SOLID:LS BLOUSE</t>
  </si>
  <si>
    <t>LS BLOUSE WITH SHANGHAI COLLAR MASWT042:PASTEL BLUE:L:SOLID:LS BLOUSE</t>
  </si>
  <si>
    <t>MASWT044</t>
  </si>
  <si>
    <t>SS SHIRT WITH V NECK COLLAR MASWT044:BLACK:S:SOLID:SS SHIRT</t>
  </si>
  <si>
    <t>SS SHIRT WITH V NECK COLLAR MASWT044:BLACK:M:SOLID:SS SHIRT</t>
  </si>
  <si>
    <t>SS SHIRT WITH V NECK COLLAR MASWT044:BLACK:L:SOLID:SS SHIRT</t>
  </si>
  <si>
    <t>SS SHIRT WITH V NECK COLLAR MASWT044:BLACK:XL:SOLID:SS SHIRT</t>
  </si>
  <si>
    <t>SS SHIRT WITH V NECK COLLAR MASWT044:RUSTIC BROWN:S:SOLID:SS SHIRT</t>
  </si>
  <si>
    <t>SS SHIRT WITH V NECK COLLAR MASWT044:RUSTIC BROWN:M:SOLID:SS SHIRT</t>
  </si>
  <si>
    <t>SS SHIRT WITH V NECK COLLAR MASWT044:RUSTIC BROWN:L:SOLID:SS SHIRT</t>
  </si>
  <si>
    <t>SS SHIRT WITH V NECK COLLAR MASWT044:RUSTIC BROWN:XL:SOLID:SS SHIRT</t>
  </si>
  <si>
    <t>MASWT052</t>
  </si>
  <si>
    <t>3/4 SHIRT RELAXED COLLAR MASWT052:FOREST GREEN:S:SOLID:3/4 SHIRT</t>
  </si>
  <si>
    <t>3/4 SHIRT RELAXED COLLAR MASWT052:FOREST GREEN:M:SOLID:3/4 SHIRT</t>
  </si>
  <si>
    <t>3/4 SHIRT RELAXED COLLAR MASWT052:FOREST GREEN:L:SOLID:3/4 SHIRT</t>
  </si>
  <si>
    <t>3/4 SHIRT RELAXED COLLAR MASWT052:FOREST GREEN:XL:SOLID:3/4 SHIRT</t>
  </si>
  <si>
    <t>MASWT4</t>
  </si>
  <si>
    <t>SS BLOUSE WITH BOW MASWT4:PASTEL BLUE:S:SOLID:SS BLOUSE</t>
  </si>
  <si>
    <t>SS BLOUSE WITH BOW MASWT4:PASTEL BLUE:M:SOLID:SS BLOUSE</t>
  </si>
  <si>
    <t>SS BLOUSE WITH BOW MASWT4:PASTEL BLUE:L:SOLID:SS BLOUSE</t>
  </si>
  <si>
    <t>SS BLOUSE WITH BOW MASWT4:PASTEL BLUE:XL:SOLID:SS BLOUSE</t>
  </si>
  <si>
    <t>SS BLOUSE WITH BOW MASWT4:BLACK:S:SOLID:SS BLOUSE</t>
  </si>
  <si>
    <t>SS BLOUSE WITH BOW MASWT4:BLACK:M:SOLID:SS BLOUSE</t>
  </si>
  <si>
    <t>SS BLOUSE WITH BOW MASWT4:BLACK:L:SOLID:SS BLOUSE</t>
  </si>
  <si>
    <t>SS BLOUSE WITH BOW MASWT4:BLACK:XL:SOLID:SS BLOUSE</t>
  </si>
  <si>
    <t>MASWT047</t>
  </si>
  <si>
    <t>LS SHIRT WITH FRONT BOW MASWT047:KHAKI:S:SOLID:LS SHIRT</t>
  </si>
  <si>
    <t>LS SHIRT WITH FRONT BOW MASWT047:KHAKI:M:SOLID:LS SHIRT</t>
  </si>
  <si>
    <t>LS SHIRT WITH FRONT BOW MASWT047:KHAKI:L:SOLID:LS SHIRT</t>
  </si>
  <si>
    <t>LS SHIRT WITH FRONT BOW MASWT047:KHAKI:XL:SOLID:LS SHIRT</t>
  </si>
  <si>
    <t>MASWT048</t>
  </si>
  <si>
    <t>LS SHIRT WITH EYELET FABRIC AT FRONT YOKE MASWT048:OLIVE:S:SOLID:LS SHIRT</t>
  </si>
  <si>
    <t>LS SHIRT WITH EYELET FABRIC AT FRONT YOKE MASWT048:OLIVE:M:SOLID:LS SHIRT</t>
  </si>
  <si>
    <t>LS SHIRT WITH EYELET FABRIC AT FRONT YOKE MASWT048:OLIVE:L:SOLID:LS SHIRT</t>
  </si>
  <si>
    <t>LS SHIRT WITH EYELET FABRIC AT FRONT YOKE MASWT048:OLIVE:XL:SOLID:LS SHIRT</t>
  </si>
  <si>
    <t>MASWT064</t>
  </si>
  <si>
    <t>LS SHIRT PLAIN MASWT064:PASTEL PINK:S:SOLID:LS SHIRT</t>
  </si>
  <si>
    <t>LS SHIRT PLAIN MASWT064:PASTEL PINK:M:SOLID:LS SHIRT</t>
  </si>
  <si>
    <t>LS SHIRT PLAIN MASWT064:PASTEL PINK:L:SOLID:LS SHIRT</t>
  </si>
  <si>
    <t>LS SHIRT PLAIN MASWT064:PASTEL PINK:XL:SOLID:LS SHIRT</t>
  </si>
  <si>
    <t>LS SHIRT PLAIN MASWT064:PASTEL GREEN:S:SOLID:LS SHIRT</t>
  </si>
  <si>
    <t>LS SHIRT PLAIN MASWT064:PASTEL GREEN:XL:SOLID:LS SHIRT</t>
  </si>
  <si>
    <t>MASWT65</t>
  </si>
  <si>
    <t>SS SHIRT PLAIN WITH PLEATS AT THE BACK MASWT65:FUSCHIA:S:SOLID:SS SHIRT</t>
  </si>
  <si>
    <t>SS SHIRT PLAIN WITH PLEATS AT THE BACK MASWT65:FUSCHIA:M:SOLID:SS SHIRT</t>
  </si>
  <si>
    <t>SS SHIRT PLAIN WITH PLEATS AT THE BACK MASWT65:FUSCHIA:L:SOLID:SS SHIRT</t>
  </si>
  <si>
    <t>SS SHIRT PLAIN WITH PLEATS AT THE BACK MASWT65:FUSCHIA:XL:SOLID:SS SHIRT</t>
  </si>
  <si>
    <t>KNKWT02</t>
  </si>
  <si>
    <t>LS SHIRT WITH PRINTED STRIPE ON BLUE-BLUE KNKWT02:CLASSIC BLUE:M:SOLID:LS SHIRT</t>
  </si>
  <si>
    <t>LS SHIRT WITH PRINTED STRIPE ON BLUE-BLUE KNKWT02:CLASSIC BLUE:XL:SOLID:LS SHIRT</t>
  </si>
  <si>
    <t>TCLWT07</t>
  </si>
  <si>
    <t>LS SHIRT WITH STRIPE PRINT TCLWT07:PASTEL GREEN:S:STRIPES:LS SHIRT</t>
  </si>
  <si>
    <t>LS SHIRT WITH STRIPE PRINT TCLWT07:PASTEL GREEN:M:STRIPES:LS SHIRT</t>
  </si>
  <si>
    <t>LS SHIRT WITH STRIPE PRINT TCLWT07:PASTEL GREEN:L:STRIPES:LS SHIRT</t>
  </si>
  <si>
    <t>LS SHIRT WITH STRIPE PRINT TCLWT07:PASTEL GREEN:XL:STRIPES:LS SHIRT</t>
  </si>
  <si>
    <t>NIFWT03</t>
  </si>
  <si>
    <t>SS SHIRT WITH FRILLS AT FRONT NIFWT03:BLACK:S:SOLID:SS SHIRT</t>
  </si>
  <si>
    <t>SS SHIRT WITH FRILLS AT FRONT NIFWT03:BLACK:M:SOLID:SS SHIRT</t>
  </si>
  <si>
    <t>SS SHIRT WITH FRILLS AT FRONT NIFWT03:BLACK:L:SOLID:SS SHIRT</t>
  </si>
  <si>
    <t>SS SHIRT WITH FRILLS AT FRONT NIFWT03:BLACK:XL:SOLID:SS SHIRT</t>
  </si>
  <si>
    <t>SS SHIRT WITH FRILLS AT FRONT NIFWT03:SAND:S:SOLID:SS SHIRT</t>
  </si>
  <si>
    <t>SS SHIRT WITH FRILLS AT FRONT NIFWT03:SAND:M:SOLID:SS SHIRT</t>
  </si>
  <si>
    <t>SS SHIRT WITH FRILLS AT FRONT NIFWT03:SAND:L:SOLID:SS SHIRT</t>
  </si>
  <si>
    <t>SS SHIRT WITH FRILLS AT FRONT NIFWT03:SAND:XL:SOLID:SS SHIRT</t>
  </si>
  <si>
    <t>BAETS013</t>
  </si>
  <si>
    <t>SS T-SHIRT PRINTED W FAKE BUTTONS BAETS013:WHITE:S:GRAPHIC:SS T-SHIRT</t>
  </si>
  <si>
    <t>SS T-SHIRT PRINTED W FAKE BUTTONS BAETS013:WHITE:M:GRAPHIC:SS T-SHIRT</t>
  </si>
  <si>
    <t>SS T-SHIRT PRINTED W FAKE BUTTONS BAETS013:WHITE:L:GRAPHIC:SS T-SHIRT</t>
  </si>
  <si>
    <t>SS T-SHIRT PRINTED W FAKE BUTTONS BAETS013:WHITE:XL:GRAPHIC:SS T-SHIRT</t>
  </si>
  <si>
    <t>TZPJ019</t>
  </si>
  <si>
    <t>SS T-SHIRT BOXY TEE - WORDING HELLO SUNSHINE TZPJ019:DUSTY PINK:L:TEXT:SS T-SHIRT</t>
  </si>
  <si>
    <t>SS T-SHIRT BOXY TEE - WORDING HELLO SUNSHINE TZPJ019:DUSTY PINK:XL:TEXT:SS T-SHIRT</t>
  </si>
  <si>
    <t>TZPJ020</t>
  </si>
  <si>
    <t>SS T-SHIRT BOXY TEE- WORDING BELIEVE TZPJ020:PASTEL ORANGE:XL:TEXT:SS T-SHIRT</t>
  </si>
  <si>
    <t>TZPJ021</t>
  </si>
  <si>
    <t>SS T-SHIRT BOXY TEE - WORDING GOOD TIME TZPJ021:MEDIUM DENIM:S:TEXT:SS T-SHIRT</t>
  </si>
  <si>
    <t>SS T-SHIRT BOXY TEE - WORDING GOOD TIME TZPJ021:MEDIUM DENIM:XL:TEXT:SS T-SHIRT</t>
  </si>
  <si>
    <t>TZCA018</t>
  </si>
  <si>
    <t>SS T-SHIRT REGULAR TEE PRINT WITH IAM SO FANCY WORDING TZCA018:BLACK:S:TEXT:SS T-SHIRT</t>
  </si>
  <si>
    <t>SS T-SHIRT REGULAR TEE PRINT WITH IAM SO FANCY WORDING TZCA018:BLACK:L:TEXT:SS T-SHIRT</t>
  </si>
  <si>
    <t>SS T-SHIRT REGULAR TEE PRINT WITH IAM SO FANCY WORDING TZCA018:BLACK:XL:TEXT:SS T-SHIRT</t>
  </si>
  <si>
    <t>SS T-SHIRT REGULAR TEE PRINT WITH IAM SO FANCY WORDING TZCA018:SAND:L:TEXT:SS T-SHIRT</t>
  </si>
  <si>
    <t>SS T-SHIRT REGULAR TEE PRINT WITH IAM SO FANCY WORDING TZCA018:SAND:XL:TEXT:SS T-SHIRT</t>
  </si>
  <si>
    <t>TZCA040</t>
  </si>
  <si>
    <t>SS T-SHIRT OVERSIZE TEE PRINT WITH HIGH FIVE AND GOODS VIBES WORDING TZCA040:SAND:S:TEXT:SS T-SHIRT</t>
  </si>
  <si>
    <t>SS T-SHIRT OVERSIZE TEE PRINT WITH HIGH FIVE AND GOODS VIBES WORDING TZCA040:SAND:M:TEXT:SS T-SHIRT</t>
  </si>
  <si>
    <t>SS T-SHIRT OVERSIZE TEE PRINT WITH HIGH FIVE AND GOODS VIBES WORDING TZCA040:SAND:L:TEXT:SS T-SHIRT</t>
  </si>
  <si>
    <t>SS T-SHIRT OVERSIZE TEE PRINT WITH HIGH FIVE AND GOODS VIBES WORDING TZCA040:SAND:XL:TEXT:SS T-SHIRT</t>
  </si>
  <si>
    <t>TZCA043</t>
  </si>
  <si>
    <t>SS T-SHIRT REGULAR TEE PRINT WITH LOVE YOURSEL WORDING TZCA043:WHITE:M:TEXT:SS T-SHIRT</t>
  </si>
  <si>
    <t>SS T-SHIRT REGULAR TEE PRINT WITH LOVE YOURSEL WORDING TZCA043:WHITE:L:TEXT:SS T-SHIRT</t>
  </si>
  <si>
    <t>SS T-SHIRT REGULAR TEE PRINT WITH LOVE YOURSEL WORDING TZCA043:WHITE:XL:TEXT:SS T-SHIRT</t>
  </si>
  <si>
    <t>L3TZCA59</t>
  </si>
  <si>
    <t>SS T-SHIRT REGULAR TEE-FLOWER OUTLINE PRINT L3TZCA59:WHITE:S:GRAPHIC:SS T-SHIRT</t>
  </si>
  <si>
    <t>SS T-SHIRT REGULAR TEE-FLOWER OUTLINE PRINT L3TZCA59:WHITE:M:GRAPHIC:SS T-SHIRT</t>
  </si>
  <si>
    <t>SS T-SHIRT REGULAR TEE-FLOWER OUTLINE PRINT L3TZCA59:WHITE:L:GRAPHIC:SS T-SHIRT</t>
  </si>
  <si>
    <t>SS T-SHIRT REGULAR TEE-FLOWER OUTLINE PRINT L3TZCA59:WHITE:XL:GRAPHIC:SS T-SHIRT</t>
  </si>
  <si>
    <t>TZCA017</t>
  </si>
  <si>
    <t>SS T-SHIRT REGULER TEE PRINT WITH YOU CAN DO IT WORD:WHITE:S:TEXT:SS T-SHIRT</t>
  </si>
  <si>
    <t>SS T-SHIRT REGULER TEE PRINT WITH YOU CAN DO IT WORD:WHITE:M:TEXT:SS T-SHIRT</t>
  </si>
  <si>
    <t>SS T-SHIRT REGULER TEE PRINT WITH YOU CAN DO IT WORD:WHITE:L:TEXT:SS T-SHIRT</t>
  </si>
  <si>
    <t>SS T-SHIRT REGULER TEE PRINT WITH YOU CAN DO IT WORD:WHITE:XL:TEXT:SS T-SHIRT</t>
  </si>
  <si>
    <t>SS T-SHIRT REGULER TEE PRINT WITH YOU CAN DO IT WORD:PASTEL PINK:L:TEXT:SS T-SHIRT</t>
  </si>
  <si>
    <t>SS T-SHIRT REGULER TEE PRINT WITH YOU CAN DO IT WORD:PASTEL PINK:XL:TEXT:SS T-SHIRT</t>
  </si>
  <si>
    <t>TZCA030</t>
  </si>
  <si>
    <t>SS T-SHIRT REGULER TEE PRINT WITH  GLITZ ARTWORK WORDS ON 4 SIDES  TZCA030:WHITE:M:GRAPHIC:SS T-SHIR</t>
  </si>
  <si>
    <t>SS T-SHIRT REGULER TEE PRINT WITH  GLITZ ARTWORK WORDS ON 4 SIDES  TZCA030:WHITE:L:GRAPHIC:SS T-SHIR</t>
  </si>
  <si>
    <t>SS T-SHIRT REGULER TEE PRINT WITH  GLITZ ARTWORK WORDS ON 4 SIDES  TZCA030:WHITE:XL:GRAPHIC:SS T-SHI</t>
  </si>
  <si>
    <t>TZCA023</t>
  </si>
  <si>
    <t>SS T-SHIRT PRINT WITH DONT WORRY WORDING TZCA023:BLACK:S:GRAPHIC:SS T-SHIRT</t>
  </si>
  <si>
    <t>SS T-SHIRT PRINT WITH DONT WORRY WORDING TZCA023:BLACK:M:GRAPHIC:SS T-SHIRT</t>
  </si>
  <si>
    <t>SS T-SHIRT PRINT WITH DONT WORRY WORDING TZCA023:BLACK:L:GRAPHIC:SS T-SHIRT</t>
  </si>
  <si>
    <t>SS T-SHIRT PRINT WITH DONT WORRY WORDING TZCA023:BLACK:XL:GRAPHIC:SS T-SHIRT</t>
  </si>
  <si>
    <t>SS T-SHIRT PRINT WITH DONT WORRY WORDING TZCA023:WHITE:S:GRAPHIC:SS T-SHIRT</t>
  </si>
  <si>
    <t>SS T-SHIRT PRINT WITH DONT WORRY WORDING TZCA023:WHITE:M:GRAPHIC:SS T-SHIRT</t>
  </si>
  <si>
    <t>SS T-SHIRT PRINT WITH DONT WORRY WORDING TZCA023:WHITE:XL:GRAPHIC:SS T-SHIRT</t>
  </si>
  <si>
    <t>TZCA024</t>
  </si>
  <si>
    <t>SS T-SHIRT BOXY TEE PRINT WITH FO4L TZCA024:PALE PURPLE:S:TEXT:SS T-SHIRT</t>
  </si>
  <si>
    <t>SS T-SHIRT BOXY TEE PRINT WITH FO4L TZCA024:PALE PURPLE:M:TEXT:SS T-SHIRT</t>
  </si>
  <si>
    <t>SS T-SHIRT BOXY TEE PRINT WITH FO4L TZCA024:PALE PURPLE:L:TEXT:SS T-SHIRT</t>
  </si>
  <si>
    <t>SS T-SHIRT BOXY TEE PRINT WITH FO4L TZCA024:PALE PURPLE:XL:TEXT:SS T-SHIRT</t>
  </si>
  <si>
    <t>SS T-SHIRT BOXY TEE PRINT WITH FO4L TZCA024:MISTY MEDIUM GREY:S:TEXT:SS T-SHIRT</t>
  </si>
  <si>
    <t>SS T-SHIRT BOXY TEE PRINT WITH FO4L TZCA024:MISTY MEDIUM GREY:M:TEXT:SS T-SHIRT</t>
  </si>
  <si>
    <t>SS T-SHIRT BOXY TEE PRINT WITH FO4L TZCA024:MISTY MEDIUM GREY:L:TEXT:SS T-SHIRT</t>
  </si>
  <si>
    <t>SS T-SHIRT BOXY TEE PRINT WITH FO4L TZCA024:MISTY MEDIUM GREY:XL:TEXT:SS T-SHIRT</t>
  </si>
  <si>
    <t>TZCA058</t>
  </si>
  <si>
    <t>SS T-SHIRT REGULAR TEE FACE OUTLINE PRINT TZCA058:WHITE:S:GRAPHIC:SS T-SHIRT</t>
  </si>
  <si>
    <t>SS T-SHIRT REGULAR TEE FACE OUTLINE PRINT TZCA058:WHITE:M:GRAPHIC:SS T-SHIRT</t>
  </si>
  <si>
    <t>SS T-SHIRT REGULAR TEE FACE OUTLINE PRINT TZCA058:WHITE:L:GRAPHIC:SS T-SHIRT</t>
  </si>
  <si>
    <t>SS T-SHIRT REGULAR TEE FACE OUTLINE PRINT TZCA058:WHITE:XL:GRAPHIC:SS T-SHIRT</t>
  </si>
  <si>
    <t>TZCA051</t>
  </si>
  <si>
    <t>SS T-SHIRT REGULAR TEE PRINT MORNINGTON WORDING TZCA051:WHITE:S:GRAPHIC:SS T-SHIRT</t>
  </si>
  <si>
    <t>SS T-SHIRT REGULAR TEE PRINT MORNINGTON WORDING TZCA051:WHITE:M:GRAPHIC:SS T-SHIRT</t>
  </si>
  <si>
    <t>SS T-SHIRT REGULAR TEE PRINT MORNINGTON WORDING TZCA051:WHITE:L:GRAPHIC:SS T-SHIRT</t>
  </si>
  <si>
    <t>SS T-SHIRT REGULAR TEE PRINT MORNINGTON WORDING TZCA051:WHITE:XL:GRAPHIC:SS T-SHIRT</t>
  </si>
  <si>
    <t>CBTL390</t>
  </si>
  <si>
    <t>LS T-SHIRT COR BLUE TOP PRT STR KOMB WVN CBTL390:BLACK:S:STRIPES:LS T-SHIRT</t>
  </si>
  <si>
    <t>LS T-SHIRT COR BLUE TOP PRT STR KOMB WVN CBTL390:BLACK:M:STRIPES:LS T-SHIRT</t>
  </si>
  <si>
    <t>LS T-SHIRT COR BLUE TOP PRT STR KOMB WVN CBTL390:BLACK:XL:STRIPES:LS T-SHIRT</t>
  </si>
  <si>
    <t>BAESWT040</t>
  </si>
  <si>
    <t>SWEATSHIRT W FRONT PRINT AND SMOCK AT SLEEVES BAESWT040:WHITE:S:GRAPHIC:SWEATSHIRT</t>
  </si>
  <si>
    <t>SWEATSHIRT W FRONT PRINT AND SMOCK AT SLEEVES BAESWT040:WHITE:M:GRAPHIC:SWEATSHIRT</t>
  </si>
  <si>
    <t>SWEATSHIRT W FRONT PRINT AND SMOCK AT SLEEVES BAESWT040:WHITE:L:GRAPHIC:SWEATSHIRT</t>
  </si>
  <si>
    <t>SWEATSHIRT W FRONT PRINT AND SMOCK AT SLEEVES BAESWT040:WHITE:XL:GRAPHIC:SWEATSHIRT</t>
  </si>
  <si>
    <t>SWEATSHIRT W FRONT PRINT AND SMOCK AT SLEEVES BAESWT040:PINK LEMON:S:GRAPHIC:SWEATSHIRT</t>
  </si>
  <si>
    <t>SWEATSHIRT W FRONT PRINT AND SMOCK AT SLEEVES BAESWT040:PINK LEMON:M:GRAPHIC:SWEATSHIRT</t>
  </si>
  <si>
    <t>SWEATSHIRT W FRONT PRINT AND SMOCK AT SLEEVES BAESWT040:PINK LEMON:L:GRAPHIC:SWEATSHIRT</t>
  </si>
  <si>
    <t>SWEATSHIRT W FRONT PRINT AND SMOCK AT SLEEVES BAESWT040:PINK LEMON:XL:GRAPHIC:SWEATSHIRT</t>
  </si>
  <si>
    <t>BAESWT043</t>
  </si>
  <si>
    <t>SWEATSHIRT WITH FLORAL CROSS STITCH EMBROIDERY BAESWT043:WHITE:S:FLORAL:SWEATSHIRT</t>
  </si>
  <si>
    <t>SWEATSHIRT WITH FLORAL CROSS STITCH EMBROIDERY BAESWT043:WHITE:L:FLORAL:SWEATSHIRT</t>
  </si>
  <si>
    <t>SWEATSHIRT WITH FLORAL CROSS STITCH EMBROIDERY BAESWT043:WHITE:XL:FLORAL:SWEATSHIRT</t>
  </si>
  <si>
    <t>BAESWT050</t>
  </si>
  <si>
    <t>SWEATSHIRT WITH SEWN DETAIL AT SLEEVES AND EMBROIDER:CLASSIC BLU:S:SOLID:SWEATSHIRT</t>
  </si>
  <si>
    <t>SWEATSHIRT WITH SEWN DETAIL AT SLEEVES AND EMBROIDER:CLASSIC BLU:M:SOLID:SWEATSHIRT</t>
  </si>
  <si>
    <t>SWEATSHIRT WITH SEWN DETAIL AT SLEEVES AND EMBROIDER:CLASSIC BLU:L:SOLID:SWEATSHIRT</t>
  </si>
  <si>
    <t>SWEATSHIRT WITH SEWN DETAIL AT SLEEVES AND EMBROIDER:CLASSIC BLU:XL:SOLID:SWEATSHIRT</t>
  </si>
  <si>
    <t>BAETEE072</t>
  </si>
  <si>
    <t>SS BLOUSE JERSEY WITH EMBRO APPLIQUE AT SLEEVES BAETEE072:BLACK:S:SOLID:SS BLOUSE</t>
  </si>
  <si>
    <t>SS BLOUSE JERSEY WITH EMBRO APPLIQUE AT SLEEVES BAETEE072:BLACK:M:SOLID:SS BLOUSE</t>
  </si>
  <si>
    <t>SS BLOUSE JERSEY WITH EMBRO APPLIQUE AT SLEEVES BAETEE072:BLACK:L:SOLID:SS BLOUSE</t>
  </si>
  <si>
    <t>SS BLOUSE JERSEY WITH EMBRO APPLIQUE AT SLEEVES BAETEE072:BLACK:XL:SOLID:SS BLOUSE</t>
  </si>
  <si>
    <t>SS BLOUSE JERSEY WITH EMBRO APPLIQUE AT SLEEVES BAETEE072:OLIVE:S:SOLID:SS BLOUSE</t>
  </si>
  <si>
    <t>SS BLOUSE JERSEY WITH EMBRO APPLIQUE AT SLEEVES BAETEE072:OLIVE:M:SOLID:SS BLOUSE</t>
  </si>
  <si>
    <t>SS BLOUSE JERSEY WITH EMBRO APPLIQUE AT SLEEVES BAETEE072:OLIVE:L:SOLID:SS BLOUSE</t>
  </si>
  <si>
    <t>SS BLOUSE JERSEY WITH EMBRO APPLIQUE AT SLEEVES BAETEE072:OLIVE:XL:SOLID:SS BLOUSE</t>
  </si>
  <si>
    <t>CHOTL396</t>
  </si>
  <si>
    <t>SWEATSHIRT CHOC TOP KNIT LONG KOMB WVN  CHOTL396:SAND:S:SOLID:SWEATSHIRT</t>
  </si>
  <si>
    <t>SWEATSHIRT CHOC TOP KNIT LONG KOMB WVN  CHOTL396:SAND:M:SOLID:SWEATSHIRT</t>
  </si>
  <si>
    <t>SWEATSHIRT CHOC TOP KNIT LONG KOMB WVN  CHOTL396:SAND:L:SOLID:SWEATSHIRT</t>
  </si>
  <si>
    <t>SWEATSHIRT CHOC TOP KNIT LONG KOMB WVN  CHOTL396:SAND:XL:SOLID:SWEATSHIRT</t>
  </si>
  <si>
    <t>BAESWT063</t>
  </si>
  <si>
    <t>SWEATSHIRT WITH FLOWER EMBRODERRY BAESWT063:WHITE:S:GRAPHIC:SWEATSHIRT</t>
  </si>
  <si>
    <t>SWEATSHIRT WITH FLOWER EMBRODERRY BAESWT063:WHITE:M:GRAPHIC:SWEATSHIRT</t>
  </si>
  <si>
    <t>SWEATSHIRT WITH FLOWER EMBRODERRY BAESWT063:WHITE:L:GRAPHIC:SWEATSHIRT</t>
  </si>
  <si>
    <t>SWEATSHIRT WITH FLOWER EMBRODERRY BAESWT063:WHITE:XL:GRAPHIC:SWEATSHIRT</t>
  </si>
  <si>
    <t>SWEATSHIRT WITH FLOWER EMBRODERRY BAESWT063:PASTEL BLUE:S:GRAPHIC:SWEATSHIRT</t>
  </si>
  <si>
    <t>SWEATSHIRT WITH FLOWER EMBRODERRY BAESWT063:PASTEL BLUE:M:GRAPHIC:SWEATSHIRT</t>
  </si>
  <si>
    <t>SWEATSHIRT WITH FLOWER EMBRODERRY BAESWT063:PASTEL BLUE:L:GRAPHIC:SWEATSHIRT</t>
  </si>
  <si>
    <t>SWEATSHIRT WITH FLOWER EMBRODERRY BAESWT063:PASTEL BLUE:XL:GRAPHIC:SWEATSHIRT</t>
  </si>
  <si>
    <t>BAESWT056</t>
  </si>
  <si>
    <t>SWEATSHIRT WITH FLOWER EMBRODERRY BAESWT056:PALE PURPLE:S:GRAPHIC:SWEATSHIRT</t>
  </si>
  <si>
    <t>SWEATSHIRT WITH FLOWER EMBRODERRY BAESWT056:PALE PURPLE:M:GRAPHIC:SWEATSHIRT</t>
  </si>
  <si>
    <t>SWEATSHIRT WITH FLOWER EMBRODERRY BAESWT056:PALE PURPLE:L:GRAPHIC:SWEATSHIRT</t>
  </si>
  <si>
    <t>SWEATSHIRT WITH FLOWER EMBRODERRY BAESWT056:PALE PURPLE:XL:GRAPHIC:SWEATSHIRT</t>
  </si>
  <si>
    <t>SWEATSHIRT WITH FLOWER EMBRODERRY BAESWT056:MISTY MEDIUM GREY:S:GRAPHIC:SWEATSHIRT</t>
  </si>
  <si>
    <t>SWEATSHIRT WITH FLOWER EMBRODERRY BAESWT056:MISTY MEDIUM GREY:M:GRAPHIC:SWEATSHIRT</t>
  </si>
  <si>
    <t>SWEATSHIRT WITH FLOWER EMBRODERRY BAESWT056:MISTY MEDIUM GREY:L:GRAPHIC:SWEATSHIRT</t>
  </si>
  <si>
    <t>SWEATSHIRT WITH FLOWER EMBRODERRY BAESWT056:MISTY MEDIUM GREY:XL:GRAPHIC:SWEATSHIRT</t>
  </si>
  <si>
    <t>BAETEE055</t>
  </si>
  <si>
    <t>SS T-SHIRT WITH STRING AT FRONT WAIST BAETEE055:BLACK:S:SOLID:SS T-SHIRT</t>
  </si>
  <si>
    <t>SS T-SHIRT WITH STRING AT FRONT WAIST BAETEE055:BLACK:M:SOLID:SS T-SHIRT</t>
  </si>
  <si>
    <t>SS T-SHIRT WITH STRING AT FRONT WAIST BAETEE055:BLACK:L:SOLID:SS T-SHIRT</t>
  </si>
  <si>
    <t>SS T-SHIRT WITH STRING AT FRONT WAIST BAETEE055:BLACK:XL:SOLID:SS T-SHIRT</t>
  </si>
  <si>
    <t>BAESWT065</t>
  </si>
  <si>
    <t>SWEATSHIRT WITH PRINT AND BALOON SLEEVES BAESWT065:NAVY BLUE:S:SOLID:SWEATSHIRT</t>
  </si>
  <si>
    <t>SWEATSHIRT WITH PRINT AND BALOON SLEEVES BAESWT065:NAVY BLUE:M:SOLID:SWEATSHIRT</t>
  </si>
  <si>
    <t>SWEATSHIRT WITH PRINT AND BALOON SLEEVES BAESWT065:NAVY BLUE:L:SOLID:SWEATSHIRT</t>
  </si>
  <si>
    <t>SWEATSHIRT WITH PRINT AND BALOON SLEEVES BAESWT065:NAVY BLUE:XL:SOLID:SWEATSHIRT</t>
  </si>
  <si>
    <t>SGWD043</t>
  </si>
  <si>
    <t>SS MIDI DRESS WITH FABRIC COMBINATION AND ASSYMETRIC AT SIDE-BLACK SGWD043:BLACK:S:SOLID:SS MIDI DRE</t>
  </si>
  <si>
    <t>SS MIDI DRESS WITH FABRIC COMBINATION AND ASSYMETRIC AT SIDE SGWD043:BLACK:M:SOLID:SS MIDI DRESS</t>
  </si>
  <si>
    <t>SS MIDI DRESS WITH FABRIC COMBINATION AND ASSYMETRIC AT SIDE SGWD043:BLACK:L:SOLID:SS MIDI DRESS</t>
  </si>
  <si>
    <t>SS MIDI DRESS WITH FABRIC COMBINATION AND ASSYMETRIC AT SIDE SGWD043:BLACK:XL:SOLID:SS MIDI DRESS</t>
  </si>
  <si>
    <t>SGWD046</t>
  </si>
  <si>
    <t>LS MIDI DRESS WITH 7/8 SLEEVES AND HALF MOON FRILL AT WAIST SGWD046:PASTEL GREEN:S:SOLID:LS MIDI DRE</t>
  </si>
  <si>
    <t>LS MIDI DRESS WITH 7/8 SLEEVES AND HALF MOON FRILL AT WAIST SGWD046:PASTEL GREEN:M:SOLID:LS MIDI DRE</t>
  </si>
  <si>
    <t>LS MIDI DRESS WITH 7/8 SLEEVES AND HALF MOON FRILL AT WAIST SGWD046:PASTEL GREEN:L:SOLID:LS MIDI DRE</t>
  </si>
  <si>
    <t>LS MIDI DRESS WITH 7/8 SLEEVES AND HALF MOON FRILL AT WAIST SGWD046:PASTEL GREEN:XL:SOLID:LS MIDI DR</t>
  </si>
  <si>
    <t>SGWD057</t>
  </si>
  <si>
    <t>SS MIDI DRESS WITH CHECKERS PRINT SGWD057:PASTEL ORANGE:S:SOLID:SS MIDI DRESS</t>
  </si>
  <si>
    <t>SS MIDI DRESS WITH CHECKERS PRINT SGWD057:PASTEL ORANGE:M:SOLID:SS MIDI DRESS</t>
  </si>
  <si>
    <t>SS MIDI DRESS WITH CHECKERS PRINT SGWD057:PASTEL ORANGE:L:SOLID:SS MIDI DRESS</t>
  </si>
  <si>
    <t>SS MIDI DRESS WITH CHECKERS PRINT SGWD057:PASTEL ORANGE:XL:SOLID:SS MIDI DRESS</t>
  </si>
  <si>
    <t>SS MIDI DRESS WITH CHECKERS PRINT SGWD057:PASTEL BLUE:S:SOLID:SS MIDI DRESS</t>
  </si>
  <si>
    <t>SS MIDI DRESS WITH CHECKERS PRINT SGWD057:PASTEL BLUE:M:SOLID:SS MIDI DRESS</t>
  </si>
  <si>
    <t>SS MIDI DRESS WITH CHECKERS PRINT SGWD057:PASTEL BLUE:L:SOLID:SS MIDI DRESS</t>
  </si>
  <si>
    <t>SS MIDI DRESS WITH CHECKERS PRINT SGWD057:PASTEL BLUE:XL:SOLID:SS MIDI DRESS</t>
  </si>
  <si>
    <t>MASWD049</t>
  </si>
  <si>
    <t>SS MIDI DRESS WITH TREND AND V NECK MASWD049:RUSTIC BROWN:S:SOLID:SS MIDI DRESS</t>
  </si>
  <si>
    <t>SS MIDI DRESS WITH TREND AND V NECK MASWD049:RUSTIC BROWN:L:SOLID:SS MIDI DRESS</t>
  </si>
  <si>
    <t>SS MIDI DRESS WITH TREND AND V NECK MASWD049:RUSTIC BROWN:XL:SOLID:SS MIDI DRESS</t>
  </si>
  <si>
    <t>MASWD042</t>
  </si>
  <si>
    <t>LS MIDI DRESS WITH SHANGHAI COLLAR AND OPEN FLACKET MASWD042:MISTY LIGHT BROWN:S:SOLID:LS MIDI DRESS</t>
  </si>
  <si>
    <t>LS MIDI DRESS WITH SHANGHAI COLLAR AND OPEN FLACKET MASWD042:MISTY LIGHT BROWN:M:SOLID:LS MIDI DRESS</t>
  </si>
  <si>
    <t>LS MIDI DRESS WITH SHANGHAI COLLAR AND OPEN FLACKET MASWD042:MISTY LIGHT BROWN:L:SOLID:LS MIDI DRESS</t>
  </si>
  <si>
    <t>BAEDR074</t>
  </si>
  <si>
    <t>SS MIDI DRESS WITH RIB AND WOVEN FABRIC BAEDR074:BLACK:S:SOLID:SS MIDI DRESS</t>
  </si>
  <si>
    <t>SS MIDI DRESS WITH RIB AND WOVEN FABRIC BAEDR074:BLACK:M:SOLID:SS MIDI DRESS</t>
  </si>
  <si>
    <t>SS MIDI DRESS WITH RIB AND WOVEN FABRIC BAEDR074:BLACK:L:SOLID:SS MIDI DRESS</t>
  </si>
  <si>
    <t>SS MIDI DRESS WITH RIB AND WOVEN FABRIC BAEDR074:BLACK:XL:SOLID:SS MIDI DRESS</t>
  </si>
  <si>
    <t>SS MIDI DRESS WITH RIB AND WOVEN FABRIC BAEDR074:OLIVE:S:SOLID:SS MIDI DRESS</t>
  </si>
  <si>
    <t>SS MIDI DRESS WITH RIB AND WOVEN FABRIC BAEDR074:OLIVE:M:SOLID:SS MIDI DRESS</t>
  </si>
  <si>
    <t>SS MIDI DRESS WITH RIB AND WOVEN FABRIC BAEDR074:OLIVE:L:SOLID:SS MIDI DRESS</t>
  </si>
  <si>
    <t>SS MIDI DRESS WITH RIB AND WOVEN FABRIC BAEDR074:OLIVE:XL:SOLID:SS MIDI DRESS</t>
  </si>
  <si>
    <t>AMJAKT01</t>
  </si>
  <si>
    <t>SS MIDI DRESS KNIT WITH SHORT SLEEVES AND LOOSE FIT AMJAKT01:BROWN SUGAR:S:SOLID:SS MIDI DRESS</t>
  </si>
  <si>
    <t>SS MIDI DRESS KNIT WITH SHORT SLEEVES AND LOOSE FIT AMJAKT01:BROWN SUGAR:M:SOLID:SS MIDI DRESS</t>
  </si>
  <si>
    <t>SS MIDI DRESS KNIT WITH SHORT SLEEVES AND LOOSE FIT AMJAKT01:BROWN SUGAR:L:SOLID:SS MIDI DRESS</t>
  </si>
  <si>
    <t>SS MIDI DRESS KNIT WITH SHORT SLEEVES AND LOOSE FIT AMJAKT01:BROWN SUGAR:XL:SOLID:SS MIDI DRESS</t>
  </si>
  <si>
    <t>SS MIDI DRESS KNIT WITH SHORT SLEEVES AND LOOSE FIT AMJAKT01:BLACK:S:SOLID:SS MIDI DRESS</t>
  </si>
  <si>
    <t>SS MIDI DRESS KNIT WITH SHORT SLEEVES AND LOOSE FIT AMJAKT01:BLACK:M:SOLID:SS MIDI DRESS</t>
  </si>
  <si>
    <t>SS MIDI DRESS KNIT WITH SHORT SLEEVES AND LOOSE FIT AMJAKT01:BLACK:L:SOLID:SS MIDI DRESS</t>
  </si>
  <si>
    <t>SS MIDI DRESS KNIT WITH SHORT SLEEVES AND LOOSE FIT AMJAKT01:BLACK:XL:SOLID:SS MIDI DRESS</t>
  </si>
  <si>
    <t>SGWB050</t>
  </si>
  <si>
    <t>LONG PANTS TEXTURED FABRIC SGWB050:KHAKI:S:SOLID:LONG PANTS</t>
  </si>
  <si>
    <t>LONG PANTS TEXTURED FABRIC SGWB050:KHAKI:M:SOLID:LONG PANTS</t>
  </si>
  <si>
    <t>LONG PANTS TEXTURED FABRIC SGWB050:KHAKI:L:SOLID:LONG PANTS</t>
  </si>
  <si>
    <t>LONG PANTS TEXTURED FABRIC SGWB050:KHAKI:XL:SOLID:LONG PANTS</t>
  </si>
  <si>
    <t>LONG PANTS TEXTURED FABRIC SGWB050:BLACK:S:SOLID:LONG PANTS</t>
  </si>
  <si>
    <t>LONG PANTS TEXTURED FABRIC SGWB050:BLACK:M:SOLID:LONG PANTS</t>
  </si>
  <si>
    <t>LONG PANTS TEXTURED FABRIC SGWB050:BLACK:L:SOLID:LONG PANTS</t>
  </si>
  <si>
    <t>LONG PANTS TEXTURED FABRIC SGWB050:BLACK:XL:SOLID:LONG PANTS</t>
  </si>
  <si>
    <t>SGWB051</t>
  </si>
  <si>
    <t>LONG PANTS WITH FRONT RIBBON SGWB051:KHAKI:S:SOLID:LONG PANTS</t>
  </si>
  <si>
    <t>LONG PANTS WITH FRONT RIBBON SGWB051:KHAKI:M:SOLID:LONG PANTS</t>
  </si>
  <si>
    <t>LONG PANTS WITH FRONT RIBBON SGWB051:KHAKI:L:SOLID:LONG PANTS</t>
  </si>
  <si>
    <t>LONG PANTS WITH FRONT RIBBON SGWB051:KHAKI:XL:SOLID:LONG PANTS</t>
  </si>
  <si>
    <t>SGSP055</t>
  </si>
  <si>
    <t>SHORT PANTS WITH ELASTIC WAISTBAND SGSP055:KHAKI:S:SOLID:SHORT PANTS</t>
  </si>
  <si>
    <t>SHORT PANTS WITH ELASTIC WAISTBAND SGSP055:KHAKI:M:SOLID:SHORT PANTS</t>
  </si>
  <si>
    <t>SHORT PANTS WITH ELASTIC WAISTBAND SGSP055:KHAKI:L:SOLID:SHORT PANTS</t>
  </si>
  <si>
    <t>SHORT PANTS WITH ELASTIC WAISTBAND SGSP055:KHAKI:XL:SOLID:SHORT PANTS</t>
  </si>
  <si>
    <t>SHORT PANTS WITH ELASTIC WAISTBAND SGSP055:BLACK:S:SOLID:SHORT PANTS</t>
  </si>
  <si>
    <t>SHORT PANTS WITH ELASTIC WAISTBAND SGSP055:BLACK:M:SOLID:SHORT PANTS</t>
  </si>
  <si>
    <t>SHORT PANTS WITH ELASTIC WAISTBAND SGSP055:BLACK:L:SOLID:SHORT PANTS</t>
  </si>
  <si>
    <t>SHORT PANTS WITH ELASTIC WAISTBAND SGSP055:BLACK:XL:SOLID:SHORT PANTS</t>
  </si>
  <si>
    <t>MASWB045</t>
  </si>
  <si>
    <t>LONG PANTS REGULER FIT WITH BUTTON OPENING MASWB045:WOOD BROWN:S:SOLID:LONG PANTS</t>
  </si>
  <si>
    <t>LONG PANTS REGULER FIT WITH BUTTON OPENING MASWB045:WOOD BROWN:M:SOLID:LONG PANTS</t>
  </si>
  <si>
    <t>LONG PANTS REGULER FIT WITH BUTTON OPENING MASWB045:WOOD BROWN:L:SOLID:LONG PANTS</t>
  </si>
  <si>
    <t>LONG PANTS REGULER FIT WITH BUTTON OPENING MASWB045:WOOD BROWN:XL:SOLID:LONG PANTS</t>
  </si>
  <si>
    <t>LONG PANTS REGULER FIT WITH BUTTON OPENING MASWB045:BLACK:S:SOLID:LONG PANTS</t>
  </si>
  <si>
    <t>LONG PANTS REGULER FIT WITH BUTTON OPENING MASWB045:BLACK:M:SOLID:LONG PANTS</t>
  </si>
  <si>
    <t>LONG PANTS REGULER FIT WITH BUTTON OPENING MASWB045:BLACK:L:SOLID:LONG PANTS</t>
  </si>
  <si>
    <t>LONG PANTS REGULER FIT WITH BUTTON OPENING MASWB045:BLACK:XL:SOLID:LONG PANTS</t>
  </si>
  <si>
    <t>LONG PANTS REGULER FIT WITH BUTTON OPENING MASWB045:OLIVE:S:SOLID:LONG PANTS</t>
  </si>
  <si>
    <t>LONG PANTS REGULER FIT WITH BUTTON OPENING MASWB045:OLIVE:M:SOLID:LONG PANTS</t>
  </si>
  <si>
    <t>LONG PANTS REGULER FIT WITH BUTTON OPENING MASWB045:OLIVE:L:SOLID:LONG PANTS</t>
  </si>
  <si>
    <t>LONG PANTS REGULER FIT WITH BUTTON OPENING MASWB045:OLIVE:XL:SOLID:LONG PANTS</t>
  </si>
  <si>
    <t>MASSP046</t>
  </si>
  <si>
    <t>SHORT PANTS REGULAR FIT WITH BUTTON OPENING MASSP046:PASTEL GREEN:S:SOLID:SHORT PANTS</t>
  </si>
  <si>
    <t>SHORT PANTS REGULAR FIT WITH BUTTON OPENING MASSP046:PASTEL GREEN:M:SOLID:SHORT PANTS</t>
  </si>
  <si>
    <t>SHORT PANTS REGULAR FIT WITH BUTTON OPENING MASSP046:PASTEL GREEN:L:SOLID:SHORT PANTS</t>
  </si>
  <si>
    <t>SHORT PANTS REGULAR FIT WITH BUTTON OPENING MASSP046:PASTEL GREEN:XL:SOLID:SHORT PANTS</t>
  </si>
  <si>
    <t>SHORT PANTS REGULAR FIT WITH BUTTON OPENING MASSP046:KHAKI:S:SOLID:SHORT PANTS</t>
  </si>
  <si>
    <t>SHORT PANTS REGULAR FIT WITH BUTTON OPENING MASSP046:KHAKI:M:SOLID:SHORT PANTS</t>
  </si>
  <si>
    <t>SHORT PANTS REGULAR FIT WITH BUTTON OPENING MASSP046:KHAKI:L:SOLID:SHORT PANTS</t>
  </si>
  <si>
    <t>SHORT PANTS REGULAR FIT WITH BUTTON OPENING MASSP046:KHAKI:XL:SOLID:SHORT PANTS</t>
  </si>
  <si>
    <t>SHORT PANTS REGULAR FIT WITH BUTTON OPENING MASSP046:NAVY BLUE:S:SOLID:SHORT PANTS</t>
  </si>
  <si>
    <t>SHORT PANTS REGULAR FIT WITH BUTTON OPENING MASSP046:NAVY BLUE:M:SOLID:SHORT PANTS</t>
  </si>
  <si>
    <t>SHORT PANTS REGULAR FIT WITH BUTTON OPENING MASSP046:NAVY BLUE:L:SOLID:SHORT PANTS</t>
  </si>
  <si>
    <t>SHORT PANTS REGULAR FIT WITH BUTTON OPENING MASSP046:NAVY BLUE:XL:SOLID:SHORT PANTS</t>
  </si>
  <si>
    <t>MASWB050</t>
  </si>
  <si>
    <t>LONG PANTS CARGO STYLE WITH WIDE LEG FIT MASWB050:OLIVE:S:SOLID:LONG PANTS</t>
  </si>
  <si>
    <t>LONG PANTS CARGO STYLE WITH WIDE LEG FIT MASWB050:OLIVE:M:SOLID:LONG PANTS</t>
  </si>
  <si>
    <t>LONG PANTS CARGO STYLE WITH WIDE LEG FIT MASWB050:OLIVE:L:SOLID:LONG PANTS</t>
  </si>
  <si>
    <t>LONG PANTS CARGO STYLE WITH WIDE LEG FIT MASWB050:OLIVE:XL:SOLID:LONG PANTS</t>
  </si>
  <si>
    <t>LONG PANTS REGULER FIT WITH FRONT BUTTON PLAID RK283:BLACK:S:CHECKS:LONG PANTS</t>
  </si>
  <si>
    <t>LONG PANTS REGULER FIT WITH FRONT BUTTON PLAID RK283:BLACK:M:CHECKS:LONG PANTS</t>
  </si>
  <si>
    <t>LONG PANTS REGULER FIT WITH FRONT BUTTON PLAID RK283:BLACK:L:CHECKS:LONG PANTS</t>
  </si>
  <si>
    <t>LONG PANTS REGULER FIT WITH FRONT BUTTON PLAID RK283:BLACK:XL:CHECKS:LONG PANTS</t>
  </si>
  <si>
    <t>RKWB02</t>
  </si>
  <si>
    <t>LONG PANTS PLAID WITH FRONT HOOK AND TAPPERED FIT RKWB02:TAUPE GREY:S:CHECKS:LONG PANTS</t>
  </si>
  <si>
    <t>LONG PANTS PLAID WITH FRONT HOOK AND TAPPERED FIT RKWB02:TAUPE GREY:M:CHECKS:LONG PANTS</t>
  </si>
  <si>
    <t>LONG PANTS PLAID WITH FRONT HOOK AND TAPPERED FIT RKWB02:TAUPE GREY:L:CHECKS:LONG PANTS</t>
  </si>
  <si>
    <t>LONG PANTS PLAID WITH FRONT HOOK AND TAPPERED FIT RKWB02:TAUPE GREY:XL:CHECKS:LONG PANTS</t>
  </si>
  <si>
    <t>RK285</t>
  </si>
  <si>
    <t>SHORT PANTS REGULAR FIT WITH BUTTONS PLAID CHECK RK285:BLACK:S:SOLID:SHORT PANTS</t>
  </si>
  <si>
    <t>SHORT PANTS REGULAR FIT WITH BUTTONS PLAID CHECK RK285:BLACK:M:SOLID:SHORT PANTS</t>
  </si>
  <si>
    <t>SHORT PANTS REGULAR FIT WITH BUTTONS PLAID CHECK RK285:BLACK:L:SOLID:SHORT PANTS</t>
  </si>
  <si>
    <t>SHORT PANTS REGULAR FIT WITH BUTTONS PLAID CHECK RK285:BLACK:XL:SOLID:SHORT PANTS</t>
  </si>
  <si>
    <t>BAEKB053</t>
  </si>
  <si>
    <t>LONG PANTS SWEATPANTS WITH JACQUARD RIB AT HALF SIDE:SAND:S:SOLID:LONG PANTS</t>
  </si>
  <si>
    <t>LONG PANTS SWEATPANTS WITH JACQUARD RIB AT HALF SIDE:SAND:M:SOLID:LONG PANTS</t>
  </si>
  <si>
    <t>LONG PANTS SWEATPANTS WITH JACQUARD RIB AT HALF SIDE:SAND:L:SOLID:LONG PANTS</t>
  </si>
  <si>
    <t>LONG PANTS SWEATPANTS WITH JACQUARD RIB AT HALF SIDE:SAND:XL:SOLID:LONG PANTS</t>
  </si>
  <si>
    <t>LONG PANTS SWEATPANTS WITH JACQUARD RIB AT HALF SIDE:CLASSIC BLU:S:SOLID:LONG PANTS</t>
  </si>
  <si>
    <t>LONG PANTS SWEATPANTS WITH JACQUARD RIB AT HALF SIDE:CLASSIC BLU:M:SOLID:LONG PANTS</t>
  </si>
  <si>
    <t>LONG PANTS SWEATPANTS WITH JACQUARD RIB AT HALF SIDE:CLASSIC BLU:L:SOLID:LONG PANTS</t>
  </si>
  <si>
    <t>LONG PANTS SWEATPANTS WITH JACQUARD RIB AT HALF SIDE:CLASSIC BLU:XL:SOLID:LONG PANTS</t>
  </si>
  <si>
    <t>BAESK075</t>
  </si>
  <si>
    <t>MAXI SKIRT WITH PLEATS BAESK075:KHAKI:S:SOLID:MAXI SKIRT</t>
  </si>
  <si>
    <t>MAXI SKIRT WITH PLEATS BAESK075:KHAKI:M:SOLID:MAXI SKIRT</t>
  </si>
  <si>
    <t>MAXI SKIRT WITH PLEATS BAESK075:KHAKI:L:SOLID:MAXI SKIRT</t>
  </si>
  <si>
    <t>MAXI SKIRT WITH PLEATS BAESK075:KHAKI:XL:SOLID:MAXI SKIRT</t>
  </si>
  <si>
    <t>MAXI SKIRT WITH PLEATS BAESK075:BLACK:S:SOLID:MAXI SKIRT</t>
  </si>
  <si>
    <t>MAXI SKIRT WITH PLEATS BAESK075:BLACK:L:SOLID:MAXI SKIRT</t>
  </si>
  <si>
    <t>MAXI SKIRT WITH PLEATS BAESK075:BLACK:XL:SOLID:MAXI SKIRT</t>
  </si>
  <si>
    <t>BAEPK076</t>
  </si>
  <si>
    <t>LONG PANTS KNIT WITH PLEATS BAEPK076:BLACK:S:SOLID:LONG PANTS</t>
  </si>
  <si>
    <t>LONG PANTS KNIT WITH PLEATS BAEPK076:BLACK:M:SOLID:LONG PANTS</t>
  </si>
  <si>
    <t>LONG PANTS KNIT WITH PLEATS BAEPK076:BLACK:L:SOLID:LONG PANTS</t>
  </si>
  <si>
    <t>LONG PANTS KNIT WITH PLEATS BAEPK076:BLACK:XL:SOLID:LONG PANTS</t>
  </si>
  <si>
    <t>BLAZER 3/4 SLEEVES WITH 2 BUTTONS PLAID CHECK RKOUT282:BLACK:S:CHECKS:BLAZER</t>
  </si>
  <si>
    <t>BLAZER 3/4 SLEEVES WITH 2 BUTTONS PLAID CHECK RKOUT282:BLACK:M:CHECKS:BLAZER</t>
  </si>
  <si>
    <t>BLAZER 3/4 SLEEVES WITH 2 BUTTONS PLAID CHECK RKOUT282:BLACK:L:CHECKS:BLAZER</t>
  </si>
  <si>
    <t>BLAZER 3/4 SLEEVES WITH 2 BUTTONS PLAID CHECK RKOUT282:BLACK:XL:CHECKS:BLAZER</t>
  </si>
  <si>
    <t>TCLOUT01</t>
  </si>
  <si>
    <t>BLAZER OVERSIZE WITH ROLLABLE CUFF TCLOUT01:FUSCHIA:L:SOLID:BLAZER</t>
  </si>
  <si>
    <t>BLAZER OVERSIZE WITH ROLLABLE CUFF TCLOUT01:FUSCHIA:XL:SOLID:BLAZER</t>
  </si>
  <si>
    <t>TCLOUT04</t>
  </si>
  <si>
    <t>BLAZER WITH BUTTON AND LID AT SLEEVE TCLOUT04:BLACK:S:SOLID:BLAZER</t>
  </si>
  <si>
    <t>BLAZER WITH BUTTON AND LID AT SLEEVE TCLOUT04:BLACK:M:SOLID:BLAZER</t>
  </si>
  <si>
    <t>BLAZER WITH BUTTON AND LID AT SLEEVE TCLOUT04:BLACK:L:SOLID:BLAZER</t>
  </si>
  <si>
    <t>BLAZER WITH BUTTON AND LID AT SLEEVE TCLOUT04:BLACK:XL:SOLID:BLAZER</t>
  </si>
  <si>
    <t>BLAZER OVERSIZE WITH ROLLABLE CUFF TCLOUT10:PASTEL GREEN:S:SOLID:BLAZER</t>
  </si>
  <si>
    <t>BLAZER OVERSIZE WITH ROLLABLE CUFF TCLOUT10:PASTEL GREEN:M:SOLID:BLAZER</t>
  </si>
  <si>
    <t>BLAZER OVERSIZE WITH ROLLABLE CUFF TCLOUT10:PASTEL GREEN:L:SOLID:BLAZER</t>
  </si>
  <si>
    <t>BLAZER OVERSIZE WITH ROLLABLE CUFF TCLOUT10:PASTEL GREEN:XL:SOLID:BLAZER</t>
  </si>
  <si>
    <t>BLAZER OVERSIZE WITH ROLLABLE CUFF TCLOUT10:INDIGO BLUE:S:SOLID:BLAZER</t>
  </si>
  <si>
    <t>BLAZER OVERSIZE WITH ROLLABLE CUFF TCLOUT10:INDIGO BLUE:M:SOLID:BLAZER</t>
  </si>
  <si>
    <t>BLAZER OVERSIZE WITH ROLLABLE CUFF TCLOUT10:INDIGO BLUE:L:SOLID:BLAZER</t>
  </si>
  <si>
    <t>BLAZER OVERSIZE WITH ROLLABLE CUFF TCLOUT10:INDIGO BLUE:XL:SOLID:BLAZER</t>
  </si>
  <si>
    <t>TCLOUT09</t>
  </si>
  <si>
    <t>VEST LONG WITH 4 BUTTONS TCLOUT09:BLACK:S:SOLID:VEST</t>
  </si>
  <si>
    <t>VEST LONG WITH 4 BUTTONS TCLOUT09:BLACK:M:SOLID:VEST</t>
  </si>
  <si>
    <t>VEST LONG WITH 4 BUTTONS TCLOUT09:BLACK:L:SOLID:VEST</t>
  </si>
  <si>
    <t>VEST LONG WITH 4 BUTTONS TCLOUT09:BLACK:XL:SOLID:VEST</t>
  </si>
  <si>
    <t>PRDDWB08</t>
  </si>
  <si>
    <t>DENIM SHORT PANTS WITH BERMUDA FIT PRDDWB08:FROST GREY:S:SOLID:DENIM SHORT P</t>
  </si>
  <si>
    <t>DENIM SHORT PANTS WITH BERMUDA FIT PRDDWB08:FROST GREY:M:SOLID:DENIM SHORT P</t>
  </si>
  <si>
    <t>DENIM SHORT PANTS WITH BERMUDA FIT PRDDWB08:FROST GREY:L:SOLID:DENIM SHORT P</t>
  </si>
  <si>
    <t>DENIM SHORT PANTS WITH BERMUDA FIT PRDDWB08:FROST GREY:XL:SOLID:DENIM SHORT P</t>
  </si>
  <si>
    <t>DENIM SHORT PANTS WITH BERMUDA FIT PRDDWB08:MEDIUM DENIM:S:SOLID:DENIM SHORT P</t>
  </si>
  <si>
    <t>DENIM SHORT PANTS WITH BERMUDA FIT PRDDWB08:MEDIUM DENIM:M:SOLID:DENIM SHORT P</t>
  </si>
  <si>
    <t>DENIM SHORT PANTS WITH BERMUDA FIT PRDDWB08:MEDIUM DENIM:L:SOLID:DENIM SHORT P</t>
  </si>
  <si>
    <t>DENIM SHORT PANTS WITH BERMUDA FIT PRDDWB08:MEDIUM DENIM:XL:SOLID:DENIM SHORT P</t>
  </si>
  <si>
    <t>PRDD013</t>
  </si>
  <si>
    <t>DENIM LONG PANTS WITH DESTROYED PRDD013:LIGHT DENIM:S:SOLID:DENIM LONG PAN</t>
  </si>
  <si>
    <t>DENIM LONG PANTS WITH DESTROYED PRDD013:LIGHT DENIM:M:SOLID:DENIM LONG PAN</t>
  </si>
  <si>
    <t>DENIM LONG PANTS WITH DESTROYED PRDD013:LIGHT DENIM:L:SOLID:DENIM LONG PAN</t>
  </si>
  <si>
    <t>DENIM LONG PANTS WITH DESTROYED PRDD013:LIGHT DENIM:XL:SOLID:DENIM LONG PAN</t>
  </si>
  <si>
    <t>DENIM LONG PANTS WITH DESTROYED PRDD013:MEDIUM DENIM:S:SOLID:DENIM LONG PAN</t>
  </si>
  <si>
    <t>DENIM LONG PANTS WITH DESTROYED PRDD013:MEDIUM DENIM:M:SOLID:DENIM LONG PAN</t>
  </si>
  <si>
    <t>DENIM LONG PANTS WITH DESTROYED PRDD013:MEDIUM DENIM:L:SOLID:DENIM LONG PAN</t>
  </si>
  <si>
    <t>DENIM LONG PANTS WITH DESTROYED PRDD013:MEDIUM DENIM:XL:SOLID:DENIM LONG PAN</t>
  </si>
  <si>
    <t>PRDD010</t>
  </si>
  <si>
    <t>DENIM LONG PANTS WITH DESTROYED PRDD010:MEDIUM DENIM:S:SOLID:DENIM LONG PANTS</t>
  </si>
  <si>
    <t>DENIM LONG PANTS WITH DESTROYED PRDD010:MEDIUM DENIM:M:SOLID:DENIM LONG PANTS</t>
  </si>
  <si>
    <t>DENIM LONG PANTS WITH DESTROYED PRDD010:MEDIUM DENIM:L:SOLID:DENIM LONG PANTS</t>
  </si>
  <si>
    <t>DENIM LONG PANTS WITH DESTROYED PRDD010:MEDIUM DENIM:XL:SOLID:DENIM LONG PANTS</t>
  </si>
  <si>
    <t>PRDOUT001</t>
  </si>
  <si>
    <t>DENIM JACKET WITH 2 FRONT FLAP POCKET PRDOUT001:LIGHT DENIM:S:SOLID:DENIM JACKET</t>
  </si>
  <si>
    <t>DENIM JACKET WITH 2 FRONT FLAP POCKET PRDOUT001:LIGHT DENIM:M:SOLID:DENIM JACKET</t>
  </si>
  <si>
    <t>DENIM JACKET WITH 2 FRONT FLAP POCKET PRDOUT001:LIGHT DENIM:L:SOLID:DENIM JACKET</t>
  </si>
  <si>
    <t>DENIM JACKET WITH 2 FRONT FLAP POCKET PRDOUT001:LIGHT DENIM:XL:SOLID:DENIM JACKET</t>
  </si>
  <si>
    <t>PRDD012</t>
  </si>
  <si>
    <t>DENIM SHORT PANTS WITH DESTROYED PRDD012:MEDIUM DENIM:S:SOLID:DENIM SHORT PANTS</t>
  </si>
  <si>
    <t>DENIM SHORT PANTS WITH DESTROYED PRDD012:MEDIUM DENIM:M:SOLID:DENIM SHORT PANTS</t>
  </si>
  <si>
    <t>DENIM SHORT PANTS WITH DESTROYED PRDD012:MEDIUM DENIM:L:SOLID:DENIM SHORT PANTS</t>
  </si>
  <si>
    <t>DENIM SHORT PANTS WITH DESTROYED PRDD012:MEDIUM DENIM:XL:SOLID:DENIM SHORT PANTS</t>
  </si>
  <si>
    <t>PRDT011</t>
  </si>
  <si>
    <t>SS SHIRT DENIM TOP BOXY WITH POCKET PRDT011:DARK DENIM:S:SOLID:SS SHIRT</t>
  </si>
  <si>
    <t>SS SHIRT DENIM TOP BOXY WITH POCKET PRDT011:DARK DENIM:M:SOLID:SS SHIRT</t>
  </si>
  <si>
    <t>SS SHIRT DENIM TOP BOXY WITH POCKET PRDT011:DARK DENIM:L:SOLID:SS SHIRT</t>
  </si>
  <si>
    <t>SS SHIRT DENIM TOP BOXY WITH POCKET PRDT011:DARK DENIM:XL:SOLID:SS SHIRT</t>
  </si>
  <si>
    <t>RK276</t>
  </si>
  <si>
    <t>LONG PANTS TAPPERED FIT BASIC RK276:RUSTIC BROWN:S:SOLID:LONG PANTS</t>
  </si>
  <si>
    <t>LONG PANTS TAPPERED FIT BASIC RK276:RUSTIC BROWN:M:SOLID:LONG PANTS</t>
  </si>
  <si>
    <t>LONG PANTS TAPPERED FIT BASIC RK276:RUSTIC BROWN:L:SOLID:LONG PANTS</t>
  </si>
  <si>
    <t>LONG PANTS TAPPERED FIT BASIC RK276:RUSTIC BROWN:XL:SOLID:LONG PANTS</t>
  </si>
  <si>
    <t>RK271</t>
  </si>
  <si>
    <t>LONG PANTS WITH PAPER BAG WAIST AND DIAGONAL BELT LOOP RK271:NAVY BLUE:S:SOLID:LONG PANTS</t>
  </si>
  <si>
    <t>LONG PANTS WITH PAPER BAG WAIST AND DIAGONAL BELT LOOP RK271:NAVY BLUE:M:SOLID:LONG PANTS</t>
  </si>
  <si>
    <t>LONG PANTS WITH PAPER BAG WAIST AND DIAGONAL BELT LOOP RK271:NAVY BLUE:L:SOLID:LONG PANTS</t>
  </si>
  <si>
    <t>LONG PANTS WITH PAPER BAG WAIST AND DIAGONAL BELT LOOP RK271:NAVY BLUE:XL:SOLID:LONG PANTS</t>
  </si>
  <si>
    <t>RK284</t>
  </si>
  <si>
    <t>JOGGER STRAIGHT FIT PANTS WITH STRING AND CUT AND SEWN RK284:FROST GREY:S:SOLID:JOGGER</t>
  </si>
  <si>
    <t>JOGGER STRAIGHT FIT PANTS WITH STRING AND CUT AND SEWN RK284:FROST GREY:M:SOLID:JOGGER</t>
  </si>
  <si>
    <t>JOGGER STRAIGHT FIT PANTS WITH STRING AND CUT AND SEWN RK284:FROST GREY:L:SOLID:JOGGER</t>
  </si>
  <si>
    <t>JOGGER STRAIGHT FIT PANTS WITH STRING AND CUT AND SEWN RK284:FROST GREY:XL:SOLID:JOGGER</t>
  </si>
  <si>
    <t>JOGGER STRAIGHT FIT PANTS WITH STRING AND CUT AND SEWN RK284:BLACK:S:SOLID:JOGGER</t>
  </si>
  <si>
    <t>JOGGER STRAIGHT FIT PANTS WITH STRING AND CUT AND SEWN RK284:BLACK:M:SOLID:JOGGER</t>
  </si>
  <si>
    <t>JOGGER STRAIGHT FIT PANTS WITH STRING AND CUT AND SEWN RK284:BLACK:L:SOLID:JOGGER</t>
  </si>
  <si>
    <t>JOGGER STRAIGHT FIT PANTS WITH STRING AND CUT AND SEWN RK284:BLACK:XL:SOLID:JOGGER</t>
  </si>
  <si>
    <t>JOGGER STRAIGHT FIT PANTS WITH STRING AND CUT AND SEWN RK284:RUSTIC BROWN:S:SOLID:JOGGER</t>
  </si>
  <si>
    <t>JOGGER STRAIGHT FIT PANTS WITH STRING AND CUT AND SEWN RK284:RUSTIC BROWN:M:SOLID:JOGGER</t>
  </si>
  <si>
    <t>JOGGER STRAIGHT FIT PANTS WITH STRING AND CUT AND SEWN RK284:RUSTIC BROWN:L:SOLID:JOGGER</t>
  </si>
  <si>
    <t>JOGGER STRAIGHT FIT PANTS WITH STRING AND CUT AND SEWN RK284:RUSTIC BROWN:XL:SOLID:JOGGER</t>
  </si>
  <si>
    <t>RK281</t>
  </si>
  <si>
    <t>LONG PANTS REGULER FIT WITH BUCKLE RK281:PASTEL GREY:S:SOLID:LONG PANTS</t>
  </si>
  <si>
    <t>LONG PANTS REGULER FIT WITH BUCKLE RK281:PASTEL GREY:M:SOLID:LONG PANTS</t>
  </si>
  <si>
    <t>LONG PANTS REGULER FIT WITH BUCKLE RK281:PASTEL GREY:L:SOLID:LONG PANTS</t>
  </si>
  <si>
    <t>LONG PANTS REGULER FIT WITH BUCKLE RK281:PASTEL GREY:XL:SOLID:LONG PANTS</t>
  </si>
  <si>
    <t xml:space="preserve"> L3MAOT54</t>
  </si>
  <si>
    <t>BLAZER WITH LIGHT FABRIC AND BOW AT FRONT L3MAOT54:PASTEL GREE:S:SOLID:BLAZER</t>
  </si>
  <si>
    <t>BLAZER WITH LIGHT FABRIC AND BOW AT FRONT L3MAOT54:PASTEL GREE:M:SOLID:BLAZER</t>
  </si>
  <si>
    <t>BLAZER WITH LIGHT FABRIC AND BOW AT FRONT L3MAOT54:PASTEL GREE:L:SOLID:BLAZER</t>
  </si>
  <si>
    <t>BLAZER WITH LIGHT FABRIC AND BOW AT FRONT L3MAOT54:PASTEL GREE:XL:SOLID:BLAZER</t>
  </si>
  <si>
    <t>L3MAWD56</t>
  </si>
  <si>
    <t>SS MIDI DRESS WITH EMBROIDERY AT FRONT CHEST L3MAWD56:WHITE:S:SOLID:SS MIDI DR</t>
  </si>
  <si>
    <t>SS MIDI DRESS WITH EMBROIDERY AT FRONT CHEST L3MAWD56:WHITE:M:SOLID:SS MIDI DR</t>
  </si>
  <si>
    <t>SS MIDI DRESS WITH EMBROIDERY AT FRONT CHEST L3MAWD56:WHITE:L:SOLID:SS MIDI DR</t>
  </si>
  <si>
    <t>SS MIDI DRESS WITH EMBROIDERY AT FRONT CHEST L3MAWD56:WHITE:XL:SOLID:SS MIDI DR</t>
  </si>
  <si>
    <t>L3MAWB59</t>
  </si>
  <si>
    <t>LONG PANTS WITH WITH CULLOTE STYLE AND ALL OVER PRIN:PASTEL GREE:S:PRINT:LONG PANTS</t>
  </si>
  <si>
    <t>LONG PANTS WITH WITH CULLOTE STYLE AND ALL OVER PRIN:PASTEL GREE:M:PRINT:LONG PANTS</t>
  </si>
  <si>
    <t>LONG PANTS WITH WITH CULLOTE STYLE AND ALL OVER PRIN:PASTEL GREE:L:PRINT:LONG PANTS</t>
  </si>
  <si>
    <t>LONG PANTS WITH WITH CULLOTE STYLE AND ALL OVER PRIN:PASTEL GREE:XL:PRINT:LONG PANTS</t>
  </si>
  <si>
    <t>L3MAWB63</t>
  </si>
  <si>
    <t>MAXI SKIRT TIERED L3MAWB63:PASTEL BLUE:S:SOLID:MAXI SKIRT</t>
  </si>
  <si>
    <t>MAXI SKIRT TIERED L3MAWB63:PASTEL BLUE:M:SOLID:MAXI SKIRT</t>
  </si>
  <si>
    <t>MAXI SKIRT TIERED L3MAWB63:PASTEL BLUE:L:SOLID:MAXI SKIRT</t>
  </si>
  <si>
    <t>MAXI SKIRT TIERED L3MAWB63:PASTEL BLUE:XL:SOLID:MAXI SKIRT</t>
  </si>
  <si>
    <t>SGWT037</t>
  </si>
  <si>
    <t>LS SHIRT PLAIN WITH BUTTON PLACKET OPENING SGWT037:SAND:S:SOLID:LS SHIRT</t>
  </si>
  <si>
    <t>LS SHIRT PLAIN WITH BUTTON PLACKET OPENING SGWT037:SAND:M:SOLID:LS SHIRT</t>
  </si>
  <si>
    <t>LS SHIRT PLAIN WITH BUTTON PLACKET OPENING SGWT037:SAND:XL:SOLID:LS SHIRT</t>
  </si>
  <si>
    <t>SGWT30</t>
  </si>
  <si>
    <t>LS SHIRT PRINTED WITH BUTTON OPENING SGWT30:PASTEL BLUE:S:SOLID:LS SHIRT</t>
  </si>
  <si>
    <t>LS SHIRT PRINTED WITH BUTTON OPENING SGWT30:PASTEL BLUE:M:SOLID:LS SHIRT</t>
  </si>
  <si>
    <t>LS SHIRT PRINTED WITH BUTTON OPENING SGWT30:PASTEL BLUE:L:SOLID:LS SHIRT</t>
  </si>
  <si>
    <t>LS SHIRT PRINTED WITH BUTTON OPENING SGWT30:PASTEL BLUE:XL:SOLID:LS SHIRT</t>
  </si>
  <si>
    <t>SGWT24LS</t>
  </si>
  <si>
    <t>LS BLOUSE WITH DRAWSTRING AT WAIST SGWT24LS:CLASSIC BLUE:S:SOLID:LS BLOUSE</t>
  </si>
  <si>
    <t>LS BLOUSE WITH DRAWSTRING AT WAIST SGWT24LS:CLASSIC BLUE:M:SOLID:LS BLOUSE</t>
  </si>
  <si>
    <t>LS BLOUSE WITH DRAWSTRING AT WAIST SGWT24LS:CLASSIC BLUE:L:SOLID:LS BLOUSE</t>
  </si>
  <si>
    <t>LS BLOUSE WITH DRAWSTRING AT WAIST SGWT24LS:CLASSIC BLUE:XL:SOLID:LS BLOUSE</t>
  </si>
  <si>
    <t>SGWT24SS</t>
  </si>
  <si>
    <t>SS BLOUSE WITH DRAWSTRING AT WAIST SGWT24SS:CLASSIC BLUE:S:SOLID:SS BLOUSE</t>
  </si>
  <si>
    <t>SS BLOUSE WITH DRAWSTRING AT WAIST SGWT24SS:CLASSIC BLUE:L:SOLID:SS BLOUSE</t>
  </si>
  <si>
    <t>SS BLOUSE WITH DRAWSTRING AT WAIST SGWT24SS:CLASSIC BLUE:XL:SOLID:SS BLOUSE</t>
  </si>
  <si>
    <t>SS SHIRT WITH LEFT POCKET SGWT27SS:BLACK:S:SOLID:SS SHIRT</t>
  </si>
  <si>
    <t>SS SHIRT WITH LEFT POCKET SGWT27SS:BLACK:M:SOLID:SS SHIRT</t>
  </si>
  <si>
    <t>SS SHIRT WITH LEFT POCKET SGWT27SS:BLACK:L:SOLID:SS SHIRT</t>
  </si>
  <si>
    <t>SS SHIRT WITH LEFT POCKET SGWT27SS:BLACK:XL:SOLID:SS SHIRT</t>
  </si>
  <si>
    <t>SS SHIRT WITH LEFT POCKET SGWT27SS:WOOD BROWN:S:SOLID:SS SHIRT</t>
  </si>
  <si>
    <t>SS SHIRT WITH LEFT POCKET SGWT27SS:WOOD BROWN:M:SOLID:SS SHIRT</t>
  </si>
  <si>
    <t>SS SHIRT WITH LEFT POCKET SGWT27SS:WOOD BROWN:L:SOLID:SS SHIRT</t>
  </si>
  <si>
    <t>SS SHIRT WITH LEFT POCKET SGWT27SS:WOOD BROWN:XL:SOLID:SS SHIRT</t>
  </si>
  <si>
    <t>SGWT040</t>
  </si>
  <si>
    <t>LS SHIRT WITH V SHAPE OPENING AT BACK WITH MULTICOLOR STRIPE SGWT040:PASTEL PINK:S:STRIPES:LS SHIRT</t>
  </si>
  <si>
    <t>LS SHIRT WITH V SHAPE OPENING AT BACK WITH MULTICOLOR STRIPE SGWT040:PASTEL PINK:M:STRIPES:LS SHIRT</t>
  </si>
  <si>
    <t>LS SHIRT WITH V SHAPE OPENING AT BACK WITH MULTICOLOR STRIPE SGWT040:PASTEL PINK:L:STRIPES:LS SHIRT</t>
  </si>
  <si>
    <t>LS SHIRT WITH V SHAPE OPENING AT BACK WITH MULTICOLOR STRIPE SGWT040:PASTEL PINK:XL:STRIPES:LS SHIRT</t>
  </si>
  <si>
    <t>SGWT042</t>
  </si>
  <si>
    <t>LS BLOUSE WITH ASSYMETRIC WAIST SGWT042:WHITE:S:PRINT:LS BLOUSE</t>
  </si>
  <si>
    <t>LS BLOUSE WITH ASSYMETRIC WAIST SGWT042:WHITE:L:PRINT:LS BLOUSE</t>
  </si>
  <si>
    <t>LS BLOUSE WITH ASSYMETRIC WAIST SGWT042:WHITE:XL:PRINT:LS BLOUSE</t>
  </si>
  <si>
    <t>LS SHIRT WITH LEFT POCKET SGWT27LS:BLACK:S:SOLID:LS SHIRT</t>
  </si>
  <si>
    <t>LS SHIRT WITH LEFT POCKET SGWT27LS:BLACK:M:SOLID:LS SHIRT</t>
  </si>
  <si>
    <t>LS SHIRT WITH LEFT POCKET SGWT27LS:BLACK:L:SOLID:LS SHIRT</t>
  </si>
  <si>
    <t>LS SHIRT WITH LEFT POCKET SGWT27LS:BLACK:XL:SOLID:LS SHIRT</t>
  </si>
  <si>
    <t>LS SHIRT WITH LEFT POCKET SGWT27LS:WOOD BROWN:S:SOLID:LS SHIRT</t>
  </si>
  <si>
    <t>LS SHIRT WITH LEFT POCKET SGWT27LS:WOOD BROWN:M:SOLID:LS SHIRT</t>
  </si>
  <si>
    <t>LS SHIRT WITH LEFT POCKET SGWT27LS:WOOD BROWN:L:SOLID:LS SHIRT</t>
  </si>
  <si>
    <t>LS SHIRT WITH LEFT POCKET SGWT27LS:WOOD BROWN:XL:SOLID:LS SHIRT</t>
  </si>
  <si>
    <t>MASWT039</t>
  </si>
  <si>
    <t>SS SHIRT W 2 FRONT POCKET MASWT039:CLASSIC BLUE:S:SOLID:SS SHIRT</t>
  </si>
  <si>
    <t>SS SHIRT W 2 FRONT POCKET MASWT039:CLASSIC BLUE:M:SOLID:SS SHIRT</t>
  </si>
  <si>
    <t>SS SHIRT W 2 FRONT POCKET MASWT039:CLASSIC BLUE:XL:SOLID:SS SHIRT</t>
  </si>
  <si>
    <t>SS SHIRT W 2 FRONT POCKET MASWT039:DUSTY PINK:S:SOLID:SS SHIRT</t>
  </si>
  <si>
    <t>SS SHIRT W 2 FRONT POCKET MASWT039:DUSTY PINK:M:SOLID:SS SHIRT</t>
  </si>
  <si>
    <t>SS SHIRT W 2 FRONT POCKET MASWT039:DUSTY PINK:L:SOLID:SS SHIRT</t>
  </si>
  <si>
    <t>SS SHIRT W 2 FRONT POCKET MASWT039:DUSTY PINK:XL:SOLID:SS SHIRT</t>
  </si>
  <si>
    <t>MASWT043</t>
  </si>
  <si>
    <t>3/4 SHIRT SLEEVES WITH WIDE PLACKET MASWT043:PASTEL BLUE:S:SOLID:3/4 SHIRT</t>
  </si>
  <si>
    <t>3/4 SHIRT SLEEVES WITH WIDE PLACKET MASWT043:PASTEL BLUE:M:SOLID:3/4 SHIRT</t>
  </si>
  <si>
    <t>3/4 SHIRT SLEEVES WITH WIDE PLACKET MASWT043:PASTEL BLUE:L:SOLID:3/4 SHIRT</t>
  </si>
  <si>
    <t>3/4 SHIRT SLEEVES WITH WIDE PLACKET MASWT043:PASTEL BLUE:XL:SOLID:3/4 SHIRT</t>
  </si>
  <si>
    <t>3/4 SHIRT SLEEVES WITH WIDE PLACKET MASWT043:WHITE:S:SOLID:3/4 SHIRT</t>
  </si>
  <si>
    <t>3/4 SHIRT SLEEVES WITH WIDE PLACKET MASWT043:WHITE:M:SOLID:3/4 SHIRT</t>
  </si>
  <si>
    <t>3/4 SHIRT SLEEVES WITH WIDE PLACKET MASWT043:WHITE:L:SOLID:3/4 SHIRT</t>
  </si>
  <si>
    <t>3/4 SHIRT SLEEVES WITH WIDE PLACKET MASWT043:WHITE:XL:SOLID:3/4 SHIRT</t>
  </si>
  <si>
    <t>3/4 SHIRT SLEEVES WITH WIDE PLACKET MASWT043:BLACK:S:SOLID:3/4 SHIRT</t>
  </si>
  <si>
    <t>3/4 SHIRT SLEEVES WITH WIDE PLACKET MASWT043:BLACK:M:SOLID:3/4 SHIRT</t>
  </si>
  <si>
    <t>3/4 SHIRT SLEEVES WITH WIDE PLACKET MASWT043:BLACK:L:SOLID:3/4 SHIRT</t>
  </si>
  <si>
    <t>3/4 SHIRT SLEEVES WITH WIDE PLACKET MASWT043:BLACK:XL:SOLID:3/4 SHIRT</t>
  </si>
  <si>
    <t>MASWT049</t>
  </si>
  <si>
    <t>LS SHIRT WITH ABSTRACT ALL OVER PRINT MASWT049:FOREST GREEN:S:PRINT:LS SHIRT</t>
  </si>
  <si>
    <t>LS SHIRT WITH ABSTRACT ALL OVER PRINT MASWT049:FOREST GREEN:M:PRINT:LS SHIRT</t>
  </si>
  <si>
    <t>LS SHIRT WITH ABSTRACT ALL OVER PRINT MASWT049:FOREST GREEN:L:PRINT:LS SHIRT</t>
  </si>
  <si>
    <t>LS SHIRT WITH ABSTRACT ALL OVER PRINT MASWT049:FOREST GREEN:XL:PRINT:LS SHIRT</t>
  </si>
  <si>
    <t>KNKWT01</t>
  </si>
  <si>
    <t>LS BLOUSE WITH PRINTED STRIPE ON WHITE KNKWT01:PASTEL PURPL:S:STRIPES:LS BLOUSE</t>
  </si>
  <si>
    <t>LS BLOUSE WITH PRINTED STRIPE ON WHITE KNKWT01:PASTEL PURPL:M:STRIPES:LS BLOUSE</t>
  </si>
  <si>
    <t>LS BLOUSE WITH PRINTED STRIPE ON WHITE KNKWT01:PASTEL PURPL:L:STRIPES:LS BLOUSE</t>
  </si>
  <si>
    <t>LS BLOUSE WITH PRINTED STRIPE ON WHITE KNKWT01:PASTEL PURPL:XL:STRIPES:LS BLOUSE</t>
  </si>
  <si>
    <t>KNKWT02CHK</t>
  </si>
  <si>
    <t>LS SHIRT WITH PRINTED SMALL CHECKERS KNKWT02CHK:CLASSIC ORANGE:S:CHECKS:LS SHIRT</t>
  </si>
  <si>
    <t>BAESWT038</t>
  </si>
  <si>
    <t>SWEATSHIRT WITH LONGER RIB BOTTOM HEM AND DETAILS PR:DUSTY PINK:S:SOLID:SWEATSHIRT</t>
  </si>
  <si>
    <t>SWEATSHIRT WITH LONGER RIB BOTTOM HEM AND DETAILS PR:DUSTY PINK:M:SOLID:SWEATSHIRT</t>
  </si>
  <si>
    <t>SWEATSHIRT WITH LONGER RIB BOTTOM HEM AND DETAILS PR:DUSTY PINK:L:SOLID:SWEATSHIRT</t>
  </si>
  <si>
    <t>SWEATSHIRT WITH LONGER RIB BOTTOM HEM AND DETAILS PR:DUSTY PINK:XL:SOLID:SWEATSHIRT</t>
  </si>
  <si>
    <t>BAESWT051</t>
  </si>
  <si>
    <t>SWEATSHIRT WITH REGULER FIT AND YOUNG WORDING PRINT:MISTY LIGHT:S:TEXT:SWEATSHIRT</t>
  </si>
  <si>
    <t>SWEATSHIRT WITH REGULER FIT AND YOUNG WORDING PRINT:MISTY LIGHT:M:TEXT:SWEATSHIRT</t>
  </si>
  <si>
    <t>SWEATSHIRT WITH REGULER FIT AND YOUNG WORDING PRINT:MISTY LIGHT:L:TEXT:SWEATSHIRT</t>
  </si>
  <si>
    <t>SWEATSHIRT WITH REGULER FIT AND YOUNG WORDING PRINT:MISTY LIGHT:XL:TEXT:SWEATSHIRT</t>
  </si>
  <si>
    <t>SWEATSHIRT WITH SEWN DETAIL AT SLEEVES AND EMBROIDER:MISTY LIGHT:S:SOLID:SWEATSHIRT</t>
  </si>
  <si>
    <t>SWEATSHIRT WITH SEWN DETAIL AT SLEEVES AND EMBROIDER:MISTY LIGHT:M:SOLID:SWEATSHIRT</t>
  </si>
  <si>
    <t>SWEATSHIRT WITH SEWN DETAIL AT SLEEVES AND EMBROIDER:MISTY LIGHT:L:SOLID:SWEATSHIRT</t>
  </si>
  <si>
    <t>SWEATSHIRT WITH SEWN DETAIL AT SLEEVES AND EMBROIDER:MISTY LIGHT:XL:SOLID:SWEATSHIRT</t>
  </si>
  <si>
    <t>BAEPS049LS</t>
  </si>
  <si>
    <t>SWEATSHIRT LS WITH COLLAR AND BACK PRINT BAEPS049LS:KHAKI:S:SOLID:SWEATSHIRT</t>
  </si>
  <si>
    <t>SWEATSHIRT LS WITH COLLAR AND BACK PRINT BAEPS049LS:KHAKI:M:SOLID:SWEATSHIRT</t>
  </si>
  <si>
    <t>SWEATSHIRT LS WITH COLLAR AND BACK PRINT BAEPS049LS:KHAKI:L:SOLID:SWEATSHIRT</t>
  </si>
  <si>
    <t>SWEATSHIRT LS WITH COLLAR AND BACK PRINT BAEPS049LS:KHAKI:XL:SOLID:SWEATSHIRT</t>
  </si>
  <si>
    <t>BAEPS049SS</t>
  </si>
  <si>
    <t>SWEATSHIRT SS WITH COLLAR AND BACK PRINT BAEPS049SS:KHAKI:S:SOLID:SWEATSHIRT</t>
  </si>
  <si>
    <t>SWEATSHIRT SS WITH COLLAR AND BACK PRINT BAEPS049SS:KHAKI:M:SOLID:SWEATSHIRT</t>
  </si>
  <si>
    <t>SWEATSHIRT SS WITH COLLAR AND BACK PRINT BAEPS049SS:KHAKI:L:SOLID:SWEATSHIRT</t>
  </si>
  <si>
    <t>SWEATSHIRT SS WITH COLLAR AND BACK PRINT BAEPS049SS:KHAKI:XL:SOLID:SWEATSHIRT</t>
  </si>
  <si>
    <t>BAETEE071</t>
  </si>
  <si>
    <t>SS BLOUSE JERSEY WITH EMBRO APPLIQUE AT PETER PAN CO:BLACK:S:SOLID:SS BLOUSE</t>
  </si>
  <si>
    <t>SS BLOUSE JERSEY WITH EMBRO APPLIQUE AT PETER PAN CO:BLACK:M:SOLID:SS BLOUSE</t>
  </si>
  <si>
    <t>SS BLOUSE JERSEY WITH EMBRO APPLIQUE AT PETER PAN CO:BLACK:L:SOLID:SS BLOUSE</t>
  </si>
  <si>
    <t>SS BLOUSE JERSEY WITH EMBRO APPLIQUE AT PETER PAN CO:BLACK:XL:SOLID:SS BLOUSE</t>
  </si>
  <si>
    <t>SS BLOUSE JERSEY WITH EMBRO APPLIQUE AT PETER PAN CO:PASTEL BLUE:S:SOLID:SS BLOUSE</t>
  </si>
  <si>
    <t>SS BLOUSE JERSEY WITH EMBRO APPLIQUE AT PETER PAN CO:PASTEL BLUE:M:SOLID:SS BLOUSE</t>
  </si>
  <si>
    <t>SS BLOUSE JERSEY WITH EMBRO APPLIQUE AT PETER PAN CO:PASTEL BLUE:L:SOLID:SS BLOUSE</t>
  </si>
  <si>
    <t>SS BLOUSE JERSEY WITH EMBRO APPLIQUE AT PETER PAN CO:PASTEL BLUE:XL:SOLID:SS BLOUSE</t>
  </si>
  <si>
    <t>SS BLOUSE JERSEY WITH EMBRO APPLIQUE AT PETER PAN CO:PASTEL PINK:S:SOLID:SS BLOUSE</t>
  </si>
  <si>
    <t>SS BLOUSE JERSEY WITH EMBRO APPLIQUE AT PETER PAN CO:PASTEL PINK:M:SOLID:SS BLOUSE</t>
  </si>
  <si>
    <t>SS BLOUSE JERSEY WITH EMBRO APPLIQUE AT PETER PAN CO:PASTEL PINK:L:SOLID:SS BLOUSE</t>
  </si>
  <si>
    <t>SS BLOUSE JERSEY WITH EMBRO APPLIQUE AT PETER PAN CO:PASTEL PINK:XL:SOLID:SS BLOUSE</t>
  </si>
  <si>
    <t>BAETEE068</t>
  </si>
  <si>
    <t>SS T-SHIRT TEE ROUND NECK NAVY STRIPES ON WHITE BAETEE068:BLACK:S:STRIPES:SS T-SHIR</t>
  </si>
  <si>
    <t>SS T-SHIRT TEE ROUND NECK NAVY STRIPES ON WHITE BAETEE068:BLACK:M:STRIPES:SS T-SHIR</t>
  </si>
  <si>
    <t>SS T-SHIRT TEE ROUND NECK NAVY STRIPES ON WHITE BAETEE068:BLACK:L:STRIPES:SS T-SHIR</t>
  </si>
  <si>
    <t>SS T-SHIRT TEE ROUND NECK NAVY STRIPES ON WHITE BAETEE068:BLACK:XL:STRIPES:SS T-SHIR</t>
  </si>
  <si>
    <t>SS T-SHIRT TEE ROUND NECK PINK STRIPES ON WHITE BAETEE068:PASTEL PI:S:STRIPES:SS T-SHIR</t>
  </si>
  <si>
    <t>SS T-SHIRT TEE ROUND NECK PINK STRIPES ON WHITE BAETEE068:PASTEL PI:L:STRIPES:SS T-SHIR</t>
  </si>
  <si>
    <t>SS T-SHIRT TEE ROUND NECK PINK STRIPES ON WHITE BAETEE068:PASTEL PI:XL:STRIPES:SS T-SHIR</t>
  </si>
  <si>
    <t>BAESWT066</t>
  </si>
  <si>
    <t>SWEATSHIRT WITH EMBOSSED PRINT BAESWT066:PASTEL BLUE:S:GRAPHIC:SWEATSHIRT</t>
  </si>
  <si>
    <t>SWEATSHIRT WITH EMBOSSED PRINT BAESWT066:PASTEL BLUE:XL:GRAPHIC:SWEATSHIRT</t>
  </si>
  <si>
    <t>SWEATSHIRT WITH EMBOSSED PRINT BAESWT066:MISTY MEDIUM G:S:GRAPHIC:SWEATSHIRT</t>
  </si>
  <si>
    <t>SWEATSHIRT WITH EMBOSSED PRINT BAESWT066:MISTY MEDIUM G:M:GRAPHIC:SWEATSHIRT</t>
  </si>
  <si>
    <t>SWEATSHIRT WITH EMBOSSED PRINT BAESWT066:MISTY MEDIUM G:L:GRAPHIC:SWEATSHIRT</t>
  </si>
  <si>
    <t>SWEATSHIRT WITH EMBOSSED PRINT BAESWT066:MISTY MEDIUM G:XL:GRAPHIC:SWEATSHIRT</t>
  </si>
  <si>
    <t>BAESWT073</t>
  </si>
  <si>
    <t>SWEATSHIRT WITH FRONT PRINT BAESWT073:OFF WHITE:S:GRAPHIC:SWEATSHIRT</t>
  </si>
  <si>
    <t>SWEATSHIRT WITH FRONT PRINT BAESWT073:OFF WHITE:M:GRAPHIC:SWEATSHIRT</t>
  </si>
  <si>
    <t>SWEATSHIRT WITH FRONT PRINT BAESWT073:OFF WHITE:L:GRAPHIC:SWEATSHIRT</t>
  </si>
  <si>
    <t>TZPJ16</t>
  </si>
  <si>
    <t>SS T-SHIRT BASIC PRINT TEE WITH PEARL OUTLINE PRINT TZPJ16:MISTY LIG:S:TEXT:SS T-SHIR</t>
  </si>
  <si>
    <t>SS T-SHIRT BASIC PRINT TEE WITH PEARL OUTLINE PRINT TZPJ16:MISTY LIG:L:TEXT:SS T-SHIR</t>
  </si>
  <si>
    <t>SS T-SHIRT BASIC PRINT TEE WITH PEARL OUTLINE PRINT TZPJ16:MISTY LIG:XL:TEXT:SS T-SHIR</t>
  </si>
  <si>
    <t>TZPJ017</t>
  </si>
  <si>
    <t>SS T-SHIRT REGULAR TEE PRINT-GIRLS JUST WANNA HAVE F:PASTEL PINK:S:TEXT:SS T-SHIRT</t>
  </si>
  <si>
    <t>SS T-SHIRT REGULAR TEE PRINT-GIRLS JUST WANNA HAVE F:PASTEL PINK:M:TEXT:SS T-SHIRT</t>
  </si>
  <si>
    <t>SS T-SHIRT REGULAR TEE PRINT-GIRLS JUST WANNA HAVE F:PASTEL PINK:XL:TEXT:SS T-SHIRT</t>
  </si>
  <si>
    <t>TZPJ018</t>
  </si>
  <si>
    <t>SS T-SHIRT BOXY TEE-SOLID COLOUR TZPJ018:PINK LEMONADE:S:SOLID:SS T-SHIRT</t>
  </si>
  <si>
    <t>SS T-SHIRT BOXY TEE-SOLID COLOUR TZPJ018:PINK LEMONADE:M:SOLID:SS T-SHIRT</t>
  </si>
  <si>
    <t>SS T-SHIRT BOXY TEE-SOLID COLOUR TZPJ018:PINK LEMONADE:L:SOLID:SS T-SHIRT</t>
  </si>
  <si>
    <t>SS T-SHIRT BOXY TEE-SOLID COLOUR TZPJ018:PINK LEMONADE:XL:SOLID:SS T-SHIRT</t>
  </si>
  <si>
    <t>TZCA04</t>
  </si>
  <si>
    <t>SS T-SHIRT PHOTOPRINT FLOWER IN SQUARE BACKGROUND TZCA04:WHITE:S:GRAPHIC:SS T-SHIRT</t>
  </si>
  <si>
    <t>SS T-SHIRT PHOTOPRINT FLOWER IN SQUARE BACKGROUND TZCA04:WHITE:M:GRAPHIC:SS T-SHIRT</t>
  </si>
  <si>
    <t>SS T-SHIRT PHOTOPRINT FLOWER IN SQUARE BACKGROUND TZCA04:WHITE:XL:GRAPHIC:SS T-SHIRT</t>
  </si>
  <si>
    <t>TZCA11</t>
  </si>
  <si>
    <t>SS T-SHIRT BASIC PRINTED TEE WITH FLORAL AND TEXT PR:WHITE:M:GRAPHIC:SS T-SHIRT</t>
  </si>
  <si>
    <t>SS T-SHIRT BASIC PRINTED TEE WITH FLORAL AND TEXT PR:WHITE:L:GRAPHIC:SS T-SHIRT</t>
  </si>
  <si>
    <t>SS T-SHIRT BASIC PRINTED TEE WITH FLORAL AND TEXT PR:WHITE:XL:GRAPHIC:SS T-SHIRT</t>
  </si>
  <si>
    <t>TZCA020</t>
  </si>
  <si>
    <t>SS T-SHIRT REGULAR TEE PRINT WITH SERENDIPITY WORDI:BLACK:L:GRAPHIC:SS T-SHIRT</t>
  </si>
  <si>
    <t>SS T-SHIRT REGULAR TEE PRINT WITH SERENDIPITY WORDI:BLACK:XL:GRAPHIC:SS T-SHIRT</t>
  </si>
  <si>
    <t>SS T-SHIRT REGULAR TEE PRINT WITH SERENDIPITY WORDI:WHITE:S:GRAPHIC:SS T-SHIRT</t>
  </si>
  <si>
    <t>SS T-SHIRT REGULAR TEE PRINT WITH SERENDIPITY WORDI:WHITE:M:GRAPHIC:SS T-SHIRT</t>
  </si>
  <si>
    <t>SS T-SHIRT REGULAR TEE PRINT WITH SERENDIPITY WORDI:WHITE:L:GRAPHIC:SS T-SHIRT</t>
  </si>
  <si>
    <t>SS T-SHIRT REGULAR TEE PRINT WITH SERENDIPITY WORDI:WHITE:XL:GRAPHIC:SS T-SHIRT</t>
  </si>
  <si>
    <t>TZCA021</t>
  </si>
  <si>
    <t>SS T-SHIRT REGULAR TEE PRINT WITH TO LOVE YOU MORE W:WHITE:L:GRAPHIC:SS T-SHIRT</t>
  </si>
  <si>
    <t>SS T-SHIRT REGULAR TEE PRINT WITH TO LOVE YOU MORE W:WHITE:XL:GRAPHIC:SS T-SHIRT</t>
  </si>
  <si>
    <t>TZCA027</t>
  </si>
  <si>
    <t>SS T-SHIRT FASHION TEE WITH FLOWER PRINT AT THE BACK:SAND:S:GRAPHIC:SS T-SHIRT</t>
  </si>
  <si>
    <t>SS T-SHIRT FASHION TEE WITH FLOWER PRINT AT THE BACK:SAND:M:GRAPHIC:SS T-SHIRT</t>
  </si>
  <si>
    <t>SS T-SHIRT FASHION TEE WITH FLOWER PRINT AT THE BACK:SAND:L:GRAPHIC:SS T-SHIRT</t>
  </si>
  <si>
    <t>SS T-SHIRT FASHION TEE WITH FLOWER PRINT AT THE BACK:SAND:XL:GRAPHIC:SS T-SHIRT</t>
  </si>
  <si>
    <t>SS T-SHIRT FASHION TEE WITH FLOWER PRINT AT THE BACK:PALE PURPLE:M:GRAPHIC:SS T-SHIRT</t>
  </si>
  <si>
    <t>SS T-SHIRT FASHION TEE WITH FLOWER PRINT AT THE BACK:PALE PURPLE:L:GRAPHIC:SS T-SHIRT</t>
  </si>
  <si>
    <t>SS T-SHIRT FASHION TEE WITH FLOWER PRINT AT THE BACK:PALE PURPLE:XL:GRAPHIC:SS T-SHIRT</t>
  </si>
  <si>
    <t>TZCA12</t>
  </si>
  <si>
    <t>SS T-SHIRT BASIC PRINTED TEE WITH FLORAL PRINT AND T:WHITE:S:TEXT:SS T-SHIRT</t>
  </si>
  <si>
    <t>SS T-SHIRT BASIC PRINTED TEE WITH FLORAL PRINT AND T:WHITE:L:TEXT:SS T-SHIRT</t>
  </si>
  <si>
    <t>SS T-SHIRT BASIC PRINTED TEE WITH FLORAL PRINT AND T:WHITE:XL:TEXT:SS T-SHIRT</t>
  </si>
  <si>
    <t>SS T-SHIRT BASIC PRINTED TEE WITH FLORAL PRINT AND T:MISTY MEDIU:S:TEXT:SS T-SHIRT</t>
  </si>
  <si>
    <t>SS T-SHIRT BASIC PRINTED TEE WITH FLORAL PRINT AND T:MISTY MEDIU:M:TEXT:SS T-SHIRT</t>
  </si>
  <si>
    <t>SS T-SHIRT BASIC PRINTED TEE WITH FLORAL PRINT AND T:MISTY MEDIU:L:TEXT:SS T-SHIRT</t>
  </si>
  <si>
    <t>SS T-SHIRT BASIC PRINTED TEE WITH FLORAL PRINT AND T:MISTY MEDIU:XL:TEXT:SS T-SHIRT</t>
  </si>
  <si>
    <t>TZCA046</t>
  </si>
  <si>
    <t>SS T-SHIRT REGULAR TEE PRINT-"PERFECT" WORDING TZCA046:WHITE:S:GRAPHIC:SS T-SHIRT</t>
  </si>
  <si>
    <t>SS T-SHIRT REGULAR TEE PRINT-"PERFECT" WORDING TZCA046:WHITE:M:GRAPHIC:SS T-SHIRT</t>
  </si>
  <si>
    <t>SS T-SHIRT REGULAR TEE PRINT-"PERFECT" WORDING TZCA046:WHITE:XL:GRAPHIC:SS T-SHIRT</t>
  </si>
  <si>
    <t>TZCA048</t>
  </si>
  <si>
    <t>SS T-SHIRT REGULAR TEE PRINT-ABSTRACT PAINTING WITH:WHITE:M:GRAPHIC:SS T-SHIRT</t>
  </si>
  <si>
    <t>SS T-SHIRT REGULAR TEE PRINT-ABSTRACT PAINTING WITH:WHITE:L:GRAPHIC:SS T-SHIRT</t>
  </si>
  <si>
    <t>SS T-SHIRT REGULAR TEE PRINT-ABSTRACT PAINTING WITH:WHITE:XL:GRAPHIC:SS T-SHIRT</t>
  </si>
  <si>
    <t>TZCA049</t>
  </si>
  <si>
    <t>SS T-SHIRT BOXY TEE PRINT-BUTTERFLIES HAND TZCA049:SAND:M:GRAPHIC:SS T-SHIRT</t>
  </si>
  <si>
    <t>SS T-SHIRT BOXY TEE PRINT-BUTTERFLIES HAND TZCA049:SAND:L:GRAPHIC:SS T-SHIRT</t>
  </si>
  <si>
    <t>SS T-SHIRT BOXY TEE PRINT-BUTTERFLIES HAND TZCA049:SAND:XL:GRAPHIC:SS T-SHIRT</t>
  </si>
  <si>
    <t>SS T-SHIRT OVERSIZE TEE PRINT WITH THE BEST IS YETTO COME WORDING TZCA034:PASTEL PINK:S:TEXT:SS T-SH</t>
  </si>
  <si>
    <t>SS T-SHIRT OVERSIZE TEE PRINT WITH THE BEST IS YETTO COME WORDING TZCA034:PASTEL PINK:M:TEXT:SS T-SH</t>
  </si>
  <si>
    <t>SS T-SHIRT OVERSIZE TEE PRINT WITH THE BEST IS YETTO COME WORDING TZCA034:PASTEL PINK:L:TEXT:SS T-SH</t>
  </si>
  <si>
    <t>SS T-SHIRT OVERSIZE TEE PRINT WITH THE BEST IS YETTO COME WORDING TZCA034:PASTEL PINK:XL:TEXT:SS T-S</t>
  </si>
  <si>
    <t>TZCA052</t>
  </si>
  <si>
    <t>SS T-SHIRT REGULAR TEE PRINT-GIRL ARTWORK TZCA052:SAND:XL:GRAPHIC:SS T-SHIRT</t>
  </si>
  <si>
    <t>TZCA039</t>
  </si>
  <si>
    <t>SS T-SHIRT REGULAR TEE WITH FLOWER PRINT TZCA039:WHITE:S:GRAPHIC:SS T-SHIRT</t>
  </si>
  <si>
    <t>SS T-SHIRT REGULAR TEE WITH FLOWER PRINT TZCA039:WHITE:L:GRAPHIC:SS T-SHIRT</t>
  </si>
  <si>
    <t>SS T-SHIRT REGULAR TEE WITH FLOWER PRINT TZCA039:WHITE:XL:GRAPHIC:SS T-SHIRT</t>
  </si>
  <si>
    <t>TZCA038</t>
  </si>
  <si>
    <t>SS T-SHIRT REGULAR TEE WITH FLOWER PRINT TZCA038:WHITE:S:GRAPHIC:SS T-SHIRT</t>
  </si>
  <si>
    <t>SS T-SHIRT REGULAR TEE WITH FLOWER PRINT TZCA038:WHITE:M:GRAPHIC:SS T-SHIRT</t>
  </si>
  <si>
    <t>SS T-SHIRT REGULAR TEE WITH FLOWER PRINT TZCA038:WHITE:L:GRAPHIC:SS T-SHIRT</t>
  </si>
  <si>
    <t>SS T-SHIRT REGULAR TEE WITH FLOWER PRINT TZCA038:WHITE:XL:GRAPHIC:SS T-SHIRT</t>
  </si>
  <si>
    <t>SGOUT033</t>
  </si>
  <si>
    <t>BLAZER 78 SLEEVES WITH 1 COVERED BUTTON SGOUT033:SAND:S:SOLID:BLAZER</t>
  </si>
  <si>
    <t>BLAZER 78 SLEEVES WITH 1 COVERED BUTTON SGOUT033:SAND:M:SOLID:BLAZER</t>
  </si>
  <si>
    <t>BLAZER 78 SLEEVES WITH 1 COVERED BUTTON SGOUT033:SAND:L:SOLID:BLAZER</t>
  </si>
  <si>
    <t>BLAZER 78 SLEEVES WITH 1 COVERED BUTTON SGOUT033:SAND:XL:SOLID:BLAZER</t>
  </si>
  <si>
    <t>BAEOUT053</t>
  </si>
  <si>
    <t>BLAZER 78 SLEEVE WITH FOLDED CUFF AND STRIPE ALL OVE:PASTEL BLUE:S:STRIPES:BLAZER</t>
  </si>
  <si>
    <t>BLAZER 78 SLEEVE WITH FOLDED CUFF AND STRIPE ALL OVE:PASTEL BLUE:M:STRIPES:BLAZER</t>
  </si>
  <si>
    <t>BLAZER 78 SLEEVE WITH FOLDED CUFF AND STRIPE ALL OVE:PASTEL BLUE:L:STRIPES:BLAZER</t>
  </si>
  <si>
    <t>BLAZER 78 SLEEVE WITH FOLDED CUFF AND STRIPE ALL OVE:PASTEL BLUE:XL:STRIPES:BLAZER</t>
  </si>
  <si>
    <t>BLAZER 78 SLEEVE WITH FOLDED CUFF AND STRIPE ALL OVE:MISTY LIGHT:S:STRIPES:BLAZER</t>
  </si>
  <si>
    <t>BLAZER 78 SLEEVE WITH FOLDED CUFF AND STRIPE ALL OVE:MISTY LIGHT:M:STRIPES:BLAZER</t>
  </si>
  <si>
    <t>BLAZER 78 SLEEVE WITH FOLDED CUFF AND STRIPE ALL OVE:MISTY LIGHT:L:STRIPES:BLAZER</t>
  </si>
  <si>
    <t>BLAZER 78 SLEEVE WITH FOLDED CUFF AND STRIPE ALL OVE:MISTY LIGHT:XL:STRIPES:BLAZER</t>
  </si>
  <si>
    <t>BLAZER OVERSIZE WITH ROLLABLE CUFF TCLOUT01:KHAKI:S:SOLID:BLAZER</t>
  </si>
  <si>
    <t>BLAZER OVERSIZE WITH ROLLABLE CUFF TCLOUT01:KHAKI:M:SOLID:BLAZER</t>
  </si>
  <si>
    <t>BLAZER OVERSIZE WITH ROLLABLE CUFF TCLOUT01:KHAKI:XL:SOLID:BLAZER</t>
  </si>
  <si>
    <t>TCLOUT02</t>
  </si>
  <si>
    <t>VEST WITH FLAP POCKET AND BUTTON TCLOUT02:SAND:S:SOLID:VEST</t>
  </si>
  <si>
    <t>VEST WITH FLAP POCKET AND BUTTON TCLOUT02:SAND:M:SOLID:VEST</t>
  </si>
  <si>
    <t>VEST WITH FLAP POCKET AND BUTTON TCLOUT02:SAND:L:SOLID:VEST</t>
  </si>
  <si>
    <t>VEST WITH FLAP POCKET AND BUTTON TCLOUT02:SAND:XL:SOLID:VEST</t>
  </si>
  <si>
    <t>TCLOUT03</t>
  </si>
  <si>
    <t>VEST WITH FLAP POCKET AND BUTTON TCLOUT03:KHAKI:S:SOLID:VEST</t>
  </si>
  <si>
    <t>VEST WITH FLAP POCKET AND BUTTON TCLOUT03:KHAKI:M:SOLID:VEST</t>
  </si>
  <si>
    <t>VEST WITH FLAP POCKET AND BUTTON TCLOUT03:KHAKI:L:SOLID:VEST</t>
  </si>
  <si>
    <t>SGWD22</t>
  </si>
  <si>
    <t>LS MINI DRESS DRAWSTRING AT WAIST SGWD22:OLIVE:S:SOLID:LS MINI DRESS</t>
  </si>
  <si>
    <t>LS MINI DRESS DRAWSTRING AT WAIST SGWD22:OLIVE:M:SOLID:LS MINI DRESS</t>
  </si>
  <si>
    <t>LS MINI DRESS DRAWSTRING AT WAIST SGWD22:OLIVE:L:SOLID:LS MINI DRESS</t>
  </si>
  <si>
    <t>MASWD038</t>
  </si>
  <si>
    <t>SS MIDI DRESS WITH WRAP DETAILS ON WAIST MASWD038:CLASSIC BLU:S:SOLID:SS MIDI DRE</t>
  </si>
  <si>
    <t>SS MIDI DRESS WITH WRAP DETAILS ON WAIST MASWD038:CLASSIC BLU:M:SOLID:SS MIDI DRE</t>
  </si>
  <si>
    <t>SS MIDI DRESS WITH WRAP DETAILS ON WAIST MASWD038:CLASSIC BLU:L:SOLID:SS MIDI DRE</t>
  </si>
  <si>
    <t>MASWD051</t>
  </si>
  <si>
    <t>SS MAXI DRESS WITH SHORT SLEEVES AND FRONT PLACKET MASWD051:OLIVE:S:SOLID:SS MAXI DRESS</t>
  </si>
  <si>
    <t>SS MAXI DRESS WITH SHORT SLEEVES AND FRONT PLACKET MASWD051:OLIVE:M:SOLID:SS MAXI DRESS</t>
  </si>
  <si>
    <t>SS MAXI DRESS WITH SHORT SLEEVES AND FRONT PLACKET MASWD051:OLIVE:L:SOLID:SS MAXI DRESS</t>
  </si>
  <si>
    <t>SS MAXI DRESS WITH SHORT SLEEVES AND FRONT PLACKET MASWD051:OLIVE:XL:SOLID:SS MAXI DRESS</t>
  </si>
  <si>
    <t>SGWB036</t>
  </si>
  <si>
    <t>LONG PANTS WOVEN WITH WIDE LEG STYLE SGWB036:SAND:S:SOLID:LONG PANTS</t>
  </si>
  <si>
    <t>LONG PANTS WOVEN WITH WIDE LEG STYLE SGWB036:SAND:M:SOLID:LONG PANTS</t>
  </si>
  <si>
    <t>LONG PANTS WOVEN WITH WIDE LEG STYLE SGWB036:SAND:L:SOLID:LONG PANTS</t>
  </si>
  <si>
    <t>LONG PANTS WOVEN WITH WIDE LEG STYLE SGWB036:SAND:XL:SOLID:LONG PANTS</t>
  </si>
  <si>
    <t>SGSP035</t>
  </si>
  <si>
    <t>SHORT PANTS WOVEN WITH ZIPPER OPENING SGSP035:SAND:S:SOLID:SHORT PANTS</t>
  </si>
  <si>
    <t>SHORT PANTS WOVEN WITH ZIPPER OPENING SGSP035:SAND:M:SOLID:SHORT PANTS</t>
  </si>
  <si>
    <t>SHORT PANTS WOVEN WITH ZIPPER OPENING SGSP035:SAND:XL:SOLID:SHORT PANTS</t>
  </si>
  <si>
    <t>SGSP038</t>
  </si>
  <si>
    <t>SHORT PANTS WOVEN W BUTTON AND ZIPPER OPENING SGSP038:FUSCHIA:S:SOLID:SHORT PANT</t>
  </si>
  <si>
    <t>SHORT PANTS WOVEN W BUTTON AND ZIPPER OPENING SGSP038:FUSCHIA:M:SOLID:SHORT PANT</t>
  </si>
  <si>
    <t>SHORT PANTS WOVEN W BUTTON AND ZIPPER OPENING SGSP038:FUSCHIA:XL:SOLID:SHORT PANT</t>
  </si>
  <si>
    <t>SGSP032</t>
  </si>
  <si>
    <t>SHORT PANTS REGULER FIT WITH WAIST STRING SGSP032:FROST GREY:S:SOLID:SHORT PANTS</t>
  </si>
  <si>
    <t>SHORT PANTS REGULER FIT WITH WAIST STRING SGSP032:FROST GREY:M:SOLID:SHORT PANTS</t>
  </si>
  <si>
    <t>SHORT PANTS REGULER FIT WITH WAIST STRING SGSP032:FROST GREY:L:SOLID:SHORT PANTS</t>
  </si>
  <si>
    <t>SHORT PANTS REGULER FIT WITH WAIST STRING SGSP032:FROST GREY:XL:SOLID:SHORT PANTS</t>
  </si>
  <si>
    <t>SHORT PANTS REGULER FIT WITH WAIST STRING SGSP032:INDIGO BLUE:S:SOLID:SHORT PANTS</t>
  </si>
  <si>
    <t>SHORT PANTS REGULER FIT WITH WAIST STRING SGSP032:INDIGO BLUE:M:SOLID:SHORT PANTS</t>
  </si>
  <si>
    <t>SHORT PANTS REGULER FIT WITH WAIST STRING SGSP032:INDIGO BLUE:L:SOLID:SHORT PANTS</t>
  </si>
  <si>
    <t>SHORT PANTS REGULER FIT WITH WAIST STRING SGSP032:INDIGO BLUE:XL:SOLID:SHORT PANTS</t>
  </si>
  <si>
    <t>LONG PANTS WITH STRAIGHT LEG MASWB036:SAND:S:SOLID:LONG PANTS</t>
  </si>
  <si>
    <t>LONG PANTS WITH STRAIGHT LEG MASWB036:SAND:L:SOLID:LONG PANTS</t>
  </si>
  <si>
    <t>LONG PANTS WITH STRAIGHT LEG MASWB036:SAND:XL:SOLID:LONG PANTS</t>
  </si>
  <si>
    <t>MASWB048</t>
  </si>
  <si>
    <t>MIDI SKIRT MEDIUM LENGTH WITH POCKET RUFFLE MASWB048:BLACK:S:SOLID:MIDI SKIRT</t>
  </si>
  <si>
    <t>MIDI SKIRT MEDIUM LENGTH WITH POCKET RUFFLE MASWB048:BLACK:M:SOLID:MIDI SKIRT</t>
  </si>
  <si>
    <t>MIDI SKIRT MEDIUM LENGTH WITH POCKET RUFFLE MASWB048:BLACK:L:SOLID:MIDI SKIRT</t>
  </si>
  <si>
    <t>RK256</t>
  </si>
  <si>
    <t>LONG PANTS W CHECKERS ALL OVER PRINT RK256:SAND:S:CHECKS:LONG PANTS</t>
  </si>
  <si>
    <t>LONG PANTS W CHECKERS ALL OVER PRINT RK256:SAND:M:CHECKS:LONG PANTS</t>
  </si>
  <si>
    <t>LONG PANTS W CHECKERS ALL OVER PRINT RK256:SAND:XL:CHECKS:LONG PANTS</t>
  </si>
  <si>
    <t>RK274</t>
  </si>
  <si>
    <t>LONG PANTS WIDE LEG FIT RK274:NAVY BLUE:S:SOLID:LONG PANTS</t>
  </si>
  <si>
    <t>LONG PANTS WIDE LEG FIT RK274:NAVY BLUE:M:SOLID:LONG PANTS</t>
  </si>
  <si>
    <t>LONG PANTS WIDE LEG FIT RK274:NAVY BLUE:L:SOLID:LONG PANTS</t>
  </si>
  <si>
    <t>LONG PANTS WIDE LEG FIT RK274:NAVY BLUE:XL:SOLID:LONG PANTS</t>
  </si>
  <si>
    <t>LONG PANTS WIDE LEG FIT RK274:KHAKI:S:SOLID:LONG PANTS</t>
  </si>
  <si>
    <t>LONG PANTS WIDE LEG FIT RK274:KHAKI:M:SOLID:LONG PANTS</t>
  </si>
  <si>
    <t>LONG PANTS WIDE LEG FIT RK274:KHAKI:L:SOLID:LONG PANTS</t>
  </si>
  <si>
    <t>LONG PANTS WIDE LEG FIT RK274:KHAKI:XL:SOLID:LONG PANTS</t>
  </si>
  <si>
    <t>RK274S</t>
  </si>
  <si>
    <t>LONG PANTS WIDE LEG FIT-BLACK STRIPE ON WHITE RK274S:WHITE:S:STRIPES:LONG PANTS</t>
  </si>
  <si>
    <t>LONG PANTS WIDE LEG FIT-BLACK STRIPE ON WHITE RK274S:WHITE:M:STRIPES:LONG PANTS</t>
  </si>
  <si>
    <t>LONG PANTS WIDE LEG FIT-BLACK STRIPE ON WHITE RK274S:WHITE:L:STRIPES:LONG PANTS</t>
  </si>
  <si>
    <t>LONG PANTS WIDE LEG FIT-BLACK STRIPE ON WHITE RK274S:WHITE:XL:STRIPES:LONG PANTS</t>
  </si>
  <si>
    <t>RK280</t>
  </si>
  <si>
    <t>LONG PANTS STRAIGHT FIT WITH FLAP AND ATTACHED BELT RK280:PASTEL PI:S:SOLID:LONG PANT</t>
  </si>
  <si>
    <t>LONG PANTS STRAIGHT FIT WITH FLAP AND ATTACHED BELT RK280:PASTEL PI:M:SOLID:LONG PANT</t>
  </si>
  <si>
    <t>LONG PANTS STRAIGHT FIT WITH FLAP AND ATTACHED BELT RK280:PASTEL PI:L:SOLID:LONG PANT</t>
  </si>
  <si>
    <t>LONG PANTS STRAIGHT FIT WITH FLAP AND ATTACHED BELT RK280:PASTEL PI:XL:SOLID:LONG PANT</t>
  </si>
  <si>
    <t>LONG PANTS REGULAR FIT CARGO PANTS RK279:BLACK:S:SOLID:LONG PANTS</t>
  </si>
  <si>
    <t>LONG PANTS REGULAR FIT CARGO PANTS RK279:BLACK:M:SOLID:LONG PANTS</t>
  </si>
  <si>
    <t>LONG PANTS REGULAR FIT CARGO PANTS RK279:BLACK:L:SOLID:LONG PANTS</t>
  </si>
  <si>
    <t>LONG PANTS REGULAR FIT CARGO PANTS RK279:BLACK:XL:SOLID:LONG PANTS</t>
  </si>
  <si>
    <t>RK286</t>
  </si>
  <si>
    <t>LONG PANTS HIGH WAIST W HALF ELASTIC AT WAIST AND WI:DUSTY PINK:S:SOLID:LONG PANTS</t>
  </si>
  <si>
    <t>LONG PANTS HIGH WAIST W HALF ELASTIC AT WAIST AND WI:DUSTY PINK:M:SOLID:LONG PANTS</t>
  </si>
  <si>
    <t>LONG PANTS HIGH WAIST W HALF ELASTIC AT WAIST AND WI:DUSTY PINK:L:SOLID:LONG PANTS</t>
  </si>
  <si>
    <t>LONG PANTS HIGH WAIST W HALF ELASTIC AT WAIST AND WI:DUSTY PINK:XL:SOLID:LONG PANTS</t>
  </si>
  <si>
    <t>RK278</t>
  </si>
  <si>
    <t>LONG PANTS TAPERED FIT BASIC PANTS RK278:PASTEL BLUE:S:SOLID:LONG PANTS</t>
  </si>
  <si>
    <t>LONG PANTS TAPERED FIT BASIC PANTS RK278:PASTEL BLUE:M:SOLID:LONG PANTS</t>
  </si>
  <si>
    <t>LONG PANTS TAPERED FIT BASIC PANTS RK278:PASTEL BLUE:L:SOLID:LONG PANTS</t>
  </si>
  <si>
    <t>LONG PANTS TAPERED FIT BASIC PANTS RK278:PASTEL BLUE:XL:SOLID:LONG PANTS</t>
  </si>
  <si>
    <t>RK287</t>
  </si>
  <si>
    <t>SHORT PANTS BASIC WOVEN RK287:PASTEL PINK:S:SOLID:SHORT PANTS</t>
  </si>
  <si>
    <t>SHORT PANTS BASIC WOVEN RK287:PASTEL PINK:M:SOLID:SHORT PANTS</t>
  </si>
  <si>
    <t>SHORT PANTS BASIC WOVEN RK287:PASTEL PINK:L:SOLID:SHORT PANTS</t>
  </si>
  <si>
    <t>SHORT PANTS BASIC WOVEN RK287:PASTEL PINK:XL:SOLID:SHORT PANTS</t>
  </si>
  <si>
    <t>RK273</t>
  </si>
  <si>
    <t>LONG PANTS CULLOTES WITH STRETCH FABRIC RK273:BLACK:S:SOLID:LONG PANTS</t>
  </si>
  <si>
    <t>LONG PANTS CULLOTES WITH STRETCH FABRIC RK273:BLACK:M:SOLID:LONG PANTS</t>
  </si>
  <si>
    <t>LONG PANTS CULLOTES WITH STRETCH FABRIC RK273:BLACK:L:SOLID:LONG PANTS</t>
  </si>
  <si>
    <t>LONG PANTS CULLOTES WITH STRETCH FABRIC RK273:BLACK:XL:SOLID:LONG PANTS</t>
  </si>
  <si>
    <t>RK275</t>
  </si>
  <si>
    <t>SHORT PANTS BASIC WOVEN RK275:FROST GREY:M:SOLID:SHORT PANTS</t>
  </si>
  <si>
    <t>SHORT PANTS BASIC WOVEN RK275:FROST GREY:L:SOLID:SHORT PANTS</t>
  </si>
  <si>
    <t>SHORT PANTS BASIC WOVEN RK275:NAVY BLUE:S:SOLID:SHORT PANTS</t>
  </si>
  <si>
    <t>SHORT PANTS BASIC WOVEN RK275:NAVY BLUE:M:SOLID:SHORT PANTS</t>
  </si>
  <si>
    <t>SHORT PANTS BASIC WOVEN RK275:NAVY BLUE:L:SOLID:SHORT PANTS</t>
  </si>
  <si>
    <t>BAEKB039</t>
  </si>
  <si>
    <t>LONG PANTS KNIT WITH DOUBLE KNIT ELASTANE FABRIC BAEKB039:DUSTY PIN:S:SOLID:LONG PANT</t>
  </si>
  <si>
    <t>LONG PANTS KNIT WITH DOUBLE KNIT ELASTANE FABRIC BAEKB039:DUSTY PIN:M:SOLID:LONG PANT</t>
  </si>
  <si>
    <t>LONG PANTS KNIT WITH DOUBLE KNIT ELASTANE FABRIC BAEKB039:DUSTY PIN:L:SOLID:LONG PANT</t>
  </si>
  <si>
    <t>LONG PANTS KNIT WITH DOUBLE KNIT ELASTANE FABRIC BAEKB039:DUSTY PIN:XL:SOLID:LONG PANT</t>
  </si>
  <si>
    <t>BAEKB048</t>
  </si>
  <si>
    <t>LONG PANTS SWEATPANTS WITH STRIPE ALL OVER PRINT BAEKB048:PASTEL BL:S:STRIPES:LONG PANT</t>
  </si>
  <si>
    <t>LONG PANTS SWEATPANTS WITH STRIPE ALL OVER PRINT BAEKB048:PASTEL BL:M:STRIPES:LONG PANT</t>
  </si>
  <si>
    <t>LONG PANTS SWEATPANTS WITH STRIPE ALL OVER PRINT BAEKB048:PASTEL BL:L:STRIPES:LONG PANT</t>
  </si>
  <si>
    <t>LONG PANTS SWEATPANTS WITH STRIPE ALL OVER PRINT BAEKB048:PASTEL BL:XL:STRIPES:LONG PANT</t>
  </si>
  <si>
    <t>LONG PANTS SWEATPANTS WITH STRIPE ALL OVER PRINT BAEKB048:MISTY LIG:S:STRIPES:LONG PANT</t>
  </si>
  <si>
    <t>LONG PANTS SWEATPANTS WITH STRIPE ALL OVER PRINT BAEKB048:MISTY LIG:M:STRIPES:LONG PANT</t>
  </si>
  <si>
    <t>LONG PANTS SWEATPANTS WITH STRIPE ALL OVER PRINT BAEKB048:MISTY LIG:L:STRIPES:LONG PANT</t>
  </si>
  <si>
    <t>LONG PANTS SWEATPANTS WITH STRIPE ALL OVER PRINT BAEKB048:MISTY LIG:XL:STRIPES:LONG PANT</t>
  </si>
  <si>
    <t>PRDDSP10</t>
  </si>
  <si>
    <t>DENIM SHORT PANTS WITHOUT ZIPPER AND FRONT POCKET BA:BLACK:S:SOLID:DENIM SHORT</t>
  </si>
  <si>
    <t>DENIM SHORT PANTS WITHOUT ZIPPER AND FRONT POCKET BA:BLACK:M:SOLID:DENIM SHORT</t>
  </si>
  <si>
    <t>DENIM SHORT PANTS WITHOUT ZIPPER AND FRONT POCKET BA:BLACK:L:SOLID:DENIM SHORT</t>
  </si>
  <si>
    <t>DENIM SHORT PANTS WITHOUT ZIPPER AND FRONT POCKET BA:BLACK:XL:SOLID:DENIM SHORT</t>
  </si>
  <si>
    <t>PRDDWB09</t>
  </si>
  <si>
    <t>DENIM LONG PANTS WITH HALF LEG BLEACH SPRAY WASH PRDDWB09:LIGHT DEN:S:SOLID:DENIM LON</t>
  </si>
  <si>
    <t>DENIM LONG PANTS WITH HALF LEG BLEACH SPRAY WASH PRDDWB09:LIGHT DEN:M:SOLID:DENIM LON</t>
  </si>
  <si>
    <t>DENIM LONG PANTS WITH HALF LEG BLEACH SPRAY WASH PRDDWB09:LIGHT DEN:L:SOLID:DENIM LON</t>
  </si>
  <si>
    <t>DENIM LONG PANTS WITH HALF LEG BLEACH SPRAY WASH PRDDWB09:LIGHT DEN:XL:SOLID:DENIM LON</t>
  </si>
  <si>
    <t>PRDD015</t>
  </si>
  <si>
    <t>DENIM SHORT PANTS WITH FRONT TIE AND PATCH POCKET PRDD015:LIGHT DEN:S:SOLID:DENIM SHO</t>
  </si>
  <si>
    <t>DENIM SHORT PANTS WITH FRONT TIE AND PATCH POCKET PRDD015:LIGHT DEN:M:SOLID:DENIM SHO</t>
  </si>
  <si>
    <t>DENIM SHORT PANTS WITH FRONT TIE AND PATCH POCKET PRDD015:LIGHT DEN:L:SOLID:DENIM SHO</t>
  </si>
  <si>
    <t>DENIM SHORT PANTS WITH FRONT TIE AND PATCH POCKET PRDD015:LIGHT DEN:XL:SOLID:DENIM SHO</t>
  </si>
  <si>
    <t>DENIM SHORT PANTS WITH FRONT TIE AND PATCH POCKET PRDD015:MEDIUM DE:S:SOLID:DENIM SHO</t>
  </si>
  <si>
    <t>DENIM SHORT PANTS WITH FRONT TIE AND PATCH POCKET PRDD015:MEDIUM DE:M:SOLID:DENIM SHO</t>
  </si>
  <si>
    <t>DENIM SHORT PANTS WITH FRONT TIE AND PATCH POCKET PRDD015:MEDIUM DE:L:SOLID:DENIM SHO</t>
  </si>
  <si>
    <t>DENIM SHORT PANTS WITH FRONT TIE AND PATCH POCKET PRDD015:MEDIUM DE:XL:SOLID:DENIM SHO</t>
  </si>
  <si>
    <t>PRDD017</t>
  </si>
  <si>
    <t>DENIM LONG PANTS PAPER BAG WAIST W FULL ELASTIC AT W:MEDIUM DENI:S:SOLID:DENIM LONG</t>
  </si>
  <si>
    <t>DENIM LONG PANTS PAPER BAG WAIST W FULL ELASTIC AT W:MEDIUM DENI:M:SOLID:DENIM LONG</t>
  </si>
  <si>
    <t>DENIM LONG PANTS PAPER BAG WAIST W FULL ELASTIC AT W:MEDIUM DENI:L:SOLID:DENIM LONG</t>
  </si>
  <si>
    <t>DENIM LONG PANTS PAPER BAG WAIST W FULL ELASTIC AT W:MEDIUM DENI:XL:SOLID:DENIM LONG</t>
  </si>
  <si>
    <t>PRDD018</t>
  </si>
  <si>
    <t>DENIM LONG PANTS HIGH WAIST W HALF ELASTIC AT WAIST:MEDIUM DENI:S:SOLID:DENIM LONG</t>
  </si>
  <si>
    <t>DENIM LONG PANTS HIGH WAIST W HALF ELASTIC AT WAIST:MEDIUM DENI:M:SOLID:DENIM LONG</t>
  </si>
  <si>
    <t>DENIM LONG PANTS HIGH WAIST W HALF ELASTIC AT WAIST:MEDIUM DENI:L:SOLID:DENIM LONG</t>
  </si>
  <si>
    <t>DENIM LONG PANTS HIGH WAIST W HALF ELASTIC AT WAIST:MEDIUM DENI:XL:SOLID:DENIM LONG</t>
  </si>
  <si>
    <t>PRDTOP016</t>
  </si>
  <si>
    <t>LS SHIRT DENIM TOP W FRONT FLAP POCKET AND FRONT BOT:MEDIUM DENI:S:SOLID:LS SHIRT</t>
  </si>
  <si>
    <t>LS SHIRT DENIM TOP W FRONT FLAP POCKET AND FRONT BOT:MEDIUM DENI:M:SOLID:LS SHIRT</t>
  </si>
  <si>
    <t>LS SHIRT DENIM TOP W FRONT FLAP POCKET AND FRONT BOT:MEDIUM DENI:L:SOLID:LS SHIRT</t>
  </si>
  <si>
    <t>LS SHIRT DENIM TOP W FRONT FLAP POCKET AND FRONT BOT:MEDIUM DENI:XL:SOLID:LS SHIRT</t>
  </si>
  <si>
    <t>PRDD014</t>
  </si>
  <si>
    <t>DENIM LONG PANTS WITH DESTROYED PRDD014:MEDIUM DENIM:S:SOLID:DENIM LONG PANTS</t>
  </si>
  <si>
    <t>DENIM LONG PANTS WITH DESTROYED PRDD014:MEDIUM DENIM:M:SOLID:DENIM LONG PANTS</t>
  </si>
  <si>
    <t>DENIM LONG PANTS WITH DESTROYED PRDD014:MEDIUM DENIM:L:SOLID:DENIM LONG PANTS</t>
  </si>
  <si>
    <t>DENIM LONG PANTS WITH DESTROYED PRDD014:MEDIUM DENIM:XL:SOLID:DENIM LONG PANTS</t>
  </si>
  <si>
    <t>TRI002</t>
  </si>
  <si>
    <t>SS T-SHIRT PRINTED TEE MINNIE PRINT TRI002:PASTEL BLUE:S:GRAPHIC:SS T-SHIRT</t>
  </si>
  <si>
    <t>SS T-SHIRT PRINTED TEE MINNIE PRINT TRI002:PASTEL BLUE:L:GRAPHIC:SS T-SHIRT</t>
  </si>
  <si>
    <t>SS T-SHIRT PRINTED TEE MINNIE PRINT TRI002:PASTEL BLUE:XL:GRAPHIC:SS T-SHIRT</t>
  </si>
  <si>
    <t>TRI003</t>
  </si>
  <si>
    <t>SS T-SHIRT ALL OVER PRINT TEE MINNIE ON THE BEACH TRI003:WHITE:XL:PRINT:SS T-SHIRT</t>
  </si>
  <si>
    <t>TRI004</t>
  </si>
  <si>
    <t>SS T-SHIRT PRINTED TEE MINNIE ON THE BEACH TRI004:PASTEL PINK:S:GRAPHIC:SS T-SHIRT</t>
  </si>
  <si>
    <t>SS T-SHIRT PRINTED TEE MINNIE ON THE BEACH TRI004:PASTEL PINK:M:GRAPHIC:SS T-SHIRT</t>
  </si>
  <si>
    <t>SS T-SHIRT PRINTED TEE MINNIE ON THE BEACH TRI004:PASTEL PINK:L:GRAPHIC:SS T-SHIRT</t>
  </si>
  <si>
    <t>SS T-SHIRT PRINTED TEE MINNIE ON THE BEACH TRI004:PASTEL PINK:XL:GRAPHIC:SS T-SHIRT</t>
  </si>
  <si>
    <t>BAESWT067</t>
  </si>
  <si>
    <t>SWEATSHIRT WITH WAIST STRING BAESWT067:MISTY MEDIUM G:S:GRAPHIC:SWEATSHIRT</t>
  </si>
  <si>
    <t>SWEATSHIRT WITH WAIST STRING BAESWT067:MISTY MEDIUM G:M:GRAPHIC:SWEATSHIRT</t>
  </si>
  <si>
    <t>SWEATSHIRT WITH WAIST STRING BAESWT067:MISTY MEDIUM G:L:GRAPHIC:SWEATSHIRT</t>
  </si>
  <si>
    <t>SWEATSHIRT WITH WAIST STRING BAESWT067:MISTY MEDIUM G:XL:GRAPHIC:SWEATSHIRT</t>
  </si>
  <si>
    <t>HLLEB22WT05</t>
  </si>
  <si>
    <t>LS BLOUSE OPEN PLACKET HLLEB22WT05:PEPPERMINT:S:SOLID:LS BLOUSE</t>
  </si>
  <si>
    <t>LS BLOUSE OPEN PLACKET HLLEB22WT05:PEPPERMINT:M:SOLID:LS BLOUSE</t>
  </si>
  <si>
    <t>LS BLOUSE OPEN PLACKET HLLEB22WT05:PEPPERMINT:L:SOLID:LS BLOUSE</t>
  </si>
  <si>
    <t>LS BLOUSE OPEN PLACKET HLLEB22WT05:PEPPERMINT:XL:SOLID:LS BLOUSE</t>
  </si>
  <si>
    <t>HLLEB22WT07</t>
  </si>
  <si>
    <t>LS TUNIC 78 SLEEVES ASSYMETRIC AND BACK OPENING HLLEB22WT07:PEPPERMIN:S:SOLID:LS TUNIC</t>
  </si>
  <si>
    <t>LS TUNIC 78 SLEEVES ASSYMETRIC AND BACK OPENING HLLEB22WT07:PEPPERMIN:M:SOLID:LS TUNIC</t>
  </si>
  <si>
    <t>LS TUNIC 78 SLEEVES ASSYMETRIC AND BACK OPENING HLLEB22WT07:PEPPERMIN:L:SOLID:LS TUNIC</t>
  </si>
  <si>
    <t>LS TUNIC 78 SLEEVES ASSYMETRIC AND BACK OPENING HLLEB22WT07:PEPPERMIN:XL:SOLID:LS TUNIC</t>
  </si>
  <si>
    <t>HLLEB22WT08</t>
  </si>
  <si>
    <t>LS TUNIC 78 SLEEVES ASSYMETRIC AND BACK OPENING HLLEB22WT08:PEPPERMIN:S:SOLID:LS TUNIC</t>
  </si>
  <si>
    <t>LS TUNIC 78 SLEEVES ASSYMETRIC AND BACK OPENING HLLEB22WT08:PEPPERMIN:M:SOLID:LS TUNIC</t>
  </si>
  <si>
    <t>HLLEB22WT01</t>
  </si>
  <si>
    <t>LS TUNIC ASSYMETRIC WITH BUTTTON AND PLACKET HLLEB22WT01:PINK LEMON:S:SOLID:LS TUNIC</t>
  </si>
  <si>
    <t>LS TUNIC ASSYMETRIC WITH BUTTTON AND PLACKET HLLEB22WT01:PINK LEMON:M:SOLID:LS TUNIC</t>
  </si>
  <si>
    <t>LS TUNIC ASSYMETRIC WITH BUTTTON AND PLACKET HLLEB22WT01:PINK LEMON:L:SOLID:LS TUNIC</t>
  </si>
  <si>
    <t>LS TUNIC ASSYMETRIC WITH BUTTTON AND PLACKET HLLEB22WT01:PINK LEMON:XL:SOLID:LS TUNIC</t>
  </si>
  <si>
    <t>HLLEB22WT04</t>
  </si>
  <si>
    <t>LS BLOUSE 78 OPEN PLACKET HLLEB22WT04:WHITE:M:SOLID:LS BLOUSE</t>
  </si>
  <si>
    <t>LS BLOUSE 78 OPEN PLACKET HLLEB22WT04:WHITE:XL:SOLID:LS BLOUSE</t>
  </si>
  <si>
    <t>HLLEB22WT02</t>
  </si>
  <si>
    <t>LS TUNIC 78 SLEEVES ASSYMETRIC WITH BUTTON AND PLACK:PINK LEMONA:M:SOLID:LS TUNIC</t>
  </si>
  <si>
    <t>MASFEB22WT06</t>
  </si>
  <si>
    <t>LS BLOUSE WITH POCKET AND OPEN MASFEB22WT06:CLASSIC BLUE:L:SOLID:LS BLOUSE</t>
  </si>
  <si>
    <t>MASWBLEB34</t>
  </si>
  <si>
    <t>LONG PANTS BASIC WITH BUTTONS AND FOLDED BOTTOM MASWBLEB34:WHITE:S:SOLID:LONG PANT</t>
  </si>
  <si>
    <t>LONG PANTS BASIC WITH BUTTONS AND FOLDED BOTTOM MASWBLEB34:WHITE:L:SOLID:LONG PANT</t>
  </si>
  <si>
    <t>BAETS4</t>
  </si>
  <si>
    <t>34 T-SHIRT BASIC SHIRT PEPLUM BAETS4:MISTY LIGHT GRE:S:SOLID:3/4 T-SHIRT</t>
  </si>
  <si>
    <t>34 T-SHIRT BASIC SHIRT PEPLUM BAETS4:MISTY LIGHT GRE:M:SOLID:3/4 T-SHIRT</t>
  </si>
  <si>
    <t>34 T-SHIRT BASIC SHIRT PEPLUM BAETS4:MISTY LIGHT GRE:L:SOLID:3/4 T-SHIRT</t>
  </si>
  <si>
    <t>34 T-SHIRT BASIC SHIRT PEPLUM BAETS4:MISTY LIGHT GRE:XL:SOLID:3/4 T-SHIRT</t>
  </si>
  <si>
    <t>BAETS014</t>
  </si>
  <si>
    <t>LS T-SHIRT PRINTED W SLEEVES DETAILS AND BACK STRING:WHITE:S:GRAPHIC:LS T-SHIRT</t>
  </si>
  <si>
    <t>LS T-SHIRT PRINTED W SLEEVES DETAILS AND BACK STRING:WHITE:M:GRAPHIC:LS T-SHIRT</t>
  </si>
  <si>
    <t>LS T-SHIRT PRINTED W SLEEVES DETAILS AND BACK STRING:WHITE:L:GRAPHIC:LS T-SHIRT</t>
  </si>
  <si>
    <t>LS T-SHIRT PRINTED W SLEEVES DETAILS AND BACK STRING:WHITE:XL:GRAPHIC:LS T-SHIRT</t>
  </si>
  <si>
    <t>BAETS020</t>
  </si>
  <si>
    <t>SS T-SHIRT W WORDING BAETS020:WHITE:S:GRAPHIC:SS T-SHIRT</t>
  </si>
  <si>
    <t>SS T-SHIRT W WORDING BAETS020:WHITE:M:GRAPHIC:SS T-SHIRT</t>
  </si>
  <si>
    <t>SS T-SHIRT W WORDING BAETS020:WHITE:L:GRAPHIC:SS T-SHIRT</t>
  </si>
  <si>
    <t>SS T-SHIRT W WORDING BAETS020:WHITE:XL:GRAPHIC:SS T-SHIRT</t>
  </si>
  <si>
    <t>BAETS23</t>
  </si>
  <si>
    <t>LS T-SHIRT W DETAILS AT SLEEVES BAETS23:WHITE:S:GRAPHIC:LS T-SHIRT</t>
  </si>
  <si>
    <t>LS T-SHIRT W DETAILS AT SLEEVES BAETS23:WHITE:M:GRAPHIC:LS T-SHIRT</t>
  </si>
  <si>
    <t>LS T-SHIRT W DETAILS AT SLEEVES BAETS23:WHITE:L:GRAPHIC:LS T-SHIRT</t>
  </si>
  <si>
    <t>LS T-SHIRT W DETAILS AT SLEEVES BAETS23:WHITE:XL:GRAPHIC:LS T-SHIRT</t>
  </si>
  <si>
    <t>BAETS25</t>
  </si>
  <si>
    <t>SS T-SHIRT W EMBROIDERY-PRINT AND ASYMETRIC BOTTOM BAETS25:WHITE:S:GRAPHIC:SS T-SHIR</t>
  </si>
  <si>
    <t>SS T-SHIRT W EMBROIDERY-PRINT AND ASYMETRIC BOTTOM BAETS25:WHITE:M:GRAPHIC:SS T-SHIR</t>
  </si>
  <si>
    <t>SS T-SHIRT W EMBROIDERY-PRINT AND ASYMETRIC BOTTOM BAETS25:WHITE:L:GRAPHIC:SS T-SHIR</t>
  </si>
  <si>
    <t>SS T-SHIRT W EMBROIDERY-PRINT AND ASYMETRIC BOTTOM BAETS25:WHITE:XL:GRAPHIC:SS T-SHIR</t>
  </si>
  <si>
    <t>BAETS028</t>
  </si>
  <si>
    <t>LS BLOUSE KNIT W COMBO FABRIC AND PRINT BAETS028:WHITE:S:GRAPHIC:LS BLOUSE</t>
  </si>
  <si>
    <t>LS BLOUSE KNIT W COMBO FABRIC AND PRINT BAETS028:WHITE:M:GRAPHIC:LS BLOUSE</t>
  </si>
  <si>
    <t>LS BLOUSE KNIT W COMBO FABRIC AND PRINT BAETS028:WHITE:L:GRAPHIC:LS BLOUSE</t>
  </si>
  <si>
    <t>LS BLOUSE KNIT W COMBO FABRIC AND PRINT BAETS028:WHITE:XL:GRAPHIC:LS BLOUSE</t>
  </si>
  <si>
    <t>BAETS032</t>
  </si>
  <si>
    <t>SS BLOUSE KNIT W ANGLAIS EMBRO BOTTOM PRINT CHEST BAETS032:OFF WHITE:S:GRAPHIC:SS BLOUSE</t>
  </si>
  <si>
    <t>SS BLOUSE KNIT W ANGLAIS EMBRO BOTTOM PRINT CHEST BAETS032:OFF WHITE:M:GRAPHIC:SS BLOUSE</t>
  </si>
  <si>
    <t>SS BLOUSE KNIT W ANGLAIS EMBRO BOTTOM PRINT CHEST BAETS032:OFF WHITE:L:GRAPHIC:SS BLOUSE</t>
  </si>
  <si>
    <t>SS BLOUSE KNIT W ANGLAIS EMBRO BOTTOM PRINT CHEST BAETS032:OFF WHITE:XL:GRAPHIC:SS BLOUSE</t>
  </si>
  <si>
    <t>BAETS037</t>
  </si>
  <si>
    <t>LS BLOUSE 78 SLEEVES KNIT W FRONT AND BACK PRINT BAETS037:OFF WHITE:S:SOLID:LS BLOUSE</t>
  </si>
  <si>
    <t>LS BLOUSE 78 SLEEVES KNIT W FRONT AND BACK PRINT BAETS037:OFF WHITE:M:SOLID:LS BLOUSE</t>
  </si>
  <si>
    <t>LS BLOUSE 78 SLEEVES KNIT W FRONT AND BACK PRINT BAETS037:OFF WHITE:L:SOLID:LS BLOUSE</t>
  </si>
  <si>
    <t>LS BLOUSE 78 SLEEVES KNIT W FRONT AND BACK PRINT BAETS037:OFF WHITE:XL:SOLID:LS BLOUSE</t>
  </si>
  <si>
    <t>LS BLOUSE 78 SLEEVES KNIT W FRONT AND BACK PRINT BAETS037:DUSTY PIN:S:SOLID:LS BLOUSE</t>
  </si>
  <si>
    <t>LS BLOUSE 78 SLEEVES KNIT W FRONT AND BACK PRINT BAETS037:DUSTY PIN:M:SOLID:LS BLOUSE</t>
  </si>
  <si>
    <t>LS BLOUSE 78 SLEEVES KNIT W FRONT AND BACK PRINT BAETS037:DUSTY PIN:L:SOLID:LS BLOUSE</t>
  </si>
  <si>
    <t>LS BLOUSE 78 SLEEVES KNIT W FRONT AND BACK PRINT BAETS037:DUSTY PIN:XL:SOLID:LS BLOUSE</t>
  </si>
  <si>
    <t>BAETS027</t>
  </si>
  <si>
    <t>34 BLOUSE SLEEVES KNIT W FRONT AND BACK PRINT BAETS027:WHITE:S:SOLID:3/4 BLOUSE</t>
  </si>
  <si>
    <t>34 BLOUSE SLEEVES KNIT W FRONT AND BACK PRINT BAETS027:WHITE:M:SOLID:3/4 BLOUSE</t>
  </si>
  <si>
    <t>34 BLOUSE SLEEVES KNIT W FRONT AND BACK PRINT BAETS027:WHITE:L:SOLID:3/4 BLOUSE</t>
  </si>
  <si>
    <t>34 BLOUSE SLEEVES KNIT W FRONT AND BACK PRINT BAETS027:WHITE:XL:SOLID:3/4 BLOUSE</t>
  </si>
  <si>
    <t>BAETS042</t>
  </si>
  <si>
    <t>SS T-SHIRT WITH COLLAR-PLACKET AND FRONT CHEST PRINT:PASTEL GREE:S:SOLID:SS T-SHIRT</t>
  </si>
  <si>
    <t>SS T-SHIRT WITH COLLAR-PLACKET AND FRONT CHEST PRINT:PASTEL GREE:M:SOLID:SS T-SHIRT</t>
  </si>
  <si>
    <t>SS T-SHIRT WITH COLLAR-PLACKET AND FRONT CHEST PRINT:PASTEL GREE:L:SOLID:SS T-SHIRT</t>
  </si>
  <si>
    <t>SS T-SHIRT WITH COLLAR-PLACKET AND FRONT CHEST PRINT:PASTEL GREE:XL:SOLID:SS T-SHIRT</t>
  </si>
  <si>
    <t>SS T-SHIRT WITH COLLAR-PLACKET AND FRONT CHEST PRINT:MISTY LIGHT:S:SOLID:SS T-SHIRT</t>
  </si>
  <si>
    <t>SS T-SHIRT WITH COLLAR-PLACKET AND FRONT CHEST PRINT:MISTY LIGHT:M:SOLID:SS T-SHIRT</t>
  </si>
  <si>
    <t>SS T-SHIRT WITH COLLAR-PLACKET AND FRONT CHEST PRINT:MISTY LIGHT:L:SOLID:SS T-SHIRT</t>
  </si>
  <si>
    <t>SS T-SHIRT WITH COLLAR-PLACKET AND FRONT CHEST PRINT:MISTY LIGHT:XL:SOLID:SS T-SHIRT</t>
  </si>
  <si>
    <t>TZPJ11</t>
  </si>
  <si>
    <t>SS T-SHIRT GIRL FACE IN EMBOSSED LINE CLOSE UP TZPJ11:MISTY LIGH:S:GRAPHIC:SS T-SHIRT</t>
  </si>
  <si>
    <t>SS T-SHIRT GIRL FACE IN EMBOSSED LINE CLOSE UP TZPJ11:MISTY LIGH:M:GRAPHIC:SS T-SHIRT</t>
  </si>
  <si>
    <t>SS T-SHIRT GIRL FACE IN EMBOSSED LINE CLOSE UP TZPJ11:MISTY LIGH:L:GRAPHIC:SS T-SHIRT</t>
  </si>
  <si>
    <t>SS T-SHIRT GIRL FACE IN EMBOSSED LINE CLOSE UP TZPJ11:MISTY LIGH:XL:GRAPHIC:SS T-SHIRT</t>
  </si>
  <si>
    <t>TZPJ12</t>
  </si>
  <si>
    <t>SS T-SHIRT FLOWER BLUE OUTLINE AND BOX TZPJ12:MISTY LIGHT:S:GRAPHIC:SS T-SHIRT</t>
  </si>
  <si>
    <t>SS T-SHIRT FLOWER BLUE OUTLINE AND BOX TZPJ12:MISTY LIGHT:M:GRAPHIC:SS T-SHIRT</t>
  </si>
  <si>
    <t>SS T-SHIRT FLOWER BLUE OUTLINE AND BOX TZPJ12:MISTY LIGHT:L:GRAPHIC:SS T-SHIRT</t>
  </si>
  <si>
    <t>SS T-SHIRT FLOWER BLUE OUTLINE AND BOX TZPJ12:MISTY LIGHT:XL:GRAPHIC:SS T-SHIRT</t>
  </si>
  <si>
    <t>TZPJ13</t>
  </si>
  <si>
    <t>SS T-SHIRT PRINTED GIRL AND SCENERY W WORDING NATURA:WHITE:S:GRAPHIC:SS T-SHIRT</t>
  </si>
  <si>
    <t>SS T-SHIRT PRINTED GIRL AND SCENERY W WORDING NATURA:WHITE:L:GRAPHIC:SS T-SHIRT</t>
  </si>
  <si>
    <t>TZCA02</t>
  </si>
  <si>
    <t>SS T-SHIRT PHOTOPRINT FLOWER AND GIRL IN EMBOSSED LI:MISTY LIGHT:S:GRAPHIC:SS T-SHIRT</t>
  </si>
  <si>
    <t>SS T-SHIRT PHOTOPRINT FLOWER AND GIRL IN EMBOSSED LI:MISTY LIGHT:L:GRAPHIC:SS T-SHIRT</t>
  </si>
  <si>
    <t>SS T-SHIRT PHOTOPRINT FLOWER AND GIRL IN EMBOSSED LI:MISTY LIGHT:XL:GRAPHIC:SS T-SHIRT</t>
  </si>
  <si>
    <t>TZCA03</t>
  </si>
  <si>
    <t>SS T-SHIRT PHOTOPRINT LEAVES IN BOX WITH ITS ME WORD TZCA03:WHITE:M:GRAPHIC:SS T-SHIR</t>
  </si>
  <si>
    <t>SS T-SHIRT PHOTOPRINT LEAVES IN BOX WITH ITS ME WORD TZCA03:WHITE:L:GRAPHIC:SS T-SHIR</t>
  </si>
  <si>
    <t>TZCA05</t>
  </si>
  <si>
    <t>SS T-SHIRT FLOWER GRADEN WITH WORDING WATCH ME GROW TZCA05:PINK LEMO:L:GRAPHIC:SS T-SHIR</t>
  </si>
  <si>
    <t>TZCA06</t>
  </si>
  <si>
    <t>SS T-SHIRT PRINTED BUTTERFLY PRINT W WORDING LET YOU:WHITE:S:GRAPHIC:SS T-SHIRT</t>
  </si>
  <si>
    <t>SS T-SHIRT PRINTED BUTTERFLY PRINT W WORDING LET YOU:WHITE:M:GRAPHIC:SS T-SHIRT</t>
  </si>
  <si>
    <t>SS T-SHIRT PRINTED BUTTERFLY PRINT W WORDING LET YOU:WHITE:L:GRAPHIC:SS T-SHIRT</t>
  </si>
  <si>
    <t>SS T-SHIRT PRINTED BUTTERFLY PRINT W WORDING LET YOU:WHITE:XL:GRAPHIC:SS T-SHIRT</t>
  </si>
  <si>
    <t>SS T-SHIRT PRINTED BUTTERFLY PRINT W WORDING LET YOU:DUSTY PINK:L:GRAPHIC:SS T-SHIRT</t>
  </si>
  <si>
    <t>SS T-SHIRT PRINTED BUTTERFLY PRINT W WORDING LET YOU:DUSTY PINK:XL:GRAPHIC:SS T-SHIRT</t>
  </si>
  <si>
    <t>TZCA09</t>
  </si>
  <si>
    <t>SS T-SHIRT BASIC PRINTED TEE (FLOWER) TZCA09:PASTEL GREEN:S:GRAPHIC:SS T-SHIRT</t>
  </si>
  <si>
    <t>SS T-SHIRT BASIC PRINTED TEE (FLOWER) TZCA09:PASTEL GREEN:L:GRAPHIC:SS T-SHIRT</t>
  </si>
  <si>
    <t>SS T-SHIRT BASIC PRINTED TEE (FLOWER) TZCA09:PASTEL GREEN:XL:GRAPHIC:SS T-SHIRT</t>
  </si>
  <si>
    <t>SS T-SHIRT BASIC PRINTED TEE (FLOWER) TZCA09:PASTEL PINK:S:GRAPHIC:SS T-SHIRT</t>
  </si>
  <si>
    <t>SS T-SHIRT BASIC PRINTED TEE (FLOWER) TZCA09:PASTEL PINK:M:GRAPHIC:SS T-SHIRT</t>
  </si>
  <si>
    <t>SS T-SHIRT BASIC PRINTED TEE (FLOWER) TZCA09:PASTEL PINK:XL:GRAPHIC:SS T-SHIRT</t>
  </si>
  <si>
    <t>TZCA15</t>
  </si>
  <si>
    <t>SS T-SHIRT LOOSE FIT CROP TEE-VARSITY UNIV PRINT TZCA15:WHITE:S:TEXT:SS T-SHIRT</t>
  </si>
  <si>
    <t>SS T-SHIRT LOOSE FIT CROP TEE-VARSITY UNIV PRINT TZCA15:WHITE:M:TEXT:SS T-SHIRT</t>
  </si>
  <si>
    <t>SS T-SHIRT LOOSE FIT CROP TEE-VARSITY UNIV PRINT TZCA15:WHITE:L:TEXT:SS T-SHIRT</t>
  </si>
  <si>
    <t>SS T-SHIRT LOOSE FIT CROP TEE-VARSITY UNIV PRINT TZCA15:WHITE:XL:TEXT:SS T-SHIRT</t>
  </si>
  <si>
    <t>TZCA16</t>
  </si>
  <si>
    <t>SS T-SHIRT LOOSE FIT CROP TEE-VARSITY MEMPHIS PRINT TZCA16:CLASSIC B:S:TEXT:SS T-SHIR</t>
  </si>
  <si>
    <t>SS T-SHIRT LOOSE FIT CROP TEE-VARSITY MEMPHIS PRINT TZCA16:CLASSIC B:M:TEXT:SS T-SHIR</t>
  </si>
  <si>
    <t>SG47</t>
  </si>
  <si>
    <t>LS SHIRT TOP WOVEN SEERSUCKER SG47:OLD GOLD:S:TEXTURE:LS SHIRT</t>
  </si>
  <si>
    <t>LS SHIRT TOP WOVEN SEERSUCKER SG47:OLD GOLD:M:TEXTURE:LS SHIRT</t>
  </si>
  <si>
    <t>LS SHIRT TOP WOVEN SEERSUCKER SG47:OLD GOLD:XL:TEXTURE:LS SHIRT</t>
  </si>
  <si>
    <t>SG48</t>
  </si>
  <si>
    <t>LS BLOUSE TOP WOVEN MIX IMP SG48:GOLDEN BROWN:S:TEXTURE:LS BLOUSE</t>
  </si>
  <si>
    <t>LS BLOUSE TOP WOVEN MIX IMP SG48:GOLDEN BROWN:M:TEXTURE:LS BLOUSE</t>
  </si>
  <si>
    <t>LS BLOUSE TOP WOVEN MIX IMP SG48:GOLDEN BROWN:L:TEXTURE:LS BLOUSE</t>
  </si>
  <si>
    <t>LS BLOUSE TOP WOVEN MIX IMP SG48:GOLDEN BROWN:XL:TEXTURE:LS BLOUSE</t>
  </si>
  <si>
    <t>LS BLOUSE TOP WOVEN MIX IMP SG48:OLIVE:S:TEXTURE:LS BLOUSE</t>
  </si>
  <si>
    <t>LS BLOUSE TOP WOVEN MIX IMP SG48:OLIVE:M:TEXTURE:LS BLOUSE</t>
  </si>
  <si>
    <t>LS BLOUSE TOP WOVEN MIX IMP SG48:OLIVE:L:TEXTURE:LS BLOUSE</t>
  </si>
  <si>
    <t>LS BLOUSE TOP WOVEN MIX IMP SG48:OLIVE:XL:TEXTURE:LS BLOUSE</t>
  </si>
  <si>
    <t>SG45</t>
  </si>
  <si>
    <t>LS SHIRT TOP WOVEN OVSZ BUTT KAYU SG45:OLIVE:M:SOLID:LS SHIRT</t>
  </si>
  <si>
    <t>LS SHIRT TOP WOVEN OVSZ BUTT KAYU SG45:OLIVE:L:SOLID:LS SHIRT</t>
  </si>
  <si>
    <t>LS SHIRT TOP WOVEN OVSZ BUTT KAYU SG45:OLIVE:XL:SOLID:LS SHIRT</t>
  </si>
  <si>
    <t>SG65</t>
  </si>
  <si>
    <t>LS SHIRT CHOC TOP WVN CROP CREPE SG65:BROWN SUGAR:S:SOLID:LS SHIRT</t>
  </si>
  <si>
    <t>LS SHIRT CHOC TOP WVN CROP CREPE SG65:BROWN SUGAR:L:SOLID:LS SHIRT</t>
  </si>
  <si>
    <t>SG75</t>
  </si>
  <si>
    <t>LS BLOUSE W PLEATS AT BACK SG75:OLIVE:M:SOLID:LS BLOUSE</t>
  </si>
  <si>
    <t>LS BLOUSE W PLEATS AT BACK SG75:OLIVE:L:SOLID:LS BLOUSE</t>
  </si>
  <si>
    <t>SGWT16</t>
  </si>
  <si>
    <t>SS BLOUSE V NECK W BUTTONS SGWT16:KHAKI:S:SOLID:SS BLOUSE</t>
  </si>
  <si>
    <t>SS BLOUSE V NECK W BUTTONS SGWT16:KHAKI:M:SOLID:SS BLOUSE</t>
  </si>
  <si>
    <t>SS BLOUSE V NECK W BUTTONS SGWT16:KHAKI:L:SOLID:SS BLOUSE</t>
  </si>
  <si>
    <t>SS BLOUSE V NECK W BUTTONS SGWT16:KHAKI:XL:SOLID:SS BLOUSE</t>
  </si>
  <si>
    <t>SG55</t>
  </si>
  <si>
    <t>LS SHIRT PINK W HALF BELT SG55:PASTEL PINK:M:SOLID:LS SHIRT</t>
  </si>
  <si>
    <t>LS SHIRT PINK W HALF BELT SG55:PASTEL PINK:L:SOLID:LS SHIRT</t>
  </si>
  <si>
    <t>LS SHIRT PINK W HALF BELT SG55:PASTEL PINK:XL:SOLID:LS SHIRT</t>
  </si>
  <si>
    <t>SG83</t>
  </si>
  <si>
    <t>LS BLOUSE YD TX CORN SG83:DUSTY PINK:S:TEXTURE:LS BLOUSE</t>
  </si>
  <si>
    <t>LS BLOUSE YD TX CORN SG83:DUSTY PINK:M:TEXTURE:LS BLOUSE</t>
  </si>
  <si>
    <t>LS BLOUSE YD TX CORN SG83:DUSTY PINK:L:TEXTURE:LS BLOUSE</t>
  </si>
  <si>
    <t>SG89</t>
  </si>
  <si>
    <t>LS BLOUSE PRINT KOTAK SG89:DUSTY PINK:S:CHECKS:LS BLOUSE</t>
  </si>
  <si>
    <t>LS BLOUSE PRINT KOTAK SG89:DUSTY PINK:M:CHECKS:LS BLOUSE</t>
  </si>
  <si>
    <t>LS BLOUSE PRINT KOTAK SG89:DUSTY PINK:L:CHECKS:LS BLOUSE</t>
  </si>
  <si>
    <t>LS BLOUSE PRINT KOTAK SG89:DUSTY PINK:XL:CHECKS:LS BLOUSE</t>
  </si>
  <si>
    <t>SG72</t>
  </si>
  <si>
    <t>LS BLOUSE TURTLENECK SG72:BUBBLEGUM PINK:S:SOLID:LS BLOUSE</t>
  </si>
  <si>
    <t>LS BLOUSE TURTLENECK SG72:BUBBLEGUM PINK:M:SOLID:LS BLOUSE</t>
  </si>
  <si>
    <t>LS BLOUSE TURTLENECK SG72:BUBBLEGUM PINK:L:SOLID:LS BLOUSE</t>
  </si>
  <si>
    <t>LS BLOUSE TURTLENECK SG72:BUBBLEGUM PINK:XL:SOLID:LS BLOUSE</t>
  </si>
  <si>
    <t>SG92</t>
  </si>
  <si>
    <t>LS SHIRT V BUTTON AT BACK SG92:OFF WHITE:M:SOLID:LS SHIRT</t>
  </si>
  <si>
    <t>LS SHIRT V BUTTON AT BACK SG92:OFF WHITE:XL:SOLID:LS SHIRT</t>
  </si>
  <si>
    <t>OLVSG90</t>
  </si>
  <si>
    <t>LS BLOUSE PRINT FLOWER OLVSG90:KHAKI:S:FLORAL:LS BLOUSE</t>
  </si>
  <si>
    <t>LS BLOUSE PRINT FLOWER OLVSG90:KHAKI:L:FLORAL:LS BLOUSE</t>
  </si>
  <si>
    <t>OLVSG56</t>
  </si>
  <si>
    <t>LS BLOUSE OLIVE TOP WVN SHIRT V KERUT OLVSG56:OFF WHITE:S:SOLID:LS BLOUSE</t>
  </si>
  <si>
    <t>LS BLOUSE OLIVE TOP WVN SHIRT V KERUT OLVSG56:OFF WHITE:M:SOLID:LS BLOUSE</t>
  </si>
  <si>
    <t>LS BLOUSE OLIVE TOP WVN SHIRT V KERUT OLVSG56:OFF WHITE:L:SOLID:LS BLOUSE</t>
  </si>
  <si>
    <t>LS BLOUSE OLIVE TOP WVN SHIRT V KERUT OLVSG56:OFF WHITE:XL:SOLID:LS BLOUSE</t>
  </si>
  <si>
    <t>SG93</t>
  </si>
  <si>
    <t>LS SHIRT TWIST AT BACK SG93:DUSTY PINK:S:SOLID:LS SHIRT</t>
  </si>
  <si>
    <t>LS SHIRT TWIST AT BACK SG93:DUSTY PINK:M:SOLID:LS SHIRT</t>
  </si>
  <si>
    <t>LS SHIRT TWIST AT BACK SG93:DUSTY PINK:L:SOLID:LS SHIRT</t>
  </si>
  <si>
    <t>LS SHIRT TWIST AT BACK SG93:DUSTY PINK:XL:SOLID:LS SHIRT</t>
  </si>
  <si>
    <t>CHOSG74</t>
  </si>
  <si>
    <t>LS SHIRT W KCG KAYU KNIT AT BACK CHOSG74:OFF WHITE:M:SOLID:LS SHIRT</t>
  </si>
  <si>
    <t>LS SHIRT W KCG KAYU KNIT AT BACK CHOSG74:OFF WHITE:L:SOLID:LS SHIRT</t>
  </si>
  <si>
    <t>LS SHIRT W KCG KAYU KNIT AT BACK CHOSG74:OFF WHITE:XL:SOLID:LS SHIRT</t>
  </si>
  <si>
    <t>OGSG85</t>
  </si>
  <si>
    <t>LS SHIRT CHAMBRAY W COLLAR OGSG85:MEDIUM DENIM:S:SOLID:LS SHIRT</t>
  </si>
  <si>
    <t>LS SHIRT CHAMBRAY W COLLAR OGSG85:MEDIUM DENIM:L:SOLID:LS SHIRT</t>
  </si>
  <si>
    <t>LS SHIRT CHAMBRAY W COLLAR OGSG85:MEDIUM DENIM:XL:SOLID:LS SHIRT</t>
  </si>
  <si>
    <t>OGSG84</t>
  </si>
  <si>
    <t>LS SHIRT TWILL PRT FLW OGSG84:OFF WHITE:S:FLORAL:LS SHIRT</t>
  </si>
  <si>
    <t>SG67</t>
  </si>
  <si>
    <t>LS SHIRT TOP WOLLY CREPE STRIPES SG67:KHAKI:S:STRIPES:LS SHIRT</t>
  </si>
  <si>
    <t>LS SHIRT TOP WOLLY CREPE STRIPES SG67:KHAKI:M:STRIPES:LS SHIRT</t>
  </si>
  <si>
    <t>LS SHIRT TOP WOLLY CREPE STRIPES SG67:KHAKI:L:STRIPES:LS SHIRT</t>
  </si>
  <si>
    <t>LS SHIRT TOP WOLLY CREPE STRIPES SG67:KHAKI:XL:STRIPES:LS SHIRT</t>
  </si>
  <si>
    <t>LS SHIRT TOP WOLLY CREPE STRIPES SG67:OLIVE:S:STRIPES:LS SHIRT</t>
  </si>
  <si>
    <t>LS SHIRT TOP WOLLY CREPE STRIPES SG67:OLIVE:M:STRIPES:LS SHIRT</t>
  </si>
  <si>
    <t>LS SHIRT TOP WOLLY CREPE STRIPES SG67:OLIVE:XL:STRIPES:LS SHIRT</t>
  </si>
  <si>
    <t>OLVSG94</t>
  </si>
  <si>
    <t>LS BLOUSE CHECK TWILL LINE PINK OLVSG94:NAVY BLUE:M:CHECKS:LS BLOUSE</t>
  </si>
  <si>
    <t>OLVSG81</t>
  </si>
  <si>
    <t>LS BLOUSE CUT AND SEWN OLV NAVY OLVSG81:NAVY BLUE:S:SOLID:LS BLOUSE</t>
  </si>
  <si>
    <t>LS BLOUSE CUT AND SEWN OLV NAVY OLVSG81:NAVY BLUE:M:SOLID:LS BLOUSE</t>
  </si>
  <si>
    <t>LS BLOUSE CUT AND SEWN OLV NAVY OLVSG81:NAVY BLUE:L:SOLID:LS BLOUSE</t>
  </si>
  <si>
    <t>LS BLOUSE CUT AND SEWN OLV NAVY OLVSG81:NAVY BLUE:XL:SOLID:LS BLOUSE</t>
  </si>
  <si>
    <t>SG82</t>
  </si>
  <si>
    <t>LS BLOUSE TWISTED W KCG BLKG SG82:JADE:M:SOLID:LS BLOUSE</t>
  </si>
  <si>
    <t>LS BLOUSE TWISTED W KCG BLKG SG82:JADE:L:SOLID:LS BLOUSE</t>
  </si>
  <si>
    <t>CBMS67</t>
  </si>
  <si>
    <t>COR BLU TOP WVN SHIRT W/ RIB:CORAL:S</t>
  </si>
  <si>
    <t>COR BLU TOP WVN SHIRT W/ RIB:CORAL:M</t>
  </si>
  <si>
    <t>COR BLU TOP WVN SHIRT W/ RIB:CORAL:L</t>
  </si>
  <si>
    <t>COR BLU TOP WVN SHIRT W/ RIB:CORAL:XL</t>
  </si>
  <si>
    <t>SS SHIRT PLAIN WITH TIE KNOT IN FRONT MASWT4:OFF WHITE:S:SOLID:SS SHIRT</t>
  </si>
  <si>
    <t>SS SHIRT PLAIN WITH TIE KNOT IN FRONT MASWT4:OFF WHITE:M:SOLID:SS SHIRT</t>
  </si>
  <si>
    <t>SS SHIRT PLAIN WITH TIE KNOT IN FRONT MASWT4:OFF WHITE:L:SOLID:SS SHIRT</t>
  </si>
  <si>
    <t>SS SHIRT PLAIN WITH TIE KNOT IN FRONT MASWT4:OFF WHITE:XL:SOLID:SS SHIRT</t>
  </si>
  <si>
    <t>MASWT021</t>
  </si>
  <si>
    <t>SS SHIRT HALF SLEEVE W CARGO POCKET AND STRING DETAI:PASTEL BLUE:S:SOLID:SS SHIRT</t>
  </si>
  <si>
    <t>SS SHIRT HALF SLEEVE W CARGO POCKET AND STRING DETAI:PASTEL BLUE:M:SOLID:SS SHIRT</t>
  </si>
  <si>
    <t>SS SHIRT HALF SLEEVE W CARGO POCKET AND STRING DETAI:PASTEL BLUE:L:SOLID:SS SHIRT</t>
  </si>
  <si>
    <t>SS SHIRT HALF SLEEVE W CARGO POCKET AND STRING DETAI:PASTEL BLUE:XL:SOLID:SS SHIRT</t>
  </si>
  <si>
    <t>SS SHIRT HALF SLEEVE W CARGO POCKET AND STRING DETAI:PASTEL PINK:S:SOLID:SS SHIRT</t>
  </si>
  <si>
    <t>SS SHIRT HALF SLEEVE W CARGO POCKET AND STRING DETAI:PASTEL PINK:M:SOLID:SS SHIRT</t>
  </si>
  <si>
    <t>SS SHIRT HALF SLEEVE W CARGO POCKET AND STRING DETAI:PASTEL PINK:L:SOLID:SS SHIRT</t>
  </si>
  <si>
    <t>SS SHIRT HALF SLEEVE W CARGO POCKET AND STRING DETAI:PASTEL PINK:XL:SOLID:SS SHIRT</t>
  </si>
  <si>
    <t>MASWT25</t>
  </si>
  <si>
    <t>LS SHIRT 78 SLEEVES W OVERSIZE POCKET ON CHEST-FLOWE:CLASSIC BLU:S:FLORAL:LS SHIRT</t>
  </si>
  <si>
    <t>LS SHIRT 78 SLEEVES W OVERSIZE POCKET ON CHEST-FLOWE:CLASSIC BLU:M:FLORAL:LS SHIRT</t>
  </si>
  <si>
    <t>LS SHIRT 78 SLEEVES W OVERSIZE POCKET ON CHEST-FLOWE:CLASSIC BLU:L:FLORAL:LS SHIRT</t>
  </si>
  <si>
    <t>LS SHIRT 78 SLEEVES W OVERSIZE POCKET ON CHEST-FLOWE:CLASSIC BLU:XL:FLORAL:LS SHIRT</t>
  </si>
  <si>
    <t>MS78</t>
  </si>
  <si>
    <t>LS BLOUSE TURT W IKAT BTM MS78:JADE:S:SOLID:LS BLOUSE</t>
  </si>
  <si>
    <t>LS BLOUSE TURT W IKAT BTM MS78:JADE:M:SOLID:LS BLOUSE</t>
  </si>
  <si>
    <t>CBMS68</t>
  </si>
  <si>
    <t>LS SHIRT COR BLUE TOP WVN TX POL CBMS68:PASTEL BLUE:S:SOLID:LS SHIRT</t>
  </si>
  <si>
    <t>LS SHIRT COR BLUE TOP WVN TX POL CBMS68:PASTEL BLUE:M:SOLID:LS SHIRT</t>
  </si>
  <si>
    <t>LS SHIRT COR BLUE TOP WVN TX POL CBMS68:PASTEL BLUE:L:SOLID:LS SHIRT</t>
  </si>
  <si>
    <t>LS SHIRT COR BLUE TOP WVN TX POL CBMS68:PASTEL BLUE:XL:SOLID:LS SHIRT</t>
  </si>
  <si>
    <t>MASKT35</t>
  </si>
  <si>
    <t>SS BLOUSE COMBINATION OF EMBRO FABRIC AND KNIT MASKT35:CLASSIC BL:S:SOLID:SS BLOUSE</t>
  </si>
  <si>
    <t>SS BLOUSE COMBINATION OF EMBRO FABRIC AND KNIT MASKT35:CLASSIC BL:M:SOLID:SS BLOUSE</t>
  </si>
  <si>
    <t>SS BLOUSE COMBINATION OF EMBRO FABRIC AND KNIT MASKT35:CLASSIC BL:L:SOLID:SS BLOUSE</t>
  </si>
  <si>
    <t>SS BLOUSE COMBINATION OF EMBRO FABRIC AND KNIT MASKT35:CLASSIC BL:XL:SOLID:SS BLOUSE</t>
  </si>
  <si>
    <t>PGMS70</t>
  </si>
  <si>
    <t>SS SHIRT TOP WOVEN RAYON PGMS70:PASTEL GREEN:S:SOLID:SS SHIRT</t>
  </si>
  <si>
    <t>SS SHIRT TOP WOVEN RAYON PGMS70:PASTEL GREEN:L:SOLID:SS SHIRT</t>
  </si>
  <si>
    <t>SS SHIRT TOP WOVEN RAYON PGMS70:PASTEL GREEN:XL:SOLID:SS SHIRT</t>
  </si>
  <si>
    <t>MASWT040</t>
  </si>
  <si>
    <t>LS SHIRT PRINTED (SWIRL PRINT) MASWT040:WHITE:S:PRINT:LS SHIRT</t>
  </si>
  <si>
    <t>LS SHIRT PRINTED (SWIRL PRINT) MASWT040:WHITE:M:PRINT:LS SHIRT</t>
  </si>
  <si>
    <t>LS SHIRT PRINTED (SWIRL PRINT) MASWT040:WHITE:XL:PRINT:LS SHIRT</t>
  </si>
  <si>
    <t>VDWT001</t>
  </si>
  <si>
    <t>SS SHIRT W AOP FLOWER VDWT001:BUBBLEGUM PINK:S:FLORAL:SS SHIRT</t>
  </si>
  <si>
    <t>SS SHIRT W AOP FLOWER VDWT001:BUBBLEGUM PINK:M:FLORAL:SS SHIRT</t>
  </si>
  <si>
    <t>SS SHIRT W AOP FLOWER VDWT001:BUBBLEGUM PINK:L:FLORAL:SS SHIRT</t>
  </si>
  <si>
    <t>SS SHIRT W AOP FLOWER VDWT001:BUBBLEGUM PINK:XL:FLORAL:SS SHIRT</t>
  </si>
  <si>
    <t>LFSAN1</t>
  </si>
  <si>
    <t>LS SHIRT YD W POCK IMP LIANFA LFSAN1:BLACK:S:PRINT:LS SHIRT</t>
  </si>
  <si>
    <t>LS SHIRT YD W POCK IMP LIANFA LFSAN1:BLACK:M:PRINT:LS SHIRT</t>
  </si>
  <si>
    <t>LS SHIRT YD W POCK IMP LIANFA LFSAN1:BLACK:L:PRINT:LS SHIRT</t>
  </si>
  <si>
    <t>LS SHIRT YD W POCK IMP LIANFA LFSAN1:MAROON:S:PRINT:LS SHIRT</t>
  </si>
  <si>
    <t>LS SHIRT YD W POCK IMP LIANFA LFSAN1:MAROON:M:PRINT:LS SHIRT</t>
  </si>
  <si>
    <t>TL382</t>
  </si>
  <si>
    <t>SWEATSHIRT TOP KOMB WOVEN BUT TL382:PASTEL GREEN:S:SOLID:SWEATSHIRT</t>
  </si>
  <si>
    <t>SWEATSHIRT TOP KOMB WOVEN BUT TL382:PASTEL GREEN:M:SOLID:SWEATSHIRT</t>
  </si>
  <si>
    <t>SWEATSHIRT TOP KOMB WOVEN BUT TL382:PASTEL GREEN:L:SOLID:SWEATSHIRT</t>
  </si>
  <si>
    <t>SWEATSHIRT TOP KOMB WOVEN BUT TL382:PASTEL GREEN:XL:SOLID:SWEATSHIRT</t>
  </si>
  <si>
    <t>TL397</t>
  </si>
  <si>
    <t>LS BLOUSE TOP W PITA WORDING TL397:SUNSHINE YELLOW:S:SOLID:LS BLOUSE</t>
  </si>
  <si>
    <t>LS BLOUSE TOP W PITA WORDING TL397:SUNSHINE YELLOW:M:SOLID:LS BLOUSE</t>
  </si>
  <si>
    <t>LS BLOUSE TOP W PITA WORDING TL397:SUNSHINE YELLOW:L:SOLID:LS BLOUSE</t>
  </si>
  <si>
    <t>LS BLOUSE TOP W PITA WORDING TL397:SUNSHINE YELLOW:XL:SOLID:LS BLOUSE</t>
  </si>
  <si>
    <t>BAESW016</t>
  </si>
  <si>
    <t>SWEATER W BOTTOM STRING BAESW016:BROWN SUGAR:S:SOLID:SWEATER</t>
  </si>
  <si>
    <t>SWEATER W BOTTOM STRING BAESW016:BROWN SUGAR:L:SOLID:SWEATER</t>
  </si>
  <si>
    <t>SWEATER W BOTTOM STRING BAESW016:BROWN SUGAR:XL:SOLID:SWEATER</t>
  </si>
  <si>
    <t>BAESWT021</t>
  </si>
  <si>
    <t>SWEATSHIRT W COMBO FABRIC MISTY GREY-WHITE BAESWT021:MISTY MEDIU:S:SOLID:SWEATSHIRT</t>
  </si>
  <si>
    <t>SWEATSHIRT W COMBO FABRIC MISTY GREY-WHITE BAESWT021:MISTY MEDIU:M:SOLID:SWEATSHIRT</t>
  </si>
  <si>
    <t>SWEATSHIRT W COMBO FABRIC MISTY GREY-WHITE BAESWT021:MISTY MEDIU:L:SOLID:SWEATSHIRT</t>
  </si>
  <si>
    <t>SWEATSHIRT W COMBO FABRIC MISTY GREY-WHITE BAESWT021:MISTY MEDIU:XL:SOLID:SWEATSHIRT</t>
  </si>
  <si>
    <t>BAESWT023</t>
  </si>
  <si>
    <t>SWEATER W FLOWER IN GOLD BOX PRINT BAESWT023:RUSTIC ORANGE:S:GRAPHIC:SWEATER</t>
  </si>
  <si>
    <t>SWEATER W FLOWER IN GOLD BOX PRINT BAESWT023:RUSTIC ORANGE:M:GRAPHIC:SWEATER</t>
  </si>
  <si>
    <t>SWEATER W FLOWER IN GOLD BOX PRINT BAESWT023:RUSTIC ORANGE:L:GRAPHIC:SWEATER</t>
  </si>
  <si>
    <t>SWEATER W FLOWER IN GOLD BOX PRINT BAESWT023:RUSTIC ORANGE:XL:GRAPHIC:SWEATER</t>
  </si>
  <si>
    <t>LS T-SHIRT COR BLUE TOP PRT STR KOMB WVN CBTL390:DUSTY PINK:M:STRIPES:LS T-SHIRT</t>
  </si>
  <si>
    <t>LS T-SHIRT COR BLUE TOP PRT STR KOMB WVN CBTL390:DUSTY PINK:L:STRIPES:LS T-SHIRT</t>
  </si>
  <si>
    <t>BAESWT035</t>
  </si>
  <si>
    <t>SWEATSHIRT W SMALL EMBRO AT FRONT,BIG EMBRO AT BACK:CLASSIC BLU:S:SOLID:SWEATSHIRT</t>
  </si>
  <si>
    <t>SWEATSHIRT W SMALL EMBRO AT FRONT,BIG EMBRO AT BACK:CLASSIC BLU:M:SOLID:SWEATSHIRT</t>
  </si>
  <si>
    <t>SWEATSHIRT W SMALL EMBRO AT FRONT,BIG EMBRO AT BACK:CLASSIC BLU:L:SOLID:SWEATSHIRT</t>
  </si>
  <si>
    <t>SWEATSHIRT W SMALL EMBRO AT FRONT,BIG EMBRO AT BACK:CLASSIC BLU:XL:SOLID:SWEATSHIRT</t>
  </si>
  <si>
    <t>SWEATSHIRT W SMALL EMBRO AT FRONT,BIG EMBRO AT BACK:DUSTY PINK:S:SOLID:SWEATSHIRT</t>
  </si>
  <si>
    <t>SWEATSHIRT W SMALL EMBRO AT FRONT,BIG EMBRO AT BACK:DUSTY PINK:M:SOLID:SWEATSHIRT</t>
  </si>
  <si>
    <t>SWEATSHIRT W SMALL EMBRO AT FRONT,BIG EMBRO AT BACK:DUSTY PINK:XL:SOLID:SWEATSHIRT</t>
  </si>
  <si>
    <t>BAESWTOS039</t>
  </si>
  <si>
    <t>SWEATSHIRT OVER SIZE WITH FRILLS AT SIDE SLIT BAESWTOS039:DUSTY PIN:S:SOLID:SWEATSHIR</t>
  </si>
  <si>
    <t>SWEATSHIRT OVER SIZE WITH FRILLS AT SIDE SLIT BAESWTOS039:DUSTY PIN:M:SOLID:SWEATSHIR</t>
  </si>
  <si>
    <t>SWEATSHIRT OVER SIZE WITH FRILLS AT SIDE SLIT BAESWTOS039:DUSTY PIN:L:SOLID:SWEATSHIR</t>
  </si>
  <si>
    <t>SWEATSHIRT OVER SIZE WITH FRILLS AT SIDE SLIT BAESWTOS039:DUSTY PIN:XL:SOLID:SWEATSHIR</t>
  </si>
  <si>
    <t>BAESWTOS053</t>
  </si>
  <si>
    <t>SWEATSHIRT OVERSIZE W FRONT CHEST EMBRO BAESWTOS053:PASTEL BLUE:S:SOLID:SWEATSHIRT</t>
  </si>
  <si>
    <t>SWEATSHIRT OVERSIZE W FRONT CHEST EMBRO BAESWTOS053:PASTEL BLUE:M:SOLID:SWEATSHIRT</t>
  </si>
  <si>
    <t>SWEATSHIRT OVERSIZE W FRONT CHEST EMBRO BAESWTOS053:PASTEL BLUE:L:SOLID:SWEATSHIRT</t>
  </si>
  <si>
    <t>SWEATSHIRT OVERSIZE W FRONT CHEST EMBRO BAESWTOS053:PASTEL BLUE:XL:SOLID:SWEATSHIRT</t>
  </si>
  <si>
    <t>BAESWT044</t>
  </si>
  <si>
    <t>SWEATSHIRT WITH CUT AND SEWN-GATHERING AT WAIST-FLOR:PASTEL GREE:S:SOLID:SWEATSHIRT</t>
  </si>
  <si>
    <t>SWEATSHIRT WITH CUT AND SEWN-GATHERING AT WAIST-FLOR:PASTEL GREE:M:SOLID:SWEATSHIRT</t>
  </si>
  <si>
    <t>SWEATSHIRT WITH CUT AND SEWN-GATHERING AT WAIST-FLOR:PASTEL GREE:L:SOLID:SWEATSHIRT</t>
  </si>
  <si>
    <t>SWEATSHIRT WITH CUT AND SEWN-GATHERING AT WAIST-FLOR:PASTEL GREE:XL:SOLID:SWEATSHIRT</t>
  </si>
  <si>
    <t>BAESWT046</t>
  </si>
  <si>
    <t>SWEATSHIRT WITH CUT AND SEWN-GATHERING AT WAIST-FLOR:KHAKI:S:SOLID:SWEATSHIRT</t>
  </si>
  <si>
    <t>SWEATSHIRT WITH CUT AND SEWN-GATHERING AT WAIST-FLOR:KHAKI:M:SOLID:SWEATSHIRT</t>
  </si>
  <si>
    <t>SWEATSHIRT WITH CUT AND SEWN-GATHERING AT WAIST-FLOR:KHAKI:L:SOLID:SWEATSHIRT</t>
  </si>
  <si>
    <t>SWEATSHIRT WITH CUT AND SEWN-GATHERING AT WAIST-FLOR:KHAKI:XL:SOLID:SWEATSHIRT</t>
  </si>
  <si>
    <t>SWEATSHIRT WITH REGULER FIT AND YOUNG WORDING PRINT:WHITE:M:TEXT:SWEATSHIRT</t>
  </si>
  <si>
    <t>SWEATSHIRT WITH REGULER FIT AND YOUNG WORDING PRINT:WHITE:L:TEXT:SWEATSHIRT</t>
  </si>
  <si>
    <t>SWEATSHIRT WITH REGULER FIT AND YOUNG WORDING PRINT:WHITE:XL:TEXT:SWEATSHIRT</t>
  </si>
  <si>
    <t>SG43</t>
  </si>
  <si>
    <t>VEST OUTER KACIONIC SG43:OLIVE:S:SOLID:VEST</t>
  </si>
  <si>
    <t>VEST OUTER KACIONIC SG43:OLIVE:M:SOLID:VEST</t>
  </si>
  <si>
    <t>VEST OUTER KACIONIC SG43:OLIVE:L:SOLID:VEST</t>
  </si>
  <si>
    <t>VEST OUTER KACIONIC SG43:OLIVE:XL:SOLID:VEST</t>
  </si>
  <si>
    <t>SG63</t>
  </si>
  <si>
    <t>BLAZER CHOC OUTER CRAPE SG63:KHAKI:S:SOLID:BLAZER</t>
  </si>
  <si>
    <t>BLAZER CHOC OUTER CRAPE SG63:KHAKI:M:SOLID:BLAZER</t>
  </si>
  <si>
    <t>BLAZER CHOC OUTER CRAPE SG63:KHAKI:L:SOLID:BLAZER</t>
  </si>
  <si>
    <t>BLAZER CHOC OUTER CRAPE SG63:KHAKI:XL:SOLID:BLAZER</t>
  </si>
  <si>
    <t>SGOV020</t>
  </si>
  <si>
    <t>VEST LONG BODY W STRING AT WAIST SGOV020:FROST GREY:S:SOLID:VEST</t>
  </si>
  <si>
    <t>VEST LONG BODY W STRING AT WAIST SGOV020:FROST GREY:M:SOLID:VEST</t>
  </si>
  <si>
    <t>VEST LONG BODY W STRING AT WAIST SGOV020:FROST GREY:XL:SOLID:VEST</t>
  </si>
  <si>
    <t>CHOSG76</t>
  </si>
  <si>
    <t>JACKET CROP TWILL CHOSG76:OLIVE:M:SOLID:JACKET</t>
  </si>
  <si>
    <t>JACKET CROP TWILL CHOSG76:OLIVE:L:SOLID:JACKET</t>
  </si>
  <si>
    <t>JACKET CROP TWILL CHOSG76:OLIVE:XL:SOLID:JACKET</t>
  </si>
  <si>
    <t>TL367</t>
  </si>
  <si>
    <t>BLAZER PINK OUTER HOUNDS PINK TL367:BLACK:S:CHECK:BLAZER</t>
  </si>
  <si>
    <t>BLAZER PINK OUTER HOUNDS PINK TL367:BLACK:M:CHECK:BLAZER</t>
  </si>
  <si>
    <t>BLAZER PINK OUTER HOUNDS PINK TL367:BLACK:L:CHECK:BLAZER</t>
  </si>
  <si>
    <t>BLAZER PINK OUTER HOUNDS PINK TL367:BLACK:XL:CHECK:BLAZER</t>
  </si>
  <si>
    <t>BAEOUT3</t>
  </si>
  <si>
    <t>BLAZER KS OUTER YD TERRY SEMI BLAZER W CHECH BLUE BAEOUT3:PASTEL BL:S:CHECKS:BLAZER</t>
  </si>
  <si>
    <t>BLAZER KS OUTER YD TERRY SEMI BLAZER W CHECH BLUE BAEOUT3:PASTEL BL:M:CHECKS:BLAZER</t>
  </si>
  <si>
    <t>BLAZER KS OUTER YD TERRY SEMI BLAZER W CHECH BLUE BAEOUT3:PASTEL BL:L:CHECKS:BLAZER</t>
  </si>
  <si>
    <t>BLAZER KS OUTER YD TERRY SEMI BLAZER W CHECH BLUE BAEOUT3:PASTEL BL:XL:CHECKS:BLAZER</t>
  </si>
  <si>
    <t>BLAZER KS OUTER YD TERRY SEMI BLAZER W CHECH BLUE BAEOUT3:SAND:S:CHECKS:BLAZER</t>
  </si>
  <si>
    <t>BLAZER KS OUTER YD TERRY SEMI BLAZER W CHECH BLUE BAEOUT3:SAND:L:CHECKS:BLAZER</t>
  </si>
  <si>
    <t>SG88</t>
  </si>
  <si>
    <t>SS MAXI DRESS CORN TX DOBBY SG88:DUSTY PINK:S:STRIPES:SS MAXI DRESS</t>
  </si>
  <si>
    <t>SS MAXI DRESS CORN TX DOBBY SG88:DUSTY PINK:M:STRIPES:SS MAXI DRESS</t>
  </si>
  <si>
    <t>MSDR100</t>
  </si>
  <si>
    <t>LS MAXI DRESS W ROUND NECK BLUE STRIPE MSDR100:CLASSIC BLUE:S:STRIPES:LS MAXI DRES</t>
  </si>
  <si>
    <t>LS MAXI DRESS W ROUND NECK BLUE STRIPE MSDR100:CLASSIC BLUE:M:STRIPES:LS MAXI DRES</t>
  </si>
  <si>
    <t>LS MAXI DRESS W ROUND NECK BLUE STRIPE MSDR100:CLASSIC BLUE:L:STRIPES:LS MAXI DRES</t>
  </si>
  <si>
    <t>TL368</t>
  </si>
  <si>
    <t>OVERALL MAXI SKIRT DRESS W WOOD BUT POCK TL368:OLIVE:S:SOLID:OVERALL MAXI</t>
  </si>
  <si>
    <t>OVERALL MAXI SKIRT DRESS W WOOD BUT POCK TL368:OLIVE:M:SOLID:OVERALL MAXI</t>
  </si>
  <si>
    <t>OVERALL MAXI SKIRT DRESS W WOOD BUT POCK TL368:OLIVE:L:SOLID:OVERALL MAXI</t>
  </si>
  <si>
    <t>OVERALL MAXI SKIRT DRESS W WOOD BUT POCK TL368:OLIVE:XL:SOLID:OVERALL MAXI</t>
  </si>
  <si>
    <t>BAEDR018</t>
  </si>
  <si>
    <t>SS MIDI DRESS RB KNIT ROUND NECK BAEDR018:BLACK:S:SOLID:SS MIDI DRESS</t>
  </si>
  <si>
    <t>SS MIDI DRESS RB KNIT ROUND NECK BAEDR018:BLACK:M:SOLID:SS MIDI DRESS</t>
  </si>
  <si>
    <t>SS MIDI DRESS RB KNIT ROUND NECK BAEDR018:BLACK:L:SOLID:SS MIDI DRESS</t>
  </si>
  <si>
    <t>SG79</t>
  </si>
  <si>
    <t>LONG JUMPSUIT PANTS OVERALL W PLEATS SG79:OLD GOLD:S:SOLID:LONG JUMPSUIT</t>
  </si>
  <si>
    <t>LONG JUMPSUIT PANTS OVERALL W PLEATS SG79:OLD GOLD:M:SOLID:LONG JUMPSUIT</t>
  </si>
  <si>
    <t>LONG JUMPSUIT PANTS OVERALL W PLEATS SG79:OLD GOLD:L:SOLID:LONG JUMPSUIT</t>
  </si>
  <si>
    <t>LONG JUMPSUIT PANTS OVERALL W PLEATS SG79:OLD GOLD:XL:SOLID:LONG JUMPSUIT</t>
  </si>
  <si>
    <t>SGWB17</t>
  </si>
  <si>
    <t>LONG PANTS W CUT OUT POCKET AND BELT SGWB17:OLD GOLD:S:SOLID:LONG PANTS</t>
  </si>
  <si>
    <t>LONG PANTS W CUT OUT POCKET AND BELT SGWB17:OLD GOLD:M:SOLID:LONG PANTS</t>
  </si>
  <si>
    <t>LONG PANTS W CUT OUT POCKET AND BELT SGWB17:OLD GOLD:XL:SOLID:LONG PANTS</t>
  </si>
  <si>
    <t>MASLP019</t>
  </si>
  <si>
    <t>LONG PANTS W BELT GREY MASLP019:FROST GREY:M:SOLID:LONG PANTS</t>
  </si>
  <si>
    <t>LONG PANTS W BELT GREY MASLP019:FROST GREY:L:SOLID:LONG PANTS</t>
  </si>
  <si>
    <t>LONG PANTS W BELT GREY MASLP019:FROST GREY:XL:SOLID:LONG PANTS</t>
  </si>
  <si>
    <t>MASWB032</t>
  </si>
  <si>
    <t>LONG PANTS WITH BELT LOOP AND BUTTONS AT SIDE MASWB032:BROWN SUGA:S:SOLID:LONG PANTS</t>
  </si>
  <si>
    <t>LONG PANTS WITH BELT LOOP AND BUTTONS AT SIDE MASWB032:DUSTY PINK:S:SOLID:LONG PANTS</t>
  </si>
  <si>
    <t>LONG PANTS WITH BELT LOOP AND BUTTONS AT SIDE MASWB032:DUSTY PINK:M:SOLID:LONG PANTS</t>
  </si>
  <si>
    <t>LONG PANTS WITH BELT LOOP AND BUTTONS AT SIDE MASWB032:DUSTY PINK:L:SOLID:LONG PANTS</t>
  </si>
  <si>
    <t>LONG PANTS WITH BELT LOOP AND BUTTONS AT SIDE MASWB032:DUSTY PINK:XL:SOLID:LONG PANTS</t>
  </si>
  <si>
    <t>MASSHWV029</t>
  </si>
  <si>
    <t>SHORT PANTS WITH A LINE SHAPE MASSHWV029:WHITE:M:SOLID:SHORT PANTS</t>
  </si>
  <si>
    <t>SHORT PANTS WITH A LINE SHAPE MASSHWV029:WHITE:L:SOLID:SHORT PANTS</t>
  </si>
  <si>
    <t>SHORT PANTS WITH A LINE SHAPE MASSHWV029:DUSTY PINK:S:SOLID:SHORT PANTS</t>
  </si>
  <si>
    <t>SHORT PANTS WITH A LINE SHAPE MASSHWV029:DUSTY PINK:M:SOLID:SHORT PANTS</t>
  </si>
  <si>
    <t>SHORT PANTS WITH A LINE SHAPE MASSHWV029:DUSTY PINK:XL:SOLID:SHORT PANTS</t>
  </si>
  <si>
    <t>MASWB022</t>
  </si>
  <si>
    <t>MAXI SKIRT CUT AND SEWN DETAILS MASWB022:PASTEL BLUE:S:SOLID:MAXI SKIRT</t>
  </si>
  <si>
    <t>MAXI SKIRT CUT AND SEWN DETAILS MASWB022:PASTEL BLUE:M:SOLID:MAXI SKIRT</t>
  </si>
  <si>
    <t>MAXI SKIRT CUT AND SEWN DETAILS MASWB022:PASTEL BLUE:L:SOLID:MAXI SKIRT</t>
  </si>
  <si>
    <t>MAXI SKIRT CUT AND SEWN DETAILS MASWB022:PASTEL BLUE:XL:SOLID:MAXI SKIRT</t>
  </si>
  <si>
    <t>LONG PANTS WITH STRAIGHT LEG MASWB036:OLIVE:M:SOLID:LONG PANTS</t>
  </si>
  <si>
    <t>LONG PANTS WITH STRAIGHT LEG MASWB036:OLIVE:L:SOLID:LONG PANTS</t>
  </si>
  <si>
    <t>MASWB037</t>
  </si>
  <si>
    <t>MIDI SKIRT WOVEN WITH ASYMETRIC CUT N SEW MASWB037:KHAKI:S:SOLID:MIDI SKIRT</t>
  </si>
  <si>
    <t>MIDI SKIRT WOVEN WITH ASYMETRIC CUT N SEW MASWB037:KHAKI:M:SOLID:MIDI SKIRT</t>
  </si>
  <si>
    <t>MIDI SKIRT WOVEN WITH ASYMETRIC CUT N SEW MASWB037:KHAKI:L:SOLID:MIDI SKIRT</t>
  </si>
  <si>
    <t>MIDI SKIRT WOVEN WITH ASYMETRIC CUT N SEW MASWB037:KHAKI:XL:SOLID:MIDI SKIRT</t>
  </si>
  <si>
    <t>MASWB042</t>
  </si>
  <si>
    <t>LONG PANTS PULL ON WIDE LEG TROUSERS WITH FLORAL PRI:BLACK:S:PRINT:LONG PANTS</t>
  </si>
  <si>
    <t>LONG PANTS PULL ON WIDE LEG TROUSERS WITH FLORAL PRI:BLACK:M:PRINT:LONG PANTS</t>
  </si>
  <si>
    <t>LONG PANTS PULL ON WIDE LEG TROUSERS WITH FLORAL PRI:BLACK:L:PRINT:LONG PANTS</t>
  </si>
  <si>
    <t>LONG PANTS PULL ON WIDE LEG TROUSERS WITH FLORAL PRI:BLACK:XL:PRINT:LONG PANTS</t>
  </si>
  <si>
    <t>LONG PANTS PULL ON WIDE LEG TROUSERS WITH FLORAL PRI:PASTEL GREE:S:PRINT:LONG PANTS</t>
  </si>
  <si>
    <t>LONG PANTS PULL ON WIDE LEG TROUSERS WITH FLORAL PRI:PASTEL GREE:M:PRINT:LONG PANTS</t>
  </si>
  <si>
    <t>LONG PANTS PULL ON WIDE LEG TROUSERS WITH FLORAL PRI:PASTEL GREE:L:PRINT:LONG PANTS</t>
  </si>
  <si>
    <t>LONG PANTS PULL ON WIDE LEG TROUSERS WITH FLORAL PRI:PASTEL GREE:XL:PRINT:LONG PANTS</t>
  </si>
  <si>
    <t>LONG PANTS PULL ON WIDE LEG TROUSERS WITH FLORAL PRI:PASTEL PINK:S:PRINT:LONG PANTS</t>
  </si>
  <si>
    <t>LONG PANTS PULL ON WIDE LEG TROUSERS WITH FLORAL PRI:PASTEL PINK:M:PRINT:LONG PANTS</t>
  </si>
  <si>
    <t>LONG PANTS PULL ON WIDE LEG TROUSERS WITH FLORAL PRI:PASTEL PINK:L:PRINT:LONG PANTS</t>
  </si>
  <si>
    <t>LONG PANTS PULL ON WIDE LEG TROUSERS WITH FLORAL PRI:PASTEL PINK:XL:PRINT:LONG PANTS</t>
  </si>
  <si>
    <t>MASWB041</t>
  </si>
  <si>
    <t>LONG PANTS WITH LOOSE FIT LEG AND STRIPE PRINT MASWB041:SAND:S:STRIPES:LONG PANTS</t>
  </si>
  <si>
    <t>LONG PANTS WITH LOOSE FIT LEG AND STRIPE PRINT MASWB041:SAND:L:STRIPES:LONG PANTS</t>
  </si>
  <si>
    <t>LONG PANTS WITH LOOSE FIT LEG AND STRIPE PRINT MASWB041:SAND:XL:STRIPES:LONG PANTS</t>
  </si>
  <si>
    <t>LONG PANTS WITH LOOSE FIT LEG AND STRIPE PRINT MASWB041:CLASSIC BL:S:STRIPES:LONG PANTS</t>
  </si>
  <si>
    <t>LONG PANTS WITH LOOSE FIT LEG AND STRIPE PRINT MASWB041:CLASSIC BL:M:STRIPES:LONG PANTS</t>
  </si>
  <si>
    <t>LONG PANTS WITH LOOSE FIT LEG AND STRIPE PRINT MASWB041:CLASSIC BL:L:STRIPES:LONG PANTS</t>
  </si>
  <si>
    <t>LONG PANTS WITH LOOSE FIT LEG AND STRIPE PRINT MASWB041:CLASSIC BL:XL:STRIPES:LONG PANTS</t>
  </si>
  <si>
    <t>RK254</t>
  </si>
  <si>
    <t>LONG PANTS HIGH RISE W BUTTON RK254:BLACK:S:SOLID:LONG PANTS</t>
  </si>
  <si>
    <t>LONG PANTS HIGH RISE W BUTTON RK254:BLACK:M:SOLID:LONG PANTS</t>
  </si>
  <si>
    <t>LONG PANTS HIGH RISE W BUTTON RK254:BLACK:XL:SOLID:LONG PANTS</t>
  </si>
  <si>
    <t>RK268</t>
  </si>
  <si>
    <t>RK266</t>
  </si>
  <si>
    <t>LONG PANTS WITH BUCKLE STRAP AT ANKLE RK266:BLACK:S:SOLID:LONG PANTS</t>
  </si>
  <si>
    <t>LONG PANTS WITH BUCKLE STRAP AT ANKLE RK266:BLACK:XL:SOLID:LONG PANTS</t>
  </si>
  <si>
    <t>RK267</t>
  </si>
  <si>
    <t>LONG PANTS HIGH RISE WITH POCKET LIPS AT FRONT RK267:BLACK:S:SOLID:LONG PANTS</t>
  </si>
  <si>
    <t>LONG PANTS HIGH RISE WITH POCKET LIPS AT FRONT RK267:BLACK:M:SOLID:LONG PANTS</t>
  </si>
  <si>
    <t>LONG PANTS HIGH RISE WITH POCKET LIPS AT FRONT RK267:BLACK:L:SOLID:LONG PANTS</t>
  </si>
  <si>
    <t>LONG PANTS HIGH RISE WITH POCKET LIPS AT FRONT RK267:BLACK:XL:SOLID:LONG PANTS</t>
  </si>
  <si>
    <t>RK269</t>
  </si>
  <si>
    <t>LONG PANTS WITH CULLOTES SHAPE W BUTTON AT FRONT RK269:KHAKI:M:SOLID:LONG PANTS</t>
  </si>
  <si>
    <t>LONG PANTS WITH CULLOTES SHAPE W BUTTON AT FRONT RK269:KHAKI:L:SOLID:LONG PANTS</t>
  </si>
  <si>
    <t>LONG PANTS WITH CULLOTES SHAPE W BUTTON AT FRONT RK269:KHAKI:XL:SOLID:LONG PANTS</t>
  </si>
  <si>
    <t>RK265</t>
  </si>
  <si>
    <t>BERMUDA PANTS SHORT WITH BELT-BLACK WITH GREY STRIPE RK265:BLACK:S:SOLID:BERMUDA P</t>
  </si>
  <si>
    <t>BERMUDA PANTS SHORT WITH BELT-BLACK WITH GREY STRIPE RK265:BLACK:M:SOLID:BERMUDA P</t>
  </si>
  <si>
    <t>BERMUDA PANTS SHORT WITH BELT-BLACK WITH GREY STRIPE RK265:BLACK:L:SOLID:BERMUDA P</t>
  </si>
  <si>
    <t>RK250</t>
  </si>
  <si>
    <t>LONG PANTS BASIC SMALL GINGHAM RK250:CHARCOAL:M:CHECKS:LONG PANTS</t>
  </si>
  <si>
    <t>LONG PANTS BASIC SMALL GINGHAM RK250:CHARCOAL:XL:CHECKS:LONG PANTS</t>
  </si>
  <si>
    <t>RK251</t>
  </si>
  <si>
    <t>LONG PANTS WOVEN BOTTOM WITH BELT (PLAIN) SMALL GING:NAVY BLUE:S:CHECKS:LONG PANTS</t>
  </si>
  <si>
    <t>RK261</t>
  </si>
  <si>
    <t>LONG PANTS TAPERED W SHELL FABRIC BELT GINGHAM PATTE:FROST GREY:S:CHECKS:LONG PANTS</t>
  </si>
  <si>
    <t>LONG PANTS TAPERED W SHELL FABRIC BELT GINGHAM PATTE:FROST GREY:M:CHECKS:LONG PANTS</t>
  </si>
  <si>
    <t>LONG PANTS TAPERED W SHELL FABRIC BELT GINGHAM PATTE:FROST GREY:L:CHECKS:LONG PANTS</t>
  </si>
  <si>
    <t>LONG PANTS TAPERED W SHELL FABRIC BELT GINGHAM PATTE:FROST GREY:XL:CHECKS:LONG PANTS</t>
  </si>
  <si>
    <t>RK259</t>
  </si>
  <si>
    <t>LONG PANTS BASIC-STRIPED WITH STRING AT WAIST RK259:NAVY BLUE:S:STRIPES:LONG PANTS</t>
  </si>
  <si>
    <t>LONG PANTS BASIC-STRIPED WITH STRING AT WAIST RK259:NAVY BLUE:M:STRIPES:LONG PANTS</t>
  </si>
  <si>
    <t>LONG PANTS BASIC-STRIPED WITH STRING AT WAIST RK259:NAVY BLUE:L:STRIPES:LONG PANTS</t>
  </si>
  <si>
    <t>LONG PANTS BASIC-STRIPED WITH STRING AT WAIST RK259:NAVY BLUE:XL:STRIPES:LONG PANTS</t>
  </si>
  <si>
    <t>RK260</t>
  </si>
  <si>
    <t>LONG PANTS SEMI TAPERED W BUTTON OPENING AND BOTTOM:BLACK:S:SOLID:LONG PANTS</t>
  </si>
  <si>
    <t>LONG PANTS SEMI TAPERED W BUTTON OPENING AND BOTTOM:BLACK:M:SOLID:LONG PANTS</t>
  </si>
  <si>
    <t>LONG PANTS SEMI TAPERED W BUTTON OPENING AND BOTTOM:BLACK:L:SOLID:LONG PANTS</t>
  </si>
  <si>
    <t>LONG PANTS SEMI TAPERED W BUTTON OPENING AND BOTTOM:BLACK:XL:SOLID:LONG PANTS</t>
  </si>
  <si>
    <t>LONG PANTS SEMI TAPERED W BUTTON OPENING AND BOTTOM:KHAKI:S:SOLID:LONG PANTS</t>
  </si>
  <si>
    <t>LONG PANTS SEMI TAPERED W BUTTON OPENING AND BOTTOM:KHAKI:M:SOLID:LONG PANTS</t>
  </si>
  <si>
    <t>LONG PANTS SEMI TAPERED W BUTTON OPENING AND BOTTOM:KHAKI:XL:SOLID:LONG PANTS</t>
  </si>
  <si>
    <t>RK263</t>
  </si>
  <si>
    <t>LONG PANTS LOOSE FIT WITH RUBBER WAIST AND FAKE BUTT:PASTEL GREY:S:SOLID:LONG PANTS</t>
  </si>
  <si>
    <t>LONG PANTS LOOSE FIT WITH RUBBER WAIST AND FAKE BUTT:PASTEL GREY:L:SOLID:LONG PANTS</t>
  </si>
  <si>
    <t>RK270</t>
  </si>
  <si>
    <t>LONG PANTS HIGH RISE W BUTTONS RK270:FROST GREY:S:CHECKS:LONG PANTS</t>
  </si>
  <si>
    <t>LONG PANTS HIGH RISE W BUTTONS RK270:FROST GREY:M:CHECKS:LONG PANTS</t>
  </si>
  <si>
    <t>LONG PANTS HIGH RISE W BUTTONS RK270:FROST GREY:L:CHECKS:LONG PANTS</t>
  </si>
  <si>
    <t>LONG PANTS HIGH RISE W BUTTONS RK270:FROST GREY:XL:CHECKS:LONG PANTS</t>
  </si>
  <si>
    <t>LONG PANTS HIGH RISE W BUTTONS RK270:NAVY BLUE:M:CHECKS:LONG PANTS</t>
  </si>
  <si>
    <t>LONG PANTS HIGH RISE W BUTTONS RK270:NAVY BLUE:L:CHECKS:LONG PANTS</t>
  </si>
  <si>
    <t>LONG PANTS HIGH RISE W BUTTONS RK270:NAVY BLUE:XL:CHECKS:LONG PANTS</t>
  </si>
  <si>
    <t>LONG PANTS WITH PAPER BAG WAIST AND DIAGONAL BELT LO:BLACK:XL:SOLID:LONG PANTS</t>
  </si>
  <si>
    <t>LONG PANTS WITH PAPER BAG WAIST AND DIAGONAL BELT LO:KHAKI:M:SOLID:LONG PANTS</t>
  </si>
  <si>
    <t>LONG PANTS WITH PAPER BAG WAIST AND DIAGONAL BELT LO:KHAKI:XL:SOLID:LONG PANTS</t>
  </si>
  <si>
    <t>BAELP015</t>
  </si>
  <si>
    <t>LONG PANTS W RIB FAB AND STRING BAELP015:KHAKI:S:SOLID:LONG PANTS</t>
  </si>
  <si>
    <t>LONG PANTS W RIB FAB AND STRING BAELP015:KHAKI:M:SOLID:LONG PANTS</t>
  </si>
  <si>
    <t>LONG PANTS W RIB FAB AND STRING BAELP015:KHAKI:L:SOLID:LONG PANTS</t>
  </si>
  <si>
    <t>LONG PANTS W RIB FAB AND STRING BAELP015:KHAKI:XL:SOLID:LONG PANTS</t>
  </si>
  <si>
    <t>BAELP017</t>
  </si>
  <si>
    <t>LONG PANTS W TERRY FAB W BOTTOM STRING BAELP017:BROWN SUGAR:S:SOLID:LONG PANTS</t>
  </si>
  <si>
    <t>TL404</t>
  </si>
  <si>
    <t>MIDI SKIRT KNIT TERRY W TALI TL404:OLIVE:S:SOLID:MIDI SKIRT</t>
  </si>
  <si>
    <t>MIDI SKIRT KNIT TERRY W TALI TL404:OLIVE:M:SOLID:MIDI SKIRT</t>
  </si>
  <si>
    <t>MIDI SKIRT KNIT TERRY W TALI TL404:OLIVE:L:SOLID:MIDI SKIRT</t>
  </si>
  <si>
    <t>MIDI SKIRT KNIT TERRY W TALI TL404:OLIVE:XL:SOLID:MIDI SKIRT</t>
  </si>
  <si>
    <t>BAEKB036</t>
  </si>
  <si>
    <t>LONG PANTS KNIT WITH BUTTON OPENING BAEKB036:BLACK:S:SOLID:LONG PANTS</t>
  </si>
  <si>
    <t>LONG PANTS KNIT WITH BUTTON OPENING BAEKB036:BLACK:XL:SOLID:LONG PANTS</t>
  </si>
  <si>
    <t>LONG PANTS KNIT WITH BUTTON OPENING BAEKB036:PASTEL BLUE:S:SOLID:LONG PANTS</t>
  </si>
  <si>
    <t>LONG PANTS KNIT WITH BUTTON OPENING BAEKB036:PASTEL BLUE:L:SOLID:LONG PANTS</t>
  </si>
  <si>
    <t>LONG PANTS KNIT WITH BUTTON OPENING BAEKB036:PASTEL BLUE:XL:SOLID:LONG PANTS</t>
  </si>
  <si>
    <t>PRDDWB02</t>
  </si>
  <si>
    <t>DENIM LONG PANTS STRAIGHT CUT W GOLD BUTTON PRDDWB02:OFF WHITE:L:SOLID:DENIM LONG</t>
  </si>
  <si>
    <t>DENIM LONG PANTS STRAIGHT CUT W GOLD BUTTON PRDDWB02:OFF WHITE:XL:SOLID:DENIM LONG</t>
  </si>
  <si>
    <t>DENIM LONG PANTS STRAIGHT CUT W GOLD BUTTON PRDDWB02:CLASSIC BLU:M:SOLID:DENIM LONG</t>
  </si>
  <si>
    <t>DENIM LONG PANTS STRAIGHT CUT W GOLD BUTTON PRDDWB02:CLASSIC BLU:L:SOLID:DENIM LONG</t>
  </si>
  <si>
    <t>DENIM LONG PANTS STRAIGHT CUT W GOLD BUTTON PRDDWB02:CLASSIC BLU:XL:SOLID:DENIM LONG</t>
  </si>
  <si>
    <t>PRDDWB04</t>
  </si>
  <si>
    <t>DENIM LONG PANTS HIGHWAIST WITH TAPPERED FIT PRDDWB04:LIGHT DENI:S:SOLID:DENIM LONG</t>
  </si>
  <si>
    <t>DENIM LONG PANTS HIGHWAIST WITH TAPPERED FIT PRDDWB04:LIGHT DENI:M:SOLID:DENIM LONG</t>
  </si>
  <si>
    <t>DENIM LONG PANTS HIGHWAIST WITH TAPPERED FIT PRDDWB04:LIGHT DENI:L:SOLID:DENIM LONG</t>
  </si>
  <si>
    <t>DENIM LONG PANTS HIGHWAIST WITH TAPPERED FIT PRDDWB04:LIGHT DENI:XL:SOLID:DENIM LONG</t>
  </si>
  <si>
    <t>DENIM LONG PANTS HIGHWAIST WITH TAPPERED FIT PRDDWB04:DARK DENIM:S:SOLID:DENIM LONG</t>
  </si>
  <si>
    <t>DENIM LONG PANTS HIGHWAIST WITH TAPPERED FIT PRDDWB04:DARK DENIM:M:SOLID:DENIM LONG</t>
  </si>
  <si>
    <t>DENIM LONG PANTS HIGHWAIST WITH TAPPERED FIT PRDDWB04:DARK DENIM:L:SOLID:DENIM LONG</t>
  </si>
  <si>
    <t>PRDDSP05</t>
  </si>
  <si>
    <t>DENIM SHORT PANTS POLY BUTTON AND LOOP INSIDE WAIST:MEDIUM DENI:S:SOLID:DENIM SHORT</t>
  </si>
  <si>
    <t>DENIM SHORT PANTS POLY BUTTON AND LOOP INSIDE WAIST:MEDIUM DENI:L:SOLID:DENIM SHORT</t>
  </si>
  <si>
    <t>DENIM SHORT PANTS WITHOUT ZIPPER AND FRONT POCKET BA:CLASSIC BLU:S:SOLID:DENIM SHORT</t>
  </si>
  <si>
    <t>DENIM SHORT PANTS WITHOUT ZIPPER AND FRONT POCKET BA:CLASSIC BLU:L:SOLID:DENIM SHORT</t>
  </si>
  <si>
    <t>KHASG23</t>
  </si>
  <si>
    <t>CORSG40</t>
  </si>
  <si>
    <t>CRN TOP WVN LS DOBBY STR:CORAL:S</t>
  </si>
  <si>
    <t>CRN TOP WVN LS DOBBY STR:CORAL:M</t>
  </si>
  <si>
    <t>CRN TOP WVN LS DOBBY STR:CORAL:L</t>
  </si>
  <si>
    <t>CRN TOP WVN LS DOBBY STR:CORAL:XL</t>
  </si>
  <si>
    <t>OGSG58</t>
  </si>
  <si>
    <t>LS SHIRT SILUET STRIPE KHK OG OGSG58:OFF WHITE:L:TEXTURE:LS SHIRT</t>
  </si>
  <si>
    <t>SG57</t>
  </si>
  <si>
    <t>LS BLOUSE TOP WOVEN MIX IMP SG57:PASTEL GREEN:S:TEXTURE:LS BLOUSE</t>
  </si>
  <si>
    <t>LS BLOUSE TOP WOVEN MIX IMP SG57:PASTEL GREEN:M:TEXTURE:LS BLOUSE</t>
  </si>
  <si>
    <t>LS BLOUSE TOP WOVEN MIX IMP SG57:PASTEL GREEN:L:TEXTURE:LS BLOUSE</t>
  </si>
  <si>
    <t>LS BLOUSE TOP WOVEN MIX IMP SG57:PASTEL GREEN:XL:TEXTURE:LS BLOUSE</t>
  </si>
  <si>
    <t>SG61</t>
  </si>
  <si>
    <t>SS SHIRT TOP WOVEN KUPNAT SG61:OLD GOLD:M:SOLID:SS SHIRT</t>
  </si>
  <si>
    <t>SS SHIRT TOP WOVEN KUPNAT SG61:OLD GOLD:L:SOLID:SS SHIRT</t>
  </si>
  <si>
    <t>SS SHIRT TOP WOVEN KUPNAT SG61:OLD GOLD:XL:SOLID:SS SHIRT</t>
  </si>
  <si>
    <t>SG41</t>
  </si>
  <si>
    <t>SS BLOUSE TOP WOVEN RAYON CHAMB SG41:PASTEL BLUE:S:FLORAL:SS BLOUSE</t>
  </si>
  <si>
    <t>SS BLOUSE TOP WOVEN RAYON CHAMB SG41:PASTEL BLUE:M:FLORAL:SS BLOUSE</t>
  </si>
  <si>
    <t>SS BLOUSE TOP WOVEN RAYON CHAMB SG41:PASTEL BLUE:L:FLORAL:SS BLOUSE</t>
  </si>
  <si>
    <t>SS BLOUSE TOP WOVEN RAYON CHAMB SG41:PASTEL BLUE:XL:FLORAL:SS BLOUSE</t>
  </si>
  <si>
    <t>SG66</t>
  </si>
  <si>
    <t>LS BLOUSE MIX TX IMP SG66:JADE:S:SOLID:LS BLOUSE</t>
  </si>
  <si>
    <t>LS BLOUSE MIX TX IMP SG66:JADE:M:SOLID:LS BLOUSE</t>
  </si>
  <si>
    <t>LS BLOUSE MIX TX IMP SG66:JADE:L:SOLID:LS BLOUSE</t>
  </si>
  <si>
    <t>LS BLOUSE MIX TX IMP SG66:JADE:XL:SOLID:LS BLOUSE</t>
  </si>
  <si>
    <t>SPWT1</t>
  </si>
  <si>
    <t>SS SHIRT COORD GEOMETRIC PRINT SPWT1:KHAKI:S:PRINT:SS SHIRT</t>
  </si>
  <si>
    <t>SS SHIRT COORD GEOMETRIC PRINT SPWT1:KHAKI:M:PRINT:SS SHIRT</t>
  </si>
  <si>
    <t>SS SHIRT COORD GEOMETRIC PRINT SPWT1:KHAKI:XL:PRINT:SS SHIRT</t>
  </si>
  <si>
    <t>LEB21WT2</t>
  </si>
  <si>
    <t>LS BLOUSE LEB ON BOTTOM  LEB21WT2:OFF WHITE:S:SOLID:LS BLOUSE</t>
  </si>
  <si>
    <t>LS BLOUSE LEB ON BOTTOM  LEB21WT2:OFF WHITE:L:SOLID:LS BLOUSE</t>
  </si>
  <si>
    <t>SG73</t>
  </si>
  <si>
    <t>LS BLOUSE W RUFFLE SG73:KHAKI:S:SOLID:LS BLOUSE</t>
  </si>
  <si>
    <t>LS BLOUSE W RUFFLE SG73:KHAKI:M:SOLID:LS BLOUSE</t>
  </si>
  <si>
    <t>LS BLOUSE W RUFFLE SG73:KHAKI:L:SOLID:LS BLOUSE</t>
  </si>
  <si>
    <t>LS BLOUSE W RUFFLE SG73:KHAKI:XL:SOLID:LS BLOUSE</t>
  </si>
  <si>
    <t>SG60</t>
  </si>
  <si>
    <t>LS SHIRT OGOLD TOP WVN ARM ROLL SG60:OFF WHITE:S:SOLID:LS SHIRT</t>
  </si>
  <si>
    <t>LS SHIRT OGOLD TOP WVN ARM ROLL SG60:OFF WHITE:M:SOLID:LS SHIRT</t>
  </si>
  <si>
    <t>LS SHIRT OGOLD TOP WVN ARM ROLL SG60:OFF WHITE:L:SOLID:LS SHIRT</t>
  </si>
  <si>
    <t>SG49</t>
  </si>
  <si>
    <t>LS BLOUSE TOP WVN MIX IMP SG49:OLIVE:S:SOLID:LS BLOUSE</t>
  </si>
  <si>
    <t>LS BLOUSE TOP WVN MIX IMP SG49:OLIVE:L:SOLID:LS BLOUSE</t>
  </si>
  <si>
    <t>SG68</t>
  </si>
  <si>
    <t>LS BLOUSE STR WOLLY CREPE SG68:KHAKI:S:STRIPES:LS BLOUSE</t>
  </si>
  <si>
    <t>LS BLOUSE STR WOLLY CREPE SG68:KHAKI:L:STRIPES:LS BLOUSE</t>
  </si>
  <si>
    <t>LS BLOUSE STR WOLLY CREPE SG68:OLD GOLD:M:STRIPES:LS BLOUSE</t>
  </si>
  <si>
    <t>SPWT2</t>
  </si>
  <si>
    <t>SS SHIRT PRINT WITH FACE SPWT2:MISTY DARK BROWN:L:PRINT:SS SHIRT</t>
  </si>
  <si>
    <t>SS SHIRT PRINT WITH FACE SPWT2:MISTY DARK BROWN:XL:PRINT:SS SHIRT</t>
  </si>
  <si>
    <t>LS SHIRT TOP WOVEN SEERSUCKER SG47:PASTEL PINK:M:TEXTURE:LS SHIRT</t>
  </si>
  <si>
    <t>SG42</t>
  </si>
  <si>
    <t>LS BLOUSE COR BLU TOP WVN KIMONO CHAMB SG42:MEDIUM DENIM:S:SOLID:LS BLOUSE</t>
  </si>
  <si>
    <t>LS BLOUSE COR BLU TOP WVN KIMONO CHAMB SG42:MEDIUM DENIM:M:SOLID:LS BLOUSE</t>
  </si>
  <si>
    <t>SAPWT10</t>
  </si>
  <si>
    <t>LS BLOUSE 78 WVN DOBBY WITH TIE KNOT AT WAIST SAPWT10:KHAKI:S:SOLID:LS BLOUSE</t>
  </si>
  <si>
    <t>LS BLOUSE 78 WVN DOBBY WITH TIE KNOT AT WAIST SAPWT10:KHAKI:M:SOLID:LS BLOUSE</t>
  </si>
  <si>
    <t>LS BLOUSE 78 WVN DOBBY WITH TIE KNOT AT WAIST SAPWT10:KHAKI:L:SOLID:LS BLOUSE</t>
  </si>
  <si>
    <t>LS BLOUSE 78 WVN DOBBY WITH TIE KNOT AT WAIST SAPWT10:KHAKI:XL:SOLID:LS BLOUSE</t>
  </si>
  <si>
    <t>CHOSG91</t>
  </si>
  <si>
    <t>34 SHIRT WIDE SLEEVE CTN POPLIN SOLID WITH POCKET CHOSG91:OFF WHITE:S:SOLID:3/4 SHIRT</t>
  </si>
  <si>
    <t>34 SHIRT WIDE SLEEVE CTN POPLIN SOLID WITH POCKET CHOSG91:OFF WHITE:M:SOLID:3/4 SHIRT</t>
  </si>
  <si>
    <t>34 SHIRT WIDE SLEEVE CTN POPLIN SOLID WITH POCKET CHOSG91:OFF WHITE:L:SOLID:3/4 SHIRT</t>
  </si>
  <si>
    <t>SAPWT11</t>
  </si>
  <si>
    <t>LS BLOUSE LONG SLEEVE WITH FLOWER PRINT SAPWT11:PASTEL PINK:S:FLORAL:LS BLOUSE</t>
  </si>
  <si>
    <t>LS BLOUSE LONG SLEEVE WITH FLOWER PRINT SAPWT11:PASTEL PINK:L:FLORAL:LS BLOUSE</t>
  </si>
  <si>
    <t>SGWT19</t>
  </si>
  <si>
    <t>LS SHIRT ALL OVER TYE DYE PRINTED W OVERSIZE POCKET SGWT19:DUSTY PIN:S:OMBRE:LS SHIRT</t>
  </si>
  <si>
    <t>LS SHIRT ALL OVER TYE DYE PRINTED W OVERSIZE POCKET SGWT19:DUSTY PIN:M:OMBRE:LS SHIRT</t>
  </si>
  <si>
    <t>MASWT1</t>
  </si>
  <si>
    <t>SS SHIRT PLAIN WITH RUFFLES COLAR MASWT1:OFF WHITE:S:SOLID:SS SHIRT</t>
  </si>
  <si>
    <t>SS SHIRT PLAIN WITH RUFFLES COLAR MASWT1:OFF WHITE:M:SOLID:SS SHIRT</t>
  </si>
  <si>
    <t>SS SHIRT PLAIN WITH RUFFLES COLAR MASWT1:OFF WHITE:L:SOLID:SS SHIRT</t>
  </si>
  <si>
    <t>SS SHIRT PLAIN WITH RUFFLES COLAR MASWT1:OFF WHITE:XL:SOLID:SS SHIRT</t>
  </si>
  <si>
    <t>LEB21WT1</t>
  </si>
  <si>
    <t>LS BLOUSE LEB EMBROIDERY LEB21WT1:PASTEL GREEN:L:TEXTURE:LS BLOUSE</t>
  </si>
  <si>
    <t>LS BLOUSE LEB EMBROIDERY LEB21WT1:DUSTY PINK:L:TEXTURE:LS BLOUSE</t>
  </si>
  <si>
    <t>LS BLOUSE LEB EMBROIDERY LEB21WT1:DUSTY PINK:XL:TEXTURE:LS BLOUSE</t>
  </si>
  <si>
    <t>MASWT3</t>
  </si>
  <si>
    <t>SS BLOUSE PLAIN SET WITH SHORT MASWT3:GOLDEN BROWN:S:SOLID:SS BLOUSE</t>
  </si>
  <si>
    <t>SS BLOUSE PLAIN SET WITH SHORT MASWT3:GOLDEN BROWN:M:SOLID:SS BLOUSE</t>
  </si>
  <si>
    <t>SS BLOUSE PLAIN SET WITH SHORT MASWT3:GOLDEN BROWN:L:SOLID:SS BLOUSE</t>
  </si>
  <si>
    <t>SS BLOUSE PLAIN SET WITH SHORT MASWT3:GOLDEN BROWN:XL:SOLID:SS BLOUSE</t>
  </si>
  <si>
    <t>MASWT15</t>
  </si>
  <si>
    <t>LS BLOUSE 78 WV TOP W RUFFLE AND EMBRO FLOWER MASWT15:CLASSIC PU:S:FLORAL:LS BLOUSE</t>
  </si>
  <si>
    <t>LS BLOUSE 78 WV TOP W RUFFLE AND EMBRO FLOWER MASWT15:CLASSIC PU:M:FLORAL:LS BLOUSE</t>
  </si>
  <si>
    <t>LS BLOUSE 78 WV TOP W RUFFLE AND EMBRO FLOWER MASWT15:CLASSIC PU:L:FLORAL:LS BLOUSE</t>
  </si>
  <si>
    <t>LS BLOUSE 78 WV TOP W RUFFLE AND EMBRO FLOWER MASWT15:CLASSIC PU:XL:FLORAL:LS BLOUSE</t>
  </si>
  <si>
    <t>MSWT2</t>
  </si>
  <si>
    <t>34 SHIRT PRINT SET WITH SHORT MSWT2:DUSTY PINK:S:PRINT:3/4 SHIRT</t>
  </si>
  <si>
    <t>VD7</t>
  </si>
  <si>
    <t>LS BLOUSE COR BLU TOP WVN STR EMB SLV VD7:OFF WHITE:S:STRIPES:LS BLOUSE</t>
  </si>
  <si>
    <t>LS BLOUSE COR BLU TOP WVN STR EMB SLV VD7:OFF WHITE:M:STRIPES:LS BLOUSE</t>
  </si>
  <si>
    <t>LS BLOUSE COR BLU TOP WVN STR EMB SLV VD7:OFF WHITE:L:STRIPES:LS BLOUSE</t>
  </si>
  <si>
    <t>LS BLOUSE COR BLU TOP WVN STR EMB SLV VD7:OFF WHITE:XL:STRIPES:LS BLOUSE</t>
  </si>
  <si>
    <t>SS SHIRT W AOP FLOWER VDWT001:CLASSIC BLUE:S:FLORAL:SS SHIRT</t>
  </si>
  <si>
    <t>SS SHIRT W AOP FLOWER VDWT001:CLASSIC BLUE:M:FLORAL:SS SHIRT</t>
  </si>
  <si>
    <t>SS SHIRT W AOP FLOWER VDWT001:CLASSIC BLUE:L:FLORAL:SS SHIRT</t>
  </si>
  <si>
    <t>SS SHIRT W AOP FLOWER VDWT001:CLASSIC BLUE:XL:FLORAL:SS SHIRT</t>
  </si>
  <si>
    <t>SANWT1LS</t>
  </si>
  <si>
    <t>LS SHIRT BOXY SHORT SLEEVE CHECK SANWT1LS:DUSTY PINK:M:CHECKS:LS SHIRT</t>
  </si>
  <si>
    <t>SANWT1SS</t>
  </si>
  <si>
    <t>SS SHIRT BOXY CHECK PINK SANWT1SS:DUSTY PINK:M:CHECKS:SS SHIRT</t>
  </si>
  <si>
    <t>PGTL373</t>
  </si>
  <si>
    <t>SWEATSHIRT TOP KNIT WOVEN BACK PGTL373:PASTEL GREEN:S:SOLID:SWEATSHIRT</t>
  </si>
  <si>
    <t>SWEATSHIRT TOP KNIT WOVEN BACK PGTL373:PASTEL GREEN:M:SOLID:SWEATSHIRT</t>
  </si>
  <si>
    <t>SWEATSHIRT TOP KNIT WOVEN BACK PGTL373:PASTEL GREEN:L:SOLID:SWEATSHIRT</t>
  </si>
  <si>
    <t>SWEATSHIRT TOP KNIT WOVEN BACK PGTL373:PASTEL GREEN:XL:SOLID:SWEATSHIRT</t>
  </si>
  <si>
    <t>OGTL377</t>
  </si>
  <si>
    <t>SS T-SHIRT WITH APP PEDRO OGTL377:OFF WHITE:S:SOLID:SS T-SHIRT</t>
  </si>
  <si>
    <t>SS T-SHIRT WITH APP PEDRO OGTL377:OFF WHITE:M:SOLID:SS T-SHIRT</t>
  </si>
  <si>
    <t>SS T-SHIRT WITH APP PEDRO OGTL377:OFF WHITE:L:SOLID:SS T-SHIRT</t>
  </si>
  <si>
    <t>SS T-SHIRT WITH APP PEDRO OGTL377:OFF WHITE:XL:SOLID:SS T-SHIRT</t>
  </si>
  <si>
    <t>CBTL370</t>
  </si>
  <si>
    <t>SWEATSHIRT TOP KNIT COMB WOVEN CBTL370:OFF WHITE:M:STRIPE:SWEATSHIRT</t>
  </si>
  <si>
    <t>SWEATSHIRT TOP KNIT COMB WOVEN CBTL370:OFF WHITE:L:STRIPE:SWEATSHIRT</t>
  </si>
  <si>
    <t>OGTL379</t>
  </si>
  <si>
    <t>SWEATSHIRT PRINT FLOWER OGTL379:OFF WHITE:S:PRINT:SWEATSHIRT</t>
  </si>
  <si>
    <t>SWEATSHIRT PRINT FLOWER OGTL379:OFF WHITE:M:PRINT:SWEATSHIRT</t>
  </si>
  <si>
    <t>SWEATSHIRT PRINT FLOWER OGTL379:OFF WHITE:L:PRINT:SWEATSHIRT</t>
  </si>
  <si>
    <t>SWEATSHIRT PRINT FLOWER OGTL379:OFF WHITE:XL:PRINT:SWEATSHIRT</t>
  </si>
  <si>
    <t>TL365</t>
  </si>
  <si>
    <t>SWEATSHIRT TOP KNIT LS EYES TL365:OFF WHITE:M:GRAPHIC:SWEATSHIRT</t>
  </si>
  <si>
    <t>SWEATSHIRT TOP KNIT LS EYES TL365:OFF WHITE:L:GRAPHIC:SWEATSHIRT</t>
  </si>
  <si>
    <t>TL380</t>
  </si>
  <si>
    <t>SWEATSHIRT TOP KOMB WOVEN PUFF DRAWSTRING TL380:JADE:S:SOLID:SWEATSHIRT</t>
  </si>
  <si>
    <t>SWEATSHIRT TOP KOMB WOVEN PUFF DRAWSTRING TL380:JADE:XL:SOLID:SWEATSHIRT</t>
  </si>
  <si>
    <t>TL383</t>
  </si>
  <si>
    <t>LS T-SHIRT TOP KOMB SERUT TL383:PASTEL GREEN:L:SOLID:LS T-SHIRT</t>
  </si>
  <si>
    <t>LS T-SHIRT TOP KOMB SERUT TL383:PASTEL GREEN:XL:SOLID:LS T-SHIRT</t>
  </si>
  <si>
    <t>TL389</t>
  </si>
  <si>
    <t>SWEATSHIRT CORAL BLUE TOP TURTLENECK WITH WOVEN SLEE:MISTY MEDIU:L:SOLID:SWEATSHIRT</t>
  </si>
  <si>
    <t>TL369</t>
  </si>
  <si>
    <t>SWEATSHIRT OLIVE TOP KNIT KOMB WVN PLEATS BACK TL369:OFF WHITE:M:STRIPE:SWEATSHIRT</t>
  </si>
  <si>
    <t>SWEATSHIRT OLIVE TOP KNIT KOMB WVN PLEATS BACK TL369:OFF WHITE:XL:STRIPE:SWEATSHIRT</t>
  </si>
  <si>
    <t>TL387</t>
  </si>
  <si>
    <t>LS T-SHIRT TOP DOUBLEFACE STR TL387:NAVY BLUE:S:STRIPES:LS T-SHIRT</t>
  </si>
  <si>
    <t>LS T-SHIRT TOP DOUBLEFACE STR TL387:NAVY BLUE:M:STRIPES:LS T-SHIRT</t>
  </si>
  <si>
    <t>LS T-SHIRT TOP DOUBLEFACE STR TL387:NAVY BLUE:L:STRIPES:LS T-SHIRT</t>
  </si>
  <si>
    <t>LS T-SHIRT TOP DOUBLEFACE STR TL387:NAVY BLUE:XL:STRIPES:LS T-SHIRT</t>
  </si>
  <si>
    <t>LS T-SHIRT TOP DOUBLEFACE STR TL387:DUSTY PINK:S:STRIPES:LS T-SHIRT</t>
  </si>
  <si>
    <t>LS T-SHIRT TOP DOUBLEFACE STR TL387:DUSTY PINK:M:STRIPES:LS T-SHIRT</t>
  </si>
  <si>
    <t>LS T-SHIRT TOP DOUBLEFACE STR TL387:DUSTY PINK:L:STRIPES:LS T-SHIRT</t>
  </si>
  <si>
    <t>LS T-SHIRT TOP DOUBLEFACE STR TL387:DUSTY PINK:XL:STRIPES:LS T-SHIRT</t>
  </si>
  <si>
    <t>BAETS1</t>
  </si>
  <si>
    <t>SS T-SHIRT TEE WITH PADING ON SHOULDER BAETS1:OFF WHITE:S:SOLID:SS T-SHIRT</t>
  </si>
  <si>
    <t>SS T-SHIRT TEE WITH PADING ON SHOULDER BAETS1:OFF WHITE:M:SOLID:SS T-SHIRT</t>
  </si>
  <si>
    <t>SS T-SHIRT TEE WITH PADING ON SHOULDER BAETS1:OFF WHITE:L:SOLID:SS T-SHIRT</t>
  </si>
  <si>
    <t>SS T-SHIRT TEE WITH PADING ON SHOULDER BAETS1:OFF WHITE:XL:SOLID:SS T-SHIRT</t>
  </si>
  <si>
    <t>BAETS2</t>
  </si>
  <si>
    <t>SS BLOUSE TEE WITH RUFFLES ON CHEST BAETS2:OFF WHITE:S:SOLID:SS BLOUSE</t>
  </si>
  <si>
    <t>SS BLOUSE TEE WITH RUFFLES ON CHEST BAETS2:OFF WHITE:L:SOLID:SS BLOUSE</t>
  </si>
  <si>
    <t>SS BLOUSE TEE WITH RUFFLES ON CHEST BAETS2:OFF WHITE:XL:SOLID:SS BLOUSE</t>
  </si>
  <si>
    <t>BAETS3</t>
  </si>
  <si>
    <t>LS T-SHIRT TEE WITH RIB ON BOTTOM BAETS3:DUSTY PINK:S:SOLID:LS T-SHIRT</t>
  </si>
  <si>
    <t>LS T-SHIRT TEE WITH RIB ON BOTTOM BAETS3:DUSTY PINK:L:SOLID:LS T-SHIRT</t>
  </si>
  <si>
    <t>TL385</t>
  </si>
  <si>
    <t>LS T-SHIRT PINK TOP PRT ABSTRACT TL385:PASTEL PINK:L:PRINT:LS T-SHIRT</t>
  </si>
  <si>
    <t>LS T-SHIRT PINK TOP PRT ABSTRACT TL385:PASTEL PINK:XL:PRINT:LS T-SHIRT</t>
  </si>
  <si>
    <t>TL386</t>
  </si>
  <si>
    <t>LS T-SHIRT TOP PRT FLW TL386:OFF WHITE:S:PRINT:LS T-SHIRT</t>
  </si>
  <si>
    <t>LS T-SHIRT TOP PRT FLW TL386:OFF WHITE:M:PRINT:LS T-SHIRT</t>
  </si>
  <si>
    <t>TL388</t>
  </si>
  <si>
    <t>LS BLOUSE TOP W LACE EYELET TL388:OFF WHITE:S:SOLID:LS BLOUSE</t>
  </si>
  <si>
    <t>LS BLOUSE TOP W LACE EYELET TL388:OFF WHITE:L:SOLID:LS BLOUSE</t>
  </si>
  <si>
    <t>LS BLOUSE TOP W LACE EYELET TL388:OFF WHITE:XL:SOLID:LS BLOUSE</t>
  </si>
  <si>
    <t>TL400</t>
  </si>
  <si>
    <t>SWEATSHIRT TOP KNIT W KOMB WVN KTK TL400:BLACK:S:CHECKS:SWEATSHIRT</t>
  </si>
  <si>
    <t>SWEATSHIRT TOP KNIT W KOMB WVN KTK TL400:BLACK:M:CHECKS:SWEATSHIRT</t>
  </si>
  <si>
    <t>SWEATSHIRT TOP KNIT W KOMB WVN KTK TL400:BLACK:L:CHECKS:SWEATSHIRT</t>
  </si>
  <si>
    <t>SWEATSHIRT TOP KNIT W KOMB WVN KTK TL400:BLACK:XL:CHECKS:SWEATSHIRT</t>
  </si>
  <si>
    <t>TL407</t>
  </si>
  <si>
    <t>SS T-SHIRT TEE TERRY W BRAID SILVER TL407:DUSTY PINK:S:SOLID:SS T-SHIRT</t>
  </si>
  <si>
    <t>SS T-SHIRT TEE TERRY W BRAID SILVER TL407:DUSTY PINK:M:SOLID:SS T-SHIRT</t>
  </si>
  <si>
    <t>SS T-SHIRT TEE TERRY W BRAID SILVER TL407:DUSTY PINK:L:SOLID:SS T-SHIRT</t>
  </si>
  <si>
    <t>SS T-SHIRT TEE TERRY W BRAID SILVER TL407:DUSTY PINK:XL:SOLID:SS T-SHIRT</t>
  </si>
  <si>
    <t>BAESW1</t>
  </si>
  <si>
    <t>SWEATSHIRT WITH TIE KNOT ON SIDE BAESW1:MISTY MEDIUM G:M:SOLID:SWEATSHIRT</t>
  </si>
  <si>
    <t>TL393</t>
  </si>
  <si>
    <t>SWEATSHIRT PINK TOP KNIT KOMB STR POCKET TL393:MISTY LIGHT:M:SOLID:SWEATSHIRT</t>
  </si>
  <si>
    <t>SWEATSHIRT PINK TOP KNIT KOMB STR POCKET TL393:MISTY LIGHT:L:SOLID:SWEATSHIRT</t>
  </si>
  <si>
    <t>SWEATSHIRT PINK TOP KNIT KOMB STR POCKET TL393:MISTY LIGHT:XL:SOLID:SWEATSHIRT</t>
  </si>
  <si>
    <t>TL395</t>
  </si>
  <si>
    <t>SWEATSHIRT CHOC TOP KNIT KOMB STR PRT TL395:OFF WHITE:S:STRIPES:SWEATSHIRT</t>
  </si>
  <si>
    <t>SWEATSHIRT CHOC TOP KNIT KOMB STR PRT TL395:OFF WHITE:M:STRIPES:SWEATSHIRT</t>
  </si>
  <si>
    <t>SWEATSHIRT CHOC TOP KNIT KOMB STR PRT TL395:OFF WHITE:L:STRIPES:SWEATSHIRT</t>
  </si>
  <si>
    <t>SWEATSHIRT CHOC TOP KNIT KOMB STR PRT TL395:OFF WHITE:XL:STRIPES:SWEATSHIRT</t>
  </si>
  <si>
    <t>OLVTL403</t>
  </si>
  <si>
    <t>SS T-SHIRT TOP KNIT CONTRAST BENANG OLVTL403:OFF WHITE:S:SOLID:SS T-SHIRT</t>
  </si>
  <si>
    <t>SS T-SHIRT TOP KNIT CONTRAST BENANG OLVTL403:OFF WHITE:M:SOLID:SS T-SHIRT</t>
  </si>
  <si>
    <t>SS T-SHIRT TOP KNIT CONTRAST BENANG OLVTL403:OFF WHITE:L:SOLID:SS T-SHIRT</t>
  </si>
  <si>
    <t>SS T-SHIRT TOP KNIT CONTRAST BENANG OLVTL403:OFF WHITE:XL:SOLID:SS T-SHIRT</t>
  </si>
  <si>
    <t>BAESW2</t>
  </si>
  <si>
    <t>SWEATSHIRT WITH 3.4 LEG BASIC BAESW2:KHAKI:S:SOLID:SWEATSHIRT</t>
  </si>
  <si>
    <t>SWEATSHIRT WITH 3.4 LEG BASIC BAESW2:KHAKI:M:SOLID:SWEATSHIRT</t>
  </si>
  <si>
    <t>SWEATSHIRT WITH 3.4 LEG BASIC BAESW2:KHAKI:L:SOLID:SWEATSHIRT</t>
  </si>
  <si>
    <t>SWEATSHIRT WITH 3.4 LEG BASIC BAESW2:KHAKI:XL:SOLID:SWEATSHIRT</t>
  </si>
  <si>
    <t>SWEATSHIRT WITH 3.4 LEG BASIC BAESW2:NAVY BLUE:S:SOLID:SWEATSHIRT</t>
  </si>
  <si>
    <t>SWEATSHIRT WITH 3.4 LEG BASIC BAESW2:NAVY BLUE:M:SOLID:SWEATSHIRT</t>
  </si>
  <si>
    <t>SWEATSHIRT WITH 3.4 LEG BASIC BAESW2:NAVY BLUE:L:SOLID:SWEATSHIRT</t>
  </si>
  <si>
    <t>SWEATSHIRT WITH 3.4 LEG BASIC BAESW2:NAVY BLUE:XL:SOLID:SWEATSHIRT</t>
  </si>
  <si>
    <t>BAETEE1</t>
  </si>
  <si>
    <t>SS T-SHIRT TEE W FLOW GOLD PRINT BAETEE1:WHITE:S:GRAPHIC:SS T-SHIRT</t>
  </si>
  <si>
    <t>SS T-SHIRT TEE W FLOW GOLD PRINT BAETEE1:WHITE:M:GRAPHIC:SS T-SHIRT</t>
  </si>
  <si>
    <t>SS T-SHIRT TEE W FLOW GOLD PRINT BAETEE1:WHITE:L:GRAPHIC:SS T-SHIRT</t>
  </si>
  <si>
    <t>SS T-SHIRT TEE W FLOW GOLD PRINT BAETEE1:WHITE:XL:GRAPHIC:SS T-SHIRT</t>
  </si>
  <si>
    <t>SS T-SHIRT TEE W FLOW GOLD PRINT BAETEE1:MISTY MEDIUM G:S:GRAPHIC:SS T-SHIRT</t>
  </si>
  <si>
    <t>SS T-SHIRT TEE W FLOW GOLD PRINT BAETEE1:MISTY MEDIUM G:M:GRAPHIC:SS T-SHIRT</t>
  </si>
  <si>
    <t>SS T-SHIRT TEE W FLOW GOLD PRINT BAETEE1:MISTY MEDIUM G:L:GRAPHIC:SS T-SHIRT</t>
  </si>
  <si>
    <t>SS T-SHIRT TEE W FLOW GOLD PRINT BAETEE1:MISTY MEDIUM G:XL:GRAPHIC:SS T-SHIRT</t>
  </si>
  <si>
    <t>BAETEE2</t>
  </si>
  <si>
    <t>SS T-SHIRT TEE W FLOW GOLD PRINT BAETEE2:WHITE:S:GRAPHIC:SS T-SHIRT</t>
  </si>
  <si>
    <t>SS T-SHIRT TEE W FLOW GOLD PRINT BAETEE2:WHITE:M:GRAPHIC:SS T-SHIRT</t>
  </si>
  <si>
    <t>SS T-SHIRT TEE W FLOW GOLD PRINT BAETEE2:WHITE:L:GRAPHIC:SS T-SHIRT</t>
  </si>
  <si>
    <t>SS T-SHIRT TEE W FLOW GOLD PRINT BAETEE2:WHITE:XL:GRAPHIC:SS T-SHIRT</t>
  </si>
  <si>
    <t>BAETS24</t>
  </si>
  <si>
    <t>SS T-SHIRT W EMBROIDERY BAETS24:RUSTIC ORANGE:S:TEXT:SS T-SHIRT</t>
  </si>
  <si>
    <t>SS T-SHIRT W EMBROIDERY BAETS24:RUSTIC ORANGE:M:TEXT:SS T-SHIRT</t>
  </si>
  <si>
    <t>SS T-SHIRT W EMBROIDERY BAETS24:RUSTIC ORANGE:L:TEXT:SS T-SHIRT</t>
  </si>
  <si>
    <t>SS T-SHIRT W EMBROIDERY BAETS24:RUSTIC ORANGE:XL:TEXT:SS T-SHIRT</t>
  </si>
  <si>
    <t>BAESWT019</t>
  </si>
  <si>
    <t>SWEATSHIRT W MODERN ART PRINT LIGHT BROWN BAESWT019:BROWN SUGAR:S:GRAPHIC:SWEATSHIRT</t>
  </si>
  <si>
    <t>SWEATSHIRT W MODERN ART PRINT LIGHT BROWN BAESWT019:BROWN SUGAR:M:GRAPHIC:SWEATSHIRT</t>
  </si>
  <si>
    <t>SWEATSHIRT W MODERN ART PRINT LIGHT BROWN BAESWT019:BROWN SUGAR:L:GRAPHIC:SWEATSHIRT</t>
  </si>
  <si>
    <t>SWEATSHIRT W MODERN ART PRINT LIGHT BROWN BAESWT019:BROWN SUGAR:XL:GRAPHIC:SWEATSHIRT</t>
  </si>
  <si>
    <t>BAESWT037</t>
  </si>
  <si>
    <t>SWEATSHIRT W GOLD TAPE AND DETAILS AT SLEEVES CUFF B:MISTY LIGHT:S:SOLID:SWEATSHIRT</t>
  </si>
  <si>
    <t>SWEATSHIRT W GOLD TAPE AND DETAILS AT SLEEVES CUFF B:MISTY LIGHT:M:SOLID:SWEATSHIRT</t>
  </si>
  <si>
    <t>SWEATSHIRT W GOLD TAPE AND DETAILS AT SLEEVES CUFF B:MISTY LIGHT:L:SOLID:SWEATSHIRT</t>
  </si>
  <si>
    <t>SWEATSHIRT W GOLD TAPE AND DETAILS AT SLEEVES CUFF B:MISTY LIGHT:XL:SOLID:SWEATSHIRT</t>
  </si>
  <si>
    <t>TZ01</t>
  </si>
  <si>
    <t>SS T-SHIRT WORDING NON RAGLAN GIRL FLOWER SHOULDER TZ01:PASTEL PIN:M:TEXT:SS T-SHIRT</t>
  </si>
  <si>
    <t>SS T-SHIRT WORDING NON RAGLAN GIRL FLOWER SHOULDER TZ01:PASTEL PIN:XL:TEXT:SS T-SHIRT</t>
  </si>
  <si>
    <t>TZ02</t>
  </si>
  <si>
    <t>SS T-SHIRT WORDING NON RAGLAN GIRL FLOWER CHEST TZ02:WHITE:S:TEXT:SS T-SHIRT</t>
  </si>
  <si>
    <t>SS T-SHIRT WORDING NON RAGLAN GIRL FLOWER CHEST TZ02:WHITE:M:TEXT:SS T-SHIRT</t>
  </si>
  <si>
    <t>SS T-SHIRT WORDING NON RAGLAN GIRL FLOWER CHEST TZ02:WHITE:XL:TEXT:SS T-SHIRT</t>
  </si>
  <si>
    <t>TZ03</t>
  </si>
  <si>
    <t>SS T-SHIRT BUTTERFLY CHEST POCKET SMALL TZ03:KHAKI:L:SOLID:SS T-SHIRT</t>
  </si>
  <si>
    <t>SS T-SHIRT BUTTERFLY CHEST POCKET SMALL TZ03:KHAKI:XL:SOLID:SS T-SHIRT</t>
  </si>
  <si>
    <t>SS T-SHIRT BUTTERFLY CHEST POCKET SMALL TZ03:PASTEL PINK:M:SOLID:SS T-SHIRT</t>
  </si>
  <si>
    <t>SS T-SHIRT BUTTERFLY CHEST POCKET SMALL TZ03:PASTEL PINK:XL:SOLID:SS T-SHIRT</t>
  </si>
  <si>
    <t>TZ04</t>
  </si>
  <si>
    <t>SS T-SHIRT BUTTERFLY CIRCLE MOON CHEST TZ04:MISTY LIGHT K:S:GRAPHIC:SS T-SHIRT</t>
  </si>
  <si>
    <t>SS T-SHIRT BUTTERFLY CIRCLE MOON CHEST TZ04:MISTY LIGHT K:M:GRAPHIC:SS T-SHIRT</t>
  </si>
  <si>
    <t>SS T-SHIRT BUTTERFLY CIRCLE MOON CHEST TZ04:MISTY LIGHT K:L:GRAPHIC:SS T-SHIRT</t>
  </si>
  <si>
    <t>TZ05</t>
  </si>
  <si>
    <t>SS T-SHIRT BUTTERFLY CHEST FLOCKING TZ05:PASTEL PINK:S:GRAPHIC:SS T-SHIRT</t>
  </si>
  <si>
    <t>SS T-SHIRT BUTTERFLY CHEST FLOCKING TZ05:PASTEL PINK:M:GRAPHIC:SS T-SHIRT</t>
  </si>
  <si>
    <t>SS T-SHIRT BUTTERFLY CHEST FLOCKING TZ05:PASTEL PINK:L:GRAPHIC:SS T-SHIRT</t>
  </si>
  <si>
    <t>TZ06</t>
  </si>
  <si>
    <t>SS T-SHIRT BUTTERFLY MOON CHEST TZ06:OFF WHITE:M:GRAPHIC:SS T-SHIRT</t>
  </si>
  <si>
    <t>SS T-SHIRT BUTTERFLY MOON CHEST TZ06:OFF WHITE:L:GRAPHIC:SS T-SHIRT</t>
  </si>
  <si>
    <t>TZ07</t>
  </si>
  <si>
    <t>SS T-SHIRT FLOWER CHEST ROUND WORDS TZ07:MISTY LIGHT GR:L:GRAPHIC:SS T-SHIRT</t>
  </si>
  <si>
    <t>SS T-SHIRT FLOWER CHEST ROUND WORDS TZ07:MISTY LIGHT GR:XL:GRAPHIC:SS T-SHIRT</t>
  </si>
  <si>
    <t>TZ09</t>
  </si>
  <si>
    <t>SS T-SHIRT FLOWER CHESTHEART WORD TZ09:MISTY MEDIUM B:S:GRAPHIC:SS T-SHIRT</t>
  </si>
  <si>
    <t>SS T-SHIRT FLOWER CHESTHEART WORD TZ09:MISTY MEDIUM B:L:GRAPHIC:SS T-SHIRT</t>
  </si>
  <si>
    <t>SS T-SHIRT FLOWER CHESTHEART WORD TZ09:MISTY MEDIUM B:XL:GRAPHIC:SS T-SHIRT</t>
  </si>
  <si>
    <t>TZ10</t>
  </si>
  <si>
    <t>SS T-SHIRT FLOWER ISOL FP TZ10:MISTY LIGHT GREY:S:PRINT:SS T-SHIRT</t>
  </si>
  <si>
    <t>SS T-SHIRT FLOWER ISOL FP TZ10:MISTY LIGHT GREY:M:PRINT:SS T-SHIRT</t>
  </si>
  <si>
    <t>SS T-SHIRT FLOWER ISOL FP TZ10:MISTY LIGHT GREY:L:PRINT:SS T-SHIRT</t>
  </si>
  <si>
    <t>SS T-SHIRT FLOWER ISOL FP TZ10:MISTY LIGHT GREY:XL:PRINT:SS T-SHIRT</t>
  </si>
  <si>
    <t>TZ11</t>
  </si>
  <si>
    <t>SS T-SHIRT PHOTOPRINT CENTER FLOWER BLUE TZ11:OFF WHITE:S:GRAPHIC:SS T-SHIRT</t>
  </si>
  <si>
    <t>SS T-SHIRT PHOTOPRINT CENTER FLOWER BLUE TZ11:OFF WHITE:M:GRAPHIC:SS T-SHIRT</t>
  </si>
  <si>
    <t>TZCA01</t>
  </si>
  <si>
    <t>SS T-SHIRT PHOTOPRINT LEAVES IN ABSTRACT BACKGROUND TZCA01:WHITE:S:GRAPHIC:SS T-SHIR</t>
  </si>
  <si>
    <t>SS T-SHIRT PHOTOPRINT LEAVES IN ABSTRACT BACKGROUND TZCA01:WHITE:M:GRAPHIC:SS T-SHIR</t>
  </si>
  <si>
    <t>SS T-SHIRT PHOTOPRINT LEAVES IN ABSTRACT BACKGROUND TZCA01:WHITE:XL:GRAPHIC:SS T-SHIR</t>
  </si>
  <si>
    <t>SS T-SHIRT PHOTOPRINT FLOWER IN SQUARE BACKGROUND TZCA04:OLD GOLD:S:GRAPHIC:SS T-SHIRT</t>
  </si>
  <si>
    <t>SS T-SHIRT PHOTOPRINT FLOWER IN SQUARE BACKGROUND TZCA04:OLD GOLD:M:GRAPHIC:SS T-SHIRT</t>
  </si>
  <si>
    <t>SPOUCR1</t>
  </si>
  <si>
    <t>BLAZER OVERSIZE COORDINATION SPOUCR1:CLASSIC PURPLE:S:SOLID:BLAZER</t>
  </si>
  <si>
    <t>YV433FLNEW</t>
  </si>
  <si>
    <t>BLAZER PINK OUTER DOBBY FLW YV433FLNEW:OFF WHITE:M:FLORAL:BLAZER</t>
  </si>
  <si>
    <t>BLAZER PINK OUTER DOBBY FLW YV433FLNEW:OFF WHITE:L:FLORAL:BLAZER</t>
  </si>
  <si>
    <t>BLAZER PINK OUTER DOBBY FLW YV433FLNEW:OFF WHITE:XL:FLORAL:BLAZER</t>
  </si>
  <si>
    <t>SGOUT19</t>
  </si>
  <si>
    <t>BLAZER BUTTONS LEAF PRINTS PINK ON SGOUT19:WHITE:S:PRINT:BLAZER</t>
  </si>
  <si>
    <t>BLAZER BUTTONS LEAF PRINTS PINK ON SGOUT19:WHITE:M:PRINT:BLAZER</t>
  </si>
  <si>
    <t>BLAZER BUTTONS LEAF PRINTS PINK ON SGOUT19:WHITE:XL:PRINT:BLAZER</t>
  </si>
  <si>
    <t>DEA3</t>
  </si>
  <si>
    <t>JACKET PARASUT JASPAL DEA3:PASTEL GREEN:XXL:SOLID:JACKET</t>
  </si>
  <si>
    <t>SG64</t>
  </si>
  <si>
    <t>OVERALL MIDI SKIRT DRESS STRIPE W BOW SG64:GOLDEN BROWN:S:TEXTURE:OVERALL MIDI S</t>
  </si>
  <si>
    <t>OVERALL MIDI SKIRT DRESS STRIPE W BOW SG64:GOLDEN BROWN:M:TEXTURE:OVERALL MIDI S</t>
  </si>
  <si>
    <t>OVERALL MIDI SKIRT DRESS STRIPE W BOW SG64:GOLDEN BROWN:L:TEXTURE:OVERALL MIDI S</t>
  </si>
  <si>
    <t>SG39</t>
  </si>
  <si>
    <t>OVERALL MAXI SKIRT CRN DRESS DOBBY STRIPES SG39:CORAL:S:SOLID:OVERALL MAXI</t>
  </si>
  <si>
    <t>OVERALL MAXI SKIRT CRN DRESS DOBBY STRIPES SG39:CORAL:M:SOLID:OVERALL MAXI</t>
  </si>
  <si>
    <t>OVERALL MAXI SKIRT CRN DRESS DOBBY STRIPES SG39:CORAL:L:SOLID:OVERALL MAXI</t>
  </si>
  <si>
    <t>OVERALL MAXI SKIRT CRN DRESS DOBBY STRIPES SG39:CORAL:XL:SOLID:OVERALL MAXI</t>
  </si>
  <si>
    <t>SG27</t>
  </si>
  <si>
    <t>OVERALL MAXI SKIRT TWILL W TAPE SG27:KHAKI:S:SOLID:OVERALL MAXI SK</t>
  </si>
  <si>
    <t>OVERALL MAXI SKIRT TWILL W TAPE SG27:KHAKI:M:SOLID:OVERALL MAXI SK</t>
  </si>
  <si>
    <t>OVERALL MAXI SKIRT TWILL W TAPE SG27:KHAKI:XL:SOLID:OVERALL MAXI SK</t>
  </si>
  <si>
    <t>SG52</t>
  </si>
  <si>
    <t>LS MIDI DRESS PINK PRT ABS SG52:DUSTY PINK:M:PRINT:LS MIDI DRESS</t>
  </si>
  <si>
    <t>LS MIDI DRESS PINK PRT ABS SG52:DUSTY PINK:L:PRINT:LS MIDI DRESS</t>
  </si>
  <si>
    <t>SG77</t>
  </si>
  <si>
    <t>LS MAXI DRESS COLLAR LAYER SG77:KHAKI:L:SOLID:LS MAXI DRESS</t>
  </si>
  <si>
    <t>SG59</t>
  </si>
  <si>
    <t>OVERALL MAXI SKIRT DRESS STR SG59:OLD GOLD:M:SOLID:OVERALL MAXI SK</t>
  </si>
  <si>
    <t>OVERALL MAXI SKIRT DRESS STR SG59:OLD GOLD:L:SOLID:OVERALL MAXI SK</t>
  </si>
  <si>
    <t>OVERALL MAXI SKIRT DRESS STR SG59:OLD GOLD:XL:SOLID:OVERALL MAXI SK</t>
  </si>
  <si>
    <t>SG44</t>
  </si>
  <si>
    <t>OVERALL MAXI SKIRT DRESS W BIG BELT SG44:OLIVE:XL:SOLID:OVERALL MAXI S</t>
  </si>
  <si>
    <t>SG34</t>
  </si>
  <si>
    <t>OVERALL MAXI SKIRT OLIVE DRESS MAXI W HOODIE SG34:OLIVE:S:SOLID:OVERALL MAX</t>
  </si>
  <si>
    <t>OVERALL MAXI SKIRT OLIVE DRESS MAXI W HOODIE SG34:OLIVE:M:SOLID:OVERALL MAX</t>
  </si>
  <si>
    <t>OVERALL MAXI SKIRT OLIVE DRESS MAXI W HOODIE SG34:OLIVE:L:SOLID:OVERALL MAX</t>
  </si>
  <si>
    <t>SG87</t>
  </si>
  <si>
    <t>OVERALL MAXI SKIRT DRESS CREPE W PLEATS SG87:OLD GOLD:S:SOLID:OVERALL MAXI</t>
  </si>
  <si>
    <t>OVERALL MAXI SKIRT DRESS CREPE W PLEATS SG87:OLD GOLD:M:SOLID:OVERALL MAXI</t>
  </si>
  <si>
    <t>SGCD15</t>
  </si>
  <si>
    <t>SS MAXI DRESS W ROUND NECK AND COMBO FABRIC SGCD15:KHAKI:M:SOLID:SS MAXI DRE</t>
  </si>
  <si>
    <t>SS MAXI DRESS W ROUND NECK AND COMBO FABRIC SGCD15:KHAKI:L:SOLID:SS MAXI DRE</t>
  </si>
  <si>
    <t>MSDR101</t>
  </si>
  <si>
    <t>LS MAXI DRESS LONG STACK RUFFLE W SHIRT COLLAR MSDR101:PASTEL BLU:S:SOLID:LS MAXI DR</t>
  </si>
  <si>
    <t>LS MAXI DRESS LONG STACK RUFFLE W SHIRT COLLAR MSDR101:PASTEL BLU:L:SOLID:LS MAXI DR</t>
  </si>
  <si>
    <t>LEB21DS2</t>
  </si>
  <si>
    <t>LS MIDI DRESS LEB WITH EMBRO LEB21DS2:BROWN SUGAR:S:PRINT:LS MIDI DRESS</t>
  </si>
  <si>
    <t>LEB21DS1</t>
  </si>
  <si>
    <t>LS MIDI DRESS LEB WITH EMBRO LEB21DS1:OFF WHITE:S:SOLID:LS MIDI DRESS</t>
  </si>
  <si>
    <t>LS MIDI DRESS LEB WITH EMBRO LEB21DS1:OFF WHITE:XL:SOLID:LS MIDI DRESS</t>
  </si>
  <si>
    <t>TL366</t>
  </si>
  <si>
    <t>SHORT JUMPSUIT PINK RAJUT TLB105 TL366:BLACK:L:CHECK:SHORT JUMPSUIT</t>
  </si>
  <si>
    <t>BAEDK022</t>
  </si>
  <si>
    <t>LS MIDI DRESS KNIT TERRY W HALF SLEEVES BAEDK022:DUSTY PINK:S:SOLID:LS MIDI DRES</t>
  </si>
  <si>
    <t>LS MIDI DRESS KNIT TERRY W HALF SLEEVES BAEDK022:DUSTY PINK:M:SOLID:LS MIDI DRES</t>
  </si>
  <si>
    <t>PSG50</t>
  </si>
  <si>
    <t>SPSH2</t>
  </si>
  <si>
    <t>SHORT PANTS COORDINATION SPSH2:CLASSIC PURPLE:M:SOLID:SHORT PANTS</t>
  </si>
  <si>
    <t>SHORT PANTS COORDINATION SPSH2:CLASSIC PURPLE:L:SOLID:SHORT PANTS</t>
  </si>
  <si>
    <t>LEB21WB1</t>
  </si>
  <si>
    <t>LONG PANTS LEB WOVEN EMBROIDERY ON BOTTOM LEB21WB1:OFF WHITE:S:SOLID:LONG PANTS</t>
  </si>
  <si>
    <t>LONG PANTS LEB WOVEN EMBROIDERY ON BOTTOM LEB21WB1:OFF WHITE:M:SOLID:LONG PANTS</t>
  </si>
  <si>
    <t>SPLP1</t>
  </si>
  <si>
    <t>LONG PANTS COORD GEOMETRIC PRINT SPLP1:KHAKI:M:PRINT:LONG PANTS</t>
  </si>
  <si>
    <t>LONG PANTS COORD GEOMETRIC PRINT SPLP1:KHAKI:XL:PRINT:LONG PANTS</t>
  </si>
  <si>
    <t>SPLP2</t>
  </si>
  <si>
    <t>LONG PANTS CULLOTE WITH BUTTON SPLP2:KHAKI:S:SOLID:LONG PANTS</t>
  </si>
  <si>
    <t>LONG PANTS CULLOTE WITH BUTTON SPLP2:KHAKI:M:SOLID:LONG PANTS</t>
  </si>
  <si>
    <t>LONG PANTS CULLOTE WITH BUTTON SPLP2:KHAKI:L:SOLID:LONG PANTS</t>
  </si>
  <si>
    <t>LONG PANTS CULLOTE WITH BUTTON SPLP2:KHAKI:XL:SOLID:LONG PANTS</t>
  </si>
  <si>
    <t>SPKL05</t>
  </si>
  <si>
    <t>LONG PANTS CULLOTE WITH BELT SPKL05:PINK LEMONADE:M:SOLID:LONG PANTS</t>
  </si>
  <si>
    <t>LONG PANTS CULLOTE WITH BELT SPKL05:PINK LEMONADE:L:SOLID:LONG PANTS</t>
  </si>
  <si>
    <t>SPSK1</t>
  </si>
  <si>
    <t>MAXI SKIRT LAYER SPSK1:KHAKI:S:SOLID:MAXI SKIRT</t>
  </si>
  <si>
    <t>MAXI SKIRT LAYER SPSK1:KHAKI:M:SOLID:MAXI SKIRT</t>
  </si>
  <si>
    <t>SGWB18</t>
  </si>
  <si>
    <t>MAXI SKIRT WITH SIDE BUTTONS SGWB18:BROWN SUGAR:M:SOLID:MAXI SKIRT</t>
  </si>
  <si>
    <t>MAXI SKIRT WITH SIDE BUTTONS SGWB18:BROWN SUGAR:XL:SOLID:MAXI SKIRT</t>
  </si>
  <si>
    <t>SGSP021</t>
  </si>
  <si>
    <t>SHORT PANTS BASIC WOVEN SGSP021:FROST GREY:M:SOLID:SHORT PANTS</t>
  </si>
  <si>
    <t>SHORT PANTS BASIC WOVEN SGSP021:FROST GREY:L:SOLID:SHORT PANTS</t>
  </si>
  <si>
    <t>MASSP3</t>
  </si>
  <si>
    <t>SHORT PANTS SET WITH SHORT BLOUSE MASSP3:GOLDEN BROWN:S:SOLID:SHORT PANTS</t>
  </si>
  <si>
    <t>MASSP2</t>
  </si>
  <si>
    <t>SHORT PANTS SET WITH SHORT SHIRT PRINT MASSP2:DUSTY PINK:L:PRINT:SHORT PANTS</t>
  </si>
  <si>
    <t>SHORT PANTS SET WITH SHORT SHIRT PRINT MASSP2:DUSTY PINK:XL:PRINT:SHORT PANTS</t>
  </si>
  <si>
    <t>MASLP12</t>
  </si>
  <si>
    <t>LONG PANTS BASIC W ROPE IN WAIST BROWN MASLP12:BROWN SUGAR:M:SOLID:LONG PANTS</t>
  </si>
  <si>
    <t>LONG PANTS BASIC W ROPE IN WAIST BROWN MASLP12:BROWN SUGAR:XL:SOLID:LONG PANTS</t>
  </si>
  <si>
    <t>MASLP1</t>
  </si>
  <si>
    <t>LONG PANTS CULLOTTE W BOW MASLP1:CHARCOAL:S:SOLID:LONG PANTS</t>
  </si>
  <si>
    <t>LONG PANTS CULLOTTE W BOW MASLP1:CHARCOAL:L:SOLID:LONG PANTS</t>
  </si>
  <si>
    <t>MASWB028</t>
  </si>
  <si>
    <t>LONG PANTS WIDE W SLIT OPENING AT SIDE BOTTOM MASWB028:KHAKI:S:SOLID:LONG PANTS</t>
  </si>
  <si>
    <t>LONG PANTS WIDE W SLIT OPENING AT SIDE BOTTOM MASWB028:KHAKI:L:SOLID:LONG PANTS</t>
  </si>
  <si>
    <t>LONG PANTS WIDE W SLIT OPENING AT SIDE BOTTOM MASWB028:KHAKI:XL:SOLID:LONG PANTS</t>
  </si>
  <si>
    <t>MASSPW024</t>
  </si>
  <si>
    <t>SHORT PANTS W ZIP OPENING MASSPW024:DUSTY PINK:M:SOLID:SHORT PANTS</t>
  </si>
  <si>
    <t>SHORT PANTS W ZIP OPENING MASSPW024:DUSTY PINK:XL:SOLID:SHORT PANTS</t>
  </si>
  <si>
    <t>PRDDWB01</t>
  </si>
  <si>
    <t>DENIM LONG PANTS PALAZZO PRDDWB01:DARK DENIM:S:SOLID:DENIM LONG PANT</t>
  </si>
  <si>
    <t>DENIM LONG PANTS PALAZZO PRDDWB01:DARK DENIM:M:SOLID:DENIM LONG PANT</t>
  </si>
  <si>
    <t>DENIM LONG PANTS PALAZZO PRDDWB01:DARK DENIM:L:SOLID:DENIM LONG PANT</t>
  </si>
  <si>
    <t>DENIM LONG PANTS PALAZZO PRDDWB01:DARK DENIM:XL:SOLID:DENIM LONG PANT</t>
  </si>
  <si>
    <t>RKKI2</t>
  </si>
  <si>
    <t>LONG PANTS TAPERED KI BABY ANGEL NO TALI RKKI2:OLIVE:S:SOLID:LONG PANTS</t>
  </si>
  <si>
    <t>LONG PANTS TAPERED KI BABY ANGEL NO TALI RKKI2:OLIVE:L:SOLID:LONG PANTS</t>
  </si>
  <si>
    <t>LONG PANTS TAPERED KI BABY ANGEL NO TALI RKKI2:OLIVE:XL:SOLID:LONG PANTS</t>
  </si>
  <si>
    <t>LONG PANTS TAPERED KI BABY ANGEL NO TALI RKKI2:DUSTY PINK:L:SOLID:LONG PANTS</t>
  </si>
  <si>
    <t>RK210</t>
  </si>
  <si>
    <t>LONG PANTS TAPERED BB CVS STITCHES RK210:BLACK:M:SOLID:LONG PANTS</t>
  </si>
  <si>
    <t>LONG PANTS TAPERED BB CVS STITCHES RK210:BLACK:L:SOLID:LONG PANTS</t>
  </si>
  <si>
    <t>RK215</t>
  </si>
  <si>
    <t>RK224</t>
  </si>
  <si>
    <t>CHINOS PANTS TAPERED BASIC RK224:BLACK:XL:SOLID:CHINOS PANTS</t>
  </si>
  <si>
    <t>RKPRT7</t>
  </si>
  <si>
    <t>CHINOS PANTS TAPERED HOUNDS WITH RUFFLED WITH TALI RKPRT7:KHAKI:S:CHECKS:CHINOS PA</t>
  </si>
  <si>
    <t>CHINOS PANTS TAPERED HOUNDS WITH RUFFLED WITH TALI RKPRT7:KHAKI:XL:CHECKS:CHINOS PA</t>
  </si>
  <si>
    <t>RKPL216</t>
  </si>
  <si>
    <t>LONG PANTS PALAZZO HOUNDS W TAPE RKPL216:BLACK:XL:CHECKS:LONG PANTS</t>
  </si>
  <si>
    <t>RK217</t>
  </si>
  <si>
    <t>CHINOS PANTS PALAZZO HOUNDS W TALI RK217:BLACK:M:SOLID:CHINOS PANTS</t>
  </si>
  <si>
    <t>RK218</t>
  </si>
  <si>
    <t>CHINOS PANTS TAPERED KTK HTM ABU NO TALI RK218:FROST GREY:M:CHECKS:CHINOS PANTS</t>
  </si>
  <si>
    <t>RK225</t>
  </si>
  <si>
    <t>RK230</t>
  </si>
  <si>
    <t>LONG PANTS PALAZZO RK230:CHARCOAL:M:SOLID:LONG PANTS</t>
  </si>
  <si>
    <t>RK231</t>
  </si>
  <si>
    <t>CHINOS PANTS TAPERED W ZIPPER AND POCKET VARIATION RK231:BLACK:M:SOLID:CHINOS PAN</t>
  </si>
  <si>
    <t>RK240</t>
  </si>
  <si>
    <t>LONG PANTS RAYON TWILL RK240:BLACK:M:SOLID:LONG PANTS</t>
  </si>
  <si>
    <t>LONG PANTS RAYON TWILL RK240:BLACK:L:SOLID:LONG PANTS</t>
  </si>
  <si>
    <t>LONG PANTS RAYON TWILL RK240:BLACK:XL:SOLID:LONG PANTS</t>
  </si>
  <si>
    <t>RK247</t>
  </si>
  <si>
    <t>CHINOS PANTS TAPPERED STRIPE W BUTTON ON SIDE RK247:CHARCOAL:S:STRIPES:CHINOS PANT</t>
  </si>
  <si>
    <t>CHINOS PANTS TAPPERED STRIPE W BUTTON ON SIDE RK247:CHARCOAL:L:STRIPES:CHINOS PANT</t>
  </si>
  <si>
    <t>CHINOS PANTS TAPPERED STRIPE W BUTTON ON SIDE RK247:CHARCOAL:XL:STRIPES:CHINOS PANT</t>
  </si>
  <si>
    <t>RK239</t>
  </si>
  <si>
    <t>CHINOS PANTS WITH PIPING ON FRONT RK239:BLACK:L:SOLID:CHINOS PANTS</t>
  </si>
  <si>
    <t>CHINOS PANTS WITH PIPING ON FRONT RK239:BLACK:XL:SOLID:CHINOS PANTS</t>
  </si>
  <si>
    <t>RK244</t>
  </si>
  <si>
    <t>CAPRI PANTS TAPPPERED WITH TIE KNOT ON SIDE RK244:CHARCOAL:S:SOLID:CAPRI PANTS</t>
  </si>
  <si>
    <t>CAPRI PANTS TAPPPERED WITH TIE KNOT ON SIDE RK244:CHARCOAL:M:SOLID:CAPRI PANTS</t>
  </si>
  <si>
    <t>CAPRI PANTS TAPPPERED WITH TIE KNOT ON SIDE RK244:CHARCOAL:L:SOLID:CAPRI PANTS</t>
  </si>
  <si>
    <t>RK238</t>
  </si>
  <si>
    <t>SHORT PANTS WITH RUFFLES ON WAIST RK238:KHAKI:L:SOLID:SHORT PANTS</t>
  </si>
  <si>
    <t>RK237</t>
  </si>
  <si>
    <t>SHORT PANTS WITH ASSYMETRICAL POCKET ON SIDE RK237:KHAKI:S:SOLID:SHORT PANTS</t>
  </si>
  <si>
    <t>SHORT PANTS WITH ASSYMETRICAL POCKET ON SIDE RK237:KHAKI:L:SOLID:SHORT PANTS</t>
  </si>
  <si>
    <t>SHORT PANTS WITH ASSYMETRICAL POCKET ON SIDE RK237:KHAKI:XL:SOLID:SHORT PANTS</t>
  </si>
  <si>
    <t>RK236</t>
  </si>
  <si>
    <t>LONG PANTS STRAIGHT WITH ROPE ON WAIST RK236:BLACK:M:SOLID:LONG PANTS</t>
  </si>
  <si>
    <t>RK252</t>
  </si>
  <si>
    <t>LONG PANTS WOVEN BOTTOM (TWILL FABRIC) RK252:BROWN SUGAR:L:SOLID:LONG PANTS</t>
  </si>
  <si>
    <t>LONG PANTS WOVEN BOTTOM (TWILL FABRIC) RK252:BROWN SUGAR:XL:SOLID:LONG PANTS</t>
  </si>
  <si>
    <t>RK253</t>
  </si>
  <si>
    <t>LONG PANTS WOVEN BOTTOM (DOBBY FABRIC) RK253:BLACK:M:STRIPES:LONG PANTS</t>
  </si>
  <si>
    <t>LONG PANTS 78 WITH CULLOTES SHAPE W BUTTON AT FRONT RK268:BLACK:S:SOLID:LONG PANT</t>
  </si>
  <si>
    <t>LONG PANTS 78 WITH CULLOTES SHAPE W BUTTON AT FRONT RK268:BLACK:M:SOLID:LONG PANT</t>
  </si>
  <si>
    <t>LONG PANTS 78 WITH CULLOTES SHAPE W BUTTON AT FRONT RK268:BLACK:L:SOLID:LONG PANT</t>
  </si>
  <si>
    <t>BAEKL44</t>
  </si>
  <si>
    <t>LONG PANTS CULOTS WITH PLITSKET BAEKL44:BLACK:S:SOLID:LONG PANTS</t>
  </si>
  <si>
    <t>LONG PANTS CULOTS WITH PLITSKET BAEKL44:CLASSIC PURPLE:S:SOLID:LONG PANTS</t>
  </si>
  <si>
    <t>LONG PANTS CULOTS WITH PLITSKET BAEKL44:CLASSIC PURPLE:M:SOLID:LONG PANTS</t>
  </si>
  <si>
    <t>LONG PANTS CULOTS WITH PLITSKET BAEKL44:CLASSIC PURPLE:L:SOLID:LONG PANTS</t>
  </si>
  <si>
    <t>LONG PANTS CULOTS WITH PLITSKET BAEKL44:CLASSIC PURPLE:XL:SOLID:LONG PANTS</t>
  </si>
  <si>
    <t>LGTRB</t>
  </si>
  <si>
    <t>LEGGING SPX LGTRB:BLACK:M:SOLID:LEGGING</t>
  </si>
  <si>
    <t>LGTLB</t>
  </si>
  <si>
    <t>LEGGING  BASIC SPX LGTLB:OLIVE:M:SOLID:LEGGING</t>
  </si>
  <si>
    <t>LEGGING  BASIC SPX LGTLB:OLIVE:L:SOLID:LEGGING</t>
  </si>
  <si>
    <t>LEGGING  BASIC SPX LGTLB:OLIVE:XL:SOLID:LEGGING</t>
  </si>
  <si>
    <t>LEGGING  BASIC SPX LGTLB:NAVY BLUE:L:SOLID:LEGGING</t>
  </si>
  <si>
    <t>TL371</t>
  </si>
  <si>
    <t>LONG PANTS TX STRIPE TL371:NAVY BLUE:S:TEXTURE:LONG PANTS</t>
  </si>
  <si>
    <t>LONG PANTS TX STRIPE TL371:NAVY BLUE:M:TEXTURE:LONG PANTS</t>
  </si>
  <si>
    <t>LONG PANTS TX STRIPE TL371:NAVY BLUE:L:TEXTURE:LONG PANTS</t>
  </si>
  <si>
    <t>PNKTL410</t>
  </si>
  <si>
    <t>JOGGER PANTS STR RIB ANKLE W PIPING PNKTL410:MISTY MEDIUM:XL:SOLID:JOGGER</t>
  </si>
  <si>
    <t>TLKB369</t>
  </si>
  <si>
    <t>LONG PANTS W MIXED FABRIC TLKB369:BLACK:S:SOLID:LONG PANTS</t>
  </si>
  <si>
    <t>LONG PANTS W MIXED FABRIC TLKB369:BLACK:M:SOLID:LONG PANTS</t>
  </si>
  <si>
    <t>LONG PANTS W MIXED FABRIC TLKB369:BLACK:L:SOLID:LONG PANTS</t>
  </si>
  <si>
    <t>LONG PANTS W MIXED FABRIC TLKB369:BLACK:XL:SOLID:LONG PANTS</t>
  </si>
  <si>
    <t>CNY21PRT01</t>
  </si>
  <si>
    <t>SS MIDI DRESS PRT CNY W/SAKURA PRINT RED CNY21PRT01:MAROON:S:PRINT:SS MIDI DRE</t>
  </si>
  <si>
    <t>CNY21SLD02</t>
  </si>
  <si>
    <t>SS MIDI DRESS SLD CNY W/POLY CREAPE SOLID PINK CNY21SLD02:DUSTY PIN:S:SOLID:SS MIDI D</t>
  </si>
  <si>
    <t>SS MIDI DRESS SLD CNY W/POLY CREAPE SOLID PINK CNY21SLD02:DUSTY PIN:M:SOLID:SS MIDI D</t>
  </si>
  <si>
    <t>SS MIDI DRESS SLD CNY W/POLY CREAPE SOLID PINK CNY21SLD02:DUSTY PIN:XL:SOLID:SS MIDI D</t>
  </si>
  <si>
    <t>LEB20VD3</t>
  </si>
  <si>
    <t>LEB TOP WVN PONCHO EMB RED BLUE:OFF WHITE:S</t>
  </si>
  <si>
    <t>LEB TOP WVN PONCHO EMB RED BLUE:OFF WHITE:XL</t>
  </si>
  <si>
    <t>LEB20VD2</t>
  </si>
  <si>
    <t>LEB TOP WVN EMB KRISTIK ROUND NECK:OLD GOLD:S</t>
  </si>
  <si>
    <t>LONG PANTS LEB WOVEN EMBROIDERY ON BOTTOM LEB21WB1:OFF WHITE:L:SOLID:LONG PANTS</t>
  </si>
  <si>
    <t>SP11186-SB</t>
  </si>
  <si>
    <t>7/8 RAYON-WOVEN STRIPES RUFFLES STYLE SKY BLUE:PASTEL BLUE:XL</t>
  </si>
  <si>
    <t>SP11194-PA</t>
  </si>
  <si>
    <t>LS RU ROUND ZIPPER DETAIL:LIGHT CORAL:S</t>
  </si>
  <si>
    <t>RM0023</t>
  </si>
  <si>
    <t>TOP WVN SS KOMB RAY RUFF:BLACK:S</t>
  </si>
  <si>
    <t>TOP WVN SS KOMB RAY RUFF:BLACK:M</t>
  </si>
  <si>
    <t>TOP WVN SS KOMB RAY RUFF:BLACK:L</t>
  </si>
  <si>
    <t>VALRM050</t>
  </si>
  <si>
    <t>VALENTINE TOP WVN LS 3 HEART:OFF WHITE:S</t>
  </si>
  <si>
    <t>VALENTINE TOP WVN LS 3 HEART:OFF WHITE:M</t>
  </si>
  <si>
    <t>VALENTINE TOP WVN LS 3 HEART:OFF WHITE:L</t>
  </si>
  <si>
    <t>VALENTINE TOP WVN LS 3 HEART:OFF WHITE:XL</t>
  </si>
  <si>
    <t>SP11060</t>
  </si>
  <si>
    <t>TOP WVN LS WOMEN PRT:WHITE:S</t>
  </si>
  <si>
    <t>RM0035</t>
  </si>
  <si>
    <t>TOP WVN TURTLE 3 BTN:OFF WHITE:M</t>
  </si>
  <si>
    <t>SP11299</t>
  </si>
  <si>
    <t>TOP WVN BOATNECK LACE:OFF WHITE:M</t>
  </si>
  <si>
    <t>TWSG2</t>
  </si>
  <si>
    <t>TOP WVN SS SHIRT POLO:OFF WHITE:S</t>
  </si>
  <si>
    <t>TWSG11BW</t>
  </si>
  <si>
    <t>TOP WVN LS W/ TAPE ROLL UP:OFF WHITE:L</t>
  </si>
  <si>
    <t>TWSG8BW</t>
  </si>
  <si>
    <t>TOP WVN SS COL LAYER:OFF WHITE:S</t>
  </si>
  <si>
    <t>TWSG11OL</t>
  </si>
  <si>
    <t>TOP WVN LS W/ TAPE ROLL UP:OLIVE:S</t>
  </si>
  <si>
    <t>TOP WVN LS W/ TAPE ROLL UP:OLIVE:L</t>
  </si>
  <si>
    <t>PINKSG25</t>
  </si>
  <si>
    <t>PINK TOP WVN KOMB EYELET:DUSTY PINK:M</t>
  </si>
  <si>
    <t>OGSG49</t>
  </si>
  <si>
    <t>OLD GOLD TOP WVN MIX IMP:OLD GOLD:S</t>
  </si>
  <si>
    <t>OLD GOLD TOP WVN MIX IMP:OLD GOLD:M</t>
  </si>
  <si>
    <t>OLD GOLD TOP WVN MIX IMP:OLD GOLD:L</t>
  </si>
  <si>
    <t>TRGSG1</t>
  </si>
  <si>
    <t>TRG TOP WVN EMG FLW TURT:OFF WHITE:S</t>
  </si>
  <si>
    <t>SG36</t>
  </si>
  <si>
    <t>3/4 BLOUSE TOP WOVEN IKAT BAWAH MIX IMP SG36:CORAL:S:STRIPE:3/4 BLOUSE</t>
  </si>
  <si>
    <t>3/4 BLOUSE TOP WOVEN IKAT BAWAH MIX IMP SG36:CORAL:M:STRIPE:3/4 BLOUSE</t>
  </si>
  <si>
    <t>3/4 BLOUSE TOP WOVEN IKAT BAWAH MIX IMP SG36:CORAL:L:STRIPE:3/4 BLOUSE</t>
  </si>
  <si>
    <t>3/4 BLOUSE TOP WOVEN IKAT BAWAH MIX IMP SG36:CORAL:XL:STRIPE:3/4 BLOUSE</t>
  </si>
  <si>
    <t>CMSG69</t>
  </si>
  <si>
    <t>LS BLOUSE TURTLE RUFFLE CMSG69:OFF WHITE:S:SOLID:LS BLOUSE</t>
  </si>
  <si>
    <t>LS BLOUSE TURTLE RUFFLE CMSG69:OFF WHITE:M:SOLID:LS BLOUSE</t>
  </si>
  <si>
    <t>LS BLOUSE TURTLE RUFFLE CMSG69:OFF WHITE:L:SOLID:LS BLOUSE</t>
  </si>
  <si>
    <t>LS BLOUSE TURTLE RUFFLE CMSG69:OFF WHITE:XL:SOLID:LS BLOUSE</t>
  </si>
  <si>
    <t>CMSG70</t>
  </si>
  <si>
    <t>LS BLOUSE TURTLENECK PLEATS CMSG70:MAROON:S:SOLID:LS BLOUSE</t>
  </si>
  <si>
    <t>LS BLOUSE TURTLENECK PLEATS CMSG70:MAROON:L:SOLID:LS BLOUSE</t>
  </si>
  <si>
    <t>CMSG95</t>
  </si>
  <si>
    <t>LS SHIRT BUTTON BACK FRONT CMSG95:MAROON:M:SOLID:LS SHIRT</t>
  </si>
  <si>
    <t>LS SHIRT BUTTON BACK FRONT CMSG95:MAROON:L:SOLID:LS SHIRT</t>
  </si>
  <si>
    <t>HAPPY BOX</t>
  </si>
  <si>
    <t>WORLD HAPPY BOX 29900 MARET 2017</t>
  </si>
  <si>
    <t>KHAMS62</t>
  </si>
  <si>
    <t>KHAKI TOP WVN LS TX SLUB:OFF WHITE:M</t>
  </si>
  <si>
    <t>PINKMS63</t>
  </si>
  <si>
    <t>KHAKI TOP WVN LS TWISTED:OFF WHITE:M</t>
  </si>
  <si>
    <t>KHAKI TOP WVN LS TWISTED:OFF WHITE:L</t>
  </si>
  <si>
    <t>KHAMS64</t>
  </si>
  <si>
    <t>KHAKI JACKET DOBBY TX W/ TALI:KHAKI:XL</t>
  </si>
  <si>
    <t>CHOVD8</t>
  </si>
  <si>
    <t>LS BLOUSE EMBROIDERY FLOWER CHOVD8:KHAKI:M:SOLID:LS BLOUSE</t>
  </si>
  <si>
    <t>T1150BL</t>
  </si>
  <si>
    <t>3/4 ROLL UP KERAH KEMEJA SIFON - BLACK</t>
  </si>
  <si>
    <t>TWKUI3BLK</t>
  </si>
  <si>
    <t>TOP WOVEN RAYON TWILL:BLACK:S</t>
  </si>
  <si>
    <t>TLT90BW</t>
  </si>
  <si>
    <t>SS TERRY KOMBI LACE:OFF WHITE:M</t>
  </si>
  <si>
    <t>TLT113WH</t>
  </si>
  <si>
    <t>SS STRIPES OVERSIZED TOP WITH BOW AT SIDES:WHITE:M</t>
  </si>
  <si>
    <t>TLT160-B</t>
  </si>
  <si>
    <t>LS KNIT TOP WITH PLISKET AT BACK:BLACK:L</t>
  </si>
  <si>
    <t>TLT181-W</t>
  </si>
  <si>
    <t>TLT313</t>
  </si>
  <si>
    <t>TOP KNIT LS KOMB STR HALF:MISTY LIGHT GREY:M</t>
  </si>
  <si>
    <t>TLT318</t>
  </si>
  <si>
    <t>TOP KNIT LS KOMB WVN PINK STR @BACK:MISTY LIGHT GRE:M</t>
  </si>
  <si>
    <t>TLT317</t>
  </si>
  <si>
    <t>TOP KNIT SS WOMEN:WHITE:S</t>
  </si>
  <si>
    <t>TLT330TER</t>
  </si>
  <si>
    <t>TOP KNIT LS SPX KUPNAT TGN:MANDARIN ORANGE:M</t>
  </si>
  <si>
    <t>TLT330OW</t>
  </si>
  <si>
    <t>TOP KNIT LS SPX KUPNAT TGN:OFF WHITE:XL</t>
  </si>
  <si>
    <t>TLT328</t>
  </si>
  <si>
    <t>TOP KNIT LS KOMB WVN COL EMB:OLIVE:S</t>
  </si>
  <si>
    <t>TOP KNIT LS KOMB WVN COL EMB:OLIVE:M</t>
  </si>
  <si>
    <t>TOP KNIT LS KOMB WVN COL EMB:OLIVE:L</t>
  </si>
  <si>
    <t>TOP KNIT LS KOMB WVN COL EMB:OLIVE:XL</t>
  </si>
  <si>
    <t>TLT325DP</t>
  </si>
  <si>
    <t>TOP KNIT LS DB TURTLE TIE:DUSTY PINK:S</t>
  </si>
  <si>
    <t>TLT338</t>
  </si>
  <si>
    <t>TLT334</t>
  </si>
  <si>
    <t>TOP KNIT LS CUTSEW YLW:BLACK:S</t>
  </si>
  <si>
    <t>TLT329</t>
  </si>
  <si>
    <t>TOP KNIT LS HALF COLLAR:OFF WHITE:L</t>
  </si>
  <si>
    <t>TLT349</t>
  </si>
  <si>
    <t>TOP KNIT LS FP SML FLW OG:OLD GOLD:M</t>
  </si>
  <si>
    <t>TOP KNIT LS FP SML FLW OG:OLD GOLD:L</t>
  </si>
  <si>
    <t>CNY20TL3</t>
  </si>
  <si>
    <t>VALTRI4</t>
  </si>
  <si>
    <t>VALENTINE TEE MODAL STR FLOCK HEART:WHITE:L</t>
  </si>
  <si>
    <t>TRI6</t>
  </si>
  <si>
    <t>TEE MODAL CUT N SEW:MISTY MEDIUM GREY:S</t>
  </si>
  <si>
    <t>TKKUI1</t>
  </si>
  <si>
    <t>TEE PRT EMBOSS FLW @SHOULD:WHITE:S</t>
  </si>
  <si>
    <t>TKKUI2</t>
  </si>
  <si>
    <t>TEE PRT EMBOSS FLW @CHEST RUFF:DUSTY PINK:S</t>
  </si>
  <si>
    <t>TEE PRT EMBOSS FLW @CHEST RUFF:DUSTY PINK:M</t>
  </si>
  <si>
    <t>TEE PRT EMBOSS FLW @CHEST RUFF:DUSTY PINK:XL</t>
  </si>
  <si>
    <t>CHAINTL1</t>
  </si>
  <si>
    <t>CHA TOP KNIT DB W/ PRT CHAIN DBALL:OFF WHITE:XL</t>
  </si>
  <si>
    <t>TURTL1PK</t>
  </si>
  <si>
    <t>TOP KNIT LS RIB TURTLENECK 1X1:DUSTY PINK:XL</t>
  </si>
  <si>
    <t>KHATL356</t>
  </si>
  <si>
    <t>KHAKI TOP KNIT LS W/ KOMB RYN:KHAKI:S</t>
  </si>
  <si>
    <t>KHAKI TOP KNIT LS W/ KOMB RYN:KHAKI:M</t>
  </si>
  <si>
    <t>KHAKI TOP KNIT LS W/ KOMB RYN:KHAKI:L</t>
  </si>
  <si>
    <t>KHAKI TOP KNIT LS W/ KOMB RYN:KHAKI:XL</t>
  </si>
  <si>
    <t>PINKTL358</t>
  </si>
  <si>
    <t>PINK TOP KNIT LS W/ KOMB WVN SLV:DUSTY PINK:S</t>
  </si>
  <si>
    <t>KHATL355</t>
  </si>
  <si>
    <t>KHAKI TOP KNIT LS STR W/ BUTTONS:KHAKI:XL</t>
  </si>
  <si>
    <t>OGTL355</t>
  </si>
  <si>
    <t>KHAKI TOP KNIT LS STR W/ BUTTONS:OLD GOLD:XL</t>
  </si>
  <si>
    <t>PINKTL364</t>
  </si>
  <si>
    <t>PINK TOP KNIT SPX W/ RENDA:DUSTY PINK:XL</t>
  </si>
  <si>
    <t>DBTAL1BLK</t>
  </si>
  <si>
    <t>DOORBUSTER TOP KNIT LS:BLACK:L</t>
  </si>
  <si>
    <t>CBTL364</t>
  </si>
  <si>
    <t>COR BLU TOP KNIT SPX W/ RENDA:NAVY BLUE:M</t>
  </si>
  <si>
    <t>COR BLU TOP KNIT SPX W/ RENDA:NAVY BLUE:L</t>
  </si>
  <si>
    <t>COR BLU TOP KNIT SPX W/ RENDA:NAVY BLUE:XL</t>
  </si>
  <si>
    <t>PINKTL363</t>
  </si>
  <si>
    <t>PINK TOP KNIT LS W/ RENDA CHIFF:DUSTY PINK:S</t>
  </si>
  <si>
    <t>PINK TOP KNIT LS W/ RENDA CHIFF:DUSTY PINK:M</t>
  </si>
  <si>
    <t>PINK TOP KNIT LS W/ RENDA CHIFF:DUSTY PINK:L</t>
  </si>
  <si>
    <t>PINK TOP KNIT LS W/ RENDA CHIFF:DUSTY PINK:XL</t>
  </si>
  <si>
    <t>PINKTL359</t>
  </si>
  <si>
    <t>PINK TOP KNIT MS W/ EYELET:MISTY MEDIUM GREY:S</t>
  </si>
  <si>
    <t>PINK TOP KNIT MS W/ EYELET:MISTY MEDIUM GREY:L</t>
  </si>
  <si>
    <t>DBTAL1OL</t>
  </si>
  <si>
    <t>DOORBUSTER TOP KNIT LS:OLIVE:S</t>
  </si>
  <si>
    <t>DBTAL1PP</t>
  </si>
  <si>
    <t>DOORBUSTER TOP KNIT LS:PASTEL PINK:S</t>
  </si>
  <si>
    <t>DOORBUSTER TOP KNIT LS:PASTEL PINK:L</t>
  </si>
  <si>
    <t>TL375</t>
  </si>
  <si>
    <t>SWEATSHIRT TOP KNIT LS PATCH HOUNDS GIRL TL375:OFF WHITE:L:GRAPHIC:SWEATSHIRT</t>
  </si>
  <si>
    <t>TL381</t>
  </si>
  <si>
    <t>SWEATSHIRT OGOLD TOP KNIT TURT MID STRING TL381:SUNSHINE YELL:S:SOLID:SWEATSHIRT</t>
  </si>
  <si>
    <t>PINKMS65</t>
  </si>
  <si>
    <t>PINK OUTER BLAZER:PASTEL PINK:M</t>
  </si>
  <si>
    <t>PINK OUTER BLAZER:PASTEL PINK:L</t>
  </si>
  <si>
    <t>PINK OUTER BLAZER:PASTEL PINK:XL</t>
  </si>
  <si>
    <t>TL374</t>
  </si>
  <si>
    <t>BLAZER KNIT HOUNDS TL374:WOOD BROWN:S:CHECK:BLAZER</t>
  </si>
  <si>
    <t>DRSG17</t>
  </si>
  <si>
    <t>DRESS SS RYN W/ EMB:DUSTY PINK:L</t>
  </si>
  <si>
    <t>KHASG21</t>
  </si>
  <si>
    <t>KHAKI DRESS KACIONIC:KHAKI:M</t>
  </si>
  <si>
    <t>KHAKI DRESS KACIONIC:KHAKI:L</t>
  </si>
  <si>
    <t>CBSG38</t>
  </si>
  <si>
    <t>COR BLU DRESS MAXI FAMOSO:CORAL:L</t>
  </si>
  <si>
    <t>COR BLU DRESS MAXI FAMOSO:CORAL:XL</t>
  </si>
  <si>
    <t>OLVSG38</t>
  </si>
  <si>
    <t>OLIVE DRESS MAXI FAMOSO:OLIVE:S</t>
  </si>
  <si>
    <t>OLIVE DRESS MAXI FAMOSO:OLIVE:M</t>
  </si>
  <si>
    <t>OLIVE DRESS MAXI FAMOSO:OLIVE:XL</t>
  </si>
  <si>
    <t>PGSG33</t>
  </si>
  <si>
    <t>PGREEN DRESS MAXI KACIONIC:PASTEL GREEN:M</t>
  </si>
  <si>
    <t>OVERALL MAXI SKIRT STRIPE SG59:OLD GOLD:S:TEXTURE:OVERALL MIXI SKI</t>
  </si>
  <si>
    <t>TLT322</t>
  </si>
  <si>
    <t>DRESS 2 PCS DANBL PRT ETHNIC:BLACK:S</t>
  </si>
  <si>
    <t>DRESS 2 PCS DANBL PRT ETHNIC:BLACK:L</t>
  </si>
  <si>
    <t>PINKTL360</t>
  </si>
  <si>
    <t>PINK DRESS MAXI W/ KANCING KAYU:DUSTY PINK:S</t>
  </si>
  <si>
    <t>PINK DRESS MAXI W/ KANCING KAYU:DUSTY PINK:L</t>
  </si>
  <si>
    <t>SP11342R</t>
  </si>
  <si>
    <t>HIGH WAISTED TAPERED PANTS:CLASSIC RED:M</t>
  </si>
  <si>
    <t>PKACSG1KH</t>
  </si>
  <si>
    <t>PANTS PALAZZO KACIONIC:KHAKI:L</t>
  </si>
  <si>
    <t>PINKSG51</t>
  </si>
  <si>
    <t>SKIRT LAYER PANTS:DUSTY PINK:S</t>
  </si>
  <si>
    <t>LONG PANTS TAPERED CROSSFIRE PSG50:KHAKI:S:SOLID:LONG PANTS</t>
  </si>
  <si>
    <t>OGPD6</t>
  </si>
  <si>
    <t>LONG PANTS W/ TAPE OG OLV OGPD6:KHAKI:S:SOLID:LONG PANTS</t>
  </si>
  <si>
    <t>LONG PANTS W/ TAPE OG OLV OGPD6:KHAKI:M:SOLID:LONG PANTS</t>
  </si>
  <si>
    <t>RKPL176FG</t>
  </si>
  <si>
    <t>PANTS PALAZZO PINSTRIPES W/ TALI:FROST GREY:XL</t>
  </si>
  <si>
    <t>RK184</t>
  </si>
  <si>
    <t>RK193</t>
  </si>
  <si>
    <t>PANTS TAPERED BASIC STRETCH:OFF WHITE:M</t>
  </si>
  <si>
    <t>RK191</t>
  </si>
  <si>
    <t>PANTS TAPERED BASIC:BLACK:M</t>
  </si>
  <si>
    <t>RK190</t>
  </si>
  <si>
    <t>PANTS TAPERED STRETCH:BLACK:L</t>
  </si>
  <si>
    <t>RK196</t>
  </si>
  <si>
    <t>PANTS TAPERED HOUNDSTOOTH WOOL:OLD GOLD:M</t>
  </si>
  <si>
    <t>RK197</t>
  </si>
  <si>
    <t>PANTS TAPERED WOOL CORAK:CHARCOAL:S</t>
  </si>
  <si>
    <t>PANTS TAPERED WOOL CORAK:CHARCOAL:M</t>
  </si>
  <si>
    <t>RKKI1OL</t>
  </si>
  <si>
    <t>PANTS TAPERED BABY CANVAS W/ TALI:OLIVE:M</t>
  </si>
  <si>
    <t>RK203</t>
  </si>
  <si>
    <t>OLVAG</t>
  </si>
  <si>
    <t>LONG PANTS KULOT WITH PIP AND TAPE OLVAG:OLIVE:M:SOLID:SHORT PANTS</t>
  </si>
  <si>
    <t>RK204</t>
  </si>
  <si>
    <t>LONG PANTS TAPERED SMALL HOUNDS RK204:CHARCOAL:S:CHECK:LONG PANTS</t>
  </si>
  <si>
    <t>RK205</t>
  </si>
  <si>
    <t>LONG PANTS TAPERED SMALL CHECK RK205:CHARCOAL:S:CHECK:LONG PANTS</t>
  </si>
  <si>
    <t>RK208</t>
  </si>
  <si>
    <t>LONG PANTS TAPERED BB CVS STITCHES RK208:KHAKI:M:SOLID:LONG PANTS</t>
  </si>
  <si>
    <t>LONG PANTS TAPERED BB CVS STITCHES RK208:KHAKI:L:SOLID:LONG PANTS</t>
  </si>
  <si>
    <t>RK209</t>
  </si>
  <si>
    <t>LONG PANTS 7/8 ROLLED HOUNDSTOOTH RK209:BLACK:M:SOLID:LONG PANTS</t>
  </si>
  <si>
    <t>RK212</t>
  </si>
  <si>
    <t>LONG PANTS SLIM FIT TX RK212:MUSTARD:M:SOLID:LONG PANTS</t>
  </si>
  <si>
    <t>RK220</t>
  </si>
  <si>
    <t>LONG PANTS TAPERED TX STR W/TALI RK220:OFF WHITE:S:SOLID:LONG PANTS</t>
  </si>
  <si>
    <t>RKPL214</t>
  </si>
  <si>
    <t>LONG PANTS PALAZZO HOUNDS PINK W/TAPE RKPL214:BLACK:S:PRINT:LONG PANTS</t>
  </si>
  <si>
    <t>ANIMTL2</t>
  </si>
  <si>
    <t>ANIM PANTS DB W/ LIS  LEOPARD:BLACK:M</t>
  </si>
  <si>
    <t>LEGGING  BASIC SPX LGTLB:BLACK:S:SOLID:LEGGING</t>
  </si>
  <si>
    <t>SP11211</t>
  </si>
  <si>
    <t>SP12345-AQ</t>
  </si>
  <si>
    <t>SABRINA BORDIR BUNGA AQUARIUS:BRILLIANT BLUE:S</t>
  </si>
  <si>
    <t>SP11261</t>
  </si>
  <si>
    <t>7/8 OVERSIZED STYLE WITH CHOKER:PEPPERMINT:M</t>
  </si>
  <si>
    <t>SABRINA BATIK:CLASSIC BLUE:XL</t>
  </si>
  <si>
    <t>SP11453</t>
  </si>
  <si>
    <t>2 PCS LOOK LIKE GINGHAM STYLE WALET PATCH:WHITE:M</t>
  </si>
  <si>
    <t>SP11183SC</t>
  </si>
  <si>
    <t>LS PETERPAN COLLAR WAIST TIE:MAROON:M</t>
  </si>
  <si>
    <t>SP11451</t>
  </si>
  <si>
    <t>7/8 EMBRO TOP AT SHOULDER:OFF WHITE:M</t>
  </si>
  <si>
    <t>SP11623</t>
  </si>
  <si>
    <t>TOP WVN KOMB KNIT OVRSZ:WHITE:M</t>
  </si>
  <si>
    <t>TOP WVN KOMB KNIT OVRSZ:WHITE:L</t>
  </si>
  <si>
    <t>SP11446</t>
  </si>
  <si>
    <t>BATIK TOP PEPLUM ENCIM:WHITE:S</t>
  </si>
  <si>
    <t>MAS35</t>
  </si>
  <si>
    <t>LS WOVEN OUTER TANK DRESS TOP SET:CHARCOAL:XL</t>
  </si>
  <si>
    <t>LEBMAS53</t>
  </si>
  <si>
    <t>LEBARAN TOP WVN POM2 EMB MINT:WHITE:S</t>
  </si>
  <si>
    <t>MAS60</t>
  </si>
  <si>
    <t>X-MAS TOP WVN PLEATS @ARM:OFF WHITE:S</t>
  </si>
  <si>
    <t>T1964POT</t>
  </si>
  <si>
    <t>LS CNY DRSTOP EMBRO:PASTEL PINK:XL</t>
  </si>
  <si>
    <t>RPJT57NV</t>
  </si>
  <si>
    <t>7/8 LAYER SHEER STRIPE:NAVY BLUE:L</t>
  </si>
  <si>
    <t>TLB64BL</t>
  </si>
  <si>
    <t>L/S TOP KNIT KERAH PETERPAN STONE EMBELLISHMENT BLACK</t>
  </si>
  <si>
    <t>KITEX06BB</t>
  </si>
  <si>
    <t>34-TX-SLD-KI:PASTEL BLUE:L</t>
  </si>
  <si>
    <t>LS KNIT CAPE STYLE:WHITE:L</t>
  </si>
  <si>
    <t>TLT169-CR</t>
  </si>
  <si>
    <t>LS KNIT EYELET PITA:BLUSH:XL</t>
  </si>
  <si>
    <t>TLT230-BW</t>
  </si>
  <si>
    <t>SABRINA FLOWER EMBRO:OFF WHITE:S</t>
  </si>
  <si>
    <t>TLT257</t>
  </si>
  <si>
    <t>TOP KNIT PEPLUM 2 ROSE:WHITE:L</t>
  </si>
  <si>
    <t>TLT277</t>
  </si>
  <si>
    <t>TOP KNIT SS ARM SMOCK:OFF WHITE:M</t>
  </si>
  <si>
    <t>TOP KNIT SS ARM SMOCK:OFF WHITE:L</t>
  </si>
  <si>
    <t>TLT287</t>
  </si>
  <si>
    <t>X-MAS TOP KNIT KOMB PLEATS SILV:OFF WHITE:M</t>
  </si>
  <si>
    <t>TLT326</t>
  </si>
  <si>
    <t>TOP KNIT LS HOOD 3 BUTTON:OFF WHITE:S</t>
  </si>
  <si>
    <t>TOP KNIT LS W/ SCARF RYN:PASTEL BLUE:L</t>
  </si>
  <si>
    <t>TPT006</t>
  </si>
  <si>
    <t>LS TERRY TANGAN SERUT:MISTY LIGHT KHAKI:S</t>
  </si>
  <si>
    <t>SP236</t>
  </si>
  <si>
    <t>OUTERWEAR BATIK KIMONO:BUBBLEGUM PINK:S</t>
  </si>
  <si>
    <t>YV260</t>
  </si>
  <si>
    <t>BATIK OUTER RAYON ENCIM:CLASSIC BLUE:S</t>
  </si>
  <si>
    <t>BATIK OUTER RAYON ENCIM:CLASSIC BLUE:M</t>
  </si>
  <si>
    <t>BATIK OUTER RAYON ENCIM:CLASSIC BLUE:L</t>
  </si>
  <si>
    <t>BATIK OUTER RAYON ENCIM:CLASSIC BLUE:XL</t>
  </si>
  <si>
    <t>RPJT16B</t>
  </si>
  <si>
    <t>LS-RY-SLD-CARDIGAN-PIPING:BLACK:S</t>
  </si>
  <si>
    <t>SP11584</t>
  </si>
  <si>
    <t>X-MAS DRESS 2PCS W/ TEE:MAROON:XL</t>
  </si>
  <si>
    <t>CNYDRS1RD</t>
  </si>
  <si>
    <t>SS CNY DRESS TEXTURE:CLASSIC RED:S</t>
  </si>
  <si>
    <t>SP11633</t>
  </si>
  <si>
    <t>X-MAS PALAZZO SLIT WHITE:MAROON:XL</t>
  </si>
  <si>
    <t>KIWVNOG</t>
  </si>
  <si>
    <t>KI KEMEJA RIVET JAN'18 GOLDEN ROD:OLD GOLD:S</t>
  </si>
  <si>
    <t>KI KEMEJA RIVET JAN'18 GOLDEN ROD:OLD GOLD:M</t>
  </si>
  <si>
    <t>KI KEMEJA RIVET JAN'18 GOLDEN ROD:OLD GOLD:L</t>
  </si>
  <si>
    <t>KI KEMEJA RIVET JAN'18 GOLDEN ROD:OLD GOLD:XL</t>
  </si>
  <si>
    <t>KIWVNCHAR</t>
  </si>
  <si>
    <t>KI KEMEJA RIVET FEBRUARY:CHARCOAL:S</t>
  </si>
  <si>
    <t>KI KEMEJA RIVET FEBRUARY:CHARCOAL:M</t>
  </si>
  <si>
    <t>KI KEMEJA RIVET FEBRUARY:CHARCOAL:L</t>
  </si>
  <si>
    <t>KIWVNKHA</t>
  </si>
  <si>
    <t>KI KEMEJA RIVET MARET 2018 KHAKI:KHAKI:S</t>
  </si>
  <si>
    <t>KI KEMEJA RIVET MARET 2018 KHAKI:KHAKI:M</t>
  </si>
  <si>
    <t>KI KEMEJA RIVET MARET 2018 KHAKI:KHAKI:L</t>
  </si>
  <si>
    <t>KI KEMEJA RIVET MARET 2018 KHAKI:KHAKI:XL</t>
  </si>
  <si>
    <t>KIWVNNVY</t>
  </si>
  <si>
    <t>KI KEMEJA RIVET MARET 2018 NAVY:NAVY BLUE:S</t>
  </si>
  <si>
    <t>KI KEMEJA RIVET MARET 2018 NAVY:NAVY BLUE:M</t>
  </si>
  <si>
    <t>KI KEMEJA RIVET MARET 2018 NAVY:NAVY BLUE:L</t>
  </si>
  <si>
    <t>KI KEMEJA RIVET MARET 2018 NAVY:NAVY BLUE:XL</t>
  </si>
  <si>
    <t>KIWVNDP</t>
  </si>
  <si>
    <t>KI KEMEJA RIVET MARCH 2018:DUSTY PINK:S</t>
  </si>
  <si>
    <t>KI KEMEJA RIVET MARCH 2018:DUSTY PINK:M</t>
  </si>
  <si>
    <t>KI KEMEJA RIVET MARCH 2018:DUSTY PINK:L</t>
  </si>
  <si>
    <t>KI KEMEJA RIVET MARCH 2018:DUSTY PINK:XL</t>
  </si>
  <si>
    <t>KIWVN</t>
  </si>
  <si>
    <t>LS SHIRT KI KEMEJA RIVET TREKKING GREEN KIWVN:TEAL:S:SOLID:LS SHIRT</t>
  </si>
  <si>
    <t>LS SHIRT KI KEMEJA RIVET TREKKING GREEN KIWVN:TEAL:M:SOLID:LS SHIRT</t>
  </si>
  <si>
    <t>LS SHIRT KI KEMEJA RIVET TREKKING GREEN KIWVN:TEAL:L:SOLID:LS SHIRT</t>
  </si>
  <si>
    <t>LS SHIRT KI KEMEJA RIVET PASTEL GREEN KIWVN:JADE:S:SOLID:LS SHIRT</t>
  </si>
  <si>
    <t>LS SHIRT KI KEMEJA RIVET PASTEL GREEN KIWVN:JADE:M:SOLID:LS SHIRT</t>
  </si>
  <si>
    <t>LS SHIRT KI KEMEJA RIVET PASTEL GREEN KIWVN:JADE:L:SOLID:LS SHIRT</t>
  </si>
  <si>
    <t>KIWVNBLU</t>
  </si>
  <si>
    <t>KI KEMEJA RIVET FEB VAPOR BLUE:PASTEL GREY:S</t>
  </si>
  <si>
    <t>KI KEMEJA RIVET FEB VAPOR BLUE:PASTEL GREY:M</t>
  </si>
  <si>
    <t>KI KEMEJA RIVET FEB VAPOR BLUE:PASTEL GREY:L</t>
  </si>
  <si>
    <t>KI KEMEJA RIVET FEB VAPOR BLUE:PASTEL GREY:XL</t>
  </si>
  <si>
    <t>KIWVNPP</t>
  </si>
  <si>
    <t>KI KEMEJA RIVET:PASTEL PINK:S</t>
  </si>
  <si>
    <t>KI KEMEJA RIVET:PASTEL PINK:M</t>
  </si>
  <si>
    <t>KI KEMEJA RIVET :PASTEL PINK:L</t>
  </si>
  <si>
    <t>KI KEMEJA RIVET:PASTEL PINK:XL</t>
  </si>
  <si>
    <t xml:space="preserve">AMJAKT03 </t>
  </si>
  <si>
    <t>SS T-SHIRT PLAIN WITH RIB PABRIC AMJAKT03:OLIVE:S:SOLID:SS T-SHIRT</t>
  </si>
  <si>
    <t>SS T-SHIRT PLAIN WITH RIB PABRIC AMJAKT03:OLIVE:M:SOLID:SS T-SHIRT</t>
  </si>
  <si>
    <t>SS T-SHIRT PLAIN WITH RIB PABRIC AMJAKT03:OLIVE:L:SOLID:SS T-SHIRT</t>
  </si>
  <si>
    <t>SS T-SHIRT PLAIN WITH RIB PABRIC AMJAKT03:OLIVE:XL:SOLID:SS T-SHIRT</t>
  </si>
  <si>
    <t>SS T-SHIRT PLAIN WITH RIB PABRIC AMJAKT03:RUSTIC ORANGE:S:SOLID:SS T-SHIRT</t>
  </si>
  <si>
    <t>SS T-SHIRT PLAIN WITH RIB PABRIC AMJAKT03:RUSTIC ORANGE:M:SOLID:SS T-SHIRT</t>
  </si>
  <si>
    <t>SS T-SHIRT PLAIN WITH RIB PABRIC AMJAKT03:RUSTIC ORANGE:L:SOLID:SS T-SHIRT</t>
  </si>
  <si>
    <t>SS T-SHIRT PLAIN WITH RIB PABRIC AMJAKT03:RUSTIC ORANGE:XL:SOLID:SS T-SHIRT</t>
  </si>
  <si>
    <t>TZCA044</t>
  </si>
  <si>
    <t>SS T-SHIRT REGULAR TEE WITH FLOWER+WORDING PRINT TZCA044:SAND:M:GRAPHIC:SS T-SHIRT</t>
  </si>
  <si>
    <t>SS T-SHIRT REGULAR TEE WITH FLOWER+WORDING PRINT TZCA044:SAND:XL:GRAPHIC:SS T-SHIRT</t>
  </si>
  <si>
    <t>TZCA032</t>
  </si>
  <si>
    <t>SS T-SHIRT REGULER TEE PRINT WITH FIORE VILLA WORDING TZCA032:SAND:S:GRAPHIC:SS T-SHIRT</t>
  </si>
  <si>
    <t>SS T-SHIRT REGULER TEE PRINT WITH FIORE VILLA WORDING TZCA032:SAND:M:GRAPHIC:SS T-SHIRT</t>
  </si>
  <si>
    <t>SS T-SHIRT REGULER TEE PRINT WITH FIORE VILLA WORDING TZCA032:SAND:L:GRAPHIC:SS T-SHIRT</t>
  </si>
  <si>
    <t>SS T-SHIRT REGULER TEE PRINT WITH FIORE VILLA WORDING TZCA032:SAND:XL:GRAPHIC:SS T-SHIRT</t>
  </si>
  <si>
    <t>TZCA060</t>
  </si>
  <si>
    <t>SS T-SHIRT REGULAR TEE-FLOWER TEXT PRINT TZCA060:OFF WHITE:S:GRAPHIC:SS T-SHIRT</t>
  </si>
  <si>
    <t>SS T-SHIRT REGULAR TEE-FLOWER TEXT PRINT TZCA060:OFF WHITE:M:GRAPHIC:SS T-SHIRT</t>
  </si>
  <si>
    <t>SS T-SHIRT REGULAR TEE-FLOWER TEXT PRINT TZCA060:OFF WHITE:L:GRAPHIC:SS T-SHIRT</t>
  </si>
  <si>
    <t>SS T-SHIRT REGULAR TEE-FLOWER TEXT PRINT TZCA060:OFF WHITE:XL:GRAPHIC:SS T-SHIRT</t>
  </si>
  <si>
    <t>TZCA061</t>
  </si>
  <si>
    <t>SS T-SHIRT REGULAR TEE SANTORINI PRINT TZCA061:OFF WHITE:L:GRAPHIC:SS T-SHIRT</t>
  </si>
  <si>
    <t>SS T-SHIRT REGULAR TEE SANTORINI PRINT TZCA061:OFF WHITE:XL:GRAPHIC:SS T-SHIRT</t>
  </si>
  <si>
    <t>SS T-SHIRT REGULAR TEE PRINT WITH WE ONLY HAVE ONE PLANET WORDING TZCA036:PASTEL GREEN:XL:GRAPHIC:SS</t>
  </si>
  <si>
    <t>SS T-SHIRT REGULAR TEE PRINT WITH WE ONLY HAVE ONE PLANET WORDING TZCA036:MISTY MEDIUM GREY:S:GRAPHI</t>
  </si>
  <si>
    <t>SS T-SHIRT REGULAR TEE PRINT WITH WE ONLY HAVE ONE PLANET WORDING TZCA036:MISTY MEDIUM GREY:M:GRAPHI</t>
  </si>
  <si>
    <t>SS T-SHIRT REGULAR TEE PRINT WITH WE ONLY HAVE ONE PLANET WORDING TZCA036:MISTY MEDIUM GREY:L:GRAPHI</t>
  </si>
  <si>
    <t>SS T-SHIRT REGULAR TEE PRINT WITH WE ONLY HAVE ONE PLANET WORDING TZCA036:MISTY MEDIUM GREY:XL:GRAPH</t>
  </si>
  <si>
    <t>TZCA037</t>
  </si>
  <si>
    <t>SS T-SHIRT REGULAR TEE WITH FLOWER PRINT TZCA037:WHITE:S:TEXT:SS T-SHIRT</t>
  </si>
  <si>
    <t>SS T-SHIRT REGULAR TEE WITH FLOWER PRINT TZCA037:WHITE:M:TEXT:SS T-SHIRT</t>
  </si>
  <si>
    <t>SS T-SHIRT REGULAR TEE WITH FLOWER PRINT TZCA037:WHITE:L:TEXT:SS T-SHIRT</t>
  </si>
  <si>
    <t>SS T-SHIRT REGULAR TEE WITH FLOWER PRINT TZCA037:WHITE:XL:TEXT:SS T-SHIRT</t>
  </si>
  <si>
    <t>TZCA033</t>
  </si>
  <si>
    <t>SS T-SHIRT REGULAR TEE PRINT WITH BE HAPPY BE YOU WORDING TZCA033:WHITE:S:GRAPHIC:SS T-SHIRT</t>
  </si>
  <si>
    <t>SS T-SHIRT REGULAR TEE PRINT WITH BE HAPPY BE YOU WORDING TZCA033:WHITE:M:GRAPHIC:SS T-SHIRT</t>
  </si>
  <si>
    <t>SS T-SHIRT REGULAR TEE PRINT WITH BE HAPPY BE YOU WORDING TZCA033:WHITE:L:GRAPHIC:SS T-SHIRT</t>
  </si>
  <si>
    <t>SS T-SHIRT REGULAR TEE PRINT WITH BE HAPPY BE YOU WORDING TZCA033:WHITE:XL:GRAPHIC:SS T-SHIRT</t>
  </si>
  <si>
    <t>TZCA019</t>
  </si>
  <si>
    <t>SS T-SHIRT REGULAR TEE PRINT WITH LOVE IS THE MOVEMENT TZCA019:WHITE:M:GRAPHIC:SS T-SHIRT</t>
  </si>
  <si>
    <t>SS T-SHIRT REGULAR TEE PRINT WITH LOVE IS THE MOVEMENT TZCA019:WHITE:L:GRAPHIC:SS T-SHIRT</t>
  </si>
  <si>
    <t>SS T-SHIRT REGULAR TEE PRINT WITH LOVE IS THE MOVEMENT TZCA019:WHITE:XL:GRAPHIC:SS T-SHIRT</t>
  </si>
  <si>
    <t>TZCA045</t>
  </si>
  <si>
    <t>SS T-SHIRT BASIC PRINTED TEE WITH PULL SIDE STRING SWIRL PRINT TEXT BOX TZCA045:PASTEL BLUE:S:GRAPHI</t>
  </si>
  <si>
    <t>SS T-SHIRT BASIC PRINTED TEE WITH PULL SIDE STRING SWIRL PRINT TEXT BOX TZCA045:PASTEL BLUE:M:GRAPHI</t>
  </si>
  <si>
    <t>SS T-SHIRT BASIC PRINTED TEE WITH PULL SIDE STRING SWIRL PRINT TEXT BOX TZCA045:PASTEL BLUE:L:GRAPHI</t>
  </si>
  <si>
    <t>SS T-SHIRT BASIC PRINTED TEE WITH PULL SIDE STRING SWIRL PRINT TEXT BOX TZCA045:PASTEL BLUE:XL:GRAPH</t>
  </si>
  <si>
    <t>TZCA035</t>
  </si>
  <si>
    <t>SS T-SHIRT REGULAR TEE PRINT WITH NATURE VIBES WORDING TZCA035:WHITE:M:GRAPHIC:SS T-SHIRT</t>
  </si>
  <si>
    <t>SS T-SHIRT REGULAR TEE PRINT WITH NATURE VIBES WORDING TZCA035:WHITE:XL:GRAPHIC:SS T-SHIRT</t>
  </si>
  <si>
    <t>TZCA053</t>
  </si>
  <si>
    <t>SS T-SHIRT REGULAR TEE PRINT-PASTEL DYE FRONT PRINT TZCA053:PASTEL BLUE:S:PRINT:SS T-SHIRT</t>
  </si>
  <si>
    <t>SS T-SHIRT REGULAR TEE PRINT-PASTEL DYE FRONT PRINT TZCA053:PASTEL BLUE:M:PRINT:SS T-SHIRT</t>
  </si>
  <si>
    <t>SS T-SHIRT REGULAR TEE PRINT-PASTEL DYE FRONT PRINT TZCA053:PASTEL BLUE:L:PRINT:SS T-SHIRT</t>
  </si>
  <si>
    <t>SS T-SHIRT REGULAR TEE PRINT-PASTEL DYE FRONT PRINT TZCA053:PASTEL BLUE:XL:PRINT:SS T-SHIRT</t>
  </si>
  <si>
    <t>SS T-SHIRT REGULAR TEE PRINT-PASTEL DYE FRONT PRINT TZCA053:PASTEL PINK:S:PRINT:SS T-SHIRT</t>
  </si>
  <si>
    <t>SS T-SHIRT REGULAR TEE PRINT-PASTEL DYE FRONT PRINT TZCA053:PASTEL PINK:M:PRINT:SS T-SHIRT</t>
  </si>
  <si>
    <t>SS T-SHIRT REGULAR TEE PRINT-PASTEL DYE FRONT PRINT TZCA053:PASTEL PINK:L:PRINT:SS T-SHIRT</t>
  </si>
  <si>
    <t>SS T-SHIRT REGULAR TEE PRINT-PASTEL DYE FRONT PRINT TZCA053:PASTEL PINK:XL:PRINT:SS T-SHIRT</t>
  </si>
  <si>
    <t>TZCA042</t>
  </si>
  <si>
    <t>SS T-SHIRT REGULAR TEE PRINT WITH SIMPLICITY WORDING TZCA042:WHITE:S:PRINT:SS T-SHIRT</t>
  </si>
  <si>
    <t>SS T-SHIRT REGULAR TEE PRINT WITH SIMPLICITY WORDING TZCA042:WHITE:M:PRINT:SS T-SHIRT</t>
  </si>
  <si>
    <t>SS T-SHIRT REGULAR TEE PRINT WITH SIMPLICITY WORDING TZCA042:WHITE:L:PRINT:SS T-SHIRT</t>
  </si>
  <si>
    <t>SS T-SHIRT REGULAR TEE PRINT WITH SIMPLICITY WORDING TZCA042:WHITE:XL:PRINT:SS T-SHIRT</t>
  </si>
  <si>
    <t>SS T-SHIRT REGULAR TEE WORDING YOU ARE MY HEAVEN ON EARTH  TZCA062:SAND:S:SOLID:SS T-SHIRT</t>
  </si>
  <si>
    <t>SS T-SHIRT REGULAR TEE WORDING YOU ARE MY HEAVEN ON EARTH  TZCA062:SAND:M:SOLID:SS T-SHIRT</t>
  </si>
  <si>
    <t>SS T-SHIRT REGULAR TEE WORDING YOU ARE MY HEAVEN ON EARTH  TZCA062:SAND:L:SOLID:SS T-SHIRT</t>
  </si>
  <si>
    <t>SS T-SHIRT REGULAR TEE WORDING YOU ARE MY HEAVEN ON EARTH  TZCA062:LIGHT BLUE:S:SOLID:SS T-SHIRT</t>
  </si>
  <si>
    <t>SS T-SHIRT REGULAR TEE WORDING YOU ARE MY HEAVEN ON EARTH  TZCA062:LIGHT BLUE:M:SOLID:SS T-SHIRT</t>
  </si>
  <si>
    <t>SS T-SHIRT REGULAR TEE WORDING YOU ARE MY HEAVEN ON EARTH  TZCA062:LIGHT BLUE:L:SOLID:SS T-SHIRT</t>
  </si>
  <si>
    <t>SS T-SHIRT REGULAR TEE WORDING YOU ARE MY HEAVEN ON EARTH  TZCA062:LIGHT BLUE:XL:SOLID:SS T-SHIRT</t>
  </si>
  <si>
    <t>SS SHIRT REGULAR TEE WORDING LIMITED EDITION  TZCA064:BLACK:S:TEXT:SS SHIRT</t>
  </si>
  <si>
    <t>SS SHIRT REGULAR TEE WORDING LIMITED EDITION  TZCA064:BLACK:M:TEXT:SS SHIRT</t>
  </si>
  <si>
    <t>SS SHIRT REGULAR TEE WORDING LIMITED EDITION  TZCA064:BLACK:XL:TEXT:SS SHIRT</t>
  </si>
  <si>
    <t>SS SHIRT REGULAR TEE WORDING LIMITED EDITION  TZCA064:LIGHT BLUE:S:TEXT:SS SHIRT</t>
  </si>
  <si>
    <t>SS SHIRT REGULAR TEE WORDING LIMITED EDITION  TZCA064:LIGHT BLUE:M:TEXT:SS SHIRT</t>
  </si>
  <si>
    <t>SS SHIRT REGULAR TEE WORDING LIMITED EDITION  TZCA064:LIGHT BLUE:L:TEXT:SS SHIRT</t>
  </si>
  <si>
    <t>SS SHIRT REGULAR TEE WORDING LIMITED EDITION  TZCA064:LIGHT BLUE:XL:TEXT:SS SHIRT</t>
  </si>
  <si>
    <t>TZCA065</t>
  </si>
  <si>
    <t>SS SHIRT REGULAR TEE LITTLE BLUE FLOWER TZCA065:WHITE:S:SOLID:SS SHIRT</t>
  </si>
  <si>
    <t>SS SHIRT REGULAR TEE LITTLE BLUE FLOWER TZCA065:WHITE:M:SOLID:SS SHIRT</t>
  </si>
  <si>
    <t>SS SHIRT REGULAR TEE LITTLE BLUE FLOWER TZCA065:WHITE:L:SOLID:SS SHIRT</t>
  </si>
  <si>
    <t>SS SHIRT REGULAR TEE LITTLE BLUE FLOWER TZCA065:WHITE:XL:SOLID:SS SHIRT</t>
  </si>
  <si>
    <t>L4MAWB01</t>
  </si>
  <si>
    <t>LONG PANTS WITH WITH CULLOTE STYLE AND ALL OVER PRINT  L4MAWB01:PASTEL GREEN:S:PRINT:LONG PANTS</t>
  </si>
  <si>
    <t>LONG PANTS WITH WITH CULLOTE STYLE AND ALL OVER PRINT  L4MAWB01:PASTEL GREEN:M:PRINT:LONG PANTS</t>
  </si>
  <si>
    <t>LONG PANTS WITH WITH CULLOTE STYLE AND ALL OVER PRINT  L4MAWB01:PASTEL GREEN:L:PRINT:LONG PANTS</t>
  </si>
  <si>
    <t>LONG PANTS WITH WITH CULLOTE STYLE AND ALL OVER PRINT  L4MAWB01:PASTEL GREEN:XL:PRINT:LONG PANTS</t>
  </si>
  <si>
    <t>LONG PANTS WITH WITH CULLOTE STYLE AND ALL OVER PRINT  L4MAWB01:KHAKI:S:PRINT:LONG PANTS</t>
  </si>
  <si>
    <t>LONG PANTS WITH WITH CULLOTE STYLE AND ALL OVER PRINT  L4MAWB01:KHAKI:M:PRINT:LONG PANTS</t>
  </si>
  <si>
    <t>LONG PANTS WITH WITH CULLOTE STYLE AND ALL OVER PRINT  L4MAWB01:KHAKI:L:PRINT:LONG PANTS</t>
  </si>
  <si>
    <t>LONG PANTS WITH WITH CULLOTE STYLE AND ALL OVER PRINT  L4MAWB01:KHAKI:XL:PRINT:LONG PANTS</t>
  </si>
  <si>
    <t>L4MAOT01</t>
  </si>
  <si>
    <t>BLAZER WITH LIGHT FABRIC AND ALL OVER PRINT  L4MAOT01:PASTEL GREEN:S:PRINT:BLAZER</t>
  </si>
  <si>
    <t>BLAZER WITH LIGHT FABRIC AND ALL OVER PRINT  L4MAOT01:PASTEL GREEN:M:PRINT:BLAZER</t>
  </si>
  <si>
    <t>BLAZER WITH LIGHT FABRIC AND ALL OVER PRINT  L4MAOT01:PASTEL GREEN:L:PRINT:BLAZER</t>
  </si>
  <si>
    <t>BLAZER WITH LIGHT FABRIC AND ALL OVER PRINT  L4MAOT01:PASTEL GREEN:XL:PRINT:BLAZER</t>
  </si>
  <si>
    <t>BLAZER WITH LIGHT FABRIC AND ALL OVER PRINT  L4MAOT01:KHAKI:S:PRINT:BLAZER</t>
  </si>
  <si>
    <t>BLAZER WITH LIGHT FABRIC AND ALL OVER PRINT  L4MAOT01:KHAKI:M:PRINT:BLAZER</t>
  </si>
  <si>
    <t>BLAZER WITH LIGHT FABRIC AND ALL OVER PRINT  L4MAOT01:KHAKI:L:PRINT:BLAZER</t>
  </si>
  <si>
    <t>BLAZER WITH LIGHT FABRIC AND ALL OVER PRINT  L4MAOT01:KHAKI:XL:PRINT:BLAZER</t>
  </si>
  <si>
    <t>L3MAOT55</t>
  </si>
  <si>
    <t>BLAZER WITH LIGHT FABRIC AND ALL OVER PRINT L3MAOT55:PASTEL GREE:S:PRINT:BLAZER</t>
  </si>
  <si>
    <t>BLAZER WITH LIGHT FABRIC AND ALL OVER PRINT L3MAOT55:PASTEL GREE:M:PRINT:BLAZER</t>
  </si>
  <si>
    <t>BLAZER WITH LIGHT FABRIC AND ALL OVER PRINT L3MAOT55:PASTEL GREE:L:PRINT:BLAZER</t>
  </si>
  <si>
    <t>BLAZER WITH LIGHT FABRIC AND ALL OVER PRINT L3MAOT55:PASTEL GREE:XL:PRINT:BLAZER</t>
  </si>
  <si>
    <t>RKWB01</t>
  </si>
  <si>
    <t>LONG PANTS WITH HALF ELASTIC AT WAIST AND TAPERED FIT RKWB01:WOOD BROWN:S:SOLID:LONG PANTS</t>
  </si>
  <si>
    <t>LONG PANTS WITH HALF ELASTIC AT WAIST AND TAPERED FIT RKWB01:WOOD BROWN:M:SOLID:LONG PANTS</t>
  </si>
  <si>
    <t>LONG PANTS WITH HALF ELASTIC AT WAIST AND TAPERED FIT RKWB01:WOOD BROWN:L:SOLID:LONG PANTS</t>
  </si>
  <si>
    <t>LONG PANTS WITH HALF ELASTIC AT WAIST AND TAPERED FIT RKWB01:WOOD BROWN:XL:SOLID:LONG PANTS</t>
  </si>
  <si>
    <t>SHORT PANTS BLACK SKORTS WITH FRONT BUTTON RKWB03:BLACK:S:SOLID:SHORT PANTS</t>
  </si>
  <si>
    <t>SHORT PANTS BLACK SKORTS WITH FRONT BUTTON RKWB03:BLACK:M:SOLID:SHORT PANTS</t>
  </si>
  <si>
    <t>SHORT PANTS BLACK SKORTS WITH FRONT BUTTON RKWB03:BLACK:L:SOLID:SHORT PANTS</t>
  </si>
  <si>
    <t>SHORT PANTS BLACK SKORTS WITH FRONT BUTTON RKWB03:BLACK:XL:SOLID:SHORT PANTS</t>
  </si>
  <si>
    <t>SS T-SHIRT REGULAR TEE WORDING YOU ARE MY HEAVEN ON EARTH TZCA062:MAROON:S:SOLID:SS T-SHIRT</t>
  </si>
  <si>
    <t>SS T-SHIRT REGULAR TEE WORDING YOU ARE MY HEAVEN ON EARTH TZCA062:MAROON:M:SOLID:SS T-SHIRT</t>
  </si>
  <si>
    <t>SS T-SHIRT REGULAR TEE WORDING YOU ARE MY HEAVEN ON EARTH TZCA062:MAROON:L:SOLID:SS T-SHIRT</t>
  </si>
  <si>
    <t>SS T-SHIRT REGULAR TEE WORDING YOU ARE MY HEAVEN ON EARTH TZCA062:MAROON:XL:SOLID:SS T-SHIRT</t>
  </si>
  <si>
    <t>SS T-SHIRT REGULAR TEE PRINT WITH WE ONLY HAVE ONE PLANET WORDING TZCA036:MAROON:S:GRAPHIC:SS T-SHIR</t>
  </si>
  <si>
    <t>SS T-SHIRT REGULAR TEE PRINT WITH WE ONLY HAVE ONE PLANET WORDING TZCA036:MAROON:M:GRAPHIC:SS T-SHIR</t>
  </si>
  <si>
    <t>SS T-SHIRT REGULAR TEE PRINT WITH WE ONLY HAVE ONE PLANET WORDING TZCA036:MAROON:L:GRAPHIC:SS T-SHIR</t>
  </si>
  <si>
    <t>SS T-SHIRT REGULAR TEE PRINT WITH WE ONLY HAVE ONE PLANET WORDING TZCA036:MAROON:XL:GRAPHIC:SS T-SHI</t>
  </si>
  <si>
    <t>SS T-SHIRT REGULAR TEE WORDING LIMITED EDITION TZCA064:MAROON:S:GRAPHIC:SS T-SHIRT</t>
  </si>
  <si>
    <t>SS T-SHIRT REGULAR TEE WORDING LIMITED EDITION TZCA064:MAROON:M:GRAPHIC:SS T-SHIRT</t>
  </si>
  <si>
    <t>SS T-SHIRT REGULAR TEE WORDING LIMITED EDITION TZCA064:MAROON:L:GRAPHIC:SS T-SHIRT</t>
  </si>
  <si>
    <t>SS T-SHIRT REGULAR TEE WORDING LIMITED EDITION TZCA064:MAROON:XL:GRAPHIC:SS T-SHIRT</t>
  </si>
  <si>
    <t>TZCA063</t>
  </si>
  <si>
    <t>SS T-SHIRT REGULAR TEE WORDING FLOWERS NEED TIME TO  BLOOM  TZCA063:WHITE:S:GRAPHIC:SS T-SHIRT</t>
  </si>
  <si>
    <t>SS T-SHIRT REGULAR TEE WORDING FLOWERS NEED TIME TO  BLOOM  TZCA063:WHITE:M:GRAPHIC:SS T-SHIRT</t>
  </si>
  <si>
    <t>SS T-SHIRT REGULAR TEE WORDING FLOWERS NEED TIME TO  BLOOM  TZCA063:WHITE:L:GRAPHIC:SS T-SHIRT</t>
  </si>
  <si>
    <t>SS T-SHIRT REGULAR TEE WORDING FLOWERS NEED TIME TO  BLOOM  TZCA063:WHITE:XL:GRAPHIC:SS T-SHIRT</t>
  </si>
  <si>
    <t>TZCA070</t>
  </si>
  <si>
    <t>SS T-SHIRT REGULAR TEE FREE YOURSELF TZCA070:PASTEL BLUE:S:GRAPHIC:SS T-SHIRT</t>
  </si>
  <si>
    <t>SS T-SHIRT REGULAR TEE FREE YOURSELF TZCA070:PASTEL BLUE:M:GRAPHIC:SS T-SHIRT</t>
  </si>
  <si>
    <t>SS T-SHIRT REGULAR TEE FREE YOURSELF TZCA070:PASTEL BLUE:L:GRAPHIC:SS T-SHIRT</t>
  </si>
  <si>
    <t>SS T-SHIRT REGULAR TEE FREE YOURSELF TZCA070:PASTEL BLUE:XL:GRAPHIC:SS T-SHIRT</t>
  </si>
  <si>
    <t>SS T-SHIRT REGULAR TEE FREE YOURSELF TZCA070:PASTEL GREY:S:GRAPHIC:SS T-SHIRT</t>
  </si>
  <si>
    <t>SS T-SHIRT REGULAR TEE FREE YOURSELF TZCA070:PASTEL GREY:M:GRAPHIC:SS T-SHIRT</t>
  </si>
  <si>
    <t>SS T-SHIRT REGULAR TEE FREE YOURSELF TZCA070:PASTEL GREY:L:GRAPHIC:SS T-SHIRT</t>
  </si>
  <si>
    <t>SS T-SHIRT REGULAR TEE FREE YOURSELF TZCA070:PASTEL GREY:XL:GRAPHIC:SS T-SHIRT</t>
  </si>
  <si>
    <t>TZCA066</t>
  </si>
  <si>
    <t>SS T-SHIRT REGULAR TEE FLOWER BLOCK PRINT TZCA066:WHITE:S:GRAPHIC:SS T-SHIRT</t>
  </si>
  <si>
    <t>SS T-SHIRT REGULAR TEE FLOWER BLOCK PRINT TZCA066:WHITE:M:GRAPHIC:SS T-SHIRT</t>
  </si>
  <si>
    <t>SS T-SHIRT REGULAR TEE FLOWER BLOCK PRINT TZCA066:WHITE:L:GRAPHIC:SS T-SHIRT</t>
  </si>
  <si>
    <t>SS T-SHIRT REGULAR TEE FLOWER BLOCK PRINT TZCA066:WHITE:XL:GRAPHIC:SS T-SHIRT</t>
  </si>
  <si>
    <t>SS T-SHIRT REGULAR TEE FLOWER BLOCK PRINT TZCA066:LIGHT CORAL:S:GRAPHIC:SS T-SHIRT</t>
  </si>
  <si>
    <t>SS T-SHIRT REGULAR TEE FLOWER BLOCK PRINT TZCA066:LIGHT CORAL:M:GRAPHIC:SS T-SHIRT</t>
  </si>
  <si>
    <t>SS T-SHIRT REGULAR TEE FLOWER BLOCK PRINT TZCA066:LIGHT CORAL:L:GRAPHIC:SS T-SHIRT</t>
  </si>
  <si>
    <t>SS T-SHIRT REGULAR TEE FLOWER BLOCK PRINT TZCA066:LIGHT CORAL:XL:GRAPHIC:SS T-SHIRT</t>
  </si>
  <si>
    <t>TZCA067</t>
  </si>
  <si>
    <t>SS T-SHIRT REGULAR TEE WELCOME TO MY MIND TZCA067:WHITE:S:GRAPHIC:SS T-SHIRT</t>
  </si>
  <si>
    <t>SS T-SHIRT REGULAR TEE WELCOME TO MY MIND TZCA067:WHITE:M:GRAPHIC:SS T-SHIRT</t>
  </si>
  <si>
    <t>SS T-SHIRT REGULAR TEE WELCOME TO MY MIND TZCA067:WHITE:L:GRAPHIC:SS T-SHIRT</t>
  </si>
  <si>
    <t>SS T-SHIRT REGULAR TEE WELCOME TO MY MIND TZCA067:WHITE:XL:GRAPHIC:SS T-SHIRT</t>
  </si>
  <si>
    <t>SS T-SHIRT REGULAR TEE WELCOME TO MY MIND TZCA067:BLACK:S:GRAPHIC:SS T-SHIRT</t>
  </si>
  <si>
    <t>SS T-SHIRT REGULAR TEE WELCOME TO MY MIND TZCA067:BLACK:M:GRAPHIC:SS T-SHIRT</t>
  </si>
  <si>
    <t>SS T-SHIRT REGULAR TEE WELCOME TO MY MIND TZCA067:BLACK:L:GRAPHIC:SS T-SHIRT</t>
  </si>
  <si>
    <t>SS T-SHIRT REGULAR TEE WELCOME TO MY MIND TZCA067:BLACK:XL:GRAPHIC:SS T-SHIRT</t>
  </si>
  <si>
    <t>TZCA068</t>
  </si>
  <si>
    <t>SS T-SHIRT REGULAR TEE ANIMAL PRINT SPREAD MORE LOVE TZCA068:BLACK:S:GRAPHIC:SS T-SHIRT</t>
  </si>
  <si>
    <t>SS T-SHIRT REGULAR TEE ANIMAL PRINT SPREAD MORE LOVE TZCA068:BLACK:M:GRAPHIC:SS T-SHIRT</t>
  </si>
  <si>
    <t>SS T-SHIRT REGULAR TEE ANIMAL PRINT SPREAD MORE LOVE TZCA068:BLACK:L:GRAPHIC:SS T-SHIRT</t>
  </si>
  <si>
    <t>SS T-SHIRT REGULAR TEE ANIMAL PRINT SPREAD MORE LOVE TZCA068:BLACK:XL:GRAPHIC:SS T-SHIRT</t>
  </si>
  <si>
    <t>SS T-SHIRT REGULAR TEE ANIMAL PRINT SPREAD MORE LOVE TZCA068:PEPPERMINT:S:GRAPHIC:SS T-SHIRT</t>
  </si>
  <si>
    <t>SS T-SHIRT REGULAR TEE ANIMAL PRINT SPREAD MORE LOVE TZCA068:PEPPERMINT:M:GRAPHIC:SS T-SHIRT</t>
  </si>
  <si>
    <t>SS T-SHIRT REGULAR TEE ANIMAL PRINT SPREAD MORE LOVE TZCA068:PEPPERMINT:L:GRAPHIC:SS T-SHIRT</t>
  </si>
  <si>
    <t>SS T-SHIRT REGULAR TEE ANIMAL PRINT SPREAD MORE LOVE TZCA068:PEPPERMINT:XL:GRAPHIC:SS T-SHIRT</t>
  </si>
  <si>
    <t>TZCA069</t>
  </si>
  <si>
    <t>SS T-SHIRT REGULAR TEE ANIMAL PRINT WILD TZCA069:OLIVE:S:GRAPHIC:SS T-SHIRT</t>
  </si>
  <si>
    <t>SS T-SHIRT REGULAR TEE ANIMAL PRINT WILD TZCA069:OLIVE:M:GRAPHIC:SS T-SHIRT</t>
  </si>
  <si>
    <t>SS T-SHIRT REGULAR TEE ANIMAL PRINT WILD TZCA069:OLIVE:L:GRAPHIC:SS T-SHIRT</t>
  </si>
  <si>
    <t>SS T-SHIRT REGULAR TEE ANIMAL PRINT WILD TZCA069:OLIVE:XL:GRAPHIC:SS T-SHIRT</t>
  </si>
  <si>
    <t>SS T-SHIRT REGULAR TEE ANIMAL PRINT WILD TZCA069:WHITE:S:GRAPHIC:SS T-SHIRT</t>
  </si>
  <si>
    <t>SS T-SHIRT REGULAR TEE ANIMAL PRINT WILD TZCA069:WHITE:M:GRAPHIC:SS T-SHIRT</t>
  </si>
  <si>
    <t>SS T-SHIRT REGULAR TEE ANIMAL PRINT WILD TZCA069:WHITE:L:GRAPHIC:SS T-SHIRT</t>
  </si>
  <si>
    <t>SS T-SHIRT REGULAR TEE ANIMAL PRINT WILD TZCA069:WHITE:XL:GRAPHIC:SS T-SHIRT</t>
  </si>
  <si>
    <t>TZCA071</t>
  </si>
  <si>
    <t>SS T-SHIRT REGULAR TEE ANIMAL PRINT BE BRAVE TZCA071:BLACK:S:GRAPHIC:SS T-SHIRT</t>
  </si>
  <si>
    <t>SS T-SHIRT REGULAR TEE ANIMAL PRINT BE BRAVE TZCA071:BLACK:M:GRAPHIC:SS T-SHIRT</t>
  </si>
  <si>
    <t>SS T-SHIRT REGULAR TEE ANIMAL PRINT BE BRAVE TZCA071:BLACK:L:GRAPHIC:SS T-SHIRT</t>
  </si>
  <si>
    <t>SS T-SHIRT REGULAR TEE ANIMAL PRINT BE BRAVE TZCA071:BLACK:XL:GRAPHIC:SS T-SHIRT</t>
  </si>
  <si>
    <t>SS T-SHIRT REGULAR TEE ANIMAL PRINT BE BRAVE TZCA071:WHITE:S:GRAPHIC:SS T-SHIRT</t>
  </si>
  <si>
    <t>SS T-SHIRT REGULAR TEE ANIMAL PRINT BE BRAVE TZCA071:WHITE:M:GRAPHIC:SS T-SHIRT</t>
  </si>
  <si>
    <t>SS T-SHIRT REGULAR TEE ANIMAL PRINT BE BRAVE TZCA071:WHITE:L:GRAPHIC:SS T-SHIRT</t>
  </si>
  <si>
    <t>SS T-SHIRT REGULAR TEE ANIMAL PRINT BE BRAVE TZCA071:WHITE:XL:GRAPHIC:SS T-SHIRT</t>
  </si>
  <si>
    <t>TZCA072</t>
  </si>
  <si>
    <t>SS T-SHIRT REGULAR TEE ANIMAL PRINT POLAROID TZCA072:WHITE:S:GRAPHIC:SS T-SHIRT</t>
  </si>
  <si>
    <t>SS T-SHIRT REGULAR TEE ANIMAL PRINT POLAROID TZCA072:WHITE:M:GRAPHIC:SS T-SHIRT</t>
  </si>
  <si>
    <t>SS T-SHIRT REGULAR TEE ANIMAL PRINT POLAROID TZCA072:WHITE:L:GRAPHIC:SS T-SHIRT</t>
  </si>
  <si>
    <t>SS T-SHIRT REGULAR TEE ANIMAL PRINT POLAROID TZCA072:WHITE:XL:GRAPHIC:SS T-SHIRT</t>
  </si>
  <si>
    <t>SS T-SHIRT REGULAR TEE ANIMAL PRINT POLAROID TZCA072:KHAKI:S:GRAPHIC:SS T-SHIRT</t>
  </si>
  <si>
    <t>SS T-SHIRT REGULAR TEE ANIMAL PRINT POLAROID TZCA072:KHAKI:M:GRAPHIC:SS T-SHIRT</t>
  </si>
  <si>
    <t>SS T-SHIRT REGULAR TEE ANIMAL PRINT POLAROID TZCA072:KHAKI:L:GRAPHIC:SS T-SHIRT</t>
  </si>
  <si>
    <t>SS T-SHIRT REGULAR TEE ANIMAL PRINT POLAROID TZCA072:KHAKI:XL:GRAPHIC:SS T-SHIRT</t>
  </si>
  <si>
    <t>LONG PANTS WITH HALF ELASTIC AT WAIST AND TAPERED FIT RKWB01:PASTEL GREY:S:SOLID:LONG PANTS</t>
  </si>
  <si>
    <t>LONG PANTS WITH HALF ELASTIC AT WAIST AND TAPERED FIT RKWB01:PASTEL GREY:M:SOLID:LONG PANTS</t>
  </si>
  <si>
    <t>LONG PANTS WITH HALF ELASTIC AT WAIST AND TAPERED FIT RKWB01:PASTEL GREY:L:SOLID:LONG PANTS</t>
  </si>
  <si>
    <t>LONG PANTS WITH HALF ELASTIC AT WAIST AND TAPERED FIT RKWB01:PASTEL GREY:XL:SOLID:LONG PANTS</t>
  </si>
  <si>
    <t>LS BLOUSE WITH BUTTON AT SLEEVES SGWT29:BLACK:S:SOLID:LS BLOUSE</t>
  </si>
  <si>
    <t>LS BLOUSE WITH BUTTON AT SLEEVES SGWT29:BLACK:M:SOLID:LS BLOUSE</t>
  </si>
  <si>
    <t>LS BLOUSE WITH BUTTON AT SLEEVES SGWT29:BLACK:L:SOLID:LS BLOUSE</t>
  </si>
  <si>
    <t>LS BLOUSE WITH BUTTON AT SLEEVES SGWT29:WHITE:S:SOLID:LS BLOUSE</t>
  </si>
  <si>
    <t>LS BLOUSE WITH BUTTON AT SLEEVES SGWT29:WHITE:M:SOLID:LS BLOUSE</t>
  </si>
  <si>
    <t>LS BLOUSE WITH BUTTON AT SLEEVES SGWT29:WHITE:L:SOLID:LS BLOUSE</t>
  </si>
  <si>
    <t>LS BLOUSE WITH BUTTON AT SLEEVES SGWT29:BLACK:XL:SOLID:LS BLOUSE</t>
  </si>
  <si>
    <t>LS BLOUSE WITH BUTTON AT SLEEVES SGWT29:WHITE:XL:SOLID:LS BLOUSE</t>
  </si>
  <si>
    <t>BAEOUT064</t>
  </si>
  <si>
    <t>CARDIGAN KNIT WITH OPEN PLACKET AND BACK ARTWORK BAEOUT064:WHITE:M:GRAPHIC:CARDIGAN</t>
  </si>
  <si>
    <t>CARDIGAN KNIT WITH OPEN PLACKET AND BACK ARTWORK BAEOUT064:WHITE:L:GRAPHIC:CARDIGAN</t>
  </si>
  <si>
    <t>CARDIGAN KNIT WITH OPEN PLACKET AND BACK ARTWORK BAEOUT064:WHITE:XL:GRAPHIC:CARDIGAN</t>
  </si>
  <si>
    <t>CARDIGAN KNIT WITH OPEN PLACKET AND BACK ARTWORK BAEOUT064:WHITE:S:GRAPHIC:CARDIGAN</t>
  </si>
  <si>
    <t>LONG PANTS WITH HALF ELASTIC AT WAIST AND TAPERED FIT RKWB01:KHAKI:S:SOLID:LONG PANTS</t>
  </si>
  <si>
    <t>LONG PANTS WITH HALF ELASTIC AT WAIST AND TAPERED FIT RKWB01:KHAKI:M:SOLID:LONG PANTS</t>
  </si>
  <si>
    <t>LONG PANTS WITH HALF ELASTIC AT WAIST AND TAPERED FIT RKWB01:KHAKI:L:SOLID:LONG PANTS</t>
  </si>
  <si>
    <t>LONG PANTS WITH HALF ELASTIC AT WAIST AND TAPERED FIT RKWB01:KHAKI:XL:SOLID:LONG PANTS</t>
  </si>
  <si>
    <t>PRDDWB06</t>
  </si>
  <si>
    <t>DENIM LONG PANTS CULLOTES WITH FAKE BUTTONS AND DIAG:LIGHT DENIM:S:SOLID:DENIM LONG</t>
  </si>
  <si>
    <t>DENIM LONG PANTS CULLOTES WITH FAKE BUTTONS AND DIAG:LIGHT DENIM:M:SOLID:DENIM LONG</t>
  </si>
  <si>
    <t>DENIM LONG PANTS CULLOTES WITH FAKE BUTTONS AND DIAG:LIGHT DENIM:L:SOLID:DENIM LONG</t>
  </si>
  <si>
    <t>DENIM LONG PANTS CULLOTES WITH FAKE BUTTONS AND DIAG:LIGHT DENIM:XL:SOLID:DENIM LONG</t>
  </si>
  <si>
    <t>TRI001</t>
  </si>
  <si>
    <t>SS T-SHIRT PRINTED TEE BAMBI PRINT TRI001:PASTEL PINK:S:GRAPHIC:SS T-SHIRT</t>
  </si>
  <si>
    <t>SS T-SHIRT PRINTED TEE BAMBI PRINT TRI001:PASTEL PINK:M:GRAPHIC:SS T-SHIRT</t>
  </si>
  <si>
    <t>SS T-SHIRT PRINTED TEE BAMBI PRINT TRI001:PASTEL PINK:L:GRAPHIC:SS T-SHIRT</t>
  </si>
  <si>
    <t>SS T-SHIRT PRINTED TEE BAMBI PRINT TRI001:PASTEL PINK:XL:GRAPHIC:SS T-SHIRT</t>
  </si>
  <si>
    <t>BAESWT057</t>
  </si>
  <si>
    <t>SWEATSHIRT WITH WAIST STRING BAESWT057:PEPPERMINT:S:GRAPHIC:SWEATSHIRT</t>
  </si>
  <si>
    <t>SWEATSHIRT WITH WAIST STRING BAESWT057:PEPPERMINT:M:GRAPHIC:SWEATSHIRT</t>
  </si>
  <si>
    <t>SWEATSHIRT WITH WAIST STRING BAESWT057:PEPPERMINT:L:GRAPHIC:SWEATSHIRT</t>
  </si>
  <si>
    <t>SWEATSHIRT WITH WAIST STRING BAESWT057:PEPPERMINT:XL:GRAPHIC:SWEATSHIRT</t>
  </si>
  <si>
    <t>BAETEE059</t>
  </si>
  <si>
    <t>SS BLOUSE KNIT AND EMBRO BAETEE59:WHITE:S:GRAPHIC:SS BLOUSE</t>
  </si>
  <si>
    <t>SS BLOUSE KNIT AND EMBRO BAETEE59:WHITE:M:GRAPHIC:SS BLOUSE</t>
  </si>
  <si>
    <t>SS BLOUSE KNIT AND EMBRO BAETEE59:WHITE:L:GRAPHIC:SS BLOUSE</t>
  </si>
  <si>
    <t>SS BLOUSE KNIT AND EMBRO BAETEE59:WHITE:XL:GRAPHIC:SS BLOUSE</t>
  </si>
  <si>
    <t>BAESWT58</t>
  </si>
  <si>
    <t>SWEATSHIRT WITH SLEEVES DETAILINGS BAESWT58:PASTEL PINK:S:SOLID:SWEATSHIRT</t>
  </si>
  <si>
    <t>SWEATSHIRT WITH SLEEVES DETAILINGS BAESWT58:PASTEL PINK:M:SOLID:SWEATSHIRT</t>
  </si>
  <si>
    <t>SWEATSHIRT WITH SLEEVES DETAILINGS BAESWT58:PASTEL PINK:L:SOLID:SWEATSHIRT</t>
  </si>
  <si>
    <t>SWEATSHIRT WITH SLEEVES DETAILINGS BAESWT58:PASTEL PINK:XL:SOLID:SWEATSHIRT</t>
  </si>
  <si>
    <t>LS SHIRT WITH LEFT POCKET SGWT27LS:PASTEL PINK:S:SOLID:LS SHIRT</t>
  </si>
  <si>
    <t>LS SHIRT WITH LEFT POCKET SGWT27LS:PASTEL PINK:M:SOLID:LS SHIRT</t>
  </si>
  <si>
    <t>LS SHIRT WITH LEFT POCKET SGWT27LS:PASTEL PINK:L:SOLID:LS SHIRT</t>
  </si>
  <si>
    <t>LS SHIRT WITH LEFT POCKET SGWT27LS:PASTEL PINK:XL:SOLID:LS SHIRT</t>
  </si>
  <si>
    <t>MASWT069</t>
  </si>
  <si>
    <t>TANKTOP BLOUSE SLEEVELESS TOP MASWT069:PASTEL GREEN:S:SOLID:TANKTOP BLOUSE</t>
  </si>
  <si>
    <t>TANKTOP BLOUSE SLEEVELESS TOP MASWT069:PASTEL GREEN:M:SOLID:TANKTOP BLOUSE</t>
  </si>
  <si>
    <t>TANKTOP BLOUSE SLEEVELESS TOP MASWT069:PASTEL GREEN:L:SOLID:TANKTOP BLOUSE</t>
  </si>
  <si>
    <t>TANKTOP BLOUSE SLEEVELESS TOP MASWT069:PASTEL GREEN:XL:SOLID:TANKTOP BLOUSE</t>
  </si>
  <si>
    <t>MELWT04</t>
  </si>
  <si>
    <t>SS BLOUSE EYELET PLAIN CROP MELWT04:WHITE:S:SOLID:SS BLOUSE</t>
  </si>
  <si>
    <t>SS BLOUSE EYELET PLAIN CROP MELWT04:WHITE:M:SOLID:SS BLOUSE</t>
  </si>
  <si>
    <t>SS BLOUSE EYELET PLAIN CROP MELWT04:WHITE:L:SOLID:SS BLOUSE</t>
  </si>
  <si>
    <t>SS BLOUSE EYELET PLAIN CROP MELWT04:WHITE:XL:SOLID:SS BLOUSE</t>
  </si>
  <si>
    <t>MELWT05</t>
  </si>
  <si>
    <t>LS SHIRT EYELET COLLAR MELWT05:WHITE:S:SOLID:LS SHIRT</t>
  </si>
  <si>
    <t>LS SHIRT EYELET COLLAR MELWT05:WHITE:M:SOLID:LS SHIRT</t>
  </si>
  <si>
    <t>LS SHIRT EYELET COLLAR MELWT05:WHITE:L:SOLID:LS SHIRT</t>
  </si>
  <si>
    <t>LS SHIRT EYELET COLLAR MELWT05:WHITE:XL:SOLID:LS SHIRT</t>
  </si>
  <si>
    <t>LS SHIRT EYELET COLLAR MELWT05:BLACK:S:SOLID:LS SHIRT</t>
  </si>
  <si>
    <t>LS SHIRT EYELET COLLAR MELWT05:BLACK:M:SOLID:LS SHIRT</t>
  </si>
  <si>
    <t>LS SHIRT EYELET COLLAR MELWT05:BLACK:L:SOLID:LS SHIRT</t>
  </si>
  <si>
    <t>LS SHIRT EYELET COLLAR MELWT05:BLACK:XL:SOLID:LS SHIRT</t>
  </si>
  <si>
    <t>MELWT06</t>
  </si>
  <si>
    <t>SS SHIRT CROP PLAIN MELWT06:WHITE:S:SOLID:SS SHIRT</t>
  </si>
  <si>
    <t>SS SHIRT CROP PLAIN MELWT06:WHITE:M:SOLID:SS SHIRT</t>
  </si>
  <si>
    <t>SS SHIRT CROP PLAIN MELWT06:WHITE:L:SOLID:SS SHIRT</t>
  </si>
  <si>
    <t>NIFWT06</t>
  </si>
  <si>
    <t>LS SHIRT PARASUT LOOK WRINKLE SHIRT NIFWT06:KHAKI:S:SOLID:LS SHIRT</t>
  </si>
  <si>
    <t>LS SHIRT PARASUT LOOK WRINKLE SHIRT NIFWT06:KHAKI:M:SOLID:LS SHIRT</t>
  </si>
  <si>
    <t>LS SHIRT PARASUT LOOK WRINKLE SHIRT NIFWT06:KHAKI:L:SOLID:LS SHIRT</t>
  </si>
  <si>
    <t>LS SHIRT PARASUT LOOK WRINKLE SHIRT NIFWT06:KHAKI:XL:SOLID:LS SHIRT</t>
  </si>
  <si>
    <t>NIFWT07</t>
  </si>
  <si>
    <t>SS BLOUSE GINGHAM CHECK BASIC NIFWT07:PEPPERMINT:S:CHECKS:SS BLOUSE</t>
  </si>
  <si>
    <t>SS BLOUSE GINGHAM CHECK BASIC NIFWT07:PEPPERMINT:M:CHECKS:SS BLOUSE</t>
  </si>
  <si>
    <t>SS BLOUSE GINGHAM CHECK BASIC NIFWT07:PEPPERMINT:L:CHECKS:SS BLOUSE</t>
  </si>
  <si>
    <t>SS BLOUSE GINGHAM CHECK BASIC NIFWT07:PEPPERMINT:XL:CHECKS:SS BLOUSE</t>
  </si>
  <si>
    <t>SS BLOUSE GINGHAM CHECK BASIC NIFWT07:PASTEL PINK:S:CHECKS:SS BLOUSE</t>
  </si>
  <si>
    <t>SS BLOUSE GINGHAM CHECK BASIC NIFWT07:PASTEL PINK:M:CHECKS:SS BLOUSE</t>
  </si>
  <si>
    <t>SS BLOUSE GINGHAM CHECK BASIC NIFWT07:PASTEL PINK:L:CHECKS:SS BLOUSE</t>
  </si>
  <si>
    <t>SS BLOUSE GINGHAM CHECK BASIC NIFWT07:PASTEL PINK:XL:CHECKS:SS BLOUSE</t>
  </si>
  <si>
    <t>SGWT060</t>
  </si>
  <si>
    <t>LS BLOUSE WITH TOP RUFFLE SGWT060:PASTEL GREEN:S:SOLID:LS BLOUSE</t>
  </si>
  <si>
    <t>LS BLOUSE WITH TOP RUFFLE SGWT060:PASTEL GREEN:M:SOLID:LS BLOUSE</t>
  </si>
  <si>
    <t>LS BLOUSE WITH TOP RUFFLE SGWT060:PASTEL GREEN:L:SOLID:LS BLOUSE</t>
  </si>
  <si>
    <t>LS BLOUSE WITH TOP RUFFLE SGWT060:KHAKI:S:SOLID:LS BLOUSE</t>
  </si>
  <si>
    <t>LS BLOUSE WITH TOP RUFFLE SGWT060:KHAKI:M:SOLID:LS BLOUSE</t>
  </si>
  <si>
    <t>LS BLOUSE WITH TOP RUFFLE SGWT060:KHAKI:L:SOLID:LS BLOUSE</t>
  </si>
  <si>
    <t>SGWT062</t>
  </si>
  <si>
    <t>LS SHIRT CHECKERED RUFFLE WITH BOW SGWT062:PASTEL GREEN:S:SOLID:LS SHIRT</t>
  </si>
  <si>
    <t>LS SHIRT CHECKERED RUFFLE WITH BOW SGWT062:PASTEL GREEN:M:SOLID:LS SHIRT</t>
  </si>
  <si>
    <t>LS SHIRT CHECKERED RUFFLE WITH BOW SGWT062:PASTEL GREEN:L:SOLID:LS SHIRT</t>
  </si>
  <si>
    <t>LS SHIRT CHECKERED RUFFLE WITH BOW SGWT062:PASTEL PINK:S:SOLID:LS SHIRT</t>
  </si>
  <si>
    <t>LS SHIRT CHECKERED RUFFLE WITH BOW SGWT062:PASTEL PINK:M:SOLID:LS SHIRT</t>
  </si>
  <si>
    <t>LS SHIRT CHECKERED RUFFLE WITH BOW SGWT062:PASTEL PINK:L:SOLID:LS SHIRT</t>
  </si>
  <si>
    <t>LS BLOUSE WITH TOP RUFFLE SGWT060:PASTEL GREEN:XL:SOLID:LS BLOUSE</t>
  </si>
  <si>
    <t>LS BLOUSE WITH TOP RUFFLE SGWT060:KHAKI:XL:SOLID:LS BLOUSE</t>
  </si>
  <si>
    <t>LS SHIRT CHECKERED RUFFLE WITH BOW SGWT062:PASTEL GREEN:XL:SOLID:LS SHIRT</t>
  </si>
  <si>
    <t>LS SHIRT CHECKERED RUFFLE WITH BOW SGWT062:PASTEL PINK:XL:SOLID:LS SHIRT</t>
  </si>
  <si>
    <t>SGWT063</t>
  </si>
  <si>
    <t>LS SHIRT WINDOW CHECK COLLAR RUFFLE SGWT063:CLASSIC BLUE:S:SOLID:LS SHIRT</t>
  </si>
  <si>
    <t>LS SHIRT WINDOW CHECK COLLAR RUFFLE SGWT063:CLASSIC BLUE:M:SOLID:LS SHIRT</t>
  </si>
  <si>
    <t>LS SHIRT WINDOW CHECK COLLAR RUFFLE SGWT063:CLASSIC BLUE:L:SOLID:LS SHIRT</t>
  </si>
  <si>
    <t>LS SHIRT WINDOW CHECK COLLAR RUFFLE SGWT063:CLASSIC BLUE:XL:SOLID:LS SHIRT</t>
  </si>
  <si>
    <t>LS SHIRT WINDOW CHECK COLLAR RUFFLE SGWT063:PASTEL GREEN:S:SOLID:LS SHIRT</t>
  </si>
  <si>
    <t>LS SHIRT WINDOW CHECK COLLAR RUFFLE SGWT063:PASTEL GREEN:M:SOLID:LS SHIRT</t>
  </si>
  <si>
    <t>LS SHIRT WINDOW CHECK COLLAR RUFFLE SGWT063:PASTEL GREEN:L:SOLID:LS SHIRT</t>
  </si>
  <si>
    <t>LS SHIRT WINDOW CHECK COLLAR RUFFLE SGWT063:PASTEL GREEN:XL:SOLID:LS SHIRT</t>
  </si>
  <si>
    <t>BELTEE03</t>
  </si>
  <si>
    <t>SWEATSHIRT CROPPED WAFFLE TOP BELTEE03:PASTEL PINK:S:GRAPHIC:SWEATSHIRT</t>
  </si>
  <si>
    <t>SWEATSHIRT CROPPED WAFFLE TOP BELTEE03:PASTEL PINK:M:GRAPHIC:SWEATSHIRT</t>
  </si>
  <si>
    <t>SWEATSHIRT CROPPED WAFFLE TOP BELTEE03:PASTEL PINK:L:GRAPHIC:SWEATSHIRT</t>
  </si>
  <si>
    <t>SWEATSHIRT CROPPED WAFFLE TOP BELTEE03:PASTEL PINK:XL:GRAPHIC:SWEATSHIRT</t>
  </si>
  <si>
    <t>ABGKT01</t>
  </si>
  <si>
    <t>TANKTOP T-SHIRT BASIC TANK TOP  ABGKT01:DUSTY PINK:S:SOLID:TANKTOP T-SHIRT</t>
  </si>
  <si>
    <t>TANKTOP T-SHIRT BASIC TANK TOP  ABGKT01:DUSTY PINK:M:SOLID:TANKTOP T-SHIRT</t>
  </si>
  <si>
    <t>TANKTOP T-SHIRT BASIC TANK TOP  ABGKT01:DUSTY PINK:L:SOLID:TANKTOP T-SHIRT</t>
  </si>
  <si>
    <t>TANKTOP T-SHIRT BASIC TANK TOP  ABGKT01:DUSTY PINK:XL:SOLID:TANKTOP T-SHIRT</t>
  </si>
  <si>
    <t>AMJAKT04</t>
  </si>
  <si>
    <t>SS T-SHIRT CROP TEXTURE KNIT TOP AMJAKT04:PASTEL PINK:S:TEXTURE:SS T-SHIRT</t>
  </si>
  <si>
    <t>SS T-SHIRT CROP TEXTURE KNIT TOP AMJAKT04:PASTEL PINK:M:TEXTURE:SS T-SHIRT</t>
  </si>
  <si>
    <t>SS T-SHIRT CROP TEXTURE KNIT TOP AMJAKT04:PASTEL PINK:L:TEXTURE:SS T-SHIRT</t>
  </si>
  <si>
    <t>SS T-SHIRT CROP TEXTURE KNIT TOP AMJAKT04:PASTEL PINK:XL:TEXTURE:SS T-SHIRT</t>
  </si>
  <si>
    <t>SS T-SHIRT CROP TEXTURE KNIT TOP AMJAKT04:BLACK:S:TEXTURE:SS T-SHIRT</t>
  </si>
  <si>
    <t>SS T-SHIRT CROP TEXTURE KNIT TOP AMJAKT04:BLACK:M:TEXTURE:SS T-SHIRT</t>
  </si>
  <si>
    <t>SS T-SHIRT CROP TEXTURE KNIT TOP AMJAKT04:BLACK:L:TEXTURE:SS T-SHIRT</t>
  </si>
  <si>
    <t>MELOUT01</t>
  </si>
  <si>
    <t>VEST TOP MELOUT01:KHAKI:S:SOLID:VEST</t>
  </si>
  <si>
    <t>VEST TOP MELOUT01:KHAKI:M:SOLID:VEST</t>
  </si>
  <si>
    <t>VEST TOP MELOUT01:KHAKI:L:SOLID:VEST</t>
  </si>
  <si>
    <t>VEST TOP MELOUT01:KHAKI:XL:SOLID:VEST</t>
  </si>
  <si>
    <t>TCLOUT11</t>
  </si>
  <si>
    <t>BLAZER OVERSIZE WITH ROLLABLE CUFF WO FURING TCLOUT11:OLIVE:S:SOLID:BLAZER</t>
  </si>
  <si>
    <t>BLAZER OVERSIZE WITH ROLLABLE CUFF WO FURING TCLOUT11:OLIVE:M:SOLID:BLAZER</t>
  </si>
  <si>
    <t>BLAZER OVERSIZE WITH ROLLABLE CUFF WO FURING TCLOUT11:OLIVE:L:SOLID:BLAZER</t>
  </si>
  <si>
    <t>BLAZER OVERSIZE WITH ROLLABLE CUFF WO FURING TCLOUT11:OLIVE:XL:SOLID:BLAZER</t>
  </si>
  <si>
    <t>CARDIGAN KNIT WITH OPEN PLACKET AND BACK ARTWORK BAEOUT064:KHAKI:S:SOLID:CARDIGAN</t>
  </si>
  <si>
    <t>CARDIGAN KNIT WITH OPEN PLACKET AND BACK ARTWORK BAEOUT064:KHAKI:M:SOLID:CARDIGAN</t>
  </si>
  <si>
    <t>CARDIGAN KNIT WITH OPEN PLACKET AND BACK ARTWORK BAEOUT064:KHAKI:L:SOLID:CARDIGAN</t>
  </si>
  <si>
    <t>CARDIGAN KNIT WITH OPEN PLACKET AND BACK ARTWORK BAEOUT064:KHAKI:XL:SOLID:CARDIGAN</t>
  </si>
  <si>
    <t>BAEOUT066</t>
  </si>
  <si>
    <t>SWEATSHIRT CROPPED BOXY PRINT BAEOUT066:PASTEL PINK:S:PRINT:SWEATSHIRT</t>
  </si>
  <si>
    <t>SWEATSHIRT CROPPED BOXY PRINT BAEOUT066:PASTEL PINK:M:PRINT:SWEATSHIRT</t>
  </si>
  <si>
    <t>SWEATSHIRT CROPPED BOXY PRINT BAEOUT066:PASTEL PINK:L:PRINT:SWEATSHIRT</t>
  </si>
  <si>
    <t>SWEATSHIRT CROPPED BOXY PRINT BAEOUT066:PASTEL PINK:XL:PRINT:SWEATSHIRT</t>
  </si>
  <si>
    <t>BAEOUT065</t>
  </si>
  <si>
    <t>CARDIGAN STRIPES KNIT WITH KOREAN BUTTON BAEOUT065:BLACK:S:STRIPES:CARDIGAN</t>
  </si>
  <si>
    <t>CARDIGAN STRIPES KNIT WITH KOREAN BUTTON BAEOUT065:BLACK:M:STRIPES:CARDIGAN</t>
  </si>
  <si>
    <t>CARDIGAN STRIPES KNIT WITH KOREAN BUTTON BAEOUT065:BLACK:L:STRIPES:CARDIGAN</t>
  </si>
  <si>
    <t>CARDIGAN STRIPES KNIT WITH KOREAN BUTTON BAEOUT065:BLACK:XL:STRIPES:CARDIGAN</t>
  </si>
  <si>
    <t>DTROUT01</t>
  </si>
  <si>
    <t>CARDIGAN LONG KNIT DTROUT01:KHAKI:S:SOLID:CARDIGAN</t>
  </si>
  <si>
    <t>CARDIGAN LONG KNIT DTROUT01:KHAKI:M:SOLID:CARDIGAN</t>
  </si>
  <si>
    <t>CARDIGAN LONG KNIT DTROUT01:KHAKI:L:SOLID:CARDIGAN</t>
  </si>
  <si>
    <t>CARDIGAN LONG KNIT DTROUT01:KHAKI:XL:SOLID:CARDIGAN</t>
  </si>
  <si>
    <t>MASWD068</t>
  </si>
  <si>
    <t>LS MIDI DRESS FLOWERY CHIFFON WITH INNER TANK MASWD068:MISTY LIGHT BROWN:S:PRINT:LS MIDI DRESS</t>
  </si>
  <si>
    <t>LS MIDI DRESS FLOWERY CHIFFON WITH INNER TANK MASWD068:MISTY LIGHT BROWN:M:PRINT:LS MIDI DRESS</t>
  </si>
  <si>
    <t>LS MIDI DRESS FLOWERY CHIFFON WITH INNER TANK MASWD068:MISTY LIGHT BROWN:L:PRINT:LS MIDI DRESS</t>
  </si>
  <si>
    <t>LS MIDI DRESS FLOWERY CHIFFON WITH INNER TANK MASWD068:MISTY LIGHT BROWN:XL:PRINT:LS MIDI DRESS</t>
  </si>
  <si>
    <t>MASWB052</t>
  </si>
  <si>
    <t>LONG PANTS LONG CULLOTE ONE SET WITH TANK MASWB052:PASTEL GREEN:S:SOLID:LONG PANTS</t>
  </si>
  <si>
    <t>LONG PANTS LONG CULLOTE ONE SET WITH TANK MASWB052:PASTEL GREEN:M:SOLID:LONG PANTS</t>
  </si>
  <si>
    <t>LONG PANTS LONG CULLOTE ONE SET WITH TANK MASWB052:PASTEL GREEN:L:SOLID:LONG PANTS</t>
  </si>
  <si>
    <t>LONG PANTS LONG CULLOTE ONE SET WITH TANK MASWB052:PASTEL GREEN:XL:SOLID:LONG PANTS</t>
  </si>
  <si>
    <t>MELWB05</t>
  </si>
  <si>
    <t>LONG PANTS BP WITH 2 TONE PIPE LINE  MELWB05:KHAKI:S:SOLID:LONG PANTS</t>
  </si>
  <si>
    <t>LONG PANTS BP WITH 2 TONE PIPE LINE  MELWB05:KHAKI:M:SOLID:LONG PANTS</t>
  </si>
  <si>
    <t>LONG PANTS BP WITH 2 TONE PIPE LINE  MELWB05:KHAKI:L:SOLID:LONG PANTS</t>
  </si>
  <si>
    <t>LONG PANTS BP WITH 2 TONE PIPE LINE  MELWB05:KHAKI:XL:SOLID:LONG PANTS</t>
  </si>
  <si>
    <t>NIFWB01</t>
  </si>
  <si>
    <t>LONG PANTS WIDE CULLOTE OVERLOOP NIFWB01:BLACK:S:SOLID:LONG PANTS</t>
  </si>
  <si>
    <t>LONG PANTS WIDE CULLOTE OVERLOOP NIFWB01:BLACK:M:SOLID:LONG PANTS</t>
  </si>
  <si>
    <t>LONG PANTS WIDE CULLOTE OVERLOOP NIFWB01:BLACK:L:SOLID:LONG PANTS</t>
  </si>
  <si>
    <t>LONG PANTS WIDE CULLOTE OVERLOOP NIFWB01:BLACK:XL:SOLID:LONG PANTS</t>
  </si>
  <si>
    <t>LONG PANTS WIDE CULLOTE OVERLOOP NIFWB01:KHAKI:S:SOLID:LONG PANTS</t>
  </si>
  <si>
    <t>LONG PANTS WIDE CULLOTE OVERLOOP NIFWB01:KHAKI:M:SOLID:LONG PANTS</t>
  </si>
  <si>
    <t>LONG PANTS WIDE CULLOTE OVERLOOP NIFWB01:KHAKI:L:SOLID:LONG PANTS</t>
  </si>
  <si>
    <t>LONG PANTS WIDE CULLOTE OVERLOOP NIFWB01:KHAKI:XL:SOLID:LONG PANTS</t>
  </si>
  <si>
    <t>SGWB053</t>
  </si>
  <si>
    <t>LONG PANTS WITH FRONT DOUBLE FRONT SGWB053:WOOD BROWN:S:SOLID:LONG PANTS</t>
  </si>
  <si>
    <t>LONG PANTS WITH FRONT DOUBLE FRONT SGWB053:WOOD BROWN:M:SOLID:LONG PANTS</t>
  </si>
  <si>
    <t>LONG PANTS WITH FRONT DOUBLE FRONT SGWB053:WOOD BROWN:L:SOLID:LONG PANTS</t>
  </si>
  <si>
    <t>LONG PANTS WITH FRONT DOUBLE FRONT SGWB053:WOOD BROWN:XL:SOLID:LONG PANTS</t>
  </si>
  <si>
    <t>LONG PANTS WITH FRONT DOUBLE FRONT SGWB053:BLACK:S:SOLID:LONG PANTS</t>
  </si>
  <si>
    <t>LONG PANTS WITH FRONT DOUBLE FRONT SGWB053:BLACK:M:SOLID:LONG PANTS</t>
  </si>
  <si>
    <t>LONG PANTS WITH FRONT DOUBLE FRONT SGWB053:BLACK:L:SOLID:LONG PANTS</t>
  </si>
  <si>
    <t>LONG PANTS WITH FRONT DOUBLE FRONT SGWB053:BLACK:XL:SOLID:LONG PANTS</t>
  </si>
  <si>
    <t>AMJAKB01</t>
  </si>
  <si>
    <t>SHORT PANTS TEXTURE KNIT AMJAKB01:PASTEL PINK:S:TEXTURE:SHORT PANTS</t>
  </si>
  <si>
    <t>SHORT PANTS TEXTURE KNIT AMJAKB01:PASTEL PINK:M:TEXTURE:SHORT PANTS</t>
  </si>
  <si>
    <t>SHORT PANTS TEXTURE KNIT AMJAKB01:PASTEL PINK:L:TEXTURE:SHORT PANTS</t>
  </si>
  <si>
    <t>SHORT PANTS TEXTURE KNIT AMJAKB01:PASTEL PINK:XL:TEXTURE:SHORT PANTS</t>
  </si>
  <si>
    <t>SHORT PANTS TEXTURE KNIT AMJAKB01:BLACK:S:TEXTURE:SHORT PANTS</t>
  </si>
  <si>
    <t>SHORT PANTS TEXTURE KNIT AMJAKB01:BLACK:M:TEXTURE:SHORT PANTS</t>
  </si>
  <si>
    <t>SHORT PANTS TEXTURE KNIT AMJAKB01:BLACK:L:TEXTURE:SHORT PANTS</t>
  </si>
  <si>
    <t>SHORT PANTS TEXTURE KNIT AMJAKB01:BLACK:XL:TEXTURE:SHORT PANTS</t>
  </si>
  <si>
    <t>PRDD028</t>
  </si>
  <si>
    <t>DENIM LONG PANTS WITH TAPERED FIT PRDD028:MEDIUM DENIM:S:SOLID:DENIM LONG PANTS</t>
  </si>
  <si>
    <t>DENIM LONG PANTS WITH TAPERED FIT PRDD028:MEDIUM DENIM:M:SOLID:DENIM LONG PANTS</t>
  </si>
  <si>
    <t>DENIM LONG PANTS WITH TAPERED FIT PRDD028:MEDIUM DENIM:L:SOLID:DENIM LONG PANTS</t>
  </si>
  <si>
    <t>DENIM LONG PANTS WITH TAPERED FIT PRDD028:MEDIUM DENIM:XL:SOLID:DENIM LONG PANTS</t>
  </si>
  <si>
    <t>PRDD09</t>
  </si>
  <si>
    <t>DENIM LONG PANTS CARGO PRDD09:LIGHT DENIM:S:SOLID:DENIM LONG PANTS</t>
  </si>
  <si>
    <t>DENIM LONG PANTS CARGO PRDD09:LIGHT DENIM:M:SOLID:DENIM LONG PANTS</t>
  </si>
  <si>
    <t>DENIM LONG PANTS CARGO PRDD09:LIGHT DENIM:L:SOLID:DENIM LONG PANTS</t>
  </si>
  <si>
    <t>DENIM LONG PANTS CARGO PRDD09:LIGHT DENIM:XL:SOLID:DENIM LONG PANTS</t>
  </si>
  <si>
    <t>PRDDSP11</t>
  </si>
  <si>
    <t>DENIM SHORT PANTS DENIM WITH FRONT BUTTON PRDDSP11:LIGHT DENIM:S:SOLID:DENIM SHORT PANTS</t>
  </si>
  <si>
    <t>DENIM SHORT PANTS DENIM WITH FRONT BUTTON PRDDSP11:LIGHT DENIM:M:SOLID:DENIM SHORT PANTS</t>
  </si>
  <si>
    <t>DENIM SHORT PANTS DENIM WITH FRONT BUTTON PRDDSP11:LIGHT DENIM:L:SOLID:DENIM SHORT PANTS</t>
  </si>
  <si>
    <t>DENIM SHORT PANTS DENIM WITH FRONT BUTTON PRDDSP11:LIGHT DENIM:XL:SOLID:DENIM SHORT PANTS</t>
  </si>
  <si>
    <t>PRDD07</t>
  </si>
  <si>
    <t>BKLSD01</t>
  </si>
  <si>
    <t>DENIM SKIRT LONG DENIM WITH SLIT AND ZIPPER BKLSD01:LIGHT DENIM:S:SOLID:DENIM SKIRT</t>
  </si>
  <si>
    <t>DENIM SKIRT LONG DENIM WITH SLIT AND ZIPPER BKLSD01:LIGHT DENIM:M:SOLID:DENIM SKIRT</t>
  </si>
  <si>
    <t>DENIM SKIRT LONG DENIM WITH SLIT AND ZIPPER BKLSD01:LIGHT DENIM:L:SOLID:DENIM SKIRT</t>
  </si>
  <si>
    <t>DENIM SKIRT LONG DENIM WITH SLIT AND ZIPPER BKLSD01:LIGHT DENIM:XL:SOLID:DENIM SKIRT</t>
  </si>
  <si>
    <t>BKLD01</t>
  </si>
  <si>
    <t>DENIM LONG PANTS RIPPED DESTROYED FINISHING BKLD01:MEDIUM DENIM:S:SOLID:DENIM LONG PANTS</t>
  </si>
  <si>
    <t>DENIM LONG PANTS RIPPED DESTROYED FINISHING BKLD01:MEDIUM DENIM:M:SOLID:DENIM LONG PANTS</t>
  </si>
  <si>
    <t>DENIM LONG PANTS RIPPED DESTROYED FINISHING BKLD01:MEDIUM DENIM:L:SOLID:DENIM LONG PANTS</t>
  </si>
  <si>
    <t>DENIM LONG PANTS RIPPED DESTROYED FINISHING BKLD01:MEDIUM DENIM:XL:SOLID:DENIM LONG PANTS</t>
  </si>
  <si>
    <t>TZCA089</t>
  </si>
  <si>
    <t>SS T-SHIRT REGULAR TEE VACAY FOIL TZCA089:WHITE:S:GRAPHIC:SS T-SHIRT</t>
  </si>
  <si>
    <t>SS T-SHIRT REGULAR TEE VACAY FOIL TZCA089:WHITE:M:GRAPHIC:SS T-SHIRT</t>
  </si>
  <si>
    <t>SS T-SHIRT REGULAR TEE VACAY FOIL TZCA089:WHITE:L:GRAPHIC:SS T-SHIRT</t>
  </si>
  <si>
    <t>SS T-SHIRT REGULAR TEE VACAY FOIL TZCA089:WHITE:XL:GRAPHIC:SS T-SHIRT</t>
  </si>
  <si>
    <t>TZCA088</t>
  </si>
  <si>
    <t>SS T-SHIRT REGULAR TEE BONJOUR FOIL  TZCA088:WHITE:S:GRAPHIC:SS T-SHIRT</t>
  </si>
  <si>
    <t>SS T-SHIRT REGULAR TEE BONJOUR FOIL  TZCA088:WHITE:M:GRAPHIC:SS T-SHIRT</t>
  </si>
  <si>
    <t>SS T-SHIRT REGULAR TEE BONJOUR FOIL  TZCA088:WHITE:L:GRAPHIC:SS T-SHIRT</t>
  </si>
  <si>
    <t>SS T-SHIRT REGULAR TEE BONJOUR FOIL  TZCA088:WHITE:XL:GRAPHIC:SS T-SHIRT</t>
  </si>
  <si>
    <t>TZCA083</t>
  </si>
  <si>
    <t>SS T-SHIRT REGULAR TEE EVERYDAY IS HOLIDAY FOIL TZCA083:BLACK:S:GRAPHIC:SS T-SHIRT</t>
  </si>
  <si>
    <t>SS T-SHIRT REGULAR TEE EVERYDAY IS HOLIDAY FOIL TZCA083:BLACK:M:GRAPHIC:SS T-SHIRT</t>
  </si>
  <si>
    <t>SS T-SHIRT REGULAR TEE EVERYDAY IS HOLIDAY FOIL TZCA083:BLACK:L:GRAPHIC:SS T-SHIRT</t>
  </si>
  <si>
    <t>SS T-SHIRT REGULAR TEE EVERYDAY IS HOLIDAY FOIL TZCA083:BLACK:XL:GRAPHIC:SS T-SHIRT</t>
  </si>
  <si>
    <t>TZCA085</t>
  </si>
  <si>
    <t>SS T-SHIRT REGULAR TEE SUMMER FOIL TZCA085:WHITE:S:GRAPHIC:SS T-SHIRT</t>
  </si>
  <si>
    <t>SS T-SHIRT REGULAR TEE SUMMER FOIL TZCA085:WHITE:M:GRAPHIC:SS T-SHIRT</t>
  </si>
  <si>
    <t>SS T-SHIRT REGULAR TEE SUMMER FOIL TZCA085:WHITE:L:GRAPHIC:SS T-SHIRT</t>
  </si>
  <si>
    <t>SS T-SHIRT REGULAR TEE SUMMER FOIL TZCA085:WHITE:XL:GRAPHIC:SS T-SHIRT</t>
  </si>
  <si>
    <t>TZCA086</t>
  </si>
  <si>
    <t>SS T-SHIRT REGULAR TEE VACATION MOOD ON FOIL TZCA086:LIGHT BLUE:S:TEXT:SS T-SHIRT</t>
  </si>
  <si>
    <t>SS T-SHIRT REGULAR TEE VACATION MOOD ON FOIL TZCA086:LIGHT BLUE:M:TEXT:SS T-SHIRT</t>
  </si>
  <si>
    <t>SS T-SHIRT REGULAR TEE VACATION MOOD ON FOIL TZCA086:LIGHT BLUE:L:TEXT:SS T-SHIRT</t>
  </si>
  <si>
    <t>SS T-SHIRT REGULAR TEE VACATION MOOD ON FOIL TZCA086:LIGHT BLUE:XL:TEXT:SS T-SHIRT</t>
  </si>
  <si>
    <t>TZCA087</t>
  </si>
  <si>
    <t>SS T-SHIRT REGULAR TEE EASIER THAN YOU THINK FOIL TZCA087:BLACK:S:TEXT:SS T-SHIRT</t>
  </si>
  <si>
    <t>SS T-SHIRT REGULAR TEE EASIER THAN YOU THINK FOIL TZCA087:BLACK:M:TEXT:SS T-SHIRT</t>
  </si>
  <si>
    <t>SS T-SHIRT REGULAR TEE EASIER THAN YOU THINK FOIL TZCA087:BLACK:L:TEXT:SS T-SHIRT</t>
  </si>
  <si>
    <t>SS T-SHIRT REGULAR TEE EASIER THAN YOU THINK FOIL TZCA087:BLACK:XL:TEXT:SS T-SHIRT</t>
  </si>
  <si>
    <t>SS T-SHIRT REGULAR TEE EASIER THAN YOU THINK FOIL TZCA087:WHITE:S:TEXT:SS T-SHIRT</t>
  </si>
  <si>
    <t>SS T-SHIRT REGULAR TEE EASIER THAN YOU THINK FOIL TZCA087:WHITE:M:TEXT:SS T-SHIRT</t>
  </si>
  <si>
    <t>SS T-SHIRT REGULAR TEE EASIER THAN YOU THINK FOIL TZCA087:WHITE:L:TEXT:SS T-SHIRT</t>
  </si>
  <si>
    <t>SS T-SHIRT REGULAR TEE EASIER THAN YOU THINK FOIL TZCA087:WHITE:XL:TEXT:SS T-SHIRT</t>
  </si>
  <si>
    <t>TZCA084</t>
  </si>
  <si>
    <t>SS T-SHIRT REGULAR TEE NO BAD DAYS TZCA084:KHAKI:S:TEXT:SS T-SHIRT</t>
  </si>
  <si>
    <t>SS T-SHIRT REGULAR TEE NO BAD DAYS TZCA084:KHAKI:M:TEXT:SS T-SHIRT</t>
  </si>
  <si>
    <t>SS T-SHIRT REGULAR TEE NO BAD DAYS TZCA084:KHAKI:L:TEXT:SS T-SHIRT</t>
  </si>
  <si>
    <t>SS T-SHIRT REGULAR TEE NO BAD DAYS TZCA084:KHAKI:XL:TEXT:SS T-SHIRT</t>
  </si>
  <si>
    <t>SS T-SHIRT REGULAR TEE VACATION MOOD ON FOIL TZCA086:KHAKI:S:TEXT:SS T-SHIRT</t>
  </si>
  <si>
    <t>SS T-SHIRT REGULAR TEE VACATION MOOD ON FOIL TZCA086:KHAKI:M:TEXT:SS T-SHIRT</t>
  </si>
  <si>
    <t>SS T-SHIRT REGULAR TEE VACATION MOOD ON FOIL TZCA086:KHAKI:L:TEXT:SS T-SHIRT</t>
  </si>
  <si>
    <t>SS T-SHIRT REGULAR TEE VACATION MOOD ON FOIL TZCA086:KHAKI:XL:TEXT:SS T-SHIRT</t>
  </si>
  <si>
    <t>SS T-SHIRT REGULAR TEE BONJOUR FOIL TZCA088:KHAKI:S:GRAPHIC:SS T-SHIRT</t>
  </si>
  <si>
    <t>SS T-SHIRT REGULAR TEE BONJOUR FOIL TZCA088:KHAKI:M:GRAPHIC:SS T-SHIRT</t>
  </si>
  <si>
    <t>SS T-SHIRT REGULAR TEE BONJOUR FOIL TZCA088:KHAKI:L:GRAPHIC:SS T-SHIRT</t>
  </si>
  <si>
    <t>SS T-SHIRT REGULAR TEE BONJOUR FOIL TZCA088:KHAKI:XL:GRAPHIC:SS T-SHIRT</t>
  </si>
  <si>
    <t>TZAM001</t>
  </si>
  <si>
    <t>SS T-SHIRT REGULAR TEE ENJOY THE TIME  TZAM001:BLACK:S:GRAPHIC:SS T-SHIRT</t>
  </si>
  <si>
    <t>SS T-SHIRT REGULAR TEE ENJOY THE TIME  TZAM001:BLACK:M:GRAPHIC:SS T-SHIRT</t>
  </si>
  <si>
    <t>SS T-SHIRT REGULAR TEE ENJOY THE TIME  TZAM001:BLACK:L:GRAPHIC:SS T-SHIRT</t>
  </si>
  <si>
    <t>SS T-SHIRT REGULAR TEE ENJOY THE TIME  TZAM001:BLACK:XL:GRAPHIC:SS T-SHIRT</t>
  </si>
  <si>
    <t>TZAM002</t>
  </si>
  <si>
    <t>SS T-SHIRT REGULAR TEE GO SHINE FOIL TZAM002:WHITE:S:GRAPHIC:SS T-SHIRT</t>
  </si>
  <si>
    <t>SS T-SHIRT REGULAR TEE GO SHINE FOIL TZAM002:WHITE:M:GRAPHIC:SS T-SHIRT</t>
  </si>
  <si>
    <t>SS T-SHIRT REGULAR TEE GO SHINE FOIL TZAM002:WHITE:L:GRAPHIC:SS T-SHIRT</t>
  </si>
  <si>
    <t>SS T-SHIRT REGULAR TEE GO SHINE FOIL TZAM002:WHITE:XL:GRAPHIC:SS T-SHIRT</t>
  </si>
  <si>
    <t>TZCA100</t>
  </si>
  <si>
    <t>SS T-SHIRT REGULAR TEE FULL BLUE CLASSIC  TZCA100:WHITE:S:GRAPHIC:SS T-SHIRT</t>
  </si>
  <si>
    <t>SS T-SHIRT REGULAR TEE FULL BLUE CLASSIC  TZCA100:WHITE:M:GRAPHIC:SS T-SHIRT</t>
  </si>
  <si>
    <t>SS T-SHIRT REGULAR TEE FULL BLUE CLASSIC  TZCA100:WHITE:L:GRAPHIC:SS T-SHIRT</t>
  </si>
  <si>
    <t>SS T-SHIRT REGULAR TEE FULL BLUE CLASSIC  TZCA100:WHITE:XL:GRAPHIC:SS T-SHIRT</t>
  </si>
  <si>
    <t>TZCA102</t>
  </si>
  <si>
    <t>SS T-SHIRT REGULAR TEE FEEL GOOD FOIL TZCA102:BLACK:S:GRAPHIC:SS T-SHIRT</t>
  </si>
  <si>
    <t>SS T-SHIRT REGULAR TEE FEEL GOOD FOIL TZCA102:BLACK:M:GRAPHIC:SS T-SHIRT</t>
  </si>
  <si>
    <t>SS T-SHIRT REGULAR TEE FEEL GOOD FOIL TZCA102:BLACK:L:GRAPHIC:SS T-SHIRT</t>
  </si>
  <si>
    <t>SS T-SHIRT REGULAR TEE FEEL GOOD FOIL TZCA102:BLACK:XL:GRAPHIC:SS T-SHIRT</t>
  </si>
  <si>
    <t>TZCA105</t>
  </si>
  <si>
    <t>SS T-SHIRT REGULAR TEE FOIL GOLD AND STRIPES  TZCA105:WHITE:S:GRAPHIC:SS T-SHIRT</t>
  </si>
  <si>
    <t>SS T-SHIRT REGULAR TEE FOIL GOLD AND STRIPES  TZCA105:WHITE:M:GRAPHIC:SS T-SHIRT</t>
  </si>
  <si>
    <t>SS T-SHIRT REGULAR TEE FOIL GOLD AND STRIPES  TZCA105:WHITE:L:GRAPHIC:SS T-SHIRT</t>
  </si>
  <si>
    <t>SS T-SHIRT REGULAR TEE FOIL GOLD AND STRIPES  TZCA105:WHITE:XL:GRAPHIC:SS T-SHIRT</t>
  </si>
  <si>
    <t>TZCA101</t>
  </si>
  <si>
    <t>SS T-SHIRT REGULAR TEE FULL SILVER WORDING FOIL  TZCA101:PASTEL BLUE:S:GRAPHIC:SS T-SHIRT</t>
  </si>
  <si>
    <t>SS T-SHIRT REGULAR TEE FULL SILVER WORDING FOIL  TZCA101:PASTEL BLUE:M:GRAPHIC:SS T-SHIRT</t>
  </si>
  <si>
    <t>SS T-SHIRT REGULAR TEE FULL SILVER WORDING FOIL  TZCA101:PASTEL BLUE:L:GRAPHIC:SS T-SHIRT</t>
  </si>
  <si>
    <t>SS T-SHIRT REGULAR TEE FULL SILVER WORDING FOIL  TZCA101:PASTEL BLUE:XL:GRAPHIC:SS T-SHIRT</t>
  </si>
  <si>
    <t>TZCA104</t>
  </si>
  <si>
    <t>SS T-SHIRT REGULAR TEE FOIL SILVER WORDING TZCA104:PASTEL PINK:S:GRAPHIC:SS T-SHIRT</t>
  </si>
  <si>
    <t>SS T-SHIRT REGULAR TEE FOIL SILVER WORDING TZCA104:PASTEL PINK:M:GRAPHIC:SS T-SHIRT</t>
  </si>
  <si>
    <t>SS T-SHIRT REGULAR TEE FOIL SILVER WORDING TZCA104:PASTEL PINK:L:GRAPHIC:SS T-SHIRT</t>
  </si>
  <si>
    <t>SS T-SHIRT REGULAR TEE FOIL SILVER WORDING TZCA104:PASTEL PINK:XL:GRAPHIC:SS T-SHIRT</t>
  </si>
  <si>
    <t>DTRSWT01</t>
  </si>
  <si>
    <t>LS SHIRT KNIT TOP DTRSWT01:PASTEL GREEN:S:SOLID:LS SHIRT</t>
  </si>
  <si>
    <t>LS SHIRT KNIT TOP DTRSWT01:PASTEL GREEN:M:SOLID:LS SHIRT</t>
  </si>
  <si>
    <t>LS SHIRT KNIT TOP DTRSWT01:PASTEL GREEN:L:SOLID:LS SHIRT</t>
  </si>
  <si>
    <t>LS SHIRT KNIT TOP DTRSWT01:PASTEL GREEN:XL:SOLID:LS SHIRT</t>
  </si>
  <si>
    <t>LS SHIRT KNIT TOP DTRSWT01:KHAKI:S:SOLID:LS SHIRT</t>
  </si>
  <si>
    <t>LS SHIRT KNIT TOP DTRSWT01:KHAKI:M:SOLID:LS SHIRT</t>
  </si>
  <si>
    <t>LS SHIRT KNIT TOP DTRSWT01:KHAKI:L:SOLID:LS SHIRT</t>
  </si>
  <si>
    <t>LS SHIRT KNIT TOP DTRSWT01:KHAKI:XL:SOLID:LS SHIRT</t>
  </si>
  <si>
    <t>SGWT061</t>
  </si>
  <si>
    <t>SS SHIRT CROP SLEEVELESS WITH BACKSTRING SGWT061:PASTEL PINK:S:SOLID:SS SHIRT</t>
  </si>
  <si>
    <t>SS SHIRT CROP SLEEVELESS WITH BACKSTRING SGWT061:PASTEL PINK:M:SOLID:SS SHIRT</t>
  </si>
  <si>
    <t>SS SHIRT CROP SLEEVELESS WITH BACKSTRING SGWT061:PASTEL PINK:L:SOLID:SS SHIRT</t>
  </si>
  <si>
    <t>SS SHIRT CROP SLEEVELESS WITH BACKSTRING SGWT061:KHAKI:S:SOLID:SS SHIRT</t>
  </si>
  <si>
    <t>SS SHIRT CROP SLEEVELESS WITH BACKSTRING SGWT061:KHAKI:M:SOLID:SS SHIRT</t>
  </si>
  <si>
    <t>SS SHIRT CROP SLEEVELESS WITH BACKSTRING SGWT061:KHAKI:L:SOLID:SS SHIRT</t>
  </si>
  <si>
    <t>SS SHIRT CROP SLEEVELESS WITH BACKSTRING SGWT061:PASTEL PINK:XL:SOLID:SS SHIRT</t>
  </si>
  <si>
    <t>SS SHIRT CROP SLEEVELESS WITH BACKSTRING SGWT061:KHAKI:XL:SOLID:SS SHIRT</t>
  </si>
  <si>
    <t>LS BLOUSE WITH BUTTON AT SLEEVES SGWT29:PASTEL GREEN:S:SOLID:LS BLOUSE</t>
  </si>
  <si>
    <t>LS BLOUSE WITH BUTTON AT SLEEVES SGWT29:PASTEL GREEN:M:SOLID:LS BLOUSE</t>
  </si>
  <si>
    <t>LS BLOUSE WITH BUTTON AT SLEEVES SGWT29:PASTEL GREEN:L:SOLID:LS BLOUSE</t>
  </si>
  <si>
    <t>LS BLOUSE WITH BUTTON AT SLEEVES SGWT29:KHAKI:S:SOLID:LS BLOUSE</t>
  </si>
  <si>
    <t>LS BLOUSE WITH BUTTON AT SLEEVES SGWT29:KHAKI:M:SOLID:LS BLOUSE</t>
  </si>
  <si>
    <t>LS BLOUSE WITH BUTTON AT SLEEVES SGWT29:KHAKI:L:SOLID:LS BLOUSE</t>
  </si>
  <si>
    <t>LS BLOUSE WITH BUTTON AT SLEEVES SGWT29:PASTEL GREEN:XL:SOLID:LS BLOUSE</t>
  </si>
  <si>
    <t>LS BLOUSE WITH BUTTON AT SLEEVES SGWT29:KHAKI:XL:SOLID:LS BLOUSE</t>
  </si>
  <si>
    <t>DTROUT02</t>
  </si>
  <si>
    <t>CARDIGAN BASIC DTROUT02:BLACK:S:SOLID:CARDIGAN</t>
  </si>
  <si>
    <t>CARDIGAN BASIC DTROUT02:BLACK:M:SOLID:CARDIGAN</t>
  </si>
  <si>
    <t>CARDIGAN BASIC DTROUT02:BLACK:L:SOLID:CARDIGAN</t>
  </si>
  <si>
    <t>CARDIGAN BASIC DTROUT02:KHAKI:S:SOLID:CARDIGAN</t>
  </si>
  <si>
    <t>CARDIGAN BASIC DTROUT02:KHAKI:M:SOLID:CARDIGAN</t>
  </si>
  <si>
    <t>CARDIGAN BASIC DTROUT02:KHAKI:L:SOLID:CARDIGAN</t>
  </si>
  <si>
    <t>CARDIGAN BASIC DTROUT02:BLACK:XL:SOLID:CARDIGAN</t>
  </si>
  <si>
    <t>CARDIGAN BASIC DTROUT02:KHAKI:XL:SOLID:CARDIGAN</t>
  </si>
  <si>
    <t>LONG PANTS WITH HALF ELASTIC AT WAIST AND TAPERED FIT  RKWB01:BLACK:S:SOLID:LONG PANTS</t>
  </si>
  <si>
    <t>LONG PANTS WITH HALF ELASTIC AT WAIST AND TAPERED FIT  RKWB01:BLACK:M:SOLID:LONG PANTS</t>
  </si>
  <si>
    <t>LONG PANTS WITH HALF ELASTIC AT WAIST AND TAPERED FIT  RKWB01:BLACK:L:SOLID:LONG PANTS</t>
  </si>
  <si>
    <t>LONG PANTS WITH HALF ELASTIC AT WAIST AND TAPERED FIT  RKWB01:BLACK:XL:SOLID:LONG PANTS</t>
  </si>
  <si>
    <t>DENIM LONG PANTS CULLOTES WITH FAKE BUTTONS AND DIAGONAL STRAIGHT POCKET PRDDWB06:MISTY LIGHT BLUE:S</t>
  </si>
  <si>
    <t>DENIM LONG PANTS CULLOTES WITH FAKE BUTTONS AND DIAGONAL STRAIGHT POCKET PRDDWB06:MISTY LIGHT BLUE:M</t>
  </si>
  <si>
    <t>DENIM LONG PANTS CULLOTES WITH FAKE BUTTONS AND DIAGONAL STRAIGHT POCKET PRDDWB06:MISTY LIGHT BLUE:L</t>
  </si>
  <si>
    <t>DENIM LONG PANTS CULLOTES WITH FAKE BUTTONS AND DIAGONAL STRAIGHT POCKET PRDDWB06:MISTY LIGHT BLUE:X</t>
  </si>
  <si>
    <t>2019-OLDER ALL D95</t>
  </si>
  <si>
    <t>MELWT08</t>
  </si>
  <si>
    <t>LS SHIRT CROPPED WITH STUDS COLLAR MELWT08:PASTEL BLUE:S:SOLID:LS SHIRT</t>
  </si>
  <si>
    <t>LS SHIRT CROPPED WITH STUDS COLLAR MELWT08:PASTEL BLUE:M:SOLID:LS SHIRT</t>
  </si>
  <si>
    <t>LS SHIRT CROPPED WITH STUDS COLLAR MELWT08:PASTEL BLUE:L:SOLID:LS SHIRT</t>
  </si>
  <si>
    <t>LS SHIRT CROPPED WITH STUDS COLLAR MELWT08:PASTEL BLUE:XL:SOLID:LS SHIRT</t>
  </si>
  <si>
    <t>MELWT07</t>
  </si>
  <si>
    <t>LS SHIRT DOUBLE POCKET  MELWT07:WHITE:S:SOLID:LS SHIRT</t>
  </si>
  <si>
    <t>LS SHIRT DOUBLE POCKET  MELWT07:WHITE:M:SOLID:LS SHIRT</t>
  </si>
  <si>
    <t>LS SHIRT DOUBLE POCKET  MELWT07:WHITE:L:SOLID:LS SHIRT</t>
  </si>
  <si>
    <t>LS SHIRT DOUBLE POCKET  MELWT07:WHITE:XL:SOLID:LS SHIRT</t>
  </si>
  <si>
    <t>MELWT09</t>
  </si>
  <si>
    <t>LS SHIRT BASIC CROP SQUARE MELWT09:CLASSIC BLUE:S:SOLID:LS SHIRT</t>
  </si>
  <si>
    <t>LS SHIRT BASIC CROP SQUARE MELWT09:CLASSIC BLUE:M:SOLID:LS SHIRT</t>
  </si>
  <si>
    <t>LS SHIRT BASIC CROP SQUARE MELWT09:CLASSIC BLUE:L:SOLID:LS SHIRT</t>
  </si>
  <si>
    <t>LS SHIRT BASIC CROP SQUARE MELWT09:CLASSIC BLUE:XL:SOLID:LS SHIRT</t>
  </si>
  <si>
    <t>LS SHIRT BASIC CROP SQUARE MELWT09:WHITE:S:SOLID:LS SHIRT</t>
  </si>
  <si>
    <t>LS SHIRT BASIC CROP SQUARE MELWT09:WHITE:M:SOLID:LS SHIRT</t>
  </si>
  <si>
    <t>LS SHIRT BASIC CROP SQUARE MELWT09:WHITE:L:SOLID:LS SHIRT</t>
  </si>
  <si>
    <t>LS SHIRT BASIC CROP SQUARE MELWT09:WHITE:XL:SOLID:LS SHIRT</t>
  </si>
  <si>
    <t>NIFWT10</t>
  </si>
  <si>
    <t>LS BLOUSE BASIC WITH TIE ON NECK NIFWT10:PASTEL PINK:S:FLORAL:LS BLOUSE</t>
  </si>
  <si>
    <t>LS BLOUSE BASIC WITH TIE ON NECK NIFWT10:PASTEL PINK:M:FLORAL:LS BLOUSE</t>
  </si>
  <si>
    <t>LS BLOUSE BASIC WITH TIE ON NECK NIFWT10:PASTEL PINK:L:FLORAL:LS BLOUSE</t>
  </si>
  <si>
    <t>LS BLOUSE BASIC WITH TIE ON NECK NIFWT10:PASTEL PINK:XL:FLORAL:LS BLOUSE</t>
  </si>
  <si>
    <t>LS BLOUSE BASIC WITH TIE ON NECK NIFWT10:PASTEL GREEN:S:FLORAL:LS BLOUSE</t>
  </si>
  <si>
    <t>LS BLOUSE BASIC WITH TIE ON NECK NIFWT10:PASTEL GREEN:M:FLORAL:LS BLOUSE</t>
  </si>
  <si>
    <t>LS BLOUSE BASIC WITH TIE ON NECK NIFWT10:PASTEL GREEN:L:FLORAL:LS BLOUSE</t>
  </si>
  <si>
    <t>LS BLOUSE BASIC WITH TIE ON NECK NIFWT10:PASTEL GREEN:XL:FLORAL:LS BLOUSE</t>
  </si>
  <si>
    <t>NIFWT08</t>
  </si>
  <si>
    <t>LS SHIRT GINGHAM SMALL CHECK BASIC NIFWT08:KHAKI:S:CHECKS:LS SHIRT</t>
  </si>
  <si>
    <t>LS SHIRT GINGHAM SMALL CHECK BASIC NIFWT08:KHAKI:M:CHECKS:LS SHIRT</t>
  </si>
  <si>
    <t>LS SHIRT GINGHAM SMALL CHECK BASIC NIFWT08:KHAKI:L:CHECKS:LS SHIRT</t>
  </si>
  <si>
    <t>LS SHIRT GINGHAM SMALL CHECK BASIC NIFWT08:KHAKI:XL:CHECKS:LS SHIRT</t>
  </si>
  <si>
    <t>LS SHIRT GINGHAM SMALL CHECK BASIC NIFWT08:PASTEL PINK:S:CHECKS:LS SHIRT</t>
  </si>
  <si>
    <t>LS SHIRT GINGHAM SMALL CHECK BASIC NIFWT08:PASTEL PINK:M:CHECKS:LS SHIRT</t>
  </si>
  <si>
    <t>LS SHIRT GINGHAM SMALL CHECK BASIC NIFWT08:PASTEL PINK:L:CHECKS:LS SHIRT</t>
  </si>
  <si>
    <t>LS SHIRT GINGHAM SMALL CHECK BASIC NIFWT08:PASTEL PINK:XL:CHECKS:LS SHIRT</t>
  </si>
  <si>
    <t>NIFWT09</t>
  </si>
  <si>
    <t>SS BLOUSE WRINKLE STRIPES NIFWT09:PASTEL PINK:S:STRIPES:SS BLOUSE</t>
  </si>
  <si>
    <t>SS BLOUSE WRINKLE STRIPES NIFWT09:PASTEL PINK:M:STRIPES:SS BLOUSE</t>
  </si>
  <si>
    <t>SS BLOUSE WRINKLE STRIPES NIFWT09:PASTEL PINK:L:STRIPES:SS BLOUSE</t>
  </si>
  <si>
    <t>SS BLOUSE WRINKLE STRIPES NIFWT09:PASTEL PINK:XL:STRIPES:SS BLOUSE</t>
  </si>
  <si>
    <t>DTRSWT02</t>
  </si>
  <si>
    <t>LS SHIRT KNIT TOP STRIPES DTRSWT02:CLASSIC BLUE:S:STRIPES:LS SHIRT</t>
  </si>
  <si>
    <t>LS SHIRT KNIT TOP STRIPES DTRSWT02:CLASSIC BLUE:M:STRIPES:LS SHIRT</t>
  </si>
  <si>
    <t>LS SHIRT KNIT TOP STRIPES DTRSWT02:CLASSIC BLUE:L:STRIPES:LS SHIRT</t>
  </si>
  <si>
    <t>LS SHIRT KNIT TOP STRIPES DTRSWT02:CLASSIC BLUE:XL:STRIPES:LS SHIRT</t>
  </si>
  <si>
    <t>LS SHIRT KNIT TOP DTRSWT01:LIGHT BLUE:S:SOLID:LS SHIRT</t>
  </si>
  <si>
    <t>LS SHIRT KNIT TOP DTRSWT01:LIGHT BLUE:M:SOLID:LS SHIRT</t>
  </si>
  <si>
    <t>LS SHIRT KNIT TOP DTRSWT01:LIGHT BLUE:L:SOLID:LS SHIRT</t>
  </si>
  <si>
    <t>LS SHIRT KNIT TOP DTRSWT01:LIGHT BLUE:XL:SOLID:LS SHIRT</t>
  </si>
  <si>
    <t>LS SHIRT KNIT TOP DTRSWT01:PASTEL PINK:S:SOLID:LS SHIRT</t>
  </si>
  <si>
    <t>LS SHIRT KNIT TOP DTRSWT01:PASTEL PINK:M:SOLID:LS SHIRT</t>
  </si>
  <si>
    <t>LS SHIRT KNIT TOP DTRSWT01:PASTEL PINK:L:SOLID:LS SHIRT</t>
  </si>
  <si>
    <t>LS SHIRT KNIT TOP DTRSWT01:PASTEL PINK:XL:SOLID:LS SHIRT</t>
  </si>
  <si>
    <t>SGWT059</t>
  </si>
  <si>
    <t>LS BLOUSE FLOWER PRINT RUFFLE SGWT059:WHITE:S:FLORAL:LS BLOUSE</t>
  </si>
  <si>
    <t>LS BLOUSE FLOWER PRINT RUFFLE SGWT059:WHITE:M:FLORAL:LS BLOUSE</t>
  </si>
  <si>
    <t>LS BLOUSE FLOWER PRINT RUFFLE SGWT059:WHITE:L:FLORAL:LS BLOUSE</t>
  </si>
  <si>
    <t>LS BLOUSE FLOWER PRINT RUFFLE SGWT059:WHITE:XL:FLORAL:LS BLOUSE</t>
  </si>
  <si>
    <t>SGWT065</t>
  </si>
  <si>
    <t>LS SHIRT OVERSIZE STRIPES SGWT065:CLASSIC BLUE:S:STRIPES:LS SHIRT</t>
  </si>
  <si>
    <t>LS SHIRT OVERSIZE STRIPES SGWT065:CLASSIC BLUE:M:STRIPES:LS SHIRT</t>
  </si>
  <si>
    <t>LS SHIRT OVERSIZE STRIPES SGWT065:CLASSIC BLUE:L:STRIPES:LS SHIRT</t>
  </si>
  <si>
    <t>CATP001</t>
  </si>
  <si>
    <t>SS T-SHIRT SLIM PLAIN CATP001:WHITE:S:SOLID:SS T-SHIRT</t>
  </si>
  <si>
    <t>SS T-SHIRT SLIM PLAIN CATP001:WHITE:M:SOLID:SS T-SHIRT</t>
  </si>
  <si>
    <t>SS T-SHIRT SLIM PLAIN CATP001:WHITE:L:SOLID:SS T-SHIRT</t>
  </si>
  <si>
    <t>SS T-SHIRT SLIM PLAIN CATP001:WHITE:XL:SOLID:SS T-SHIRT</t>
  </si>
  <si>
    <t>SS T-SHIRT SLIM PLAIN CATP001:MISTY MEDIUM BROWN:S:SOLID:SS T-SHIRT</t>
  </si>
  <si>
    <t>SS T-SHIRT SLIM PLAIN CATP001:MISTY MEDIUM BROWN:M:SOLID:SS T-SHIRT</t>
  </si>
  <si>
    <t>SS T-SHIRT SLIM PLAIN CATP001:MISTY MEDIUM BROWN:L:SOLID:SS T-SHIRT</t>
  </si>
  <si>
    <t>SS T-SHIRT SLIM PLAIN CATP001:MISTY MEDIUM BROWN:XL:SOLID:SS T-SHIRT</t>
  </si>
  <si>
    <t>MELOUT02</t>
  </si>
  <si>
    <t>JACKET DOUBLE POCKET OVERSIZE MELOUT02:WHITE:S:SOLID:JACKET</t>
  </si>
  <si>
    <t>JACKET DOUBLE POCKET OVERSIZE MELOUT02:WHITE:M:SOLID:JACKET</t>
  </si>
  <si>
    <t>JACKET DOUBLE POCKET OVERSIZE MELOUT02:WHITE:L:SOLID:JACKET</t>
  </si>
  <si>
    <t>MASWB053</t>
  </si>
  <si>
    <t>MINI SKIRT TENNIS PLEATS MASWB053:BLACK:S:SOLID:MINI SKIRT</t>
  </si>
  <si>
    <t>MINI SKIRT TENNIS PLEATS MASWB053:BLACK:M:SOLID:MINI SKIRT</t>
  </si>
  <si>
    <t>MINI SKIRT TENNIS PLEATS MASWB053:BLACK:L:SOLID:MINI SKIRT</t>
  </si>
  <si>
    <t>MINI SKIRT TENNIS PLEATS MASWB053:BLACK:XL:SOLID:MINI SKIRT</t>
  </si>
  <si>
    <t>MASWB054</t>
  </si>
  <si>
    <t>LONG PANTS DOUBLE LOOK LEG OPENING MASWB054:KHAKI:S:SOLID:LONG PANTS</t>
  </si>
  <si>
    <t>LONG PANTS DOUBLE LOOK LEG OPENING MASWB054:KHAKI:M:SOLID:LONG PANTS</t>
  </si>
  <si>
    <t>LONG PANTS DOUBLE LOOK LEG OPENING MASWB054:KHAKI:L:SOLID:LONG PANTS</t>
  </si>
  <si>
    <t>LONG PANTS DOUBLE LOOK LEG OPENING MASWB054:KHAKI:XL:SOLID:LONG PANTS</t>
  </si>
  <si>
    <t>MELWB06</t>
  </si>
  <si>
    <t>MIDI SKIRT BALOON MELWB06:WHITE:S:SOLID:MIDI SKIRT</t>
  </si>
  <si>
    <t>MIDI SKIRT BALOON MELWB06:WHITE:M:SOLID:MIDI SKIRT</t>
  </si>
  <si>
    <t>MIDI SKIRT BALOON MELWB06:WHITE:L:SOLID:MIDI SKIRT</t>
  </si>
  <si>
    <t>MIDI SKIRT BALOON MELWB06:WHITE:XL:SOLID:MIDI SKIRT</t>
  </si>
  <si>
    <t>SGWB054</t>
  </si>
  <si>
    <t>LONG PANTS WITH OVERLAP FRONT OPENING SGWB054:KHAKI:S:SOLID:LONG PANTS</t>
  </si>
  <si>
    <t>LONG PANTS WITH OVERLAP FRONT OPENING SGWB054:KHAKI:M:SOLID:LONG PANTS</t>
  </si>
  <si>
    <t>LONG PANTS WITH OVERLAP FRONT OPENING SGWB054:KHAKI:L:SOLID:LONG PANTS</t>
  </si>
  <si>
    <t>LONG PANTS WITH OVERLAP FRONT OPENING SGWB054:KHAKI:XL:SOLID:LONG PANTS</t>
  </si>
  <si>
    <t>PRDD026</t>
  </si>
  <si>
    <t>DENIM LONG PANTS SEMI CULLOTE WITH MINI UNDER WAIST POCKET PRDD026:MEDIUM DENIM:S:SOLID:DENIM LONG P</t>
  </si>
  <si>
    <t>DENIM LONG PANTS SEMI CULLOTE WITH MINI UNDER WAIST POCKET PRDD026:MEDIUM DENIM:M:SOLID:DENIM LONG P</t>
  </si>
  <si>
    <t>DENIM LONG PANTS SEMI CULLOTE WITH MINI UNDER WAIST POCKET PRDD026:MEDIUM DENIM:L:SOLID:DENIM LONG P</t>
  </si>
  <si>
    <t>DENIM LONG PANTS SEMI CULLOTE WITH MINI UNDER WAIST POCKET PRDD026:MEDIUM DENIM:XL:SOLID:DENIM LONG</t>
  </si>
  <si>
    <t>PRDT012</t>
  </si>
  <si>
    <t>VEST DENIM PRDT012:LIGHT DENIM:S:SOLID:VEST</t>
  </si>
  <si>
    <t>VEST DENIM PRDT012:LIGHT DENIM:M:SOLID:VEST</t>
  </si>
  <si>
    <t>VEST DENIM PRDT012:LIGHT DENIM:L:SOLID:VEST</t>
  </si>
  <si>
    <t>VEST DENIM PRDT012:LIGHT DENIM:XL:SOLID:VEST</t>
  </si>
  <si>
    <t>PRDD025</t>
  </si>
  <si>
    <t>MAXI SKIRT LONG DENIM WITH FRONT SLIT  PRDD025:LIGHT DENIM:S:SOLID:MAXI SKIRT</t>
  </si>
  <si>
    <t>MAXI SKIRT LONG DENIM WITH FRONT SLIT  PRDD025:LIGHT DENIM:M:SOLID:MAXI SKIRT</t>
  </si>
  <si>
    <t>MAXI SKIRT LONG DENIM WITH FRONT SLIT  PRDD025:LIGHT DENIM:L:SOLID:MAXI SKIRT</t>
  </si>
  <si>
    <t>MAXI SKIRT LONG DENIM WITH FRONT SLIT  PRDD025:LIGHT DENIM:XL:SOLID:MAXI SKIRT</t>
  </si>
  <si>
    <t>PRDT013</t>
  </si>
  <si>
    <t>SS SHIRT TIER DENIM TOP PRDT013:MEDIUM DENIM:S:SOLID:SS SHIRT</t>
  </si>
  <si>
    <t>SS SHIRT TIER DENIM TOP PRDT013:MEDIUM DENIM:M:SOLID:SS SHIRT</t>
  </si>
  <si>
    <t>SS SHIRT TIER DENIM TOP PRDT013:MEDIUM DENIM:L:SOLID:SS SHIRT</t>
  </si>
  <si>
    <t>SS SHIRT TIER DENIM TOP PRDT013:MEDIUM DENIM:XL:SOLID:SS SHIRT</t>
  </si>
  <si>
    <t>PRDDSP12</t>
  </si>
  <si>
    <t>DENIM SKIRT RIPPED SKORT DENIM PRDDSP12:MEDIUM DENIM:S:SOLID:DENIM SKIRT</t>
  </si>
  <si>
    <t>DENIM SKIRT RIPPED SKORT DENIM PRDDSP12:MEDIUM DENIM:M:SOLID:DENIM SKIRT</t>
  </si>
  <si>
    <t>DENIM SKIRT RIPPED SKORT DENIM PRDDSP12:MEDIUM DENIM:L:SOLID:DENIM SKIRT</t>
  </si>
  <si>
    <t>DENIM SKIRT RIPPED SKORT DENIM PRDDSP12:MEDIUM DENIM:XL:SOLID:DENIM SKIRT</t>
  </si>
  <si>
    <t>LONG PANTS PAPER BAG WITH TAPPERED FIT  PRDD07:PASTEL PINK:S:SOLID:LONG PANTS</t>
  </si>
  <si>
    <t>LONG PANTS PAPER BAG WITH TAPPERED FIT  PRDD07:PASTEL PINK:M:SOLID:LONG PANTS</t>
  </si>
  <si>
    <t>LONG PANTS PAPER BAG WITH TAPPERED FIT  PRDD07:PASTEL PINK:L:SOLID:LONG PANTS</t>
  </si>
  <si>
    <t>LONG PANTS PAPER BAG WITH TAPPERED FIT  PRDD07:PASTEL PINK:XL:SOLID:LONG PANTS</t>
  </si>
  <si>
    <t>TZCA073</t>
  </si>
  <si>
    <t>SS T-SHIRT REGULAR TEE FOIL LOVE TZCA073:WHITE:S:GRAPHIC:SS T-SHIRT</t>
  </si>
  <si>
    <t>SS T-SHIRT REGULAR TEE FOIL LOVE TZCA073:WHITE:M:GRAPHIC:SS T-SHIRT</t>
  </si>
  <si>
    <t>SS T-SHIRT REGULAR TEE FOIL LOVE TZCA073:WHITE:L:GRAPHIC:SS T-SHIRT</t>
  </si>
  <si>
    <t>TZCA074</t>
  </si>
  <si>
    <t>SS T-SHIRT REGULAR TEE FOIL BRIDGE TZCA074:WHITE:S:GRAPHIC:SS T-SHIRT</t>
  </si>
  <si>
    <t>SS T-SHIRT REGULAR TEE FOIL BRIDGE TZCA074:WHITE:M:GRAPHIC:SS T-SHIRT</t>
  </si>
  <si>
    <t>SS T-SHIRT REGULAR TEE FOIL BRIDGE TZCA074:WHITE:L:GRAPHIC:SS T-SHIRT</t>
  </si>
  <si>
    <t>SS T-SHIRT REGULAR TEE FOIL BRIDGE TZCA074:PASTEL GREEN:S:GRAPHIC:SS T-SHIRT</t>
  </si>
  <si>
    <t>SS T-SHIRT REGULAR TEE FOIL BRIDGE TZCA074:PASTEL GREEN:M:GRAPHIC:SS T-SHIRT</t>
  </si>
  <si>
    <t>SS T-SHIRT REGULAR TEE FOIL BRIDGE TZCA074:PASTEL GREEN:L:GRAPHIC:SS T-SHIRT</t>
  </si>
  <si>
    <t>TZCA075</t>
  </si>
  <si>
    <t>SS T-SHIRT REGULAR TEE DENIM COLLAGE TZCA075:PASTEL BLUE:S:GRAPHIC:SS T-SHIRT</t>
  </si>
  <si>
    <t>SS T-SHIRT REGULAR TEE DENIM COLLAGE TZCA075:PASTEL BLUE:M:GRAPHIC:SS T-SHIRT</t>
  </si>
  <si>
    <t>SS T-SHIRT REGULAR TEE DENIM COLLAGE TZCA075:PASTEL BLUE:L:GRAPHIC:SS T-SHIRT</t>
  </si>
  <si>
    <t>SS T-SHIRT REGULAR TEE DENIM COLLAGE TZCA075:BLACK:S:GRAPHIC:SS T-SHIRT</t>
  </si>
  <si>
    <t>SS T-SHIRT REGULAR TEE DENIM COLLAGE TZCA075:BLACK:M:GRAPHIC:SS T-SHIRT</t>
  </si>
  <si>
    <t>SS T-SHIRT REGULAR TEE DENIM COLLAGE TZCA075:BLACK:L:GRAPHIC:SS T-SHIRT</t>
  </si>
  <si>
    <t>TZCA076</t>
  </si>
  <si>
    <t>SS T-SHIRT REGULAR TEE DENIM GIRL WANNA HAVE FUN TZCA076:PASTEL BLUE:S:GRAPHIC:SS T-SHIRT</t>
  </si>
  <si>
    <t>SS T-SHIRT REGULAR TEE DENIM GIRL WANNA HAVE FUN TZCA076:PASTEL BLUE:M:GRAPHIC:SS T-SHIRT</t>
  </si>
  <si>
    <t>SS T-SHIRT REGULAR TEE DENIM GIRL WANNA HAVE FUN TZCA076:PASTEL BLUE:L:GRAPHIC:SS T-SHIRT</t>
  </si>
  <si>
    <t>SS T-SHIRT REGULAR TEE DENIM GIRL WANNA HAVE FUN TZCA076:WHITE:S:GRAPHIC:SS T-SHIRT</t>
  </si>
  <si>
    <t>SS T-SHIRT REGULAR TEE DENIM GIRL WANNA HAVE FUN TZCA076:WHITE:M:GRAPHIC:SS T-SHIRT</t>
  </si>
  <si>
    <t>SS T-SHIRT REGULAR TEE DENIM GIRL WANNA HAVE FUN TZCA076:WHITE:L:GRAPHIC:SS T-SHIRT</t>
  </si>
  <si>
    <t>SS T-SHIRT REGULAR TEE FOIL LOVE TZCA073:WHITE:XL:GRAPHIC:SS T-SHIRT</t>
  </si>
  <si>
    <t>SS T-SHIRT REGULAR TEE FOIL BRIDGE TZCA074:WHITE:XL:GRAPHIC:SS T-SHIRT</t>
  </si>
  <si>
    <t>SS T-SHIRT REGULAR TEE FOIL BRIDGE TZCA074:PASTEL GREEN:XL:GRAPHIC:SS T-SHIRT</t>
  </si>
  <si>
    <t>SS T-SHIRT REGULAR TEE DENIM COLLAGE TZCA075:PASTEL BLUE:XL:GRAPHIC:SS T-SHIRT</t>
  </si>
  <si>
    <t>SS T-SHIRT REGULAR TEE DENIM COLLAGE TZCA075:BLACK:XL:GRAPHIC:SS T-SHIRT</t>
  </si>
  <si>
    <t>SS T-SHIRT REGULAR TEE DENIM GIRL WANNA HAVE FUN TZCA076:PASTEL BLUE:XL:GRAPHIC:SS T-SHIRT</t>
  </si>
  <si>
    <t>SS T-SHIRT REGULAR TEE DENIM GIRL WANNA HAVE FUN TZCA076:WHITE:XL:GRAPHIC:SS T-SHIRT</t>
  </si>
  <si>
    <t>TZCA077</t>
  </si>
  <si>
    <t>SS T-SHIRT REGULAR TEE BE BRAVE BE YOU TZCA077:PASTEL GREEN:S:GRAPHIC:SS T-SHIRT</t>
  </si>
  <si>
    <t>SS T-SHIRT REGULAR TEE BE BRAVE BE YOU TZCA077:PASTEL GREEN:M:GRAPHIC:SS T-SHIRT</t>
  </si>
  <si>
    <t>SS T-SHIRT REGULAR TEE BE BRAVE BE YOU TZCA077:PASTEL GREEN:L:GRAPHIC:SS T-SHIRT</t>
  </si>
  <si>
    <t>SS T-SHIRT REGULAR TEE BE BRAVE BE YOU TZCA077:PASTEL GREEN:XL:GRAPHIC:SS T-SHIRT</t>
  </si>
  <si>
    <t>TZCA078</t>
  </si>
  <si>
    <t>SS T-SHIRT REGULAR TEE LONDON FOIL TZCA078:FROST GREY:S:GRAPHIC:SS T-SHIRT</t>
  </si>
  <si>
    <t>SS T-SHIRT REGULAR TEE LONDON FOIL TZCA078:FROST GREY:M:GRAPHIC:SS T-SHIRT</t>
  </si>
  <si>
    <t>SS T-SHIRT REGULAR TEE LONDON FOIL TZCA078:FROST GREY:L:GRAPHIC:SS T-SHIRT</t>
  </si>
  <si>
    <t>SS T-SHIRT REGULAR TEE LONDON FOIL TZCA078:FROST GREY:XL:GRAPHIC:SS T-SHIRT</t>
  </si>
  <si>
    <t>SS T-SHIRT REGULAR TEE BE BRAVE BE YOU TZCA077:PASTEL PINK:S:GRAPHIC:SS T-SHIRT</t>
  </si>
  <si>
    <t>SS T-SHIRT REGULAR TEE BE BRAVE BE YOU TZCA077:PASTEL PINK:M:GRAPHIC:SS T-SHIRT</t>
  </si>
  <si>
    <t>SS T-SHIRT REGULAR TEE BE BRAVE BE YOU TZCA077:PASTEL PINK:L:GRAPHIC:SS T-SHIRT</t>
  </si>
  <si>
    <t>SS T-SHIRT REGULAR TEE BE BRAVE BE YOU TZCA077:PASTEL PINK:XL:GRAPHIC:SS T-SHIRT</t>
  </si>
  <si>
    <t>TZCA079</t>
  </si>
  <si>
    <t>SS T-SHIRT REGULAR TEE GLAMOROUS FOIL TZCA079:WHITE:S:GRAPHIC:SS T-SHIRT</t>
  </si>
  <si>
    <t>SS T-SHIRT REGULAR TEE GLAMOROUS FOIL TZCA079:WHITE:M:GRAPHIC:SS T-SHIRT</t>
  </si>
  <si>
    <t>SS T-SHIRT REGULAR TEE GLAMOROUS FOIL TZCA079:WHITE:L:GRAPHIC:SS T-SHIRT</t>
  </si>
  <si>
    <t>SS T-SHIRT REGULAR TEE GLAMOROUS FOIL TZCA079:WHITE:XL:GRAPHIC:SS T-SHIRT</t>
  </si>
  <si>
    <t>TZCA080</t>
  </si>
  <si>
    <t>SS T-SHIRT REGULAR TEE ITS MAGIC FOIL TZCA080:BLACK:S:GRAPHIC:SS T-SHIRT</t>
  </si>
  <si>
    <t>SS T-SHIRT REGULAR TEE ITS MAGIC FOIL TZCA080:BLACK:M:GRAPHIC:SS T-SHIRT</t>
  </si>
  <si>
    <t>SS T-SHIRT REGULAR TEE ITS MAGIC FOIL TZCA080:BLACK:L:GRAPHIC:SS T-SHIRT</t>
  </si>
  <si>
    <t>SS T-SHIRT REGULAR TEE ITS MAGIC FOIL TZCA080:BLACK:XL:GRAPHIC:SS T-SHIRT</t>
  </si>
  <si>
    <t>TZCA081</t>
  </si>
  <si>
    <t>SS T-SHIRT REGULAR TEE FIND THE GOOD FOIL  TZCA081:BLACK:S:GRAPHIC:SS T-SHIRT</t>
  </si>
  <si>
    <t>SS T-SHIRT REGULAR TEE FIND THE GOOD FOIL  TZCA081:BLACK:M:GRAPHIC:SS T-SHIRT</t>
  </si>
  <si>
    <t>SS T-SHIRT REGULAR TEE FIND THE GOOD FOIL  TZCA081:BLACK:L:GRAPHIC:SS T-SHIRT</t>
  </si>
  <si>
    <t>SS T-SHIRT REGULAR TEE FIND THE GOOD FOIL  TZCA081:BLACK:XL:GRAPHIC:SS T-SHIRT</t>
  </si>
  <si>
    <t>TZCA082</t>
  </si>
  <si>
    <t>SS T-SHIRT REGULAR TEE NEVER LOOK BACK FOIL  TZCA082:WHITE:S:GRAPHIC:SS T-SHIRT</t>
  </si>
  <si>
    <t>SS T-SHIRT REGULAR TEE NEVER LOOK BACK FOIL  TZCA082:WHITE:M:GRAPHIC:SS T-SHIRT</t>
  </si>
  <si>
    <t>SS T-SHIRT REGULAR TEE NEVER LOOK BACK FOIL  TZCA082:WHITE:L:GRAPHIC:SS T-SHIRT</t>
  </si>
  <si>
    <t>SS T-SHIRT REGULAR TEE NEVER LOOK BACK FOIL  TZCA082:WHITE:XL:GRAPHIC:SS T-SHIRT</t>
  </si>
  <si>
    <t>MASWT071</t>
  </si>
  <si>
    <t>LS BLOUSE CUT AND SEW WITH SHANGHAI COLLAR MASWT071:PASTEL GREEN:S:SOLID:LS BLOUSE</t>
  </si>
  <si>
    <t>LS BLOUSE CUT AND SEW WITH SHANGHAI COLLAR MASWT071:PASTEL GREEN:M:SOLID:LS BLOUSE</t>
  </si>
  <si>
    <t>LS BLOUSE CUT AND SEW WITH SHANGHAI COLLAR MASWT071:PASTEL GREEN:L:SOLID:LS BLOUSE</t>
  </si>
  <si>
    <t>LS BLOUSE CUT AND SEW WITH SHANGHAI COLLAR MASWT071:PASTEL GREEN:XL:SOLID:LS BLOUSE</t>
  </si>
  <si>
    <t>MELWT10</t>
  </si>
  <si>
    <t>SS SHIRT BASIC MELWT10:PASTEL BLUE:S:SOLID:SS SHIRT</t>
  </si>
  <si>
    <t>SS SHIRT BASIC MELWT10:PASTEL BLUE:M:SOLID:SS SHIRT</t>
  </si>
  <si>
    <t>SS SHIRT BASIC MELWT10:PASTEL BLUE:L:SOLID:SS SHIRT</t>
  </si>
  <si>
    <t>SS SHIRT BASIC MELWT10:PASTEL BLUE:XL:SOLID:SS SHIRT</t>
  </si>
  <si>
    <t>SS SHIRT BASIC MELWT10:PASTEL PINK:S:SOLID:SS SHIRT</t>
  </si>
  <si>
    <t>SS SHIRT BASIC MELWT10:PASTEL PINK:M:SOLID:SS SHIRT</t>
  </si>
  <si>
    <t>SS SHIRT BASIC MELWT10:PASTEL PINK:L:SOLID:SS SHIRT</t>
  </si>
  <si>
    <t>SS SHIRT BASIC MELWT10:PASTEL PINK:XL:SOLID:SS SHIRT</t>
  </si>
  <si>
    <t>SS SHIRT BASIC MELWT10:WHITE:S:SOLID:SS SHIRT</t>
  </si>
  <si>
    <t>SS SHIRT BASIC MELWT10:WHITE:M:SOLID:SS SHIRT</t>
  </si>
  <si>
    <t>SS SHIRT BASIC MELWT10:WHITE:L:SOLID:SS SHIRT</t>
  </si>
  <si>
    <t>SS SHIRT BASIC MELWT10:WHITE:XL:SOLID:SS SHIRT</t>
  </si>
  <si>
    <t>BAEOUT067</t>
  </si>
  <si>
    <t>CARDIGAN BASIC BAEOUT067:BLACK:S:SOLID:CARDIGAN</t>
  </si>
  <si>
    <t>CARDIGAN BASIC BAEOUT067:BLACK:M:SOLID:CARDIGAN</t>
  </si>
  <si>
    <t>CARDIGAN BASIC BAEOUT067:BLACK:L:SOLID:CARDIGAN</t>
  </si>
  <si>
    <t>CARDIGAN BASIC BAEOUT067:BLACK:XL:SOLID:CARDIGAN</t>
  </si>
  <si>
    <t>CARDIGAN BASIC BAEOUT067:WHITE:S:SOLID:CARDIGAN</t>
  </si>
  <si>
    <t>CARDIGAN BASIC BAEOUT067:WHITE:M:SOLID:CARDIGAN</t>
  </si>
  <si>
    <t>CARDIGAN BASIC BAEOUT067:WHITE:L:SOLID:CARDIGAN</t>
  </si>
  <si>
    <t>CARDIGAN BASIC BAEOUT067:WHITE:XL:SOLID:CARDIGAN</t>
  </si>
  <si>
    <t>CARDIGAN BASIC BAEOUT067:KHAKI:S:SOLID:CARDIGAN</t>
  </si>
  <si>
    <t>CARDIGAN BASIC BAEOUT067:KHAKI:M:SOLID:CARDIGAN</t>
  </si>
  <si>
    <t>CARDIGAN BASIC BAEOUT067:KHAKI:L:SOLID:CARDIGAN</t>
  </si>
  <si>
    <t>CARDIGAN BASIC BAEOUT067:KHAKI:XL:SOLID:CARDIGAN</t>
  </si>
  <si>
    <t>MELWB08</t>
  </si>
  <si>
    <t>MIDI SKIRT SLIT CARGO MELWB08:KHAKI:S:SOLID:MIDI SKIRT</t>
  </si>
  <si>
    <t>MIDI SKIRT SLIT CARGO MELWB08:KHAKI:M:SOLID:MIDI SKIRT</t>
  </si>
  <si>
    <t>MIDI SKIRT SLIT CARGO MELWB08:KHAKI:L:SOLID:MIDI SKIRT</t>
  </si>
  <si>
    <t>MIDI SKIRT SLIT CARGO MELWB08:KHAKI:XL:SOLID:MIDI SKIRT</t>
  </si>
  <si>
    <t>TZCA090</t>
  </si>
  <si>
    <t>SS T-SHIRT REGULAR TEE FULL HEART TZCA090:BLACK:S:GRAPHIC:SS T-SHIRT</t>
  </si>
  <si>
    <t>SS T-SHIRT REGULAR TEE FULL HEART TZCA090:BLACK:M:GRAPHIC:SS T-SHIRT</t>
  </si>
  <si>
    <t>SS T-SHIRT REGULAR TEE FULL HEART TZCA090:BLACK:L:GRAPHIC:SS T-SHIRT</t>
  </si>
  <si>
    <t>SS T-SHIRT REGULAR TEE FULL HEART TZCA090:BLACK:XL:GRAPHIC:SS T-SHIRT</t>
  </si>
  <si>
    <t>TZCA103</t>
  </si>
  <si>
    <t>SS T-SHIRT REGULAR TEE SIMPLE ELEGANCE FOIL TZCA103:BLACK:S:GRAPHIC:SS T-SHIRT</t>
  </si>
  <si>
    <t>SS T-SHIRT REGULAR TEE SIMPLE ELEGANCE FOIL TZCA103:BLACK:M:GRAPHIC:SS T-SHIRT</t>
  </si>
  <si>
    <t>SS T-SHIRT REGULAR TEE SIMPLE ELEGANCE FOIL TZCA103:BLACK:L:GRAPHIC:SS T-SHIRT</t>
  </si>
  <si>
    <t>SS T-SHIRT REGULAR TEE SIMPLE ELEGANCE FOIL TZCA103:BLACK:XL:GRAPHIC:SS T-SHIRT</t>
  </si>
  <si>
    <t>TZCA106</t>
  </si>
  <si>
    <t>SS T-SHIRT REGULAR TEE MOTIF HEART TZCA106:FROST GREY:S:GRAPHIC:SS T-SHIRT</t>
  </si>
  <si>
    <t>SS T-SHIRT REGULAR TEE MOTIF HEART TZCA106:FROST GREY:M:GRAPHIC:SS T-SHIRT</t>
  </si>
  <si>
    <t>SS T-SHIRT REGULAR TEE MOTIF HEART TZCA106:FROST GREY:L:GRAPHIC:SS T-SHIRT</t>
  </si>
  <si>
    <t>SS T-SHIRT REGULAR TEE MOTIF HEART TZCA106:FROST GREY:XL:GRAPHIC:SS T-SHIRT</t>
  </si>
  <si>
    <t>PRDDWB07</t>
  </si>
  <si>
    <t>LONG PANTS WITH PAPER BAG WAIST AND DIAGONAL BELT LO:PASTEL GREY:S:SOLID:LONG PANTS</t>
  </si>
  <si>
    <t>LONG PANTS WITH PAPER BAG WAIST AND DIAGONAL BELT LO:PASTEL GREY:M:SOLID:LONG PANTS</t>
  </si>
  <si>
    <t>LONG PANTS WITH PAPER BAG WAIST AND DIAGONAL BELT LO:PASTEL GREY:L:SOLID:LONG PANTS</t>
  </si>
  <si>
    <t>LONG PANTS WITH PAPER BAG WAIST AND DIAGONAL BELT LO:PASTEL GREY:XL:SOLID:LONG PANTS</t>
  </si>
  <si>
    <t>LONG PANTS WITH PAPER BAG WAIST AND DIAGONAL BELT LO:PASTEL GREE:S:SOLID:LONG PANTS</t>
  </si>
  <si>
    <t>LONG PANTS WITH PAPER BAG WAIST AND DIAGONAL BELT LO:PASTEL GREE:M:SOLID:LONG PANTS</t>
  </si>
  <si>
    <t>LONG PANTS WITH PAPER BAG WAIST AND DIAGONAL BELT LO:PASTEL GREE:L:SOLID:LONG PANTS</t>
  </si>
  <si>
    <t>LONG PANTS WITH PAPER BAG WAIST AND DIAGONAL BELT LO:PASTEL GREE:XL:SOLID:LONG PANTS</t>
  </si>
  <si>
    <t>LONG PANTS PAPER BAG PANTS WITH TAPPERED FIT PRDDWB07:KHAKI:S:SOLID:LONG PANTS</t>
  </si>
  <si>
    <t>LONG PANTS PAPER BAG PANTS WITH TAPPERED FIT PRDDWB07:KHAKI:M:SOLID:LONG PANTS</t>
  </si>
  <si>
    <t>LONG PANTS PAPER BAG PANTS WITH TAPPERED FIT PRDDWB07:KHAKI:L:SOLID:LONG PANTS</t>
  </si>
  <si>
    <t>LONG PANTS PAPER BAG PANTS WITH TAPPERED FIT PRDDWB07:KHAKI:XL:SOLID:LONG PANTS</t>
  </si>
  <si>
    <t>LONG PANTS PAPER BAG WITH TAPERED FIT PRDDWB07:BLACK:S:SOLID:LONG PANTS</t>
  </si>
  <si>
    <t>LONG PANTS PAPER BAG WITH TAPERED FIT PRDDWB07:BLACK:M:SOLID:LONG PANTS</t>
  </si>
  <si>
    <t>LONG PANTS PAPER BAG WITH TAPERED FIT PRDDWB07:BLACK:L:SOLID:LONG PANTS</t>
  </si>
  <si>
    <t>LONG PANTS PAPER BAG WITH TAPERED FIT PRDDWB07:BLACK:XL:SOLID:LONG PANTS</t>
  </si>
  <si>
    <t>LONG PANTS PAPER BAG WITH TAPPERED FIT PRDD07:LIGHT DENIM:S:SOLID:LONG PANTS</t>
  </si>
  <si>
    <t>LONG PANTS PAPER BAG WITH TAPPERED FIT PRDD07:LIGHT DENIM:M:SOLID:LONG PANTS</t>
  </si>
  <si>
    <t>LONG PANTS PAPER BAG WITH TAPPERED FIT PRDD07:LIGHT DENIM:L:SOLID:LONG PANTS</t>
  </si>
  <si>
    <t>LONG PANTS PAPER BAG WITH TAPPERED FIT PRDD07:LIGHT DENIM:XL:SOLID:LONG PANTS</t>
  </si>
  <si>
    <t>SS T-SHIRT CROP TEXTURE KNIT TOP AMJAKT04:BLACK:XL:TEXTURE:SS T-SHIRT</t>
  </si>
  <si>
    <t>SGWT067</t>
  </si>
  <si>
    <t>SS SHIRT KNOT PLAIN SGWT067:KHAKI:S:SOLID:SS SHIRT</t>
  </si>
  <si>
    <t>SS SHIRT KNOT PLAIN SGWT067:KHAKI:M:SOLID:SS SHIRT</t>
  </si>
  <si>
    <t>SS SHIRT KNOT PLAIN SGWT067:KHAKI:L:SOLID:SS SHIRT</t>
  </si>
  <si>
    <t>SS SHIRT KNOT PLAIN SGWT067:KHAKI:XL:SOLID:SS SHIRT</t>
  </si>
  <si>
    <t>SS SHIRT KNOT PLAIN SGWT067:WHITE:S:SOLID:SS SHIRT</t>
  </si>
  <si>
    <t>SS SHIRT KNOT PLAIN SGWT067:WHITE:M:SOLID:SS SHIRT</t>
  </si>
  <si>
    <t>SS SHIRT KNOT PLAIN SGWT067:WHITE:L:SOLID:SS SHIRT</t>
  </si>
  <si>
    <t>SS SHIRT KNOT PLAIN SGWT067:WHITE:XL:SOLID:SS SHIRT</t>
  </si>
  <si>
    <t>RKWB05</t>
  </si>
  <si>
    <t>MINI SKIRT BASIC SKORT RKWB05:BLACK:S:SOLID:MINI SKIRT</t>
  </si>
  <si>
    <t>MINI SKIRT BASIC SKORT RKWB05:BLACK:M:SOLID:MINI SKIRT</t>
  </si>
  <si>
    <t>MINI SKIRT BASIC SKORT RKWB05:BLACK:L:SOLID:MINI SKIRT</t>
  </si>
  <si>
    <t>MINI SKIRT BASIC SKORT RKWB05:BLACK:XL:SOLID:MINI SKIRT</t>
  </si>
  <si>
    <t>MINI SKIRT BASIC SKORT RKWB05:KHAKI:S:SOLID:MINI SKIRT</t>
  </si>
  <si>
    <t>MINI SKIRT BASIC SKORT RKWB05:KHAKI:M:SOLID:MINI SKIRT</t>
  </si>
  <si>
    <t>MINI SKIRT BASIC SKORT RKWB05:KHAKI:L:SOLID:MINI SKIRT</t>
  </si>
  <si>
    <t>MINI SKIRT BASIC SKORT RKWB05:KHAKI:XL:SOLID:MINI SKIRT</t>
  </si>
  <si>
    <t>BAEWT001</t>
  </si>
  <si>
    <t>LS BLOUSE OVERSIZE TOP MIX BAEWT001:CLASSIC BLUE:S:SOLID:LS BLOUSE</t>
  </si>
  <si>
    <t>LS BLOUSE OVERSIZE TOP MIX BAEWT001:CLASSIC BLUE:M:SOLID:LS BLOUSE</t>
  </si>
  <si>
    <t>LS BLOUSE OVERSIZE TOP MIX BAEWT001:CLASSIC BLUE:L:SOLID:LS BLOUSE</t>
  </si>
  <si>
    <t>LS BLOUSE OVERSIZE TOP MIX BAEWT001:CLASSIC BLUE:XL:SOLID:LS BLOUSE</t>
  </si>
  <si>
    <t>LS BLOUSE OVERSIZE TOP MIX BAEWT001:BLACK:S:SOLID:LS BLOUSE</t>
  </si>
  <si>
    <t>LS BLOUSE OVERSIZE TOP MIX BAEWT001:BLACK:M:SOLID:LS BLOUSE</t>
  </si>
  <si>
    <t>LS BLOUSE OVERSIZE TOP MIX BAEWT001:BLACK:L:SOLID:LS BLOUSE</t>
  </si>
  <si>
    <t>LS BLOUSE OVERSIZE TOP MIX BAEWT001:BLACK:XL:SOLID:LS BLOUSE</t>
  </si>
  <si>
    <t>LS SHIRT KI BW RJK KIRJKBW:OFF WHITE:S:SOLID:LS SHIRT</t>
  </si>
  <si>
    <t>KIRJKBW</t>
  </si>
  <si>
    <t>LS SHIRT KI BW RJK KIRJKBW:OFF WHITE:M:SOLID:LS SHIRT</t>
  </si>
  <si>
    <t>LS SHIRT KI BW RJK KIRJKBW:OFF WHITE:L:SOLID:LS SHIRT</t>
  </si>
  <si>
    <t>LS SHIRT KI BW RJK KIRJKBW:OFF WHITE:XL:SOLID:LS SHIRT</t>
  </si>
  <si>
    <t>KHAKI TOP WVN SHIRT W/ TALI:OLIVE:M</t>
  </si>
  <si>
    <t>KHAKI TOP WVN SHIRT W/ TALI:OLIVE:XL</t>
  </si>
  <si>
    <t>LS SHIRT TOP WOVEN SEERSUCKER SG47:PASTEL PINK:XL:TEXTURE:LS SHIRT</t>
  </si>
  <si>
    <t>LS SHIRT BOXY SHORT SLEEVE CHECK SANWT1LS:DUSTY PINK:XL:CHECKS:LS SHIRT</t>
  </si>
  <si>
    <t>CHOTL378</t>
  </si>
  <si>
    <t>SWEATSHIRT FACE GIRL CHOTL378:KHAKI:M:GRAPHIC:SWEATSHIRT</t>
  </si>
  <si>
    <t>SS T-SHIRT BUTTERFLY CIRCLE MOON CHEST TZ04:OFF WHITE:M:GRAPHIC:SS T-SHIRT</t>
  </si>
  <si>
    <t>SS T-SHIRT BUTTERFLY CIRCLE MOON CHEST TZ04:OFF WHITE:L:GRAPHIC:SS T-SHIRT</t>
  </si>
  <si>
    <t>SS T-SHIRT BUTTERFLY MOON CHEST TZ06:OFF WHITE:S:GRAPHIC:SS T-SHIRT</t>
  </si>
  <si>
    <t>SS T-SHIRT BUTTERFLY MOON CHEST TZ06:OFF WHITE:XL:GRAPHIC:SS T-SHIRT</t>
  </si>
  <si>
    <t>SS T-SHIRT PHOTOPRINT LEAVES IN ABSTRACT BACKGROUND TZCA01:WHITE:L:GRAPHIC:SS T-SHIR</t>
  </si>
  <si>
    <t>SS T-SHIRT PHOTOPRINT FLOWER IN SQUARE BACKGROUND TZCA04:OLD GOLD:XL:GRAPHIC:SS T-SHIRT</t>
  </si>
  <si>
    <t>JACKET PARASUT JASPAL DEA3:PASTEL GREEN:L:SOLID:JACKET</t>
  </si>
  <si>
    <t>JACKET PARASUT JASPAL DEA3:PASTEL GREEN:XL:SOLID:JACKET</t>
  </si>
  <si>
    <t>OVERALL MAXI SKIRT DRESS W BIG BELT SG44:OLIVE:L:SOLID:OVERALL MAXI S</t>
  </si>
  <si>
    <t>OVERALL MAXI SKIRT OLIVE DRESS MAXI W HOODIE SG34:OLIVE:XL:SOLID:OVERALL MAX</t>
  </si>
  <si>
    <t>LONG PANTS TAPERED CROSSFIRE PSG50:FROST GREY:S:SOLID:LONG PANTS</t>
  </si>
  <si>
    <t>LONG PANTS TAPERED KI BABY ANGEL NO TALI RKKI2:DUSTY PINK:M:SOLID:LONG PANTS</t>
  </si>
  <si>
    <t>CHINOS PANTS TAPERED HOUNDS PUTIH NO TALI RK215:BLACK:S:CHECKS:CHINOS PANTS</t>
  </si>
  <si>
    <t>CHINOS PANTS TAPERED TX STR W ZIPPER RK225:BLACK:XL:STRIPES:CHINOS PANTS</t>
  </si>
  <si>
    <t>LONG PANTS PALAZZO RK230:CHARCOAL:XL:SOLID:LONG PANTS</t>
  </si>
  <si>
    <t>LONG PANTS CULOTS WITH PLITSKET BAEKL44:BLACK:XL:SOLID:LONG PANTS</t>
  </si>
  <si>
    <t>BLAZER KNIT HOUNDS TL374:WOOD BROWN:L:CHECK:BLAZER</t>
  </si>
  <si>
    <t>PANTS TAPERED KOTAK OLIVE NAVY NO TALI:OLIVE:M</t>
  </si>
  <si>
    <t>LONG PANTS TAPERED MOTIF WITH ZIPPER NO TALI RK203:FROST GREY:L:SOLID:LONG PANTS</t>
  </si>
  <si>
    <t>LONG PANTS TAPERED BB CVS STITCHES RK208:KHAKI:XL:SOLID:LONG PANTS</t>
  </si>
  <si>
    <t xml:space="preserve">SS T-SHIRT REGULER TEE PRINT WITH  GLITZ ARTWORK WORDS ON 4 SIDES  TZCA030:PASTEL PINK:S:GRAPHIC:SS </t>
  </si>
  <si>
    <t xml:space="preserve">SS T-SHIRT REGULAR TEE PRINT WITH WE ONLY HAVE ONE PLANET WORDING TZCA036:PASTEL GREEN:S:GRAPHIC:SS </t>
  </si>
  <si>
    <t>MAS01LEB</t>
  </si>
  <si>
    <t>LS-RY-STD-EMBRO-LEB:WHITE:S</t>
  </si>
  <si>
    <t>CNY TOP KNIT PRT EMB:OFF WHITE:M</t>
  </si>
  <si>
    <t>KIWNVOW</t>
  </si>
  <si>
    <t>KI KEMEJA RIVET FEB OFF WHITE:OFF WHITE:XL</t>
  </si>
  <si>
    <t>KITEX4W-M</t>
  </si>
  <si>
    <t>KI APRIL TEXTURE WHITE M</t>
  </si>
  <si>
    <t>KITX5WA-S</t>
  </si>
  <si>
    <t>KI MEI TEXTURE WASABI S</t>
  </si>
  <si>
    <t>KITX11BW</t>
  </si>
  <si>
    <t>KI NOV TEXTURE:OFF WHITE:M</t>
  </si>
  <si>
    <t>BAEWT002</t>
  </si>
  <si>
    <t>SS SHIRT CROP SLEEVELESS WITH BACKSTRING BAEWT002:PASTEL BLUE:S:SOLID:SS SHIRT</t>
  </si>
  <si>
    <t>SS SHIRT CROP SLEEVELESS WITH BACKSTRING BAEWT002:PASTEL BLUE:M:SOLID:SS SHIRT</t>
  </si>
  <si>
    <t>SS SHIRT CROP SLEEVELESS WITH BACKSTRING BAEWT002:PASTEL BLUE:L:SOLID:SS SHIRT</t>
  </si>
  <si>
    <t>SS SHIRT CROP SLEEVELESS WITH BACKSTRING BAEWT002:PASTEL BLUE:XL:SOLID:SS SHIRT</t>
  </si>
  <si>
    <t>ALL 2024 H2 D80</t>
  </si>
  <si>
    <t>ALL 2024 H1 D90</t>
  </si>
  <si>
    <t>2024 All Lebaran D90</t>
  </si>
  <si>
    <t>2023 H2 All Items D90</t>
  </si>
  <si>
    <t>2023 All Lebaran D90</t>
  </si>
  <si>
    <t>2023 H1 All Items D90</t>
  </si>
  <si>
    <t>2022 All Items D90</t>
  </si>
  <si>
    <t>2021 ALL D90</t>
  </si>
  <si>
    <t>2020 ALL D90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</si>
</sst>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165" fontId="2" fillId="2" borderId="1" xfId="2" applyNumberFormat="1" applyFont="1" applyFill="1" applyBorder="1" applyAlignment="1">
      <alignment horizontal="right" vertical="center"/>
    </xf>
    <xf numFmtId="165" fontId="0" fillId="0" borderId="1" xfId="2" applyNumberFormat="1" applyFont="1" applyFill="1" applyBorder="1" applyAlignment="1">
      <alignment horizontal="right" vertical="center"/>
    </xf>
    <xf numFmtId="165" fontId="0" fillId="0" borderId="1" xfId="2" applyNumberFormat="1" applyFont="1" applyBorder="1" applyAlignment="1">
      <alignment horizontal="right" vertical="center"/>
    </xf>
    <xf numFmtId="165" fontId="0" fillId="0" borderId="0" xfId="2" applyNumberFormat="1" applyFont="1" applyAlignment="1">
      <alignment horizontal="right" vertical="center"/>
    </xf>
    <xf numFmtId="165" fontId="0" fillId="0" borderId="1" xfId="2" applyNumberFormat="1" applyFont="1" applyBorder="1" applyAlignment="1">
      <alignment horizontal="center" vertical="center"/>
    </xf>
    <xf numFmtId="165" fontId="0" fillId="0" borderId="1" xfId="2" applyNumberFormat="1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5" fontId="0" fillId="0" borderId="0" xfId="2" applyNumberFormat="1" applyFont="1"/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/>
    </xf>
    <xf numFmtId="165" fontId="2" fillId="2" borderId="1" xfId="2" applyNumberFormat="1" applyFont="1" applyFill="1" applyBorder="1" applyAlignment="1">
      <alignment horizontal="center" vertical="center"/>
    </xf>
    <xf numFmtId="165" fontId="0" fillId="0" borderId="1" xfId="2" applyNumberFormat="1" applyFont="1" applyFill="1" applyBorder="1" applyAlignment="1">
      <alignment horizontal="center"/>
    </xf>
    <xf numFmtId="165" fontId="0" fillId="0" borderId="2" xfId="2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65" fontId="0" fillId="0" borderId="1" xfId="2" applyNumberFormat="1" applyFont="1" applyFill="1" applyBorder="1" applyAlignment="1">
      <alignment horizontal="center" vertical="center"/>
    </xf>
    <xf numFmtId="0" fontId="0" fillId="0" borderId="1" xfId="0" applyBorder="1" applyAlignment="1"/>
    <xf numFmtId="0" fontId="0" fillId="0" borderId="0" xfId="0" applyAlignment="1"/>
  </cellXfs>
  <cellStyles count="3">
    <cellStyle name="Comma" xfId="2" builtinId="3"/>
    <cellStyle name="Normal" xfId="0" builtinId="0"/>
    <cellStyle name="Percent" xfId="1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1"/>
  <sheetViews>
    <sheetView tabSelected="1" workbookViewId="0">
      <selection activeCell="B2" sqref="B2"/>
    </sheetView>
  </sheetViews>
  <sheetFormatPr defaultColWidth="9.1796875" defaultRowHeight="14.5" x14ac:dyDescent="0.35"/>
  <cols>
    <col min="1" max="1" width="20.1796875" style="1" customWidth="1"/>
    <col min="2" max="2" width="11.453125" style="17" bestFit="1" customWidth="1"/>
    <col min="3" max="3" width="10.453125" style="17" bestFit="1" customWidth="1"/>
    <col min="4" max="4" width="5.453125" style="17" bestFit="1" customWidth="1"/>
    <col min="5" max="5" width="7.7265625" style="17" bestFit="1" customWidth="1"/>
    <col min="6" max="6" width="9.1796875" style="17"/>
    <col min="7" max="7" width="6.26953125" style="1" customWidth="1"/>
    <col min="8" max="8" width="9.26953125" style="1" bestFit="1" customWidth="1"/>
    <col min="9" max="9" width="8" style="1" bestFit="1" customWidth="1"/>
    <col min="10" max="10" width="9" style="1" bestFit="1" customWidth="1"/>
    <col min="11" max="11" width="14.81640625" style="1" customWidth="1"/>
    <col min="12" max="12" width="64.54296875" style="17" customWidth="1"/>
    <col min="13" max="13" width="16" style="23" bestFit="1" customWidth="1"/>
    <col min="14" max="14" width="7.81640625" style="17" bestFit="1" customWidth="1"/>
    <col min="15" max="15" width="15" style="17" bestFit="1" customWidth="1"/>
    <col min="16" max="16" width="15.1796875" style="17" bestFit="1" customWidth="1"/>
    <col min="17" max="16384" width="9.1796875" style="17"/>
  </cols>
  <sheetData>
    <row r="1" spans="1:16" s="1" customFormat="1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9" t="s">
        <v>4</v>
      </c>
      <c r="M1" s="20" t="s">
        <v>3</v>
      </c>
      <c r="N1" s="11" t="s">
        <v>2</v>
      </c>
      <c r="O1" s="10" t="s">
        <v>1</v>
      </c>
      <c r="P1" s="9" t="s">
        <v>0</v>
      </c>
    </row>
    <row r="2" spans="1:16" x14ac:dyDescent="0.35">
      <c r="A2" s="40" t="s">
        <v>3659</v>
      </c>
      <c r="B2" s="8">
        <v>46114</v>
      </c>
      <c r="C2" s="8">
        <v>46120</v>
      </c>
      <c r="D2" s="5">
        <v>3208</v>
      </c>
      <c r="E2" s="5">
        <v>320</v>
      </c>
      <c r="F2" s="5">
        <v>1</v>
      </c>
      <c r="G2" s="5">
        <v>5</v>
      </c>
      <c r="H2" s="5">
        <v>81406</v>
      </c>
      <c r="I2" s="5" t="s">
        <v>16</v>
      </c>
      <c r="J2" s="5">
        <v>70172944</v>
      </c>
      <c r="K2" s="5" t="s">
        <v>3561</v>
      </c>
      <c r="L2" s="19" t="s">
        <v>3562</v>
      </c>
      <c r="M2" s="22">
        <v>299900</v>
      </c>
      <c r="N2" s="7">
        <v>0.8</v>
      </c>
      <c r="O2" s="6">
        <f t="shared" ref="O2" si="0">M2-(M2*N2)</f>
        <v>59980</v>
      </c>
      <c r="P2" s="5" t="s">
        <v>504</v>
      </c>
    </row>
    <row r="3" spans="1:16" x14ac:dyDescent="0.35">
      <c r="A3" s="40" t="s">
        <v>3659</v>
      </c>
      <c r="B3" s="8">
        <f>$B$2</f>
        <v>46114</v>
      </c>
      <c r="C3" s="8">
        <f>$C$2</f>
        <v>46120</v>
      </c>
      <c r="D3" s="5">
        <v>3208</v>
      </c>
      <c r="E3" s="5">
        <v>320</v>
      </c>
      <c r="F3" s="5">
        <v>1</v>
      </c>
      <c r="G3" s="5">
        <v>5</v>
      </c>
      <c r="H3" s="5">
        <v>81406</v>
      </c>
      <c r="I3" s="5" t="s">
        <v>16</v>
      </c>
      <c r="J3" s="5">
        <v>70172953</v>
      </c>
      <c r="K3" s="5" t="s">
        <v>3561</v>
      </c>
      <c r="L3" s="19" t="s">
        <v>3563</v>
      </c>
      <c r="M3" s="22">
        <v>299900</v>
      </c>
      <c r="N3" s="7">
        <v>0.8</v>
      </c>
      <c r="O3" s="6">
        <f t="shared" ref="O3:O5" si="1">M3-(M3*N3)</f>
        <v>59980</v>
      </c>
      <c r="P3" s="5" t="s">
        <v>504</v>
      </c>
    </row>
    <row r="4" spans="1:16" x14ac:dyDescent="0.35">
      <c r="A4" s="40" t="s">
        <v>3659</v>
      </c>
      <c r="B4" s="8">
        <f>$B$2</f>
        <v>46114</v>
      </c>
      <c r="C4" s="8">
        <f t="shared" ref="C4:C67" si="2">$C$2</f>
        <v>46120</v>
      </c>
      <c r="D4" s="5">
        <v>3208</v>
      </c>
      <c r="E4" s="5">
        <v>320</v>
      </c>
      <c r="F4" s="5">
        <v>1</v>
      </c>
      <c r="G4" s="5">
        <v>5</v>
      </c>
      <c r="H4" s="5">
        <v>81406</v>
      </c>
      <c r="I4" s="5" t="s">
        <v>16</v>
      </c>
      <c r="J4" s="5">
        <v>70172962</v>
      </c>
      <c r="K4" s="5" t="s">
        <v>3561</v>
      </c>
      <c r="L4" s="19" t="s">
        <v>3564</v>
      </c>
      <c r="M4" s="22">
        <v>299900</v>
      </c>
      <c r="N4" s="7">
        <v>0.8</v>
      </c>
      <c r="O4" s="6">
        <f t="shared" si="1"/>
        <v>59980</v>
      </c>
      <c r="P4" s="5" t="s">
        <v>504</v>
      </c>
    </row>
    <row r="5" spans="1:16" x14ac:dyDescent="0.35">
      <c r="A5" s="40" t="s">
        <v>3659</v>
      </c>
      <c r="B5" s="8">
        <f t="shared" ref="B5:B68" si="3">$B$2</f>
        <v>46114</v>
      </c>
      <c r="C5" s="8">
        <f t="shared" si="2"/>
        <v>46120</v>
      </c>
      <c r="D5" s="5">
        <v>3208</v>
      </c>
      <c r="E5" s="5">
        <v>320</v>
      </c>
      <c r="F5" s="5">
        <v>1</v>
      </c>
      <c r="G5" s="5">
        <v>5</v>
      </c>
      <c r="H5" s="5">
        <v>81406</v>
      </c>
      <c r="I5" s="5" t="s">
        <v>16</v>
      </c>
      <c r="J5" s="5">
        <v>70172971</v>
      </c>
      <c r="K5" s="5" t="s">
        <v>3561</v>
      </c>
      <c r="L5" s="19" t="s">
        <v>3565</v>
      </c>
      <c r="M5" s="22">
        <v>299900</v>
      </c>
      <c r="N5" s="7">
        <v>0.8</v>
      </c>
      <c r="O5" s="6">
        <f t="shared" si="1"/>
        <v>59980</v>
      </c>
      <c r="P5" s="5" t="s">
        <v>504</v>
      </c>
    </row>
    <row r="6" spans="1:16" x14ac:dyDescent="0.35">
      <c r="A6" s="40" t="s">
        <v>3659</v>
      </c>
      <c r="B6" s="8">
        <f t="shared" si="3"/>
        <v>46114</v>
      </c>
      <c r="C6" s="8">
        <f t="shared" si="2"/>
        <v>46120</v>
      </c>
      <c r="D6" s="5">
        <v>3208</v>
      </c>
      <c r="E6" s="5">
        <v>320</v>
      </c>
      <c r="F6" s="5">
        <v>1</v>
      </c>
      <c r="G6" s="5">
        <v>5</v>
      </c>
      <c r="H6" s="5">
        <v>81406</v>
      </c>
      <c r="I6" s="5" t="s">
        <v>16</v>
      </c>
      <c r="J6" s="5">
        <v>70172980</v>
      </c>
      <c r="K6" s="5" t="s">
        <v>3561</v>
      </c>
      <c r="L6" s="19" t="s">
        <v>3566</v>
      </c>
      <c r="M6" s="22">
        <v>299900</v>
      </c>
      <c r="N6" s="7">
        <v>0.8</v>
      </c>
      <c r="O6" s="6">
        <f t="shared" ref="O6:O11" si="4">M6-(M6*N6)</f>
        <v>59980</v>
      </c>
      <c r="P6" s="5" t="s">
        <v>504</v>
      </c>
    </row>
    <row r="7" spans="1:16" x14ac:dyDescent="0.35">
      <c r="A7" s="40" t="s">
        <v>3659</v>
      </c>
      <c r="B7" s="8">
        <f t="shared" si="3"/>
        <v>46114</v>
      </c>
      <c r="C7" s="8">
        <f t="shared" si="2"/>
        <v>46120</v>
      </c>
      <c r="D7" s="5">
        <v>3208</v>
      </c>
      <c r="E7" s="5">
        <v>320</v>
      </c>
      <c r="F7" s="5">
        <v>1</v>
      </c>
      <c r="G7" s="5">
        <v>5</v>
      </c>
      <c r="H7" s="5">
        <v>81406</v>
      </c>
      <c r="I7" s="5" t="s">
        <v>16</v>
      </c>
      <c r="J7" s="5">
        <v>70172999</v>
      </c>
      <c r="K7" s="5" t="s">
        <v>3561</v>
      </c>
      <c r="L7" s="19" t="s">
        <v>3567</v>
      </c>
      <c r="M7" s="22">
        <v>299900</v>
      </c>
      <c r="N7" s="7">
        <v>0.8</v>
      </c>
      <c r="O7" s="6">
        <f t="shared" si="4"/>
        <v>59980</v>
      </c>
      <c r="P7" s="5" t="s">
        <v>504</v>
      </c>
    </row>
    <row r="8" spans="1:16" x14ac:dyDescent="0.35">
      <c r="A8" s="40" t="s">
        <v>3659</v>
      </c>
      <c r="B8" s="8">
        <f t="shared" si="3"/>
        <v>46114</v>
      </c>
      <c r="C8" s="8">
        <f t="shared" si="2"/>
        <v>46120</v>
      </c>
      <c r="D8" s="5">
        <v>3208</v>
      </c>
      <c r="E8" s="5">
        <v>320</v>
      </c>
      <c r="F8" s="5">
        <v>1</v>
      </c>
      <c r="G8" s="5">
        <v>5</v>
      </c>
      <c r="H8" s="5">
        <v>81406</v>
      </c>
      <c r="I8" s="5" t="s">
        <v>16</v>
      </c>
      <c r="J8" s="5">
        <v>70173005</v>
      </c>
      <c r="K8" s="5" t="s">
        <v>3561</v>
      </c>
      <c r="L8" s="19" t="s">
        <v>3568</v>
      </c>
      <c r="M8" s="22">
        <v>299900</v>
      </c>
      <c r="N8" s="7">
        <v>0.8</v>
      </c>
      <c r="O8" s="6">
        <f t="shared" si="4"/>
        <v>59980</v>
      </c>
      <c r="P8" s="5" t="s">
        <v>504</v>
      </c>
    </row>
    <row r="9" spans="1:16" x14ac:dyDescent="0.35">
      <c r="A9" s="40" t="s">
        <v>3659</v>
      </c>
      <c r="B9" s="8">
        <f t="shared" si="3"/>
        <v>46114</v>
      </c>
      <c r="C9" s="8">
        <f t="shared" si="2"/>
        <v>46120</v>
      </c>
      <c r="D9" s="5">
        <v>3208</v>
      </c>
      <c r="E9" s="5">
        <v>320</v>
      </c>
      <c r="F9" s="5">
        <v>1</v>
      </c>
      <c r="G9" s="5">
        <v>5</v>
      </c>
      <c r="H9" s="5">
        <v>81406</v>
      </c>
      <c r="I9" s="5" t="s">
        <v>16</v>
      </c>
      <c r="J9" s="5">
        <v>70173014</v>
      </c>
      <c r="K9" s="5" t="s">
        <v>3561</v>
      </c>
      <c r="L9" s="19" t="s">
        <v>3569</v>
      </c>
      <c r="M9" s="22">
        <v>299900</v>
      </c>
      <c r="N9" s="7">
        <v>0.8</v>
      </c>
      <c r="O9" s="6">
        <f t="shared" si="4"/>
        <v>59980</v>
      </c>
      <c r="P9" s="5" t="s">
        <v>504</v>
      </c>
    </row>
    <row r="10" spans="1:16" x14ac:dyDescent="0.35">
      <c r="A10" s="40" t="s">
        <v>3659</v>
      </c>
      <c r="B10" s="8">
        <f t="shared" si="3"/>
        <v>46114</v>
      </c>
      <c r="C10" s="8">
        <f t="shared" si="2"/>
        <v>46120</v>
      </c>
      <c r="D10" s="5">
        <v>3208</v>
      </c>
      <c r="E10" s="5">
        <v>320</v>
      </c>
      <c r="F10" s="5">
        <v>1</v>
      </c>
      <c r="G10" s="5">
        <v>5</v>
      </c>
      <c r="H10" s="5">
        <v>81406</v>
      </c>
      <c r="I10" s="5" t="s">
        <v>16</v>
      </c>
      <c r="J10" s="5">
        <v>79666001</v>
      </c>
      <c r="K10" s="5" t="s">
        <v>3561</v>
      </c>
      <c r="L10" s="19" t="s">
        <v>3570</v>
      </c>
      <c r="M10" s="22">
        <v>299900</v>
      </c>
      <c r="N10" s="7">
        <v>0.8</v>
      </c>
      <c r="O10" s="6">
        <f t="shared" si="4"/>
        <v>59980</v>
      </c>
      <c r="P10" s="5" t="s">
        <v>504</v>
      </c>
    </row>
    <row r="11" spans="1:16" x14ac:dyDescent="0.35">
      <c r="A11" s="40" t="s">
        <v>3659</v>
      </c>
      <c r="B11" s="8">
        <f t="shared" si="3"/>
        <v>46114</v>
      </c>
      <c r="C11" s="8">
        <f t="shared" si="2"/>
        <v>46120</v>
      </c>
      <c r="D11" s="5">
        <v>3208</v>
      </c>
      <c r="E11" s="5">
        <v>320</v>
      </c>
      <c r="F11" s="5">
        <v>1</v>
      </c>
      <c r="G11" s="5">
        <v>5</v>
      </c>
      <c r="H11" s="5">
        <v>81406</v>
      </c>
      <c r="I11" s="5" t="s">
        <v>16</v>
      </c>
      <c r="J11" s="5">
        <v>79666010</v>
      </c>
      <c r="K11" s="5" t="s">
        <v>3561</v>
      </c>
      <c r="L11" s="19" t="s">
        <v>3571</v>
      </c>
      <c r="M11" s="22">
        <v>299900</v>
      </c>
      <c r="N11" s="7">
        <v>0.8</v>
      </c>
      <c r="O11" s="6">
        <f t="shared" si="4"/>
        <v>59980</v>
      </c>
      <c r="P11" s="5" t="s">
        <v>504</v>
      </c>
    </row>
    <row r="12" spans="1:16" x14ac:dyDescent="0.35">
      <c r="A12" s="40" t="s">
        <v>3659</v>
      </c>
      <c r="B12" s="8">
        <f t="shared" si="3"/>
        <v>46114</v>
      </c>
      <c r="C12" s="8">
        <f t="shared" si="2"/>
        <v>46120</v>
      </c>
      <c r="D12" s="5">
        <v>3208</v>
      </c>
      <c r="E12" s="5">
        <v>320</v>
      </c>
      <c r="F12" s="5">
        <v>1</v>
      </c>
      <c r="G12" s="5">
        <v>5</v>
      </c>
      <c r="H12" s="5">
        <v>81406</v>
      </c>
      <c r="I12" s="5" t="s">
        <v>16</v>
      </c>
      <c r="J12" s="5">
        <v>79666029</v>
      </c>
      <c r="K12" s="5" t="s">
        <v>3561</v>
      </c>
      <c r="L12" s="19" t="s">
        <v>3572</v>
      </c>
      <c r="M12" s="22">
        <v>299900</v>
      </c>
      <c r="N12" s="7">
        <v>0.8</v>
      </c>
      <c r="O12" s="6">
        <f t="shared" ref="O12:O75" si="5">M12-(M12*N12)</f>
        <v>59980</v>
      </c>
      <c r="P12" s="5" t="s">
        <v>504</v>
      </c>
    </row>
    <row r="13" spans="1:16" x14ac:dyDescent="0.35">
      <c r="A13" s="40" t="s">
        <v>3659</v>
      </c>
      <c r="B13" s="8">
        <f t="shared" si="3"/>
        <v>46114</v>
      </c>
      <c r="C13" s="8">
        <f t="shared" si="2"/>
        <v>46120</v>
      </c>
      <c r="D13" s="5">
        <v>3208</v>
      </c>
      <c r="E13" s="5">
        <v>320</v>
      </c>
      <c r="F13" s="5">
        <v>1</v>
      </c>
      <c r="G13" s="5">
        <v>5</v>
      </c>
      <c r="H13" s="5">
        <v>81406</v>
      </c>
      <c r="I13" s="5" t="s">
        <v>16</v>
      </c>
      <c r="J13" s="5">
        <v>79666038</v>
      </c>
      <c r="K13" s="5" t="s">
        <v>3561</v>
      </c>
      <c r="L13" s="19" t="s">
        <v>3573</v>
      </c>
      <c r="M13" s="22">
        <v>299900</v>
      </c>
      <c r="N13" s="7">
        <v>0.8</v>
      </c>
      <c r="O13" s="6">
        <f t="shared" si="5"/>
        <v>59980</v>
      </c>
      <c r="P13" s="5" t="s">
        <v>504</v>
      </c>
    </row>
    <row r="14" spans="1:16" x14ac:dyDescent="0.35">
      <c r="A14" s="40" t="s">
        <v>3659</v>
      </c>
      <c r="B14" s="8">
        <f t="shared" si="3"/>
        <v>46114</v>
      </c>
      <c r="C14" s="8">
        <f t="shared" si="2"/>
        <v>46120</v>
      </c>
      <c r="D14" s="5">
        <v>3208</v>
      </c>
      <c r="E14" s="5">
        <v>320</v>
      </c>
      <c r="F14" s="5">
        <v>1</v>
      </c>
      <c r="G14" s="5">
        <v>5</v>
      </c>
      <c r="H14" s="5">
        <v>81406</v>
      </c>
      <c r="I14" s="5" t="s">
        <v>16</v>
      </c>
      <c r="J14" s="5">
        <v>85485534</v>
      </c>
      <c r="K14" s="5" t="s">
        <v>3561</v>
      </c>
      <c r="L14" s="19" t="s">
        <v>3574</v>
      </c>
      <c r="M14" s="22">
        <v>299900</v>
      </c>
      <c r="N14" s="7">
        <v>0.8</v>
      </c>
      <c r="O14" s="6">
        <f t="shared" si="5"/>
        <v>59980</v>
      </c>
      <c r="P14" s="5" t="s">
        <v>504</v>
      </c>
    </row>
    <row r="15" spans="1:16" x14ac:dyDescent="0.35">
      <c r="A15" s="40" t="s">
        <v>3659</v>
      </c>
      <c r="B15" s="8">
        <f t="shared" si="3"/>
        <v>46114</v>
      </c>
      <c r="C15" s="8">
        <f t="shared" si="2"/>
        <v>46120</v>
      </c>
      <c r="D15" s="5">
        <v>3208</v>
      </c>
      <c r="E15" s="5">
        <v>320</v>
      </c>
      <c r="F15" s="5">
        <v>1</v>
      </c>
      <c r="G15" s="5">
        <v>5</v>
      </c>
      <c r="H15" s="5">
        <v>81406</v>
      </c>
      <c r="I15" s="5" t="s">
        <v>16</v>
      </c>
      <c r="J15" s="5">
        <v>85485543</v>
      </c>
      <c r="K15" s="5" t="s">
        <v>3561</v>
      </c>
      <c r="L15" s="19" t="s">
        <v>3575</v>
      </c>
      <c r="M15" s="22">
        <v>299900</v>
      </c>
      <c r="N15" s="7">
        <v>0.8</v>
      </c>
      <c r="O15" s="6">
        <f t="shared" si="5"/>
        <v>59980</v>
      </c>
      <c r="P15" s="5" t="s">
        <v>504</v>
      </c>
    </row>
    <row r="16" spans="1:16" x14ac:dyDescent="0.35">
      <c r="A16" s="40" t="s">
        <v>3659</v>
      </c>
      <c r="B16" s="8">
        <f t="shared" si="3"/>
        <v>46114</v>
      </c>
      <c r="C16" s="8">
        <f t="shared" si="2"/>
        <v>46120</v>
      </c>
      <c r="D16" s="5">
        <v>3208</v>
      </c>
      <c r="E16" s="5">
        <v>320</v>
      </c>
      <c r="F16" s="5">
        <v>1</v>
      </c>
      <c r="G16" s="5">
        <v>5</v>
      </c>
      <c r="H16" s="5">
        <v>81406</v>
      </c>
      <c r="I16" s="5" t="s">
        <v>16</v>
      </c>
      <c r="J16" s="5">
        <v>85485552</v>
      </c>
      <c r="K16" s="5" t="s">
        <v>3561</v>
      </c>
      <c r="L16" s="19" t="s">
        <v>3576</v>
      </c>
      <c r="M16" s="22">
        <v>299900</v>
      </c>
      <c r="N16" s="7">
        <v>0.8</v>
      </c>
      <c r="O16" s="6">
        <f t="shared" si="5"/>
        <v>59980</v>
      </c>
      <c r="P16" s="5" t="s">
        <v>504</v>
      </c>
    </row>
    <row r="17" spans="1:16" x14ac:dyDescent="0.35">
      <c r="A17" s="40" t="s">
        <v>3659</v>
      </c>
      <c r="B17" s="8">
        <f t="shared" si="3"/>
        <v>46114</v>
      </c>
      <c r="C17" s="8">
        <f t="shared" si="2"/>
        <v>46120</v>
      </c>
      <c r="D17" s="5">
        <v>3208</v>
      </c>
      <c r="E17" s="5">
        <v>320</v>
      </c>
      <c r="F17" s="5">
        <v>1</v>
      </c>
      <c r="G17" s="5">
        <v>5</v>
      </c>
      <c r="H17" s="5">
        <v>81406</v>
      </c>
      <c r="I17" s="5" t="s">
        <v>16</v>
      </c>
      <c r="J17" s="5">
        <v>85485561</v>
      </c>
      <c r="K17" s="5" t="s">
        <v>3561</v>
      </c>
      <c r="L17" s="19" t="s">
        <v>3577</v>
      </c>
      <c r="M17" s="22">
        <v>299900</v>
      </c>
      <c r="N17" s="7">
        <v>0.8</v>
      </c>
      <c r="O17" s="6">
        <f t="shared" si="5"/>
        <v>59980</v>
      </c>
      <c r="P17" s="5" t="s">
        <v>504</v>
      </c>
    </row>
    <row r="18" spans="1:16" x14ac:dyDescent="0.35">
      <c r="A18" s="40" t="s">
        <v>3659</v>
      </c>
      <c r="B18" s="8">
        <f t="shared" si="3"/>
        <v>46114</v>
      </c>
      <c r="C18" s="8">
        <f t="shared" si="2"/>
        <v>46120</v>
      </c>
      <c r="D18" s="5">
        <v>3208</v>
      </c>
      <c r="E18" s="5">
        <v>320</v>
      </c>
      <c r="F18" s="5">
        <v>1</v>
      </c>
      <c r="G18" s="5">
        <v>5</v>
      </c>
      <c r="H18" s="5">
        <v>81626</v>
      </c>
      <c r="I18" s="5" t="s">
        <v>16</v>
      </c>
      <c r="J18" s="5">
        <v>21628455</v>
      </c>
      <c r="K18" s="5" t="s">
        <v>3592</v>
      </c>
      <c r="L18" s="19" t="s">
        <v>3593</v>
      </c>
      <c r="M18" s="22">
        <v>219900</v>
      </c>
      <c r="N18" s="7">
        <v>0.8</v>
      </c>
      <c r="O18" s="6">
        <f t="shared" si="5"/>
        <v>43980</v>
      </c>
      <c r="P18" s="5" t="s">
        <v>504</v>
      </c>
    </row>
    <row r="19" spans="1:16" x14ac:dyDescent="0.35">
      <c r="A19" s="40" t="s">
        <v>3659</v>
      </c>
      <c r="B19" s="8">
        <f t="shared" si="3"/>
        <v>46114</v>
      </c>
      <c r="C19" s="8">
        <f t="shared" si="2"/>
        <v>46120</v>
      </c>
      <c r="D19" s="5">
        <v>3208</v>
      </c>
      <c r="E19" s="5">
        <v>320</v>
      </c>
      <c r="F19" s="5">
        <v>1</v>
      </c>
      <c r="G19" s="5">
        <v>5</v>
      </c>
      <c r="H19" s="5">
        <v>81626</v>
      </c>
      <c r="I19" s="5" t="s">
        <v>16</v>
      </c>
      <c r="J19" s="5">
        <v>21628464</v>
      </c>
      <c r="K19" s="5" t="s">
        <v>3592</v>
      </c>
      <c r="L19" s="19" t="s">
        <v>3594</v>
      </c>
      <c r="M19" s="22">
        <v>219900</v>
      </c>
      <c r="N19" s="7">
        <v>0.8</v>
      </c>
      <c r="O19" s="6">
        <f t="shared" si="5"/>
        <v>43980</v>
      </c>
      <c r="P19" s="5" t="s">
        <v>504</v>
      </c>
    </row>
    <row r="20" spans="1:16" x14ac:dyDescent="0.35">
      <c r="A20" s="40" t="s">
        <v>3659</v>
      </c>
      <c r="B20" s="8">
        <f t="shared" si="3"/>
        <v>46114</v>
      </c>
      <c r="C20" s="8">
        <f t="shared" si="2"/>
        <v>46120</v>
      </c>
      <c r="D20" s="5">
        <v>3208</v>
      </c>
      <c r="E20" s="5">
        <v>320</v>
      </c>
      <c r="F20" s="5">
        <v>1</v>
      </c>
      <c r="G20" s="5">
        <v>5</v>
      </c>
      <c r="H20" s="5">
        <v>81626</v>
      </c>
      <c r="I20" s="5" t="s">
        <v>16</v>
      </c>
      <c r="J20" s="5">
        <v>21628473</v>
      </c>
      <c r="K20" s="5" t="s">
        <v>3592</v>
      </c>
      <c r="L20" s="19" t="s">
        <v>3595</v>
      </c>
      <c r="M20" s="22">
        <v>219900</v>
      </c>
      <c r="N20" s="7">
        <v>0.8</v>
      </c>
      <c r="O20" s="6">
        <f t="shared" si="5"/>
        <v>43980</v>
      </c>
      <c r="P20" s="5" t="s">
        <v>504</v>
      </c>
    </row>
    <row r="21" spans="1:16" x14ac:dyDescent="0.35">
      <c r="A21" s="40" t="s">
        <v>3659</v>
      </c>
      <c r="B21" s="8">
        <f t="shared" si="3"/>
        <v>46114</v>
      </c>
      <c r="C21" s="8">
        <f t="shared" si="2"/>
        <v>46120</v>
      </c>
      <c r="D21" s="5">
        <v>3208</v>
      </c>
      <c r="E21" s="5">
        <v>320</v>
      </c>
      <c r="F21" s="5">
        <v>1</v>
      </c>
      <c r="G21" s="5">
        <v>5</v>
      </c>
      <c r="H21" s="5">
        <v>81626</v>
      </c>
      <c r="I21" s="5" t="s">
        <v>16</v>
      </c>
      <c r="J21" s="5">
        <v>21628482</v>
      </c>
      <c r="K21" s="5" t="s">
        <v>3592</v>
      </c>
      <c r="L21" s="19" t="s">
        <v>3596</v>
      </c>
      <c r="M21" s="22">
        <v>219900</v>
      </c>
      <c r="N21" s="7">
        <v>0.8</v>
      </c>
      <c r="O21" s="6">
        <f t="shared" si="5"/>
        <v>43980</v>
      </c>
      <c r="P21" s="5" t="s">
        <v>504</v>
      </c>
    </row>
    <row r="22" spans="1:16" x14ac:dyDescent="0.35">
      <c r="A22" s="40" t="s">
        <v>3659</v>
      </c>
      <c r="B22" s="8">
        <f t="shared" si="3"/>
        <v>46114</v>
      </c>
      <c r="C22" s="8">
        <f t="shared" si="2"/>
        <v>46120</v>
      </c>
      <c r="D22" s="5">
        <v>3208</v>
      </c>
      <c r="E22" s="5">
        <v>320</v>
      </c>
      <c r="F22" s="5">
        <v>1</v>
      </c>
      <c r="G22" s="5">
        <v>5</v>
      </c>
      <c r="H22" s="5">
        <v>81626</v>
      </c>
      <c r="I22" s="5" t="s">
        <v>16</v>
      </c>
      <c r="J22" s="5">
        <v>21628491</v>
      </c>
      <c r="K22" s="5" t="s">
        <v>3592</v>
      </c>
      <c r="L22" s="19" t="s">
        <v>3597</v>
      </c>
      <c r="M22" s="22">
        <v>219900</v>
      </c>
      <c r="N22" s="7">
        <v>0.8</v>
      </c>
      <c r="O22" s="6">
        <f t="shared" si="5"/>
        <v>43980</v>
      </c>
      <c r="P22" s="5" t="s">
        <v>504</v>
      </c>
    </row>
    <row r="23" spans="1:16" x14ac:dyDescent="0.35">
      <c r="A23" s="40" t="s">
        <v>3659</v>
      </c>
      <c r="B23" s="8">
        <f t="shared" si="3"/>
        <v>46114</v>
      </c>
      <c r="C23" s="8">
        <f t="shared" si="2"/>
        <v>46120</v>
      </c>
      <c r="D23" s="5">
        <v>3208</v>
      </c>
      <c r="E23" s="5">
        <v>320</v>
      </c>
      <c r="F23" s="5">
        <v>1</v>
      </c>
      <c r="G23" s="5">
        <v>5</v>
      </c>
      <c r="H23" s="5">
        <v>81626</v>
      </c>
      <c r="I23" s="5" t="s">
        <v>16</v>
      </c>
      <c r="J23" s="5">
        <v>21628606</v>
      </c>
      <c r="K23" s="5" t="s">
        <v>3592</v>
      </c>
      <c r="L23" s="19" t="s">
        <v>3598</v>
      </c>
      <c r="M23" s="22">
        <v>219900</v>
      </c>
      <c r="N23" s="7">
        <v>0.8</v>
      </c>
      <c r="O23" s="6">
        <f t="shared" si="5"/>
        <v>43980</v>
      </c>
      <c r="P23" s="5" t="s">
        <v>504</v>
      </c>
    </row>
    <row r="24" spans="1:16" x14ac:dyDescent="0.35">
      <c r="A24" s="40" t="s">
        <v>3659</v>
      </c>
      <c r="B24" s="8">
        <f t="shared" si="3"/>
        <v>46114</v>
      </c>
      <c r="C24" s="8">
        <f t="shared" si="2"/>
        <v>46120</v>
      </c>
      <c r="D24" s="5">
        <v>3208</v>
      </c>
      <c r="E24" s="5">
        <v>320</v>
      </c>
      <c r="F24" s="5">
        <v>1</v>
      </c>
      <c r="G24" s="5">
        <v>5</v>
      </c>
      <c r="H24" s="5">
        <v>81626</v>
      </c>
      <c r="I24" s="5" t="s">
        <v>16</v>
      </c>
      <c r="J24" s="5">
        <v>21628615</v>
      </c>
      <c r="K24" s="5" t="s">
        <v>3592</v>
      </c>
      <c r="L24" s="19" t="s">
        <v>3599</v>
      </c>
      <c r="M24" s="22">
        <v>219900</v>
      </c>
      <c r="N24" s="7">
        <v>0.8</v>
      </c>
      <c r="O24" s="6">
        <f t="shared" si="5"/>
        <v>43980</v>
      </c>
      <c r="P24" s="5" t="s">
        <v>504</v>
      </c>
    </row>
    <row r="25" spans="1:16" x14ac:dyDescent="0.35">
      <c r="A25" s="40" t="s">
        <v>3659</v>
      </c>
      <c r="B25" s="8">
        <f t="shared" si="3"/>
        <v>46114</v>
      </c>
      <c r="C25" s="8">
        <f t="shared" si="2"/>
        <v>46120</v>
      </c>
      <c r="D25" s="5">
        <v>3208</v>
      </c>
      <c r="E25" s="5">
        <v>320</v>
      </c>
      <c r="F25" s="5">
        <v>1</v>
      </c>
      <c r="G25" s="5">
        <v>5</v>
      </c>
      <c r="H25" s="5">
        <v>81626</v>
      </c>
      <c r="I25" s="5" t="s">
        <v>16</v>
      </c>
      <c r="J25" s="5">
        <v>21628624</v>
      </c>
      <c r="K25" s="5" t="s">
        <v>3592</v>
      </c>
      <c r="L25" s="19" t="s">
        <v>3600</v>
      </c>
      <c r="M25" s="22">
        <v>219900</v>
      </c>
      <c r="N25" s="7">
        <v>0.8</v>
      </c>
      <c r="O25" s="6">
        <f t="shared" si="5"/>
        <v>43980</v>
      </c>
      <c r="P25" s="5" t="s">
        <v>504</v>
      </c>
    </row>
    <row r="26" spans="1:16" x14ac:dyDescent="0.35">
      <c r="A26" s="40" t="s">
        <v>3659</v>
      </c>
      <c r="B26" s="8">
        <f t="shared" si="3"/>
        <v>46114</v>
      </c>
      <c r="C26" s="8">
        <f t="shared" si="2"/>
        <v>46120</v>
      </c>
      <c r="D26" s="5">
        <v>3208</v>
      </c>
      <c r="E26" s="5">
        <v>320</v>
      </c>
      <c r="F26" s="5">
        <v>1</v>
      </c>
      <c r="G26" s="5">
        <v>5</v>
      </c>
      <c r="H26" s="5">
        <v>81045</v>
      </c>
      <c r="I26" s="5" t="s">
        <v>16</v>
      </c>
      <c r="J26" s="5">
        <v>20472713</v>
      </c>
      <c r="K26" s="5" t="s">
        <v>3541</v>
      </c>
      <c r="L26" s="19" t="s">
        <v>3542</v>
      </c>
      <c r="M26" s="22">
        <v>279900</v>
      </c>
      <c r="N26" s="7">
        <v>0.8</v>
      </c>
      <c r="O26" s="6">
        <f t="shared" si="5"/>
        <v>55980</v>
      </c>
      <c r="P26" s="5" t="s">
        <v>504</v>
      </c>
    </row>
    <row r="27" spans="1:16" x14ac:dyDescent="0.35">
      <c r="A27" s="40" t="s">
        <v>3659</v>
      </c>
      <c r="B27" s="8">
        <f t="shared" si="3"/>
        <v>46114</v>
      </c>
      <c r="C27" s="8">
        <f t="shared" si="2"/>
        <v>46120</v>
      </c>
      <c r="D27" s="5">
        <v>3208</v>
      </c>
      <c r="E27" s="5">
        <v>320</v>
      </c>
      <c r="F27" s="5">
        <v>1</v>
      </c>
      <c r="G27" s="5">
        <v>5</v>
      </c>
      <c r="H27" s="5">
        <v>81045</v>
      </c>
      <c r="I27" s="5" t="s">
        <v>16</v>
      </c>
      <c r="J27" s="5">
        <v>20472768</v>
      </c>
      <c r="K27" s="5" t="s">
        <v>3541</v>
      </c>
      <c r="L27" s="19" t="s">
        <v>3543</v>
      </c>
      <c r="M27" s="22">
        <v>279900</v>
      </c>
      <c r="N27" s="7">
        <v>0.8</v>
      </c>
      <c r="O27" s="6">
        <f t="shared" si="5"/>
        <v>55980</v>
      </c>
      <c r="P27" s="5" t="s">
        <v>504</v>
      </c>
    </row>
    <row r="28" spans="1:16" x14ac:dyDescent="0.35">
      <c r="A28" s="40" t="s">
        <v>3659</v>
      </c>
      <c r="B28" s="8">
        <f t="shared" si="3"/>
        <v>46114</v>
      </c>
      <c r="C28" s="8">
        <f t="shared" si="2"/>
        <v>46120</v>
      </c>
      <c r="D28" s="5">
        <v>3208</v>
      </c>
      <c r="E28" s="5">
        <v>320</v>
      </c>
      <c r="F28" s="5">
        <v>1</v>
      </c>
      <c r="G28" s="5">
        <v>5</v>
      </c>
      <c r="H28" s="5">
        <v>81045</v>
      </c>
      <c r="I28" s="5" t="s">
        <v>16</v>
      </c>
      <c r="J28" s="5">
        <v>20472777</v>
      </c>
      <c r="K28" s="5" t="s">
        <v>3541</v>
      </c>
      <c r="L28" s="19" t="s">
        <v>3544</v>
      </c>
      <c r="M28" s="22">
        <v>279900</v>
      </c>
      <c r="N28" s="7">
        <v>0.8</v>
      </c>
      <c r="O28" s="6">
        <f t="shared" si="5"/>
        <v>55980</v>
      </c>
      <c r="P28" s="5" t="s">
        <v>504</v>
      </c>
    </row>
    <row r="29" spans="1:16" x14ac:dyDescent="0.35">
      <c r="A29" s="40" t="s">
        <v>3659</v>
      </c>
      <c r="B29" s="8">
        <f t="shared" si="3"/>
        <v>46114</v>
      </c>
      <c r="C29" s="8">
        <f t="shared" si="2"/>
        <v>46120</v>
      </c>
      <c r="D29" s="5">
        <v>3208</v>
      </c>
      <c r="E29" s="5">
        <v>320</v>
      </c>
      <c r="F29" s="5">
        <v>1</v>
      </c>
      <c r="G29" s="5">
        <v>5</v>
      </c>
      <c r="H29" s="5">
        <v>81045</v>
      </c>
      <c r="I29" s="5" t="s">
        <v>16</v>
      </c>
      <c r="J29" s="5">
        <v>20472786</v>
      </c>
      <c r="K29" s="5" t="s">
        <v>3541</v>
      </c>
      <c r="L29" s="19" t="s">
        <v>3545</v>
      </c>
      <c r="M29" s="22">
        <v>279900</v>
      </c>
      <c r="N29" s="7">
        <v>0.8</v>
      </c>
      <c r="O29" s="6">
        <f t="shared" si="5"/>
        <v>55980</v>
      </c>
      <c r="P29" s="5" t="s">
        <v>504</v>
      </c>
    </row>
    <row r="30" spans="1:16" x14ac:dyDescent="0.35">
      <c r="A30" s="40" t="s">
        <v>3659</v>
      </c>
      <c r="B30" s="8">
        <f t="shared" si="3"/>
        <v>46114</v>
      </c>
      <c r="C30" s="8">
        <f t="shared" si="2"/>
        <v>46120</v>
      </c>
      <c r="D30" s="5">
        <v>3208</v>
      </c>
      <c r="E30" s="5">
        <v>320</v>
      </c>
      <c r="F30" s="5">
        <v>1</v>
      </c>
      <c r="G30" s="16">
        <v>1</v>
      </c>
      <c r="H30" s="16">
        <v>81045</v>
      </c>
      <c r="I30" s="16" t="s">
        <v>16</v>
      </c>
      <c r="J30" s="16">
        <v>19918682</v>
      </c>
      <c r="K30" s="16" t="s">
        <v>3328</v>
      </c>
      <c r="L30" s="18" t="s">
        <v>3329</v>
      </c>
      <c r="M30" s="21">
        <v>249900</v>
      </c>
      <c r="N30" s="7">
        <v>0.8</v>
      </c>
      <c r="O30" s="6">
        <f t="shared" si="5"/>
        <v>49980</v>
      </c>
      <c r="P30" s="5" t="s">
        <v>504</v>
      </c>
    </row>
    <row r="31" spans="1:16" x14ac:dyDescent="0.35">
      <c r="A31" s="40" t="s">
        <v>3659</v>
      </c>
      <c r="B31" s="8">
        <f t="shared" si="3"/>
        <v>46114</v>
      </c>
      <c r="C31" s="8">
        <f t="shared" si="2"/>
        <v>46120</v>
      </c>
      <c r="D31" s="5">
        <v>3208</v>
      </c>
      <c r="E31" s="5">
        <v>320</v>
      </c>
      <c r="F31" s="5">
        <v>1</v>
      </c>
      <c r="G31" s="16">
        <v>1</v>
      </c>
      <c r="H31" s="16">
        <v>81045</v>
      </c>
      <c r="I31" s="16" t="s">
        <v>16</v>
      </c>
      <c r="J31" s="16">
        <v>19918691</v>
      </c>
      <c r="K31" s="16" t="s">
        <v>3328</v>
      </c>
      <c r="L31" s="18" t="s">
        <v>3330</v>
      </c>
      <c r="M31" s="21">
        <v>249900</v>
      </c>
      <c r="N31" s="7">
        <v>0.8</v>
      </c>
      <c r="O31" s="6">
        <f t="shared" si="5"/>
        <v>49980</v>
      </c>
      <c r="P31" s="5" t="s">
        <v>504</v>
      </c>
    </row>
    <row r="32" spans="1:16" x14ac:dyDescent="0.35">
      <c r="A32" s="40" t="s">
        <v>3659</v>
      </c>
      <c r="B32" s="8">
        <f t="shared" si="3"/>
        <v>46114</v>
      </c>
      <c r="C32" s="8">
        <f t="shared" si="2"/>
        <v>46120</v>
      </c>
      <c r="D32" s="5">
        <v>3208</v>
      </c>
      <c r="E32" s="5">
        <v>320</v>
      </c>
      <c r="F32" s="5">
        <v>1</v>
      </c>
      <c r="G32" s="16">
        <v>1</v>
      </c>
      <c r="H32" s="16">
        <v>81045</v>
      </c>
      <c r="I32" s="16" t="s">
        <v>16</v>
      </c>
      <c r="J32" s="16">
        <v>19918708</v>
      </c>
      <c r="K32" s="16" t="s">
        <v>3328</v>
      </c>
      <c r="L32" s="18" t="s">
        <v>3331</v>
      </c>
      <c r="M32" s="21">
        <v>249900</v>
      </c>
      <c r="N32" s="7">
        <v>0.8</v>
      </c>
      <c r="O32" s="6">
        <f t="shared" si="5"/>
        <v>49980</v>
      </c>
      <c r="P32" s="5" t="s">
        <v>504</v>
      </c>
    </row>
    <row r="33" spans="1:16" x14ac:dyDescent="0.35">
      <c r="A33" s="40" t="s">
        <v>3659</v>
      </c>
      <c r="B33" s="8">
        <f t="shared" si="3"/>
        <v>46114</v>
      </c>
      <c r="C33" s="8">
        <f t="shared" si="2"/>
        <v>46120</v>
      </c>
      <c r="D33" s="5">
        <v>3208</v>
      </c>
      <c r="E33" s="5">
        <v>320</v>
      </c>
      <c r="F33" s="5">
        <v>1</v>
      </c>
      <c r="G33" s="16">
        <v>1</v>
      </c>
      <c r="H33" s="16">
        <v>81045</v>
      </c>
      <c r="I33" s="16" t="s">
        <v>16</v>
      </c>
      <c r="J33" s="16">
        <v>19918717</v>
      </c>
      <c r="K33" s="16" t="s">
        <v>3328</v>
      </c>
      <c r="L33" s="18" t="s">
        <v>3332</v>
      </c>
      <c r="M33" s="21">
        <v>249900</v>
      </c>
      <c r="N33" s="7">
        <v>0.8</v>
      </c>
      <c r="O33" s="6">
        <f t="shared" si="5"/>
        <v>49980</v>
      </c>
      <c r="P33" s="5" t="s">
        <v>504</v>
      </c>
    </row>
    <row r="34" spans="1:16" x14ac:dyDescent="0.35">
      <c r="A34" s="40" t="s">
        <v>3659</v>
      </c>
      <c r="B34" s="8">
        <f t="shared" si="3"/>
        <v>46114</v>
      </c>
      <c r="C34" s="8">
        <f t="shared" si="2"/>
        <v>46120</v>
      </c>
      <c r="D34" s="5">
        <v>3208</v>
      </c>
      <c r="E34" s="5">
        <v>320</v>
      </c>
      <c r="F34" s="5">
        <v>1</v>
      </c>
      <c r="G34" s="16">
        <v>1</v>
      </c>
      <c r="H34" s="16">
        <v>81045</v>
      </c>
      <c r="I34" s="16" t="s">
        <v>16</v>
      </c>
      <c r="J34" s="16">
        <v>19918726</v>
      </c>
      <c r="K34" s="16" t="s">
        <v>3328</v>
      </c>
      <c r="L34" s="18" t="s">
        <v>3333</v>
      </c>
      <c r="M34" s="21">
        <v>249900</v>
      </c>
      <c r="N34" s="7">
        <v>0.8</v>
      </c>
      <c r="O34" s="6">
        <f t="shared" si="5"/>
        <v>49980</v>
      </c>
      <c r="P34" s="5" t="s">
        <v>504</v>
      </c>
    </row>
    <row r="35" spans="1:16" x14ac:dyDescent="0.35">
      <c r="A35" s="40" t="s">
        <v>3659</v>
      </c>
      <c r="B35" s="8">
        <f t="shared" si="3"/>
        <v>46114</v>
      </c>
      <c r="C35" s="8">
        <f t="shared" si="2"/>
        <v>46120</v>
      </c>
      <c r="D35" s="5">
        <v>3208</v>
      </c>
      <c r="E35" s="5">
        <v>320</v>
      </c>
      <c r="F35" s="5">
        <v>1</v>
      </c>
      <c r="G35" s="16">
        <v>1</v>
      </c>
      <c r="H35" s="16">
        <v>81045</v>
      </c>
      <c r="I35" s="16" t="s">
        <v>16</v>
      </c>
      <c r="J35" s="16">
        <v>19918735</v>
      </c>
      <c r="K35" s="16" t="s">
        <v>3328</v>
      </c>
      <c r="L35" s="18" t="s">
        <v>3334</v>
      </c>
      <c r="M35" s="21">
        <v>249900</v>
      </c>
      <c r="N35" s="7">
        <v>0.8</v>
      </c>
      <c r="O35" s="6">
        <f t="shared" si="5"/>
        <v>49980</v>
      </c>
      <c r="P35" s="5" t="s">
        <v>504</v>
      </c>
    </row>
    <row r="36" spans="1:16" x14ac:dyDescent="0.35">
      <c r="A36" s="40" t="s">
        <v>3659</v>
      </c>
      <c r="B36" s="8">
        <f t="shared" si="3"/>
        <v>46114</v>
      </c>
      <c r="C36" s="8">
        <f t="shared" si="2"/>
        <v>46120</v>
      </c>
      <c r="D36" s="5">
        <v>3208</v>
      </c>
      <c r="E36" s="5">
        <v>320</v>
      </c>
      <c r="F36" s="5">
        <v>1</v>
      </c>
      <c r="G36" s="16">
        <v>1</v>
      </c>
      <c r="H36" s="16">
        <v>81045</v>
      </c>
      <c r="I36" s="16" t="s">
        <v>16</v>
      </c>
      <c r="J36" s="16">
        <v>19918744</v>
      </c>
      <c r="K36" s="16" t="s">
        <v>3328</v>
      </c>
      <c r="L36" s="18" t="s">
        <v>3335</v>
      </c>
      <c r="M36" s="21">
        <v>249900</v>
      </c>
      <c r="N36" s="7">
        <v>0.8</v>
      </c>
      <c r="O36" s="6">
        <f t="shared" si="5"/>
        <v>49980</v>
      </c>
      <c r="P36" s="5" t="s">
        <v>504</v>
      </c>
    </row>
    <row r="37" spans="1:16" x14ac:dyDescent="0.35">
      <c r="A37" s="40" t="s">
        <v>3659</v>
      </c>
      <c r="B37" s="8">
        <f t="shared" si="3"/>
        <v>46114</v>
      </c>
      <c r="C37" s="8">
        <f t="shared" si="2"/>
        <v>46120</v>
      </c>
      <c r="D37" s="5">
        <v>3208</v>
      </c>
      <c r="E37" s="5">
        <v>320</v>
      </c>
      <c r="F37" s="5">
        <v>1</v>
      </c>
      <c r="G37" s="16">
        <v>1</v>
      </c>
      <c r="H37" s="16">
        <v>81045</v>
      </c>
      <c r="I37" s="16" t="s">
        <v>16</v>
      </c>
      <c r="J37" s="16">
        <v>19918753</v>
      </c>
      <c r="K37" s="16" t="s">
        <v>3328</v>
      </c>
      <c r="L37" s="18" t="s">
        <v>3336</v>
      </c>
      <c r="M37" s="21">
        <v>249900</v>
      </c>
      <c r="N37" s="7">
        <v>0.8</v>
      </c>
      <c r="O37" s="6">
        <f t="shared" si="5"/>
        <v>49980</v>
      </c>
      <c r="P37" s="5" t="s">
        <v>504</v>
      </c>
    </row>
    <row r="38" spans="1:16" x14ac:dyDescent="0.35">
      <c r="A38" s="40" t="s">
        <v>3659</v>
      </c>
      <c r="B38" s="8">
        <f t="shared" si="3"/>
        <v>46114</v>
      </c>
      <c r="C38" s="8">
        <f t="shared" si="2"/>
        <v>46120</v>
      </c>
      <c r="D38" s="5">
        <v>3208</v>
      </c>
      <c r="E38" s="5">
        <v>320</v>
      </c>
      <c r="F38" s="5">
        <v>1</v>
      </c>
      <c r="G38" s="5">
        <v>1</v>
      </c>
      <c r="H38" s="5">
        <v>81495</v>
      </c>
      <c r="I38" s="5" t="s">
        <v>16</v>
      </c>
      <c r="J38" s="5">
        <v>20473589</v>
      </c>
      <c r="K38" s="5" t="s">
        <v>3510</v>
      </c>
      <c r="L38" s="19" t="s">
        <v>3511</v>
      </c>
      <c r="M38" s="22">
        <v>229900</v>
      </c>
      <c r="N38" s="7">
        <v>0.8</v>
      </c>
      <c r="O38" s="6">
        <f t="shared" si="5"/>
        <v>45980</v>
      </c>
      <c r="P38" s="5" t="s">
        <v>504</v>
      </c>
    </row>
    <row r="39" spans="1:16" x14ac:dyDescent="0.35">
      <c r="A39" s="40" t="s">
        <v>3659</v>
      </c>
      <c r="B39" s="8">
        <f t="shared" si="3"/>
        <v>46114</v>
      </c>
      <c r="C39" s="8">
        <f t="shared" si="2"/>
        <v>46120</v>
      </c>
      <c r="D39" s="5">
        <v>3208</v>
      </c>
      <c r="E39" s="5">
        <v>320</v>
      </c>
      <c r="F39" s="5">
        <v>1</v>
      </c>
      <c r="G39" s="5">
        <v>1</v>
      </c>
      <c r="H39" s="5">
        <v>81495</v>
      </c>
      <c r="I39" s="5" t="s">
        <v>16</v>
      </c>
      <c r="J39" s="5">
        <v>20473605</v>
      </c>
      <c r="K39" s="5" t="s">
        <v>3510</v>
      </c>
      <c r="L39" s="19" t="s">
        <v>3512</v>
      </c>
      <c r="M39" s="22">
        <v>229900</v>
      </c>
      <c r="N39" s="7">
        <v>0.8</v>
      </c>
      <c r="O39" s="6">
        <f t="shared" si="5"/>
        <v>45980</v>
      </c>
      <c r="P39" s="5" t="s">
        <v>504</v>
      </c>
    </row>
    <row r="40" spans="1:16" x14ac:dyDescent="0.35">
      <c r="A40" s="40" t="s">
        <v>3659</v>
      </c>
      <c r="B40" s="8">
        <f t="shared" si="3"/>
        <v>46114</v>
      </c>
      <c r="C40" s="8">
        <f t="shared" si="2"/>
        <v>46120</v>
      </c>
      <c r="D40" s="5">
        <v>3208</v>
      </c>
      <c r="E40" s="5">
        <v>320</v>
      </c>
      <c r="F40" s="5">
        <v>1</v>
      </c>
      <c r="G40" s="5">
        <v>1</v>
      </c>
      <c r="H40" s="5">
        <v>81495</v>
      </c>
      <c r="I40" s="5" t="s">
        <v>16</v>
      </c>
      <c r="J40" s="5">
        <v>20473614</v>
      </c>
      <c r="K40" s="5" t="s">
        <v>3510</v>
      </c>
      <c r="L40" s="19" t="s">
        <v>3513</v>
      </c>
      <c r="M40" s="22">
        <v>229900</v>
      </c>
      <c r="N40" s="7">
        <v>0.8</v>
      </c>
      <c r="O40" s="6">
        <f t="shared" si="5"/>
        <v>45980</v>
      </c>
      <c r="P40" s="5" t="s">
        <v>504</v>
      </c>
    </row>
    <row r="41" spans="1:16" x14ac:dyDescent="0.35">
      <c r="A41" s="40" t="s">
        <v>3659</v>
      </c>
      <c r="B41" s="8">
        <f t="shared" si="3"/>
        <v>46114</v>
      </c>
      <c r="C41" s="8">
        <f t="shared" si="2"/>
        <v>46120</v>
      </c>
      <c r="D41" s="5">
        <v>3208</v>
      </c>
      <c r="E41" s="5">
        <v>320</v>
      </c>
      <c r="F41" s="5">
        <v>1</v>
      </c>
      <c r="G41" s="5">
        <v>1</v>
      </c>
      <c r="H41" s="5">
        <v>81495</v>
      </c>
      <c r="I41" s="5" t="s">
        <v>16</v>
      </c>
      <c r="J41" s="5">
        <v>20473623</v>
      </c>
      <c r="K41" s="5" t="s">
        <v>3510</v>
      </c>
      <c r="L41" s="19" t="s">
        <v>3514</v>
      </c>
      <c r="M41" s="22">
        <v>229900</v>
      </c>
      <c r="N41" s="7">
        <v>0.8</v>
      </c>
      <c r="O41" s="6">
        <f t="shared" si="5"/>
        <v>45980</v>
      </c>
      <c r="P41" s="5" t="s">
        <v>504</v>
      </c>
    </row>
    <row r="42" spans="1:16" x14ac:dyDescent="0.35">
      <c r="A42" s="40" t="s">
        <v>3659</v>
      </c>
      <c r="B42" s="8">
        <f t="shared" si="3"/>
        <v>46114</v>
      </c>
      <c r="C42" s="8">
        <f t="shared" si="2"/>
        <v>46120</v>
      </c>
      <c r="D42" s="5">
        <v>3208</v>
      </c>
      <c r="E42" s="5">
        <v>320</v>
      </c>
      <c r="F42" s="5">
        <v>1</v>
      </c>
      <c r="G42" s="5">
        <v>1</v>
      </c>
      <c r="H42" s="5">
        <v>81045</v>
      </c>
      <c r="I42" s="5" t="s">
        <v>16</v>
      </c>
      <c r="J42" s="5">
        <v>20473025</v>
      </c>
      <c r="K42" s="5" t="s">
        <v>3515</v>
      </c>
      <c r="L42" s="19" t="s">
        <v>3516</v>
      </c>
      <c r="M42" s="22">
        <v>229900</v>
      </c>
      <c r="N42" s="7">
        <v>0.8</v>
      </c>
      <c r="O42" s="6">
        <f t="shared" si="5"/>
        <v>45980</v>
      </c>
      <c r="P42" s="5" t="s">
        <v>504</v>
      </c>
    </row>
    <row r="43" spans="1:16" x14ac:dyDescent="0.35">
      <c r="A43" s="40" t="s">
        <v>3659</v>
      </c>
      <c r="B43" s="8">
        <f t="shared" si="3"/>
        <v>46114</v>
      </c>
      <c r="C43" s="8">
        <f t="shared" si="2"/>
        <v>46120</v>
      </c>
      <c r="D43" s="5">
        <v>3208</v>
      </c>
      <c r="E43" s="5">
        <v>320</v>
      </c>
      <c r="F43" s="5">
        <v>1</v>
      </c>
      <c r="G43" s="5">
        <v>1</v>
      </c>
      <c r="H43" s="5">
        <v>81045</v>
      </c>
      <c r="I43" s="5" t="s">
        <v>16</v>
      </c>
      <c r="J43" s="5">
        <v>20473034</v>
      </c>
      <c r="K43" s="5" t="s">
        <v>3515</v>
      </c>
      <c r="L43" s="19" t="s">
        <v>3517</v>
      </c>
      <c r="M43" s="22">
        <v>229900</v>
      </c>
      <c r="N43" s="7">
        <v>0.8</v>
      </c>
      <c r="O43" s="6">
        <f t="shared" si="5"/>
        <v>45980</v>
      </c>
      <c r="P43" s="5" t="s">
        <v>504</v>
      </c>
    </row>
    <row r="44" spans="1:16" x14ac:dyDescent="0.35">
      <c r="A44" s="40" t="s">
        <v>3659</v>
      </c>
      <c r="B44" s="8">
        <f t="shared" si="3"/>
        <v>46114</v>
      </c>
      <c r="C44" s="8">
        <f t="shared" si="2"/>
        <v>46120</v>
      </c>
      <c r="D44" s="5">
        <v>3208</v>
      </c>
      <c r="E44" s="5">
        <v>320</v>
      </c>
      <c r="F44" s="5">
        <v>1</v>
      </c>
      <c r="G44" s="5">
        <v>1</v>
      </c>
      <c r="H44" s="5">
        <v>81045</v>
      </c>
      <c r="I44" s="5" t="s">
        <v>16</v>
      </c>
      <c r="J44" s="5">
        <v>20473061</v>
      </c>
      <c r="K44" s="5" t="s">
        <v>3515</v>
      </c>
      <c r="L44" s="19" t="s">
        <v>3518</v>
      </c>
      <c r="M44" s="22">
        <v>229900</v>
      </c>
      <c r="N44" s="7">
        <v>0.8</v>
      </c>
      <c r="O44" s="6">
        <f t="shared" si="5"/>
        <v>45980</v>
      </c>
      <c r="P44" s="5" t="s">
        <v>504</v>
      </c>
    </row>
    <row r="45" spans="1:16" x14ac:dyDescent="0.35">
      <c r="A45" s="40" t="s">
        <v>3659</v>
      </c>
      <c r="B45" s="8">
        <f t="shared" si="3"/>
        <v>46114</v>
      </c>
      <c r="C45" s="8">
        <f t="shared" si="2"/>
        <v>46120</v>
      </c>
      <c r="D45" s="5">
        <v>3208</v>
      </c>
      <c r="E45" s="5">
        <v>320</v>
      </c>
      <c r="F45" s="5">
        <v>1</v>
      </c>
      <c r="G45" s="5">
        <v>1</v>
      </c>
      <c r="H45" s="5">
        <v>81045</v>
      </c>
      <c r="I45" s="5" t="s">
        <v>16</v>
      </c>
      <c r="J45" s="5">
        <v>20473070</v>
      </c>
      <c r="K45" s="5" t="s">
        <v>3515</v>
      </c>
      <c r="L45" s="19" t="s">
        <v>3519</v>
      </c>
      <c r="M45" s="22">
        <v>229900</v>
      </c>
      <c r="N45" s="7">
        <v>0.8</v>
      </c>
      <c r="O45" s="6">
        <f t="shared" si="5"/>
        <v>45980</v>
      </c>
      <c r="P45" s="5" t="s">
        <v>504</v>
      </c>
    </row>
    <row r="46" spans="1:16" x14ac:dyDescent="0.35">
      <c r="A46" s="40" t="s">
        <v>3659</v>
      </c>
      <c r="B46" s="8">
        <f t="shared" si="3"/>
        <v>46114</v>
      </c>
      <c r="C46" s="8">
        <f t="shared" si="2"/>
        <v>46120</v>
      </c>
      <c r="D46" s="5">
        <v>3208</v>
      </c>
      <c r="E46" s="5">
        <v>320</v>
      </c>
      <c r="F46" s="5">
        <v>1</v>
      </c>
      <c r="G46" s="5">
        <v>1</v>
      </c>
      <c r="H46" s="5">
        <v>81045</v>
      </c>
      <c r="I46" s="5" t="s">
        <v>16</v>
      </c>
      <c r="J46" s="5">
        <v>20473105</v>
      </c>
      <c r="K46" s="5" t="s">
        <v>3515</v>
      </c>
      <c r="L46" s="19" t="s">
        <v>3520</v>
      </c>
      <c r="M46" s="22">
        <v>229900</v>
      </c>
      <c r="N46" s="7">
        <v>0.8</v>
      </c>
      <c r="O46" s="6">
        <f t="shared" si="5"/>
        <v>45980</v>
      </c>
      <c r="P46" s="5" t="s">
        <v>504</v>
      </c>
    </row>
    <row r="47" spans="1:16" x14ac:dyDescent="0.35">
      <c r="A47" s="40" t="s">
        <v>3659</v>
      </c>
      <c r="B47" s="8">
        <f t="shared" si="3"/>
        <v>46114</v>
      </c>
      <c r="C47" s="8">
        <f t="shared" si="2"/>
        <v>46120</v>
      </c>
      <c r="D47" s="5">
        <v>3208</v>
      </c>
      <c r="E47" s="5">
        <v>320</v>
      </c>
      <c r="F47" s="5">
        <v>1</v>
      </c>
      <c r="G47" s="5">
        <v>1</v>
      </c>
      <c r="H47" s="5">
        <v>81045</v>
      </c>
      <c r="I47" s="5" t="s">
        <v>16</v>
      </c>
      <c r="J47" s="5">
        <v>20473123</v>
      </c>
      <c r="K47" s="5" t="s">
        <v>3515</v>
      </c>
      <c r="L47" s="19" t="s">
        <v>3521</v>
      </c>
      <c r="M47" s="22">
        <v>229900</v>
      </c>
      <c r="N47" s="7">
        <v>0.8</v>
      </c>
      <c r="O47" s="6">
        <f t="shared" si="5"/>
        <v>45980</v>
      </c>
      <c r="P47" s="5" t="s">
        <v>504</v>
      </c>
    </row>
    <row r="48" spans="1:16" x14ac:dyDescent="0.35">
      <c r="A48" s="40" t="s">
        <v>3659</v>
      </c>
      <c r="B48" s="8">
        <f t="shared" si="3"/>
        <v>46114</v>
      </c>
      <c r="C48" s="8">
        <f t="shared" si="2"/>
        <v>46120</v>
      </c>
      <c r="D48" s="5">
        <v>3208</v>
      </c>
      <c r="E48" s="5">
        <v>320</v>
      </c>
      <c r="F48" s="5">
        <v>1</v>
      </c>
      <c r="G48" s="5">
        <v>1</v>
      </c>
      <c r="H48" s="5">
        <v>81045</v>
      </c>
      <c r="I48" s="5" t="s">
        <v>16</v>
      </c>
      <c r="J48" s="5">
        <v>20473150</v>
      </c>
      <c r="K48" s="5" t="s">
        <v>3515</v>
      </c>
      <c r="L48" s="19" t="s">
        <v>3522</v>
      </c>
      <c r="M48" s="22">
        <v>229900</v>
      </c>
      <c r="N48" s="7">
        <v>0.8</v>
      </c>
      <c r="O48" s="6">
        <f t="shared" si="5"/>
        <v>45980</v>
      </c>
      <c r="P48" s="5" t="s">
        <v>504</v>
      </c>
    </row>
    <row r="49" spans="1:16" x14ac:dyDescent="0.35">
      <c r="A49" s="40" t="s">
        <v>3659</v>
      </c>
      <c r="B49" s="8">
        <f t="shared" si="3"/>
        <v>46114</v>
      </c>
      <c r="C49" s="8">
        <f t="shared" si="2"/>
        <v>46120</v>
      </c>
      <c r="D49" s="5">
        <v>3208</v>
      </c>
      <c r="E49" s="5">
        <v>320</v>
      </c>
      <c r="F49" s="5">
        <v>1</v>
      </c>
      <c r="G49" s="5">
        <v>1</v>
      </c>
      <c r="H49" s="5">
        <v>81045</v>
      </c>
      <c r="I49" s="5" t="s">
        <v>16</v>
      </c>
      <c r="J49" s="5">
        <v>20473276</v>
      </c>
      <c r="K49" s="5" t="s">
        <v>3515</v>
      </c>
      <c r="L49" s="19" t="s">
        <v>3523</v>
      </c>
      <c r="M49" s="22">
        <v>229900</v>
      </c>
      <c r="N49" s="7">
        <v>0.8</v>
      </c>
      <c r="O49" s="6">
        <f t="shared" si="5"/>
        <v>45980</v>
      </c>
      <c r="P49" s="5" t="s">
        <v>504</v>
      </c>
    </row>
    <row r="50" spans="1:16" x14ac:dyDescent="0.35">
      <c r="A50" s="40" t="s">
        <v>3659</v>
      </c>
      <c r="B50" s="8">
        <f t="shared" si="3"/>
        <v>46114</v>
      </c>
      <c r="C50" s="8">
        <f t="shared" si="2"/>
        <v>46120</v>
      </c>
      <c r="D50" s="5">
        <v>3208</v>
      </c>
      <c r="E50" s="5">
        <v>320</v>
      </c>
      <c r="F50" s="5">
        <v>1</v>
      </c>
      <c r="G50" s="5">
        <v>1</v>
      </c>
      <c r="H50" s="5">
        <v>81045</v>
      </c>
      <c r="I50" s="5" t="s">
        <v>16</v>
      </c>
      <c r="J50" s="5">
        <v>20473285</v>
      </c>
      <c r="K50" s="5" t="s">
        <v>3515</v>
      </c>
      <c r="L50" s="19" t="s">
        <v>3524</v>
      </c>
      <c r="M50" s="22">
        <v>229900</v>
      </c>
      <c r="N50" s="7">
        <v>0.8</v>
      </c>
      <c r="O50" s="6">
        <f t="shared" si="5"/>
        <v>45980</v>
      </c>
      <c r="P50" s="5" t="s">
        <v>504</v>
      </c>
    </row>
    <row r="51" spans="1:16" x14ac:dyDescent="0.35">
      <c r="A51" s="40" t="s">
        <v>3659</v>
      </c>
      <c r="B51" s="8">
        <f t="shared" si="3"/>
        <v>46114</v>
      </c>
      <c r="C51" s="8">
        <f t="shared" si="2"/>
        <v>46120</v>
      </c>
      <c r="D51" s="5">
        <v>3208</v>
      </c>
      <c r="E51" s="5">
        <v>320</v>
      </c>
      <c r="F51" s="5">
        <v>1</v>
      </c>
      <c r="G51" s="5">
        <v>1</v>
      </c>
      <c r="H51" s="5">
        <v>81045</v>
      </c>
      <c r="I51" s="5" t="s">
        <v>16</v>
      </c>
      <c r="J51" s="5">
        <v>20473374</v>
      </c>
      <c r="K51" s="5" t="s">
        <v>3515</v>
      </c>
      <c r="L51" s="19" t="s">
        <v>3525</v>
      </c>
      <c r="M51" s="22">
        <v>229900</v>
      </c>
      <c r="N51" s="7">
        <v>0.8</v>
      </c>
      <c r="O51" s="6">
        <f t="shared" si="5"/>
        <v>45980</v>
      </c>
      <c r="P51" s="5" t="s">
        <v>504</v>
      </c>
    </row>
    <row r="52" spans="1:16" x14ac:dyDescent="0.35">
      <c r="A52" s="40" t="s">
        <v>3659</v>
      </c>
      <c r="B52" s="8">
        <f t="shared" si="3"/>
        <v>46114</v>
      </c>
      <c r="C52" s="8">
        <f t="shared" si="2"/>
        <v>46120</v>
      </c>
      <c r="D52" s="5">
        <v>3208</v>
      </c>
      <c r="E52" s="5">
        <v>320</v>
      </c>
      <c r="F52" s="5">
        <v>1</v>
      </c>
      <c r="G52" s="5">
        <v>1</v>
      </c>
      <c r="H52" s="5">
        <v>81045</v>
      </c>
      <c r="I52" s="5" t="s">
        <v>16</v>
      </c>
      <c r="J52" s="5">
        <v>20473454</v>
      </c>
      <c r="K52" s="5" t="s">
        <v>3515</v>
      </c>
      <c r="L52" s="19" t="s">
        <v>3526</v>
      </c>
      <c r="M52" s="22">
        <v>229900</v>
      </c>
      <c r="N52" s="7">
        <v>0.8</v>
      </c>
      <c r="O52" s="6">
        <f t="shared" si="5"/>
        <v>45980</v>
      </c>
      <c r="P52" s="5" t="s">
        <v>504</v>
      </c>
    </row>
    <row r="53" spans="1:16" x14ac:dyDescent="0.35">
      <c r="A53" s="40" t="s">
        <v>3659</v>
      </c>
      <c r="B53" s="8">
        <f t="shared" si="3"/>
        <v>46114</v>
      </c>
      <c r="C53" s="8">
        <f t="shared" si="2"/>
        <v>46120</v>
      </c>
      <c r="D53" s="5">
        <v>3208</v>
      </c>
      <c r="E53" s="5">
        <v>320</v>
      </c>
      <c r="F53" s="5">
        <v>1</v>
      </c>
      <c r="G53" s="5">
        <v>1</v>
      </c>
      <c r="H53" s="5">
        <v>81045</v>
      </c>
      <c r="I53" s="5" t="s">
        <v>16</v>
      </c>
      <c r="J53" s="5">
        <v>20473570</v>
      </c>
      <c r="K53" s="5" t="s">
        <v>3515</v>
      </c>
      <c r="L53" s="19" t="s">
        <v>3527</v>
      </c>
      <c r="M53" s="22">
        <v>229900</v>
      </c>
      <c r="N53" s="7">
        <v>0.8</v>
      </c>
      <c r="O53" s="6">
        <f t="shared" si="5"/>
        <v>45980</v>
      </c>
      <c r="P53" s="5" t="s">
        <v>504</v>
      </c>
    </row>
    <row r="54" spans="1:16" x14ac:dyDescent="0.35">
      <c r="A54" s="40" t="s">
        <v>3659</v>
      </c>
      <c r="B54" s="8">
        <f t="shared" si="3"/>
        <v>46114</v>
      </c>
      <c r="C54" s="8">
        <f t="shared" si="2"/>
        <v>46120</v>
      </c>
      <c r="D54" s="5">
        <v>3208</v>
      </c>
      <c r="E54" s="5">
        <v>320</v>
      </c>
      <c r="F54" s="5">
        <v>1</v>
      </c>
      <c r="G54" s="5">
        <v>3</v>
      </c>
      <c r="H54" s="5">
        <v>81736</v>
      </c>
      <c r="I54" s="5" t="s">
        <v>16</v>
      </c>
      <c r="J54" s="5">
        <v>20472839</v>
      </c>
      <c r="K54" s="5" t="s">
        <v>3528</v>
      </c>
      <c r="L54" s="19" t="s">
        <v>3529</v>
      </c>
      <c r="M54" s="22">
        <v>269900</v>
      </c>
      <c r="N54" s="7">
        <v>0.8</v>
      </c>
      <c r="O54" s="6">
        <f t="shared" si="5"/>
        <v>53980</v>
      </c>
      <c r="P54" s="5" t="s">
        <v>504</v>
      </c>
    </row>
    <row r="55" spans="1:16" x14ac:dyDescent="0.35">
      <c r="A55" s="40" t="s">
        <v>3659</v>
      </c>
      <c r="B55" s="8">
        <f t="shared" si="3"/>
        <v>46114</v>
      </c>
      <c r="C55" s="8">
        <f t="shared" si="2"/>
        <v>46120</v>
      </c>
      <c r="D55" s="5">
        <v>3208</v>
      </c>
      <c r="E55" s="5">
        <v>320</v>
      </c>
      <c r="F55" s="5">
        <v>1</v>
      </c>
      <c r="G55" s="5">
        <v>3</v>
      </c>
      <c r="H55" s="5">
        <v>81736</v>
      </c>
      <c r="I55" s="5" t="s">
        <v>16</v>
      </c>
      <c r="J55" s="5">
        <v>20472848</v>
      </c>
      <c r="K55" s="5" t="s">
        <v>3528</v>
      </c>
      <c r="L55" s="19" t="s">
        <v>3530</v>
      </c>
      <c r="M55" s="22">
        <v>269900</v>
      </c>
      <c r="N55" s="7">
        <v>0.8</v>
      </c>
      <c r="O55" s="6">
        <f t="shared" si="5"/>
        <v>53980</v>
      </c>
      <c r="P55" s="5" t="s">
        <v>504</v>
      </c>
    </row>
    <row r="56" spans="1:16" x14ac:dyDescent="0.35">
      <c r="A56" s="40" t="s">
        <v>3659</v>
      </c>
      <c r="B56" s="8">
        <f t="shared" si="3"/>
        <v>46114</v>
      </c>
      <c r="C56" s="8">
        <f t="shared" si="2"/>
        <v>46120</v>
      </c>
      <c r="D56" s="5">
        <v>3208</v>
      </c>
      <c r="E56" s="5">
        <v>320</v>
      </c>
      <c r="F56" s="5">
        <v>1</v>
      </c>
      <c r="G56" s="5">
        <v>3</v>
      </c>
      <c r="H56" s="5">
        <v>81736</v>
      </c>
      <c r="I56" s="5" t="s">
        <v>16</v>
      </c>
      <c r="J56" s="5">
        <v>20472857</v>
      </c>
      <c r="K56" s="5" t="s">
        <v>3528</v>
      </c>
      <c r="L56" s="19" t="s">
        <v>3531</v>
      </c>
      <c r="M56" s="22">
        <v>269900</v>
      </c>
      <c r="N56" s="7">
        <v>0.8</v>
      </c>
      <c r="O56" s="6">
        <f t="shared" si="5"/>
        <v>53980</v>
      </c>
      <c r="P56" s="5" t="s">
        <v>504</v>
      </c>
    </row>
    <row r="57" spans="1:16" x14ac:dyDescent="0.35">
      <c r="A57" s="40" t="s">
        <v>3659</v>
      </c>
      <c r="B57" s="8">
        <f t="shared" si="3"/>
        <v>46114</v>
      </c>
      <c r="C57" s="8">
        <f t="shared" si="2"/>
        <v>46120</v>
      </c>
      <c r="D57" s="5">
        <v>3208</v>
      </c>
      <c r="E57" s="5">
        <v>320</v>
      </c>
      <c r="F57" s="5">
        <v>1</v>
      </c>
      <c r="G57" s="5">
        <v>3</v>
      </c>
      <c r="H57" s="5">
        <v>81736</v>
      </c>
      <c r="I57" s="5" t="s">
        <v>16</v>
      </c>
      <c r="J57" s="5">
        <v>20472866</v>
      </c>
      <c r="K57" s="5" t="s">
        <v>3528</v>
      </c>
      <c r="L57" s="19" t="s">
        <v>3532</v>
      </c>
      <c r="M57" s="22">
        <v>269900</v>
      </c>
      <c r="N57" s="7">
        <v>0.8</v>
      </c>
      <c r="O57" s="6">
        <f t="shared" si="5"/>
        <v>53980</v>
      </c>
      <c r="P57" s="5" t="s">
        <v>504</v>
      </c>
    </row>
    <row r="58" spans="1:16" x14ac:dyDescent="0.35">
      <c r="A58" s="40" t="s">
        <v>3659</v>
      </c>
      <c r="B58" s="8">
        <f t="shared" si="3"/>
        <v>46114</v>
      </c>
      <c r="C58" s="8">
        <f t="shared" si="2"/>
        <v>46120</v>
      </c>
      <c r="D58" s="5">
        <v>3208</v>
      </c>
      <c r="E58" s="5">
        <v>320</v>
      </c>
      <c r="F58" s="5">
        <v>1</v>
      </c>
      <c r="G58" s="5">
        <v>3</v>
      </c>
      <c r="H58" s="5">
        <v>81736</v>
      </c>
      <c r="I58" s="5" t="s">
        <v>16</v>
      </c>
      <c r="J58" s="5">
        <v>20472875</v>
      </c>
      <c r="K58" s="5" t="s">
        <v>3528</v>
      </c>
      <c r="L58" s="19" t="s">
        <v>3533</v>
      </c>
      <c r="M58" s="22">
        <v>269900</v>
      </c>
      <c r="N58" s="7">
        <v>0.8</v>
      </c>
      <c r="O58" s="6">
        <f t="shared" si="5"/>
        <v>53980</v>
      </c>
      <c r="P58" s="5" t="s">
        <v>504</v>
      </c>
    </row>
    <row r="59" spans="1:16" x14ac:dyDescent="0.35">
      <c r="A59" s="40" t="s">
        <v>3659</v>
      </c>
      <c r="B59" s="8">
        <f t="shared" si="3"/>
        <v>46114</v>
      </c>
      <c r="C59" s="8">
        <f t="shared" si="2"/>
        <v>46120</v>
      </c>
      <c r="D59" s="5">
        <v>3208</v>
      </c>
      <c r="E59" s="5">
        <v>320</v>
      </c>
      <c r="F59" s="5">
        <v>1</v>
      </c>
      <c r="G59" s="5">
        <v>3</v>
      </c>
      <c r="H59" s="5">
        <v>81736</v>
      </c>
      <c r="I59" s="5" t="s">
        <v>16</v>
      </c>
      <c r="J59" s="5">
        <v>20472884</v>
      </c>
      <c r="K59" s="5" t="s">
        <v>3528</v>
      </c>
      <c r="L59" s="19" t="s">
        <v>3534</v>
      </c>
      <c r="M59" s="22">
        <v>269900</v>
      </c>
      <c r="N59" s="7">
        <v>0.8</v>
      </c>
      <c r="O59" s="6">
        <f t="shared" si="5"/>
        <v>53980</v>
      </c>
      <c r="P59" s="5" t="s">
        <v>504</v>
      </c>
    </row>
    <row r="60" spans="1:16" x14ac:dyDescent="0.35">
      <c r="A60" s="40" t="s">
        <v>3659</v>
      </c>
      <c r="B60" s="8">
        <f t="shared" si="3"/>
        <v>46114</v>
      </c>
      <c r="C60" s="8">
        <f t="shared" si="2"/>
        <v>46120</v>
      </c>
      <c r="D60" s="5">
        <v>3208</v>
      </c>
      <c r="E60" s="5">
        <v>320</v>
      </c>
      <c r="F60" s="5">
        <v>1</v>
      </c>
      <c r="G60" s="5">
        <v>3</v>
      </c>
      <c r="H60" s="5">
        <v>81736</v>
      </c>
      <c r="I60" s="5" t="s">
        <v>16</v>
      </c>
      <c r="J60" s="5">
        <v>20472893</v>
      </c>
      <c r="K60" s="5" t="s">
        <v>3528</v>
      </c>
      <c r="L60" s="19" t="s">
        <v>3535</v>
      </c>
      <c r="M60" s="22">
        <v>269900</v>
      </c>
      <c r="N60" s="7">
        <v>0.8</v>
      </c>
      <c r="O60" s="6">
        <f t="shared" si="5"/>
        <v>53980</v>
      </c>
      <c r="P60" s="5" t="s">
        <v>504</v>
      </c>
    </row>
    <row r="61" spans="1:16" x14ac:dyDescent="0.35">
      <c r="A61" s="40" t="s">
        <v>3659</v>
      </c>
      <c r="B61" s="8">
        <f t="shared" si="3"/>
        <v>46114</v>
      </c>
      <c r="C61" s="8">
        <f t="shared" si="2"/>
        <v>46120</v>
      </c>
      <c r="D61" s="5">
        <v>3208</v>
      </c>
      <c r="E61" s="5">
        <v>320</v>
      </c>
      <c r="F61" s="5">
        <v>1</v>
      </c>
      <c r="G61" s="5">
        <v>3</v>
      </c>
      <c r="H61" s="5">
        <v>81736</v>
      </c>
      <c r="I61" s="5" t="s">
        <v>16</v>
      </c>
      <c r="J61" s="5">
        <v>20472900</v>
      </c>
      <c r="K61" s="5" t="s">
        <v>3528</v>
      </c>
      <c r="L61" s="19" t="s">
        <v>3536</v>
      </c>
      <c r="M61" s="22">
        <v>269900</v>
      </c>
      <c r="N61" s="7">
        <v>0.8</v>
      </c>
      <c r="O61" s="6">
        <f t="shared" si="5"/>
        <v>53980</v>
      </c>
      <c r="P61" s="5" t="s">
        <v>504</v>
      </c>
    </row>
    <row r="62" spans="1:16" x14ac:dyDescent="0.35">
      <c r="A62" s="40" t="s">
        <v>3659</v>
      </c>
      <c r="B62" s="8">
        <f t="shared" si="3"/>
        <v>46114</v>
      </c>
      <c r="C62" s="8">
        <f t="shared" si="2"/>
        <v>46120</v>
      </c>
      <c r="D62" s="5">
        <v>3208</v>
      </c>
      <c r="E62" s="5">
        <v>320</v>
      </c>
      <c r="F62" s="5">
        <v>1</v>
      </c>
      <c r="G62" s="5">
        <v>3</v>
      </c>
      <c r="H62" s="5">
        <v>81736</v>
      </c>
      <c r="I62" s="5" t="s">
        <v>16</v>
      </c>
      <c r="J62" s="5">
        <v>20472919</v>
      </c>
      <c r="K62" s="5" t="s">
        <v>3528</v>
      </c>
      <c r="L62" s="19" t="s">
        <v>3537</v>
      </c>
      <c r="M62" s="22">
        <v>269900</v>
      </c>
      <c r="N62" s="7">
        <v>0.8</v>
      </c>
      <c r="O62" s="6">
        <f t="shared" si="5"/>
        <v>53980</v>
      </c>
      <c r="P62" s="5" t="s">
        <v>504</v>
      </c>
    </row>
    <row r="63" spans="1:16" x14ac:dyDescent="0.35">
      <c r="A63" s="40" t="s">
        <v>3659</v>
      </c>
      <c r="B63" s="8">
        <f t="shared" si="3"/>
        <v>46114</v>
      </c>
      <c r="C63" s="8">
        <f t="shared" si="2"/>
        <v>46120</v>
      </c>
      <c r="D63" s="5">
        <v>3208</v>
      </c>
      <c r="E63" s="5">
        <v>320</v>
      </c>
      <c r="F63" s="5">
        <v>1</v>
      </c>
      <c r="G63" s="5">
        <v>3</v>
      </c>
      <c r="H63" s="5">
        <v>81736</v>
      </c>
      <c r="I63" s="5" t="s">
        <v>16</v>
      </c>
      <c r="J63" s="5">
        <v>20472928</v>
      </c>
      <c r="K63" s="5" t="s">
        <v>3528</v>
      </c>
      <c r="L63" s="19" t="s">
        <v>3538</v>
      </c>
      <c r="M63" s="22">
        <v>269900</v>
      </c>
      <c r="N63" s="7">
        <v>0.8</v>
      </c>
      <c r="O63" s="6">
        <f t="shared" si="5"/>
        <v>53980</v>
      </c>
      <c r="P63" s="5" t="s">
        <v>504</v>
      </c>
    </row>
    <row r="64" spans="1:16" x14ac:dyDescent="0.35">
      <c r="A64" s="40" t="s">
        <v>3659</v>
      </c>
      <c r="B64" s="8">
        <f t="shared" si="3"/>
        <v>46114</v>
      </c>
      <c r="C64" s="8">
        <f t="shared" si="2"/>
        <v>46120</v>
      </c>
      <c r="D64" s="5">
        <v>3208</v>
      </c>
      <c r="E64" s="5">
        <v>320</v>
      </c>
      <c r="F64" s="5">
        <v>1</v>
      </c>
      <c r="G64" s="5">
        <v>3</v>
      </c>
      <c r="H64" s="5">
        <v>81736</v>
      </c>
      <c r="I64" s="5" t="s">
        <v>16</v>
      </c>
      <c r="J64" s="5">
        <v>20472946</v>
      </c>
      <c r="K64" s="5" t="s">
        <v>3528</v>
      </c>
      <c r="L64" s="19" t="s">
        <v>3539</v>
      </c>
      <c r="M64" s="22">
        <v>269900</v>
      </c>
      <c r="N64" s="7">
        <v>0.8</v>
      </c>
      <c r="O64" s="6">
        <f t="shared" si="5"/>
        <v>53980</v>
      </c>
      <c r="P64" s="5" t="s">
        <v>504</v>
      </c>
    </row>
    <row r="65" spans="1:16" x14ac:dyDescent="0.35">
      <c r="A65" s="40" t="s">
        <v>3659</v>
      </c>
      <c r="B65" s="8">
        <f t="shared" si="3"/>
        <v>46114</v>
      </c>
      <c r="C65" s="8">
        <f t="shared" si="2"/>
        <v>46120</v>
      </c>
      <c r="D65" s="5">
        <v>3208</v>
      </c>
      <c r="E65" s="5">
        <v>320</v>
      </c>
      <c r="F65" s="5">
        <v>1</v>
      </c>
      <c r="G65" s="5">
        <v>3</v>
      </c>
      <c r="H65" s="5">
        <v>81736</v>
      </c>
      <c r="I65" s="5" t="s">
        <v>16</v>
      </c>
      <c r="J65" s="5">
        <v>20473016</v>
      </c>
      <c r="K65" s="5" t="s">
        <v>3528</v>
      </c>
      <c r="L65" s="19" t="s">
        <v>3540</v>
      </c>
      <c r="M65" s="22">
        <v>269900</v>
      </c>
      <c r="N65" s="7">
        <v>0.8</v>
      </c>
      <c r="O65" s="6">
        <f t="shared" si="5"/>
        <v>53980</v>
      </c>
      <c r="P65" s="5" t="s">
        <v>504</v>
      </c>
    </row>
    <row r="66" spans="1:16" x14ac:dyDescent="0.35">
      <c r="A66" s="40" t="s">
        <v>3659</v>
      </c>
      <c r="B66" s="8">
        <f t="shared" si="3"/>
        <v>46114</v>
      </c>
      <c r="C66" s="8">
        <f t="shared" si="2"/>
        <v>46120</v>
      </c>
      <c r="D66" s="5">
        <v>3208</v>
      </c>
      <c r="E66" s="5">
        <v>320</v>
      </c>
      <c r="F66" s="5">
        <v>1</v>
      </c>
      <c r="G66" s="5">
        <v>1</v>
      </c>
      <c r="H66" s="5">
        <v>81809</v>
      </c>
      <c r="I66" s="5" t="s">
        <v>16</v>
      </c>
      <c r="J66" s="5">
        <v>22706109</v>
      </c>
      <c r="K66" s="5" t="s">
        <v>3583</v>
      </c>
      <c r="L66" s="19" t="s">
        <v>3584</v>
      </c>
      <c r="M66" s="22">
        <v>269900</v>
      </c>
      <c r="N66" s="7">
        <v>0.8</v>
      </c>
      <c r="O66" s="6">
        <f t="shared" si="5"/>
        <v>53980</v>
      </c>
      <c r="P66" s="5" t="s">
        <v>504</v>
      </c>
    </row>
    <row r="67" spans="1:16" x14ac:dyDescent="0.35">
      <c r="A67" s="40" t="s">
        <v>3659</v>
      </c>
      <c r="B67" s="8">
        <f t="shared" si="3"/>
        <v>46114</v>
      </c>
      <c r="C67" s="8">
        <f t="shared" si="2"/>
        <v>46120</v>
      </c>
      <c r="D67" s="5">
        <v>3208</v>
      </c>
      <c r="E67" s="5">
        <v>320</v>
      </c>
      <c r="F67" s="5">
        <v>1</v>
      </c>
      <c r="G67" s="5">
        <v>1</v>
      </c>
      <c r="H67" s="5">
        <v>81809</v>
      </c>
      <c r="I67" s="5" t="s">
        <v>16</v>
      </c>
      <c r="J67" s="5">
        <v>22706118</v>
      </c>
      <c r="K67" s="5" t="s">
        <v>3583</v>
      </c>
      <c r="L67" s="19" t="s">
        <v>3585</v>
      </c>
      <c r="M67" s="22">
        <v>269900</v>
      </c>
      <c r="N67" s="7">
        <v>0.8</v>
      </c>
      <c r="O67" s="6">
        <f t="shared" si="5"/>
        <v>53980</v>
      </c>
      <c r="P67" s="5" t="s">
        <v>504</v>
      </c>
    </row>
    <row r="68" spans="1:16" x14ac:dyDescent="0.35">
      <c r="A68" s="40" t="s">
        <v>3659</v>
      </c>
      <c r="B68" s="8">
        <f t="shared" si="3"/>
        <v>46114</v>
      </c>
      <c r="C68" s="8">
        <f t="shared" ref="C68:C131" si="6">$C$2</f>
        <v>46120</v>
      </c>
      <c r="D68" s="5">
        <v>3208</v>
      </c>
      <c r="E68" s="5">
        <v>320</v>
      </c>
      <c r="F68" s="5">
        <v>1</v>
      </c>
      <c r="G68" s="5">
        <v>1</v>
      </c>
      <c r="H68" s="5">
        <v>81809</v>
      </c>
      <c r="I68" s="5" t="s">
        <v>16</v>
      </c>
      <c r="J68" s="5">
        <v>22706127</v>
      </c>
      <c r="K68" s="5" t="s">
        <v>3583</v>
      </c>
      <c r="L68" s="19" t="s">
        <v>3586</v>
      </c>
      <c r="M68" s="22">
        <v>269900</v>
      </c>
      <c r="N68" s="7">
        <v>0.8</v>
      </c>
      <c r="O68" s="6">
        <f t="shared" si="5"/>
        <v>53980</v>
      </c>
      <c r="P68" s="5" t="s">
        <v>504</v>
      </c>
    </row>
    <row r="69" spans="1:16" x14ac:dyDescent="0.35">
      <c r="A69" s="40" t="s">
        <v>3659</v>
      </c>
      <c r="B69" s="8">
        <f t="shared" ref="B69:B132" si="7">$B$2</f>
        <v>46114</v>
      </c>
      <c r="C69" s="8">
        <f t="shared" si="6"/>
        <v>46120</v>
      </c>
      <c r="D69" s="5">
        <v>3208</v>
      </c>
      <c r="E69" s="5">
        <v>320</v>
      </c>
      <c r="F69" s="5">
        <v>1</v>
      </c>
      <c r="G69" s="5">
        <v>1</v>
      </c>
      <c r="H69" s="5">
        <v>81809</v>
      </c>
      <c r="I69" s="5" t="s">
        <v>16</v>
      </c>
      <c r="J69" s="5">
        <v>22706136</v>
      </c>
      <c r="K69" s="5" t="s">
        <v>3583</v>
      </c>
      <c r="L69" s="19" t="s">
        <v>3587</v>
      </c>
      <c r="M69" s="22">
        <v>269900</v>
      </c>
      <c r="N69" s="7">
        <v>0.8</v>
      </c>
      <c r="O69" s="6">
        <f t="shared" si="5"/>
        <v>53980</v>
      </c>
      <c r="P69" s="5" t="s">
        <v>504</v>
      </c>
    </row>
    <row r="70" spans="1:16" x14ac:dyDescent="0.35">
      <c r="A70" s="40" t="s">
        <v>3659</v>
      </c>
      <c r="B70" s="8">
        <f t="shared" si="7"/>
        <v>46114</v>
      </c>
      <c r="C70" s="8">
        <f t="shared" si="6"/>
        <v>46120</v>
      </c>
      <c r="D70" s="5">
        <v>3208</v>
      </c>
      <c r="E70" s="5">
        <v>320</v>
      </c>
      <c r="F70" s="5">
        <v>1</v>
      </c>
      <c r="G70" s="5">
        <v>1</v>
      </c>
      <c r="H70" s="5">
        <v>81809</v>
      </c>
      <c r="I70" s="5" t="s">
        <v>16</v>
      </c>
      <c r="J70" s="5">
        <v>22706225</v>
      </c>
      <c r="K70" s="5" t="s">
        <v>3583</v>
      </c>
      <c r="L70" s="19" t="s">
        <v>3588</v>
      </c>
      <c r="M70" s="22">
        <v>269900</v>
      </c>
      <c r="N70" s="7">
        <v>0.8</v>
      </c>
      <c r="O70" s="6">
        <f t="shared" si="5"/>
        <v>53980</v>
      </c>
      <c r="P70" s="5" t="s">
        <v>504</v>
      </c>
    </row>
    <row r="71" spans="1:16" x14ac:dyDescent="0.35">
      <c r="A71" s="40" t="s">
        <v>3659</v>
      </c>
      <c r="B71" s="8">
        <f t="shared" si="7"/>
        <v>46114</v>
      </c>
      <c r="C71" s="8">
        <f t="shared" si="6"/>
        <v>46120</v>
      </c>
      <c r="D71" s="5">
        <v>3208</v>
      </c>
      <c r="E71" s="5">
        <v>320</v>
      </c>
      <c r="F71" s="5">
        <v>1</v>
      </c>
      <c r="G71" s="5">
        <v>1</v>
      </c>
      <c r="H71" s="5">
        <v>81809</v>
      </c>
      <c r="I71" s="5" t="s">
        <v>16</v>
      </c>
      <c r="J71" s="5">
        <v>22706234</v>
      </c>
      <c r="K71" s="5" t="s">
        <v>3583</v>
      </c>
      <c r="L71" s="19" t="s">
        <v>3589</v>
      </c>
      <c r="M71" s="22">
        <v>269900</v>
      </c>
      <c r="N71" s="7">
        <v>0.8</v>
      </c>
      <c r="O71" s="6">
        <f t="shared" si="5"/>
        <v>53980</v>
      </c>
      <c r="P71" s="5" t="s">
        <v>504</v>
      </c>
    </row>
    <row r="72" spans="1:16" x14ac:dyDescent="0.35">
      <c r="A72" s="40" t="s">
        <v>3659</v>
      </c>
      <c r="B72" s="8">
        <f t="shared" si="7"/>
        <v>46114</v>
      </c>
      <c r="C72" s="8">
        <f t="shared" si="6"/>
        <v>46120</v>
      </c>
      <c r="D72" s="5">
        <v>3208</v>
      </c>
      <c r="E72" s="5">
        <v>320</v>
      </c>
      <c r="F72" s="5">
        <v>1</v>
      </c>
      <c r="G72" s="5">
        <v>1</v>
      </c>
      <c r="H72" s="5">
        <v>81809</v>
      </c>
      <c r="I72" s="5" t="s">
        <v>16</v>
      </c>
      <c r="J72" s="5">
        <v>22706243</v>
      </c>
      <c r="K72" s="5" t="s">
        <v>3583</v>
      </c>
      <c r="L72" s="19" t="s">
        <v>3590</v>
      </c>
      <c r="M72" s="22">
        <v>269900</v>
      </c>
      <c r="N72" s="7">
        <v>0.8</v>
      </c>
      <c r="O72" s="6">
        <f t="shared" si="5"/>
        <v>53980</v>
      </c>
      <c r="P72" s="5" t="s">
        <v>504</v>
      </c>
    </row>
    <row r="73" spans="1:16" x14ac:dyDescent="0.35">
      <c r="A73" s="40" t="s">
        <v>3659</v>
      </c>
      <c r="B73" s="8">
        <f t="shared" si="7"/>
        <v>46114</v>
      </c>
      <c r="C73" s="8">
        <f t="shared" si="6"/>
        <v>46120</v>
      </c>
      <c r="D73" s="5">
        <v>3208</v>
      </c>
      <c r="E73" s="5">
        <v>320</v>
      </c>
      <c r="F73" s="5">
        <v>1</v>
      </c>
      <c r="G73" s="5">
        <v>1</v>
      </c>
      <c r="H73" s="5">
        <v>81809</v>
      </c>
      <c r="I73" s="5" t="s">
        <v>16</v>
      </c>
      <c r="J73" s="5">
        <v>22706252</v>
      </c>
      <c r="K73" s="5" t="s">
        <v>3583</v>
      </c>
      <c r="L73" s="19" t="s">
        <v>3591</v>
      </c>
      <c r="M73" s="22">
        <v>269900</v>
      </c>
      <c r="N73" s="7">
        <v>0.8</v>
      </c>
      <c r="O73" s="6">
        <f t="shared" si="5"/>
        <v>53980</v>
      </c>
      <c r="P73" s="5" t="s">
        <v>504</v>
      </c>
    </row>
    <row r="74" spans="1:16" x14ac:dyDescent="0.35">
      <c r="A74" s="40" t="s">
        <v>3659</v>
      </c>
      <c r="B74" s="8">
        <f t="shared" si="7"/>
        <v>46114</v>
      </c>
      <c r="C74" s="8">
        <f t="shared" si="6"/>
        <v>46120</v>
      </c>
      <c r="D74" s="5">
        <v>3208</v>
      </c>
      <c r="E74" s="5">
        <v>320</v>
      </c>
      <c r="F74" s="5">
        <v>1</v>
      </c>
      <c r="G74" s="5">
        <v>1</v>
      </c>
      <c r="H74" s="5">
        <v>81736</v>
      </c>
      <c r="I74" s="5" t="s">
        <v>16</v>
      </c>
      <c r="J74" s="5">
        <v>20472544</v>
      </c>
      <c r="K74" s="5" t="s">
        <v>3601</v>
      </c>
      <c r="L74" s="19" t="s">
        <v>3602</v>
      </c>
      <c r="M74" s="22">
        <v>249900</v>
      </c>
      <c r="N74" s="7">
        <v>0.8</v>
      </c>
      <c r="O74" s="6">
        <f t="shared" si="5"/>
        <v>49980</v>
      </c>
      <c r="P74" s="5" t="s">
        <v>504</v>
      </c>
    </row>
    <row r="75" spans="1:16" x14ac:dyDescent="0.35">
      <c r="A75" s="40" t="s">
        <v>3659</v>
      </c>
      <c r="B75" s="8">
        <f t="shared" si="7"/>
        <v>46114</v>
      </c>
      <c r="C75" s="8">
        <f t="shared" si="6"/>
        <v>46120</v>
      </c>
      <c r="D75" s="5">
        <v>3208</v>
      </c>
      <c r="E75" s="5">
        <v>320</v>
      </c>
      <c r="F75" s="5">
        <v>1</v>
      </c>
      <c r="G75" s="5">
        <v>1</v>
      </c>
      <c r="H75" s="5">
        <v>81736</v>
      </c>
      <c r="I75" s="5" t="s">
        <v>16</v>
      </c>
      <c r="J75" s="5">
        <v>20472562</v>
      </c>
      <c r="K75" s="5" t="s">
        <v>3601</v>
      </c>
      <c r="L75" s="19" t="s">
        <v>3603</v>
      </c>
      <c r="M75" s="22">
        <v>249900</v>
      </c>
      <c r="N75" s="7">
        <v>0.8</v>
      </c>
      <c r="O75" s="6">
        <f t="shared" si="5"/>
        <v>49980</v>
      </c>
      <c r="P75" s="5" t="s">
        <v>504</v>
      </c>
    </row>
    <row r="76" spans="1:16" x14ac:dyDescent="0.35">
      <c r="A76" s="40" t="s">
        <v>3659</v>
      </c>
      <c r="B76" s="8">
        <f t="shared" si="7"/>
        <v>46114</v>
      </c>
      <c r="C76" s="8">
        <f t="shared" si="6"/>
        <v>46120</v>
      </c>
      <c r="D76" s="5">
        <v>3208</v>
      </c>
      <c r="E76" s="5">
        <v>320</v>
      </c>
      <c r="F76" s="5">
        <v>1</v>
      </c>
      <c r="G76" s="5">
        <v>1</v>
      </c>
      <c r="H76" s="5">
        <v>81736</v>
      </c>
      <c r="I76" s="5" t="s">
        <v>16</v>
      </c>
      <c r="J76" s="5">
        <v>20472615</v>
      </c>
      <c r="K76" s="5" t="s">
        <v>3601</v>
      </c>
      <c r="L76" s="19" t="s">
        <v>3604</v>
      </c>
      <c r="M76" s="22">
        <v>249900</v>
      </c>
      <c r="N76" s="7">
        <v>0.8</v>
      </c>
      <c r="O76" s="6">
        <f t="shared" ref="O76:O139" si="8">M76-(M76*N76)</f>
        <v>49980</v>
      </c>
      <c r="P76" s="5" t="s">
        <v>504</v>
      </c>
    </row>
    <row r="77" spans="1:16" x14ac:dyDescent="0.35">
      <c r="A77" s="40" t="s">
        <v>3659</v>
      </c>
      <c r="B77" s="8">
        <f t="shared" si="7"/>
        <v>46114</v>
      </c>
      <c r="C77" s="8">
        <f t="shared" si="6"/>
        <v>46120</v>
      </c>
      <c r="D77" s="5">
        <v>3208</v>
      </c>
      <c r="E77" s="5">
        <v>320</v>
      </c>
      <c r="F77" s="5">
        <v>1</v>
      </c>
      <c r="G77" s="5">
        <v>1</v>
      </c>
      <c r="H77" s="5">
        <v>81736</v>
      </c>
      <c r="I77" s="5" t="s">
        <v>16</v>
      </c>
      <c r="J77" s="5">
        <v>20472660</v>
      </c>
      <c r="K77" s="5" t="s">
        <v>3601</v>
      </c>
      <c r="L77" s="19" t="s">
        <v>3605</v>
      </c>
      <c r="M77" s="22">
        <v>249900</v>
      </c>
      <c r="N77" s="7">
        <v>0.8</v>
      </c>
      <c r="O77" s="6">
        <f t="shared" si="8"/>
        <v>49980</v>
      </c>
      <c r="P77" s="5" t="s">
        <v>504</v>
      </c>
    </row>
    <row r="78" spans="1:16" x14ac:dyDescent="0.35">
      <c r="A78" s="40" t="s">
        <v>3659</v>
      </c>
      <c r="B78" s="8">
        <f t="shared" si="7"/>
        <v>46114</v>
      </c>
      <c r="C78" s="8">
        <f t="shared" si="6"/>
        <v>46120</v>
      </c>
      <c r="D78" s="5">
        <v>3208</v>
      </c>
      <c r="E78" s="5">
        <v>320</v>
      </c>
      <c r="F78" s="5">
        <v>1</v>
      </c>
      <c r="G78" s="5">
        <v>1</v>
      </c>
      <c r="H78" s="5">
        <v>81736</v>
      </c>
      <c r="I78" s="5" t="s">
        <v>16</v>
      </c>
      <c r="J78" s="5">
        <v>22712290</v>
      </c>
      <c r="K78" s="5" t="s">
        <v>3601</v>
      </c>
      <c r="L78" s="19" t="s">
        <v>3606</v>
      </c>
      <c r="M78" s="22">
        <v>249900</v>
      </c>
      <c r="N78" s="7">
        <v>0.8</v>
      </c>
      <c r="O78" s="6">
        <f t="shared" si="8"/>
        <v>49980</v>
      </c>
      <c r="P78" s="5" t="s">
        <v>504</v>
      </c>
    </row>
    <row r="79" spans="1:16" x14ac:dyDescent="0.35">
      <c r="A79" s="40" t="s">
        <v>3659</v>
      </c>
      <c r="B79" s="8">
        <f t="shared" si="7"/>
        <v>46114</v>
      </c>
      <c r="C79" s="8">
        <f t="shared" si="6"/>
        <v>46120</v>
      </c>
      <c r="D79" s="5">
        <v>3208</v>
      </c>
      <c r="E79" s="5">
        <v>320</v>
      </c>
      <c r="F79" s="5">
        <v>1</v>
      </c>
      <c r="G79" s="5">
        <v>1</v>
      </c>
      <c r="H79" s="5">
        <v>81736</v>
      </c>
      <c r="I79" s="5" t="s">
        <v>16</v>
      </c>
      <c r="J79" s="5">
        <v>22712307</v>
      </c>
      <c r="K79" s="5" t="s">
        <v>3601</v>
      </c>
      <c r="L79" s="19" t="s">
        <v>3607</v>
      </c>
      <c r="M79" s="22">
        <v>249900</v>
      </c>
      <c r="N79" s="7">
        <v>0.8</v>
      </c>
      <c r="O79" s="6">
        <f t="shared" si="8"/>
        <v>49980</v>
      </c>
      <c r="P79" s="5" t="s">
        <v>504</v>
      </c>
    </row>
    <row r="80" spans="1:16" x14ac:dyDescent="0.35">
      <c r="A80" s="40" t="s">
        <v>3659</v>
      </c>
      <c r="B80" s="8">
        <f t="shared" si="7"/>
        <v>46114</v>
      </c>
      <c r="C80" s="8">
        <f t="shared" si="6"/>
        <v>46120</v>
      </c>
      <c r="D80" s="5">
        <v>3208</v>
      </c>
      <c r="E80" s="5">
        <v>320</v>
      </c>
      <c r="F80" s="5">
        <v>1</v>
      </c>
      <c r="G80" s="5">
        <v>1</v>
      </c>
      <c r="H80" s="5">
        <v>81736</v>
      </c>
      <c r="I80" s="5" t="s">
        <v>16</v>
      </c>
      <c r="J80" s="5">
        <v>22712316</v>
      </c>
      <c r="K80" s="5" t="s">
        <v>3601</v>
      </c>
      <c r="L80" s="19" t="s">
        <v>3608</v>
      </c>
      <c r="M80" s="22">
        <v>249900</v>
      </c>
      <c r="N80" s="7">
        <v>0.8</v>
      </c>
      <c r="O80" s="6">
        <f t="shared" si="8"/>
        <v>49980</v>
      </c>
      <c r="P80" s="5" t="s">
        <v>504</v>
      </c>
    </row>
    <row r="81" spans="1:16" x14ac:dyDescent="0.35">
      <c r="A81" s="40" t="s">
        <v>3659</v>
      </c>
      <c r="B81" s="8">
        <f t="shared" si="7"/>
        <v>46114</v>
      </c>
      <c r="C81" s="8">
        <f t="shared" si="6"/>
        <v>46120</v>
      </c>
      <c r="D81" s="5">
        <v>3208</v>
      </c>
      <c r="E81" s="5">
        <v>320</v>
      </c>
      <c r="F81" s="5">
        <v>1</v>
      </c>
      <c r="G81" s="5">
        <v>1</v>
      </c>
      <c r="H81" s="5">
        <v>81736</v>
      </c>
      <c r="I81" s="5" t="s">
        <v>16</v>
      </c>
      <c r="J81" s="5">
        <v>22712352</v>
      </c>
      <c r="K81" s="5" t="s">
        <v>3601</v>
      </c>
      <c r="L81" s="19" t="s">
        <v>3609</v>
      </c>
      <c r="M81" s="22">
        <v>249900</v>
      </c>
      <c r="N81" s="7">
        <v>0.8</v>
      </c>
      <c r="O81" s="6">
        <f t="shared" si="8"/>
        <v>49980</v>
      </c>
      <c r="P81" s="5" t="s">
        <v>504</v>
      </c>
    </row>
    <row r="82" spans="1:16" x14ac:dyDescent="0.35">
      <c r="A82" s="40" t="s">
        <v>3659</v>
      </c>
      <c r="B82" s="8">
        <f t="shared" si="7"/>
        <v>46114</v>
      </c>
      <c r="C82" s="8">
        <f t="shared" si="6"/>
        <v>46120</v>
      </c>
      <c r="D82" s="5">
        <v>3208</v>
      </c>
      <c r="E82" s="5">
        <v>320</v>
      </c>
      <c r="F82" s="5">
        <v>1</v>
      </c>
      <c r="G82" s="5">
        <v>1</v>
      </c>
      <c r="H82" s="5">
        <v>81736</v>
      </c>
      <c r="I82" s="5" t="s">
        <v>16</v>
      </c>
      <c r="J82" s="5">
        <v>22706261</v>
      </c>
      <c r="K82" s="5" t="s">
        <v>3654</v>
      </c>
      <c r="L82" s="19" t="s">
        <v>3655</v>
      </c>
      <c r="M82" s="22">
        <v>199900</v>
      </c>
      <c r="N82" s="7">
        <v>0.8</v>
      </c>
      <c r="O82" s="6">
        <f t="shared" si="8"/>
        <v>39980</v>
      </c>
      <c r="P82" s="5" t="s">
        <v>504</v>
      </c>
    </row>
    <row r="83" spans="1:16" x14ac:dyDescent="0.35">
      <c r="A83" s="40" t="s">
        <v>3659</v>
      </c>
      <c r="B83" s="8">
        <f t="shared" si="7"/>
        <v>46114</v>
      </c>
      <c r="C83" s="8">
        <f t="shared" si="6"/>
        <v>46120</v>
      </c>
      <c r="D83" s="5">
        <v>3208</v>
      </c>
      <c r="E83" s="5">
        <v>320</v>
      </c>
      <c r="F83" s="5">
        <v>1</v>
      </c>
      <c r="G83" s="5">
        <v>1</v>
      </c>
      <c r="H83" s="5">
        <v>81736</v>
      </c>
      <c r="I83" s="5" t="s">
        <v>16</v>
      </c>
      <c r="J83" s="5">
        <v>22706378</v>
      </c>
      <c r="K83" s="5" t="s">
        <v>3654</v>
      </c>
      <c r="L83" s="19" t="s">
        <v>3656</v>
      </c>
      <c r="M83" s="22">
        <v>199900</v>
      </c>
      <c r="N83" s="7">
        <v>0.8</v>
      </c>
      <c r="O83" s="6">
        <f t="shared" si="8"/>
        <v>39980</v>
      </c>
      <c r="P83" s="5" t="s">
        <v>504</v>
      </c>
    </row>
    <row r="84" spans="1:16" x14ac:dyDescent="0.35">
      <c r="A84" s="40" t="s">
        <v>3659</v>
      </c>
      <c r="B84" s="8">
        <f t="shared" si="7"/>
        <v>46114</v>
      </c>
      <c r="C84" s="8">
        <f t="shared" si="6"/>
        <v>46120</v>
      </c>
      <c r="D84" s="5">
        <v>3208</v>
      </c>
      <c r="E84" s="5">
        <v>320</v>
      </c>
      <c r="F84" s="5">
        <v>1</v>
      </c>
      <c r="G84" s="5">
        <v>1</v>
      </c>
      <c r="H84" s="5">
        <v>81736</v>
      </c>
      <c r="I84" s="5" t="s">
        <v>16</v>
      </c>
      <c r="J84" s="5">
        <v>22706387</v>
      </c>
      <c r="K84" s="5" t="s">
        <v>3654</v>
      </c>
      <c r="L84" s="19" t="s">
        <v>3657</v>
      </c>
      <c r="M84" s="22">
        <v>199900</v>
      </c>
      <c r="N84" s="7">
        <v>0.8</v>
      </c>
      <c r="O84" s="6">
        <f t="shared" si="8"/>
        <v>39980</v>
      </c>
      <c r="P84" s="5" t="s">
        <v>504</v>
      </c>
    </row>
    <row r="85" spans="1:16" x14ac:dyDescent="0.35">
      <c r="A85" s="40" t="s">
        <v>3659</v>
      </c>
      <c r="B85" s="8">
        <f t="shared" si="7"/>
        <v>46114</v>
      </c>
      <c r="C85" s="8">
        <f t="shared" si="6"/>
        <v>46120</v>
      </c>
      <c r="D85" s="5">
        <v>3208</v>
      </c>
      <c r="E85" s="5">
        <v>320</v>
      </c>
      <c r="F85" s="5">
        <v>1</v>
      </c>
      <c r="G85" s="5">
        <v>1</v>
      </c>
      <c r="H85" s="5">
        <v>81736</v>
      </c>
      <c r="I85" s="5" t="s">
        <v>16</v>
      </c>
      <c r="J85" s="5">
        <v>22706396</v>
      </c>
      <c r="K85" s="5" t="s">
        <v>3654</v>
      </c>
      <c r="L85" s="19" t="s">
        <v>3658</v>
      </c>
      <c r="M85" s="22">
        <v>199900</v>
      </c>
      <c r="N85" s="7">
        <v>0.8</v>
      </c>
      <c r="O85" s="6">
        <f t="shared" si="8"/>
        <v>39980</v>
      </c>
      <c r="P85" s="5" t="s">
        <v>504</v>
      </c>
    </row>
    <row r="86" spans="1:16" x14ac:dyDescent="0.35">
      <c r="A86" s="40" t="s">
        <v>3659</v>
      </c>
      <c r="B86" s="8">
        <f t="shared" si="7"/>
        <v>46114</v>
      </c>
      <c r="C86" s="8">
        <f t="shared" si="6"/>
        <v>46120</v>
      </c>
      <c r="D86" s="5">
        <v>3208</v>
      </c>
      <c r="E86" s="5">
        <v>320</v>
      </c>
      <c r="F86" s="5">
        <v>1</v>
      </c>
      <c r="G86" s="5">
        <v>2</v>
      </c>
      <c r="H86" s="5">
        <v>80954</v>
      </c>
      <c r="I86" s="5" t="s">
        <v>16</v>
      </c>
      <c r="J86" s="5">
        <v>19918762</v>
      </c>
      <c r="K86" s="5" t="s">
        <v>3249</v>
      </c>
      <c r="L86" s="19" t="s">
        <v>3250</v>
      </c>
      <c r="M86" s="24">
        <v>89900</v>
      </c>
      <c r="N86" s="7">
        <v>0.8</v>
      </c>
      <c r="O86" s="6">
        <f t="shared" si="8"/>
        <v>17980</v>
      </c>
      <c r="P86" s="5" t="s">
        <v>504</v>
      </c>
    </row>
    <row r="87" spans="1:16" x14ac:dyDescent="0.35">
      <c r="A87" s="40" t="s">
        <v>3659</v>
      </c>
      <c r="B87" s="8">
        <f t="shared" si="7"/>
        <v>46114</v>
      </c>
      <c r="C87" s="8">
        <f t="shared" si="6"/>
        <v>46120</v>
      </c>
      <c r="D87" s="5">
        <v>3208</v>
      </c>
      <c r="E87" s="5">
        <v>320</v>
      </c>
      <c r="F87" s="5">
        <v>1</v>
      </c>
      <c r="G87" s="5">
        <v>2</v>
      </c>
      <c r="H87" s="5">
        <v>80954</v>
      </c>
      <c r="I87" s="5" t="s">
        <v>16</v>
      </c>
      <c r="J87" s="5">
        <v>19918771</v>
      </c>
      <c r="K87" s="5" t="s">
        <v>3249</v>
      </c>
      <c r="L87" s="19" t="s">
        <v>3251</v>
      </c>
      <c r="M87" s="24">
        <v>89900</v>
      </c>
      <c r="N87" s="7">
        <v>0.8</v>
      </c>
      <c r="O87" s="6">
        <f t="shared" si="8"/>
        <v>17980</v>
      </c>
      <c r="P87" s="5" t="s">
        <v>504</v>
      </c>
    </row>
    <row r="88" spans="1:16" x14ac:dyDescent="0.35">
      <c r="A88" s="40" t="s">
        <v>3659</v>
      </c>
      <c r="B88" s="8">
        <f t="shared" si="7"/>
        <v>46114</v>
      </c>
      <c r="C88" s="8">
        <f t="shared" si="6"/>
        <v>46120</v>
      </c>
      <c r="D88" s="5">
        <v>3208</v>
      </c>
      <c r="E88" s="5">
        <v>320</v>
      </c>
      <c r="F88" s="5">
        <v>1</v>
      </c>
      <c r="G88" s="5">
        <v>2</v>
      </c>
      <c r="H88" s="5">
        <v>80954</v>
      </c>
      <c r="I88" s="5" t="s">
        <v>16</v>
      </c>
      <c r="J88" s="5">
        <v>19918780</v>
      </c>
      <c r="K88" s="5" t="s">
        <v>3249</v>
      </c>
      <c r="L88" s="19" t="s">
        <v>3252</v>
      </c>
      <c r="M88" s="24">
        <v>89900</v>
      </c>
      <c r="N88" s="7">
        <v>0.8</v>
      </c>
      <c r="O88" s="6">
        <f t="shared" si="8"/>
        <v>17980</v>
      </c>
      <c r="P88" s="5" t="s">
        <v>504</v>
      </c>
    </row>
    <row r="89" spans="1:16" x14ac:dyDescent="0.35">
      <c r="A89" s="40" t="s">
        <v>3659</v>
      </c>
      <c r="B89" s="8">
        <f t="shared" si="7"/>
        <v>46114</v>
      </c>
      <c r="C89" s="8">
        <f t="shared" si="6"/>
        <v>46120</v>
      </c>
      <c r="D89" s="5">
        <v>3208</v>
      </c>
      <c r="E89" s="5">
        <v>320</v>
      </c>
      <c r="F89" s="5">
        <v>1</v>
      </c>
      <c r="G89" s="5">
        <v>2</v>
      </c>
      <c r="H89" s="5">
        <v>80954</v>
      </c>
      <c r="I89" s="5" t="s">
        <v>16</v>
      </c>
      <c r="J89" s="5">
        <v>19918799</v>
      </c>
      <c r="K89" s="5" t="s">
        <v>3249</v>
      </c>
      <c r="L89" s="19" t="s">
        <v>3253</v>
      </c>
      <c r="M89" s="24">
        <v>89900</v>
      </c>
      <c r="N89" s="7">
        <v>0.8</v>
      </c>
      <c r="O89" s="6">
        <f t="shared" si="8"/>
        <v>17980</v>
      </c>
      <c r="P89" s="5" t="s">
        <v>504</v>
      </c>
    </row>
    <row r="90" spans="1:16" x14ac:dyDescent="0.35">
      <c r="A90" s="40" t="s">
        <v>3659</v>
      </c>
      <c r="B90" s="8">
        <f t="shared" si="7"/>
        <v>46114</v>
      </c>
      <c r="C90" s="8">
        <f t="shared" si="6"/>
        <v>46120</v>
      </c>
      <c r="D90" s="5">
        <v>3208</v>
      </c>
      <c r="E90" s="5">
        <v>320</v>
      </c>
      <c r="F90" s="5">
        <v>1</v>
      </c>
      <c r="G90" s="5">
        <v>2</v>
      </c>
      <c r="H90" s="5">
        <v>80954</v>
      </c>
      <c r="I90" s="5" t="s">
        <v>16</v>
      </c>
      <c r="J90" s="5">
        <v>19918806</v>
      </c>
      <c r="K90" s="5" t="s">
        <v>3254</v>
      </c>
      <c r="L90" s="19" t="s">
        <v>3255</v>
      </c>
      <c r="M90" s="24">
        <v>89900</v>
      </c>
      <c r="N90" s="7">
        <v>0.8</v>
      </c>
      <c r="O90" s="6">
        <f t="shared" si="8"/>
        <v>17980</v>
      </c>
      <c r="P90" s="5" t="s">
        <v>504</v>
      </c>
    </row>
    <row r="91" spans="1:16" x14ac:dyDescent="0.35">
      <c r="A91" s="40" t="s">
        <v>3659</v>
      </c>
      <c r="B91" s="8">
        <f t="shared" si="7"/>
        <v>46114</v>
      </c>
      <c r="C91" s="8">
        <f t="shared" si="6"/>
        <v>46120</v>
      </c>
      <c r="D91" s="5">
        <v>3208</v>
      </c>
      <c r="E91" s="5">
        <v>320</v>
      </c>
      <c r="F91" s="5">
        <v>1</v>
      </c>
      <c r="G91" s="5">
        <v>2</v>
      </c>
      <c r="H91" s="5">
        <v>80954</v>
      </c>
      <c r="I91" s="5" t="s">
        <v>16</v>
      </c>
      <c r="J91" s="5">
        <v>19918815</v>
      </c>
      <c r="K91" s="5" t="s">
        <v>3254</v>
      </c>
      <c r="L91" s="19" t="s">
        <v>3256</v>
      </c>
      <c r="M91" s="24">
        <v>89900</v>
      </c>
      <c r="N91" s="7">
        <v>0.8</v>
      </c>
      <c r="O91" s="6">
        <f t="shared" si="8"/>
        <v>17980</v>
      </c>
      <c r="P91" s="5" t="s">
        <v>504</v>
      </c>
    </row>
    <row r="92" spans="1:16" x14ac:dyDescent="0.35">
      <c r="A92" s="40" t="s">
        <v>3659</v>
      </c>
      <c r="B92" s="8">
        <f t="shared" si="7"/>
        <v>46114</v>
      </c>
      <c r="C92" s="8">
        <f t="shared" si="6"/>
        <v>46120</v>
      </c>
      <c r="D92" s="5">
        <v>3208</v>
      </c>
      <c r="E92" s="5">
        <v>320</v>
      </c>
      <c r="F92" s="5">
        <v>1</v>
      </c>
      <c r="G92" s="5">
        <v>2</v>
      </c>
      <c r="H92" s="5">
        <v>80954</v>
      </c>
      <c r="I92" s="5" t="s">
        <v>16</v>
      </c>
      <c r="J92" s="5">
        <v>19918824</v>
      </c>
      <c r="K92" s="5" t="s">
        <v>3254</v>
      </c>
      <c r="L92" s="19" t="s">
        <v>3257</v>
      </c>
      <c r="M92" s="24">
        <v>89900</v>
      </c>
      <c r="N92" s="7">
        <v>0.8</v>
      </c>
      <c r="O92" s="6">
        <f t="shared" si="8"/>
        <v>17980</v>
      </c>
      <c r="P92" s="5" t="s">
        <v>504</v>
      </c>
    </row>
    <row r="93" spans="1:16" x14ac:dyDescent="0.35">
      <c r="A93" s="40" t="s">
        <v>3659</v>
      </c>
      <c r="B93" s="8">
        <f t="shared" si="7"/>
        <v>46114</v>
      </c>
      <c r="C93" s="8">
        <f t="shared" si="6"/>
        <v>46120</v>
      </c>
      <c r="D93" s="5">
        <v>3208</v>
      </c>
      <c r="E93" s="5">
        <v>320</v>
      </c>
      <c r="F93" s="5">
        <v>1</v>
      </c>
      <c r="G93" s="5">
        <v>2</v>
      </c>
      <c r="H93" s="5">
        <v>80954</v>
      </c>
      <c r="I93" s="5" t="s">
        <v>16</v>
      </c>
      <c r="J93" s="5">
        <v>19918833</v>
      </c>
      <c r="K93" s="5" t="s">
        <v>3254</v>
      </c>
      <c r="L93" s="19" t="s">
        <v>3258</v>
      </c>
      <c r="M93" s="24">
        <v>89900</v>
      </c>
      <c r="N93" s="7">
        <v>0.8</v>
      </c>
      <c r="O93" s="6">
        <f t="shared" si="8"/>
        <v>17980</v>
      </c>
      <c r="P93" s="5" t="s">
        <v>504</v>
      </c>
    </row>
    <row r="94" spans="1:16" x14ac:dyDescent="0.35">
      <c r="A94" s="40" t="s">
        <v>3659</v>
      </c>
      <c r="B94" s="8">
        <f t="shared" si="7"/>
        <v>46114</v>
      </c>
      <c r="C94" s="8">
        <f t="shared" si="6"/>
        <v>46120</v>
      </c>
      <c r="D94" s="5">
        <v>3208</v>
      </c>
      <c r="E94" s="5">
        <v>320</v>
      </c>
      <c r="F94" s="5">
        <v>1</v>
      </c>
      <c r="G94" s="5">
        <v>2</v>
      </c>
      <c r="H94" s="5">
        <v>80954</v>
      </c>
      <c r="I94" s="5" t="s">
        <v>16</v>
      </c>
      <c r="J94" s="5">
        <v>19918931</v>
      </c>
      <c r="K94" s="5" t="s">
        <v>3259</v>
      </c>
      <c r="L94" s="19" t="s">
        <v>3260</v>
      </c>
      <c r="M94" s="24">
        <v>89900</v>
      </c>
      <c r="N94" s="7">
        <v>0.8</v>
      </c>
      <c r="O94" s="6">
        <f t="shared" si="8"/>
        <v>17980</v>
      </c>
      <c r="P94" s="5" t="s">
        <v>504</v>
      </c>
    </row>
    <row r="95" spans="1:16" x14ac:dyDescent="0.35">
      <c r="A95" s="40" t="s">
        <v>3659</v>
      </c>
      <c r="B95" s="8">
        <f t="shared" si="7"/>
        <v>46114</v>
      </c>
      <c r="C95" s="8">
        <f t="shared" si="6"/>
        <v>46120</v>
      </c>
      <c r="D95" s="5">
        <v>3208</v>
      </c>
      <c r="E95" s="5">
        <v>320</v>
      </c>
      <c r="F95" s="5">
        <v>1</v>
      </c>
      <c r="G95" s="5">
        <v>2</v>
      </c>
      <c r="H95" s="5">
        <v>80954</v>
      </c>
      <c r="I95" s="5" t="s">
        <v>16</v>
      </c>
      <c r="J95" s="5">
        <v>19918940</v>
      </c>
      <c r="K95" s="5" t="s">
        <v>3259</v>
      </c>
      <c r="L95" s="19" t="s">
        <v>3261</v>
      </c>
      <c r="M95" s="24">
        <v>89900</v>
      </c>
      <c r="N95" s="7">
        <v>0.8</v>
      </c>
      <c r="O95" s="6">
        <f t="shared" si="8"/>
        <v>17980</v>
      </c>
      <c r="P95" s="5" t="s">
        <v>504</v>
      </c>
    </row>
    <row r="96" spans="1:16" x14ac:dyDescent="0.35">
      <c r="A96" s="40" t="s">
        <v>3659</v>
      </c>
      <c r="B96" s="8">
        <f t="shared" si="7"/>
        <v>46114</v>
      </c>
      <c r="C96" s="8">
        <f t="shared" si="6"/>
        <v>46120</v>
      </c>
      <c r="D96" s="5">
        <v>3208</v>
      </c>
      <c r="E96" s="5">
        <v>320</v>
      </c>
      <c r="F96" s="5">
        <v>1</v>
      </c>
      <c r="G96" s="5">
        <v>2</v>
      </c>
      <c r="H96" s="5">
        <v>80954</v>
      </c>
      <c r="I96" s="5" t="s">
        <v>16</v>
      </c>
      <c r="J96" s="5">
        <v>19918959</v>
      </c>
      <c r="K96" s="5" t="s">
        <v>3259</v>
      </c>
      <c r="L96" s="19" t="s">
        <v>3262</v>
      </c>
      <c r="M96" s="24">
        <v>89900</v>
      </c>
      <c r="N96" s="7">
        <v>0.8</v>
      </c>
      <c r="O96" s="6">
        <f t="shared" si="8"/>
        <v>17980</v>
      </c>
      <c r="P96" s="5" t="s">
        <v>504</v>
      </c>
    </row>
    <row r="97" spans="1:16" x14ac:dyDescent="0.35">
      <c r="A97" s="40" t="s">
        <v>3659</v>
      </c>
      <c r="B97" s="8">
        <f t="shared" si="7"/>
        <v>46114</v>
      </c>
      <c r="C97" s="8">
        <f t="shared" si="6"/>
        <v>46120</v>
      </c>
      <c r="D97" s="5">
        <v>3208</v>
      </c>
      <c r="E97" s="5">
        <v>320</v>
      </c>
      <c r="F97" s="5">
        <v>1</v>
      </c>
      <c r="G97" s="5">
        <v>2</v>
      </c>
      <c r="H97" s="5">
        <v>80954</v>
      </c>
      <c r="I97" s="5" t="s">
        <v>16</v>
      </c>
      <c r="J97" s="5">
        <v>19918968</v>
      </c>
      <c r="K97" s="5" t="s">
        <v>3259</v>
      </c>
      <c r="L97" s="19" t="s">
        <v>3263</v>
      </c>
      <c r="M97" s="24">
        <v>89900</v>
      </c>
      <c r="N97" s="7">
        <v>0.8</v>
      </c>
      <c r="O97" s="6">
        <f t="shared" si="8"/>
        <v>17980</v>
      </c>
      <c r="P97" s="5" t="s">
        <v>504</v>
      </c>
    </row>
    <row r="98" spans="1:16" x14ac:dyDescent="0.35">
      <c r="A98" s="40" t="s">
        <v>3659</v>
      </c>
      <c r="B98" s="8">
        <f t="shared" si="7"/>
        <v>46114</v>
      </c>
      <c r="C98" s="8">
        <f t="shared" si="6"/>
        <v>46120</v>
      </c>
      <c r="D98" s="5">
        <v>3208</v>
      </c>
      <c r="E98" s="5">
        <v>320</v>
      </c>
      <c r="F98" s="5">
        <v>1</v>
      </c>
      <c r="G98" s="5">
        <v>2</v>
      </c>
      <c r="H98" s="5">
        <v>80954</v>
      </c>
      <c r="I98" s="5" t="s">
        <v>16</v>
      </c>
      <c r="J98" s="5">
        <v>19918977</v>
      </c>
      <c r="K98" s="5" t="s">
        <v>3264</v>
      </c>
      <c r="L98" s="19" t="s">
        <v>3265</v>
      </c>
      <c r="M98" s="24">
        <v>89900</v>
      </c>
      <c r="N98" s="7">
        <v>0.8</v>
      </c>
      <c r="O98" s="6">
        <f t="shared" si="8"/>
        <v>17980</v>
      </c>
      <c r="P98" s="5" t="s">
        <v>504</v>
      </c>
    </row>
    <row r="99" spans="1:16" x14ac:dyDescent="0.35">
      <c r="A99" s="40" t="s">
        <v>3659</v>
      </c>
      <c r="B99" s="8">
        <f t="shared" si="7"/>
        <v>46114</v>
      </c>
      <c r="C99" s="8">
        <f t="shared" si="6"/>
        <v>46120</v>
      </c>
      <c r="D99" s="5">
        <v>3208</v>
      </c>
      <c r="E99" s="5">
        <v>320</v>
      </c>
      <c r="F99" s="5">
        <v>1</v>
      </c>
      <c r="G99" s="5">
        <v>2</v>
      </c>
      <c r="H99" s="5">
        <v>80954</v>
      </c>
      <c r="I99" s="5" t="s">
        <v>16</v>
      </c>
      <c r="J99" s="5">
        <v>19918986</v>
      </c>
      <c r="K99" s="5" t="s">
        <v>3264</v>
      </c>
      <c r="L99" s="19" t="s">
        <v>3266</v>
      </c>
      <c r="M99" s="24">
        <v>89900</v>
      </c>
      <c r="N99" s="7">
        <v>0.8</v>
      </c>
      <c r="O99" s="6">
        <f t="shared" si="8"/>
        <v>17980</v>
      </c>
      <c r="P99" s="5" t="s">
        <v>504</v>
      </c>
    </row>
    <row r="100" spans="1:16" x14ac:dyDescent="0.35">
      <c r="A100" s="40" t="s">
        <v>3659</v>
      </c>
      <c r="B100" s="8">
        <f t="shared" si="7"/>
        <v>46114</v>
      </c>
      <c r="C100" s="8">
        <f t="shared" si="6"/>
        <v>46120</v>
      </c>
      <c r="D100" s="5">
        <v>3208</v>
      </c>
      <c r="E100" s="5">
        <v>320</v>
      </c>
      <c r="F100" s="5">
        <v>1</v>
      </c>
      <c r="G100" s="5">
        <v>2</v>
      </c>
      <c r="H100" s="5">
        <v>80954</v>
      </c>
      <c r="I100" s="5" t="s">
        <v>16</v>
      </c>
      <c r="J100" s="5">
        <v>19918995</v>
      </c>
      <c r="K100" s="5" t="s">
        <v>3264</v>
      </c>
      <c r="L100" s="19" t="s">
        <v>3267</v>
      </c>
      <c r="M100" s="24">
        <v>89900</v>
      </c>
      <c r="N100" s="7">
        <v>0.8</v>
      </c>
      <c r="O100" s="6">
        <f t="shared" si="8"/>
        <v>17980</v>
      </c>
      <c r="P100" s="5" t="s">
        <v>504</v>
      </c>
    </row>
    <row r="101" spans="1:16" x14ac:dyDescent="0.35">
      <c r="A101" s="40" t="s">
        <v>3659</v>
      </c>
      <c r="B101" s="8">
        <f t="shared" si="7"/>
        <v>46114</v>
      </c>
      <c r="C101" s="8">
        <f t="shared" si="6"/>
        <v>46120</v>
      </c>
      <c r="D101" s="5">
        <v>3208</v>
      </c>
      <c r="E101" s="5">
        <v>320</v>
      </c>
      <c r="F101" s="5">
        <v>1</v>
      </c>
      <c r="G101" s="5">
        <v>2</v>
      </c>
      <c r="H101" s="5">
        <v>80954</v>
      </c>
      <c r="I101" s="5" t="s">
        <v>16</v>
      </c>
      <c r="J101" s="5">
        <v>19919010</v>
      </c>
      <c r="K101" s="5" t="s">
        <v>3264</v>
      </c>
      <c r="L101" s="19" t="s">
        <v>3268</v>
      </c>
      <c r="M101" s="24">
        <v>89900</v>
      </c>
      <c r="N101" s="7">
        <v>0.8</v>
      </c>
      <c r="O101" s="6">
        <f t="shared" si="8"/>
        <v>17980</v>
      </c>
      <c r="P101" s="5" t="s">
        <v>504</v>
      </c>
    </row>
    <row r="102" spans="1:16" x14ac:dyDescent="0.35">
      <c r="A102" s="40" t="s">
        <v>3659</v>
      </c>
      <c r="B102" s="8">
        <f t="shared" si="7"/>
        <v>46114</v>
      </c>
      <c r="C102" s="8">
        <f t="shared" si="6"/>
        <v>46120</v>
      </c>
      <c r="D102" s="5">
        <v>3208</v>
      </c>
      <c r="E102" s="5">
        <v>320</v>
      </c>
      <c r="F102" s="5">
        <v>1</v>
      </c>
      <c r="G102" s="5">
        <v>2</v>
      </c>
      <c r="H102" s="5">
        <v>80954</v>
      </c>
      <c r="I102" s="5" t="s">
        <v>16</v>
      </c>
      <c r="J102" s="5">
        <v>19919029</v>
      </c>
      <c r="K102" s="5" t="s">
        <v>3269</v>
      </c>
      <c r="L102" s="19" t="s">
        <v>3270</v>
      </c>
      <c r="M102" s="24">
        <v>89900</v>
      </c>
      <c r="N102" s="7">
        <v>0.8</v>
      </c>
      <c r="O102" s="6">
        <f t="shared" si="8"/>
        <v>17980</v>
      </c>
      <c r="P102" s="5" t="s">
        <v>504</v>
      </c>
    </row>
    <row r="103" spans="1:16" x14ac:dyDescent="0.35">
      <c r="A103" s="40" t="s">
        <v>3659</v>
      </c>
      <c r="B103" s="8">
        <f t="shared" si="7"/>
        <v>46114</v>
      </c>
      <c r="C103" s="8">
        <f t="shared" si="6"/>
        <v>46120</v>
      </c>
      <c r="D103" s="5">
        <v>3208</v>
      </c>
      <c r="E103" s="5">
        <v>320</v>
      </c>
      <c r="F103" s="5">
        <v>1</v>
      </c>
      <c r="G103" s="5">
        <v>2</v>
      </c>
      <c r="H103" s="5">
        <v>80954</v>
      </c>
      <c r="I103" s="5" t="s">
        <v>16</v>
      </c>
      <c r="J103" s="5">
        <v>19919038</v>
      </c>
      <c r="K103" s="5" t="s">
        <v>3269</v>
      </c>
      <c r="L103" s="19" t="s">
        <v>3271</v>
      </c>
      <c r="M103" s="24">
        <v>89900</v>
      </c>
      <c r="N103" s="7">
        <v>0.8</v>
      </c>
      <c r="O103" s="6">
        <f t="shared" si="8"/>
        <v>17980</v>
      </c>
      <c r="P103" s="5" t="s">
        <v>504</v>
      </c>
    </row>
    <row r="104" spans="1:16" x14ac:dyDescent="0.35">
      <c r="A104" s="40" t="s">
        <v>3659</v>
      </c>
      <c r="B104" s="8">
        <f t="shared" si="7"/>
        <v>46114</v>
      </c>
      <c r="C104" s="8">
        <f t="shared" si="6"/>
        <v>46120</v>
      </c>
      <c r="D104" s="5">
        <v>3208</v>
      </c>
      <c r="E104" s="5">
        <v>320</v>
      </c>
      <c r="F104" s="5">
        <v>1</v>
      </c>
      <c r="G104" s="5">
        <v>2</v>
      </c>
      <c r="H104" s="5">
        <v>80954</v>
      </c>
      <c r="I104" s="5" t="s">
        <v>16</v>
      </c>
      <c r="J104" s="5">
        <v>19919047</v>
      </c>
      <c r="K104" s="5" t="s">
        <v>3269</v>
      </c>
      <c r="L104" s="19" t="s">
        <v>3272</v>
      </c>
      <c r="M104" s="24">
        <v>89900</v>
      </c>
      <c r="N104" s="7">
        <v>0.8</v>
      </c>
      <c r="O104" s="6">
        <f t="shared" si="8"/>
        <v>17980</v>
      </c>
      <c r="P104" s="5" t="s">
        <v>504</v>
      </c>
    </row>
    <row r="105" spans="1:16" x14ac:dyDescent="0.35">
      <c r="A105" s="40" t="s">
        <v>3659</v>
      </c>
      <c r="B105" s="8">
        <f t="shared" si="7"/>
        <v>46114</v>
      </c>
      <c r="C105" s="8">
        <f t="shared" si="6"/>
        <v>46120</v>
      </c>
      <c r="D105" s="5">
        <v>3208</v>
      </c>
      <c r="E105" s="5">
        <v>320</v>
      </c>
      <c r="F105" s="5">
        <v>1</v>
      </c>
      <c r="G105" s="5">
        <v>2</v>
      </c>
      <c r="H105" s="5">
        <v>80954</v>
      </c>
      <c r="I105" s="5" t="s">
        <v>16</v>
      </c>
      <c r="J105" s="5">
        <v>19919056</v>
      </c>
      <c r="K105" s="5" t="s">
        <v>3269</v>
      </c>
      <c r="L105" s="19" t="s">
        <v>3273</v>
      </c>
      <c r="M105" s="24">
        <v>89900</v>
      </c>
      <c r="N105" s="7">
        <v>0.8</v>
      </c>
      <c r="O105" s="6">
        <f t="shared" si="8"/>
        <v>17980</v>
      </c>
      <c r="P105" s="5" t="s">
        <v>504</v>
      </c>
    </row>
    <row r="106" spans="1:16" x14ac:dyDescent="0.35">
      <c r="A106" s="40" t="s">
        <v>3659</v>
      </c>
      <c r="B106" s="8">
        <f t="shared" si="7"/>
        <v>46114</v>
      </c>
      <c r="C106" s="8">
        <f t="shared" si="6"/>
        <v>46120</v>
      </c>
      <c r="D106" s="5">
        <v>3208</v>
      </c>
      <c r="E106" s="5">
        <v>320</v>
      </c>
      <c r="F106" s="5">
        <v>1</v>
      </c>
      <c r="G106" s="5">
        <v>2</v>
      </c>
      <c r="H106" s="5">
        <v>80954</v>
      </c>
      <c r="I106" s="5" t="s">
        <v>16</v>
      </c>
      <c r="J106" s="5">
        <v>20472795</v>
      </c>
      <c r="K106" s="5" t="s">
        <v>3546</v>
      </c>
      <c r="L106" s="19" t="s">
        <v>3547</v>
      </c>
      <c r="M106" s="24">
        <v>89900</v>
      </c>
      <c r="N106" s="7">
        <v>0.8</v>
      </c>
      <c r="O106" s="6">
        <f t="shared" si="8"/>
        <v>17980</v>
      </c>
      <c r="P106" s="5" t="s">
        <v>504</v>
      </c>
    </row>
    <row r="107" spans="1:16" x14ac:dyDescent="0.35">
      <c r="A107" s="40" t="s">
        <v>3659</v>
      </c>
      <c r="B107" s="8">
        <f t="shared" si="7"/>
        <v>46114</v>
      </c>
      <c r="C107" s="8">
        <f t="shared" si="6"/>
        <v>46120</v>
      </c>
      <c r="D107" s="5">
        <v>3208</v>
      </c>
      <c r="E107" s="5">
        <v>320</v>
      </c>
      <c r="F107" s="5">
        <v>1</v>
      </c>
      <c r="G107" s="5">
        <v>2</v>
      </c>
      <c r="H107" s="5">
        <v>80954</v>
      </c>
      <c r="I107" s="5" t="s">
        <v>16</v>
      </c>
      <c r="J107" s="5">
        <v>20472802</v>
      </c>
      <c r="K107" s="5" t="s">
        <v>3546</v>
      </c>
      <c r="L107" s="19" t="s">
        <v>3548</v>
      </c>
      <c r="M107" s="24">
        <v>89900</v>
      </c>
      <c r="N107" s="7">
        <v>0.8</v>
      </c>
      <c r="O107" s="6">
        <f t="shared" si="8"/>
        <v>17980</v>
      </c>
      <c r="P107" s="5" t="s">
        <v>504</v>
      </c>
    </row>
    <row r="108" spans="1:16" x14ac:dyDescent="0.35">
      <c r="A108" s="40" t="s">
        <v>3659</v>
      </c>
      <c r="B108" s="8">
        <f t="shared" si="7"/>
        <v>46114</v>
      </c>
      <c r="C108" s="8">
        <f t="shared" si="6"/>
        <v>46120</v>
      </c>
      <c r="D108" s="5">
        <v>3208</v>
      </c>
      <c r="E108" s="5">
        <v>320</v>
      </c>
      <c r="F108" s="5">
        <v>1</v>
      </c>
      <c r="G108" s="5">
        <v>2</v>
      </c>
      <c r="H108" s="5">
        <v>80954</v>
      </c>
      <c r="I108" s="5" t="s">
        <v>16</v>
      </c>
      <c r="J108" s="5">
        <v>20472811</v>
      </c>
      <c r="K108" s="5" t="s">
        <v>3546</v>
      </c>
      <c r="L108" s="19" t="s">
        <v>3549</v>
      </c>
      <c r="M108" s="24">
        <v>89900</v>
      </c>
      <c r="N108" s="7">
        <v>0.8</v>
      </c>
      <c r="O108" s="6">
        <f t="shared" si="8"/>
        <v>17980</v>
      </c>
      <c r="P108" s="5" t="s">
        <v>504</v>
      </c>
    </row>
    <row r="109" spans="1:16" x14ac:dyDescent="0.35">
      <c r="A109" s="40" t="s">
        <v>3659</v>
      </c>
      <c r="B109" s="8">
        <f t="shared" si="7"/>
        <v>46114</v>
      </c>
      <c r="C109" s="8">
        <f t="shared" si="6"/>
        <v>46120</v>
      </c>
      <c r="D109" s="5">
        <v>3208</v>
      </c>
      <c r="E109" s="5">
        <v>320</v>
      </c>
      <c r="F109" s="5">
        <v>1</v>
      </c>
      <c r="G109" s="5">
        <v>2</v>
      </c>
      <c r="H109" s="5">
        <v>80954</v>
      </c>
      <c r="I109" s="5" t="s">
        <v>16</v>
      </c>
      <c r="J109" s="5">
        <v>20472820</v>
      </c>
      <c r="K109" s="5" t="s">
        <v>3546</v>
      </c>
      <c r="L109" s="19" t="s">
        <v>3550</v>
      </c>
      <c r="M109" s="24">
        <v>89900</v>
      </c>
      <c r="N109" s="7">
        <v>0.8</v>
      </c>
      <c r="O109" s="6">
        <f t="shared" si="8"/>
        <v>17980</v>
      </c>
      <c r="P109" s="5" t="s">
        <v>504</v>
      </c>
    </row>
    <row r="110" spans="1:16" x14ac:dyDescent="0.35">
      <c r="A110" s="40" t="s">
        <v>3659</v>
      </c>
      <c r="B110" s="8">
        <f t="shared" si="7"/>
        <v>46114</v>
      </c>
      <c r="C110" s="8">
        <f t="shared" si="6"/>
        <v>46120</v>
      </c>
      <c r="D110" s="5">
        <v>3208</v>
      </c>
      <c r="E110" s="5">
        <v>320</v>
      </c>
      <c r="F110" s="5">
        <v>1</v>
      </c>
      <c r="G110" s="5">
        <v>2</v>
      </c>
      <c r="H110" s="5">
        <v>80954</v>
      </c>
      <c r="I110" s="5" t="s">
        <v>16</v>
      </c>
      <c r="J110" s="5">
        <v>20473632</v>
      </c>
      <c r="K110" s="5" t="s">
        <v>3551</v>
      </c>
      <c r="L110" s="19" t="s">
        <v>3552</v>
      </c>
      <c r="M110" s="24">
        <v>89900</v>
      </c>
      <c r="N110" s="7">
        <v>0.8</v>
      </c>
      <c r="O110" s="6">
        <f t="shared" si="8"/>
        <v>17980</v>
      </c>
      <c r="P110" s="5" t="s">
        <v>504</v>
      </c>
    </row>
    <row r="111" spans="1:16" x14ac:dyDescent="0.35">
      <c r="A111" s="40" t="s">
        <v>3659</v>
      </c>
      <c r="B111" s="8">
        <f t="shared" si="7"/>
        <v>46114</v>
      </c>
      <c r="C111" s="8">
        <f t="shared" si="6"/>
        <v>46120</v>
      </c>
      <c r="D111" s="5">
        <v>3208</v>
      </c>
      <c r="E111" s="5">
        <v>320</v>
      </c>
      <c r="F111" s="5">
        <v>1</v>
      </c>
      <c r="G111" s="5">
        <v>2</v>
      </c>
      <c r="H111" s="5">
        <v>80954</v>
      </c>
      <c r="I111" s="5" t="s">
        <v>16</v>
      </c>
      <c r="J111" s="5">
        <v>20473641</v>
      </c>
      <c r="K111" s="5" t="s">
        <v>3551</v>
      </c>
      <c r="L111" s="19" t="s">
        <v>3553</v>
      </c>
      <c r="M111" s="24">
        <v>89900</v>
      </c>
      <c r="N111" s="7">
        <v>0.8</v>
      </c>
      <c r="O111" s="6">
        <f t="shared" si="8"/>
        <v>17980</v>
      </c>
      <c r="P111" s="5" t="s">
        <v>504</v>
      </c>
    </row>
    <row r="112" spans="1:16" x14ac:dyDescent="0.35">
      <c r="A112" s="40" t="s">
        <v>3659</v>
      </c>
      <c r="B112" s="8">
        <f t="shared" si="7"/>
        <v>46114</v>
      </c>
      <c r="C112" s="8">
        <f t="shared" si="6"/>
        <v>46120</v>
      </c>
      <c r="D112" s="5">
        <v>3208</v>
      </c>
      <c r="E112" s="5">
        <v>320</v>
      </c>
      <c r="F112" s="5">
        <v>1</v>
      </c>
      <c r="G112" s="5">
        <v>2</v>
      </c>
      <c r="H112" s="5">
        <v>80954</v>
      </c>
      <c r="I112" s="5" t="s">
        <v>16</v>
      </c>
      <c r="J112" s="5">
        <v>20473669</v>
      </c>
      <c r="K112" s="5" t="s">
        <v>3551</v>
      </c>
      <c r="L112" s="19" t="s">
        <v>3554</v>
      </c>
      <c r="M112" s="24">
        <v>89900</v>
      </c>
      <c r="N112" s="7">
        <v>0.8</v>
      </c>
      <c r="O112" s="6">
        <f t="shared" si="8"/>
        <v>17980</v>
      </c>
      <c r="P112" s="5" t="s">
        <v>504</v>
      </c>
    </row>
    <row r="113" spans="1:16" x14ac:dyDescent="0.35">
      <c r="A113" s="40" t="s">
        <v>3659</v>
      </c>
      <c r="B113" s="8">
        <f t="shared" si="7"/>
        <v>46114</v>
      </c>
      <c r="C113" s="8">
        <f t="shared" si="6"/>
        <v>46120</v>
      </c>
      <c r="D113" s="5">
        <v>3208</v>
      </c>
      <c r="E113" s="5">
        <v>320</v>
      </c>
      <c r="F113" s="5">
        <v>1</v>
      </c>
      <c r="G113" s="5">
        <v>2</v>
      </c>
      <c r="H113" s="5">
        <v>80954</v>
      </c>
      <c r="I113" s="5" t="s">
        <v>16</v>
      </c>
      <c r="J113" s="5">
        <v>20473678</v>
      </c>
      <c r="K113" s="5" t="s">
        <v>3551</v>
      </c>
      <c r="L113" s="19" t="s">
        <v>3555</v>
      </c>
      <c r="M113" s="24">
        <v>89900</v>
      </c>
      <c r="N113" s="7">
        <v>0.8</v>
      </c>
      <c r="O113" s="6">
        <f t="shared" si="8"/>
        <v>17980</v>
      </c>
      <c r="P113" s="5" t="s">
        <v>504</v>
      </c>
    </row>
    <row r="114" spans="1:16" x14ac:dyDescent="0.35">
      <c r="A114" s="40" t="s">
        <v>3659</v>
      </c>
      <c r="B114" s="8">
        <f t="shared" si="7"/>
        <v>46114</v>
      </c>
      <c r="C114" s="8">
        <f t="shared" si="6"/>
        <v>46120</v>
      </c>
      <c r="D114" s="5">
        <v>3208</v>
      </c>
      <c r="E114" s="5">
        <v>320</v>
      </c>
      <c r="F114" s="5">
        <v>1</v>
      </c>
      <c r="G114" s="5">
        <v>2</v>
      </c>
      <c r="H114" s="5">
        <v>80954</v>
      </c>
      <c r="I114" s="5" t="s">
        <v>16</v>
      </c>
      <c r="J114" s="5">
        <v>20473687</v>
      </c>
      <c r="K114" s="5" t="s">
        <v>3556</v>
      </c>
      <c r="L114" s="19" t="s">
        <v>3557</v>
      </c>
      <c r="M114" s="24">
        <v>89900</v>
      </c>
      <c r="N114" s="7">
        <v>0.8</v>
      </c>
      <c r="O114" s="6">
        <f t="shared" si="8"/>
        <v>17980</v>
      </c>
      <c r="P114" s="5" t="s">
        <v>504</v>
      </c>
    </row>
    <row r="115" spans="1:16" x14ac:dyDescent="0.35">
      <c r="A115" s="40" t="s">
        <v>3659</v>
      </c>
      <c r="B115" s="8">
        <f t="shared" si="7"/>
        <v>46114</v>
      </c>
      <c r="C115" s="8">
        <f t="shared" si="6"/>
        <v>46120</v>
      </c>
      <c r="D115" s="5">
        <v>3208</v>
      </c>
      <c r="E115" s="5">
        <v>320</v>
      </c>
      <c r="F115" s="5">
        <v>1</v>
      </c>
      <c r="G115" s="5">
        <v>2</v>
      </c>
      <c r="H115" s="5">
        <v>80954</v>
      </c>
      <c r="I115" s="5" t="s">
        <v>16</v>
      </c>
      <c r="J115" s="5">
        <v>20473696</v>
      </c>
      <c r="K115" s="5" t="s">
        <v>3556</v>
      </c>
      <c r="L115" s="19" t="s">
        <v>3558</v>
      </c>
      <c r="M115" s="24">
        <v>89900</v>
      </c>
      <c r="N115" s="7">
        <v>0.8</v>
      </c>
      <c r="O115" s="6">
        <f t="shared" si="8"/>
        <v>17980</v>
      </c>
      <c r="P115" s="5" t="s">
        <v>504</v>
      </c>
    </row>
    <row r="116" spans="1:16" x14ac:dyDescent="0.35">
      <c r="A116" s="40" t="s">
        <v>3659</v>
      </c>
      <c r="B116" s="8">
        <f t="shared" si="7"/>
        <v>46114</v>
      </c>
      <c r="C116" s="8">
        <f t="shared" si="6"/>
        <v>46120</v>
      </c>
      <c r="D116" s="5">
        <v>3208</v>
      </c>
      <c r="E116" s="5">
        <v>320</v>
      </c>
      <c r="F116" s="5">
        <v>1</v>
      </c>
      <c r="G116" s="5">
        <v>2</v>
      </c>
      <c r="H116" s="5">
        <v>80954</v>
      </c>
      <c r="I116" s="5" t="s">
        <v>16</v>
      </c>
      <c r="J116" s="5">
        <v>20473712</v>
      </c>
      <c r="K116" s="5" t="s">
        <v>3556</v>
      </c>
      <c r="L116" s="19" t="s">
        <v>3559</v>
      </c>
      <c r="M116" s="24">
        <v>89900</v>
      </c>
      <c r="N116" s="7">
        <v>0.8</v>
      </c>
      <c r="O116" s="6">
        <f t="shared" si="8"/>
        <v>17980</v>
      </c>
      <c r="P116" s="5" t="s">
        <v>504</v>
      </c>
    </row>
    <row r="117" spans="1:16" x14ac:dyDescent="0.35">
      <c r="A117" s="40" t="s">
        <v>3659</v>
      </c>
      <c r="B117" s="8">
        <f t="shared" si="7"/>
        <v>46114</v>
      </c>
      <c r="C117" s="8">
        <f t="shared" si="6"/>
        <v>46120</v>
      </c>
      <c r="D117" s="5">
        <v>3208</v>
      </c>
      <c r="E117" s="5">
        <v>320</v>
      </c>
      <c r="F117" s="5">
        <v>1</v>
      </c>
      <c r="G117" s="5">
        <v>2</v>
      </c>
      <c r="H117" s="5">
        <v>80954</v>
      </c>
      <c r="I117" s="5" t="s">
        <v>16</v>
      </c>
      <c r="J117" s="5">
        <v>20473730</v>
      </c>
      <c r="K117" s="5" t="s">
        <v>3556</v>
      </c>
      <c r="L117" s="19" t="s">
        <v>3560</v>
      </c>
      <c r="M117" s="24">
        <v>89900</v>
      </c>
      <c r="N117" s="7">
        <v>0.8</v>
      </c>
      <c r="O117" s="6">
        <f t="shared" si="8"/>
        <v>17980</v>
      </c>
      <c r="P117" s="5" t="s">
        <v>504</v>
      </c>
    </row>
    <row r="118" spans="1:16" x14ac:dyDescent="0.35">
      <c r="A118" s="40" t="s">
        <v>3659</v>
      </c>
      <c r="B118" s="8">
        <f t="shared" si="7"/>
        <v>46114</v>
      </c>
      <c r="C118" s="8">
        <f t="shared" si="6"/>
        <v>46120</v>
      </c>
      <c r="D118" s="5">
        <v>3208</v>
      </c>
      <c r="E118" s="5">
        <v>320</v>
      </c>
      <c r="F118" s="5">
        <v>1</v>
      </c>
      <c r="G118" s="5">
        <v>1</v>
      </c>
      <c r="H118" s="5">
        <v>81490</v>
      </c>
      <c r="I118" s="5" t="s">
        <v>16</v>
      </c>
      <c r="J118" s="5">
        <v>24713580</v>
      </c>
      <c r="K118" s="5" t="s">
        <v>3611</v>
      </c>
      <c r="L118" s="19" t="s">
        <v>3610</v>
      </c>
      <c r="M118" s="24">
        <v>69000</v>
      </c>
      <c r="N118" s="7">
        <v>0.8</v>
      </c>
      <c r="O118" s="6">
        <f t="shared" si="8"/>
        <v>13800</v>
      </c>
      <c r="P118" s="5" t="s">
        <v>504</v>
      </c>
    </row>
    <row r="119" spans="1:16" x14ac:dyDescent="0.35">
      <c r="A119" s="40" t="s">
        <v>3659</v>
      </c>
      <c r="B119" s="8">
        <f t="shared" si="7"/>
        <v>46114</v>
      </c>
      <c r="C119" s="8">
        <f t="shared" si="6"/>
        <v>46120</v>
      </c>
      <c r="D119" s="5">
        <v>3208</v>
      </c>
      <c r="E119" s="5">
        <v>320</v>
      </c>
      <c r="F119" s="5">
        <v>1</v>
      </c>
      <c r="G119" s="5">
        <v>1</v>
      </c>
      <c r="H119" s="5">
        <v>81490</v>
      </c>
      <c r="I119" s="5" t="s">
        <v>16</v>
      </c>
      <c r="J119" s="5">
        <v>24713599</v>
      </c>
      <c r="K119" s="5" t="s">
        <v>3611</v>
      </c>
      <c r="L119" s="19" t="s">
        <v>3612</v>
      </c>
      <c r="M119" s="24">
        <v>69000</v>
      </c>
      <c r="N119" s="7">
        <v>0.8</v>
      </c>
      <c r="O119" s="6">
        <f t="shared" si="8"/>
        <v>13800</v>
      </c>
      <c r="P119" s="5" t="s">
        <v>504</v>
      </c>
    </row>
    <row r="120" spans="1:16" x14ac:dyDescent="0.35">
      <c r="A120" s="40" t="s">
        <v>3659</v>
      </c>
      <c r="B120" s="8">
        <f t="shared" si="7"/>
        <v>46114</v>
      </c>
      <c r="C120" s="8">
        <f t="shared" si="6"/>
        <v>46120</v>
      </c>
      <c r="D120" s="5">
        <v>3208</v>
      </c>
      <c r="E120" s="5">
        <v>320</v>
      </c>
      <c r="F120" s="5">
        <v>1</v>
      </c>
      <c r="G120" s="5">
        <v>1</v>
      </c>
      <c r="H120" s="5">
        <v>81490</v>
      </c>
      <c r="I120" s="5" t="s">
        <v>16</v>
      </c>
      <c r="J120" s="5">
        <v>24713606</v>
      </c>
      <c r="K120" s="5" t="s">
        <v>3611</v>
      </c>
      <c r="L120" s="19" t="s">
        <v>3613</v>
      </c>
      <c r="M120" s="24">
        <v>69000</v>
      </c>
      <c r="N120" s="7">
        <v>0.8</v>
      </c>
      <c r="O120" s="6">
        <f t="shared" si="8"/>
        <v>13800</v>
      </c>
      <c r="P120" s="5" t="s">
        <v>504</v>
      </c>
    </row>
    <row r="121" spans="1:16" x14ac:dyDescent="0.35">
      <c r="A121" s="40" t="s">
        <v>3659</v>
      </c>
      <c r="B121" s="8">
        <f t="shared" si="7"/>
        <v>46114</v>
      </c>
      <c r="C121" s="8">
        <f t="shared" si="6"/>
        <v>46120</v>
      </c>
      <c r="D121" s="5">
        <v>3208</v>
      </c>
      <c r="E121" s="5">
        <v>320</v>
      </c>
      <c r="F121" s="5">
        <v>1</v>
      </c>
      <c r="G121" s="5">
        <v>1</v>
      </c>
      <c r="H121" s="5">
        <v>81490</v>
      </c>
      <c r="I121" s="5" t="s">
        <v>16</v>
      </c>
      <c r="J121" s="5">
        <v>24713615</v>
      </c>
      <c r="K121" s="5" t="s">
        <v>3611</v>
      </c>
      <c r="L121" s="19" t="s">
        <v>3614</v>
      </c>
      <c r="M121" s="24">
        <v>69000</v>
      </c>
      <c r="N121" s="7">
        <v>0.8</v>
      </c>
      <c r="O121" s="6">
        <f t="shared" si="8"/>
        <v>13800</v>
      </c>
      <c r="P121" s="5" t="s">
        <v>504</v>
      </c>
    </row>
    <row r="122" spans="1:16" customFormat="1" x14ac:dyDescent="0.35">
      <c r="A122" s="40" t="s">
        <v>3659</v>
      </c>
      <c r="B122" s="8">
        <f t="shared" si="7"/>
        <v>46114</v>
      </c>
      <c r="C122" s="8">
        <f t="shared" si="6"/>
        <v>46120</v>
      </c>
      <c r="D122" s="5">
        <v>3208</v>
      </c>
      <c r="E122" s="5">
        <v>320</v>
      </c>
      <c r="F122" s="5">
        <v>1</v>
      </c>
      <c r="G122" s="5">
        <v>7</v>
      </c>
      <c r="H122" s="5">
        <v>81044</v>
      </c>
      <c r="I122" s="5" t="s">
        <v>16</v>
      </c>
      <c r="J122" s="5">
        <v>21412946</v>
      </c>
      <c r="K122" s="5" t="s">
        <v>116</v>
      </c>
      <c r="L122" s="19" t="s">
        <v>117</v>
      </c>
      <c r="M122" s="24">
        <v>199900</v>
      </c>
      <c r="N122" s="7">
        <v>0.8</v>
      </c>
      <c r="O122" s="6">
        <f t="shared" si="8"/>
        <v>39980</v>
      </c>
      <c r="P122" s="5" t="s">
        <v>504</v>
      </c>
    </row>
    <row r="123" spans="1:16" customFormat="1" x14ac:dyDescent="0.35">
      <c r="A123" s="40" t="s">
        <v>3659</v>
      </c>
      <c r="B123" s="8">
        <f t="shared" si="7"/>
        <v>46114</v>
      </c>
      <c r="C123" s="8">
        <f t="shared" si="6"/>
        <v>46120</v>
      </c>
      <c r="D123" s="5">
        <v>3208</v>
      </c>
      <c r="E123" s="5">
        <v>320</v>
      </c>
      <c r="F123" s="5">
        <v>1</v>
      </c>
      <c r="G123" s="5">
        <v>7</v>
      </c>
      <c r="H123" s="5">
        <v>81044</v>
      </c>
      <c r="I123" s="5" t="s">
        <v>16</v>
      </c>
      <c r="J123" s="5">
        <v>21412955</v>
      </c>
      <c r="K123" s="5" t="s">
        <v>116</v>
      </c>
      <c r="L123" s="19" t="s">
        <v>118</v>
      </c>
      <c r="M123" s="24">
        <v>199900</v>
      </c>
      <c r="N123" s="7">
        <v>0.8</v>
      </c>
      <c r="O123" s="6">
        <f t="shared" si="8"/>
        <v>39980</v>
      </c>
      <c r="P123" s="5" t="s">
        <v>504</v>
      </c>
    </row>
    <row r="124" spans="1:16" customFormat="1" x14ac:dyDescent="0.35">
      <c r="A124" s="40" t="s">
        <v>3659</v>
      </c>
      <c r="B124" s="8">
        <f t="shared" si="7"/>
        <v>46114</v>
      </c>
      <c r="C124" s="8">
        <f t="shared" si="6"/>
        <v>46120</v>
      </c>
      <c r="D124" s="5">
        <v>3208</v>
      </c>
      <c r="E124" s="5">
        <v>320</v>
      </c>
      <c r="F124" s="5">
        <v>1</v>
      </c>
      <c r="G124" s="5">
        <v>7</v>
      </c>
      <c r="H124" s="5">
        <v>81044</v>
      </c>
      <c r="I124" s="5" t="s">
        <v>16</v>
      </c>
      <c r="J124" s="5">
        <v>21412964</v>
      </c>
      <c r="K124" s="5" t="s">
        <v>116</v>
      </c>
      <c r="L124" s="19" t="s">
        <v>119</v>
      </c>
      <c r="M124" s="24">
        <v>199900</v>
      </c>
      <c r="N124" s="7">
        <v>0.8</v>
      </c>
      <c r="O124" s="6">
        <f t="shared" si="8"/>
        <v>39980</v>
      </c>
      <c r="P124" s="5" t="s">
        <v>504</v>
      </c>
    </row>
    <row r="125" spans="1:16" customFormat="1" x14ac:dyDescent="0.35">
      <c r="A125" s="40" t="s">
        <v>3659</v>
      </c>
      <c r="B125" s="8">
        <f t="shared" si="7"/>
        <v>46114</v>
      </c>
      <c r="C125" s="8">
        <f t="shared" si="6"/>
        <v>46120</v>
      </c>
      <c r="D125" s="5">
        <v>3208</v>
      </c>
      <c r="E125" s="5">
        <v>320</v>
      </c>
      <c r="F125" s="5">
        <v>1</v>
      </c>
      <c r="G125" s="5">
        <v>7</v>
      </c>
      <c r="H125" s="5">
        <v>81044</v>
      </c>
      <c r="I125" s="5" t="s">
        <v>16</v>
      </c>
      <c r="J125" s="5">
        <v>21412973</v>
      </c>
      <c r="K125" s="5" t="s">
        <v>116</v>
      </c>
      <c r="L125" s="19" t="s">
        <v>120</v>
      </c>
      <c r="M125" s="24">
        <v>199900</v>
      </c>
      <c r="N125" s="7">
        <v>0.8</v>
      </c>
      <c r="O125" s="6">
        <f t="shared" si="8"/>
        <v>39980</v>
      </c>
      <c r="P125" s="5" t="s">
        <v>504</v>
      </c>
    </row>
    <row r="126" spans="1:16" customFormat="1" x14ac:dyDescent="0.35">
      <c r="A126" s="40" t="s">
        <v>3659</v>
      </c>
      <c r="B126" s="8">
        <f t="shared" si="7"/>
        <v>46114</v>
      </c>
      <c r="C126" s="8">
        <f t="shared" si="6"/>
        <v>46120</v>
      </c>
      <c r="D126" s="5">
        <v>3208</v>
      </c>
      <c r="E126" s="5">
        <v>320</v>
      </c>
      <c r="F126" s="5">
        <v>1</v>
      </c>
      <c r="G126" s="5">
        <v>7</v>
      </c>
      <c r="H126" s="5">
        <v>81044</v>
      </c>
      <c r="I126" s="5" t="s">
        <v>16</v>
      </c>
      <c r="J126" s="5">
        <v>21418520</v>
      </c>
      <c r="K126" s="5" t="s">
        <v>121</v>
      </c>
      <c r="L126" s="19" t="s">
        <v>122</v>
      </c>
      <c r="M126" s="24">
        <v>199900</v>
      </c>
      <c r="N126" s="7">
        <v>0.8</v>
      </c>
      <c r="O126" s="6">
        <f t="shared" si="8"/>
        <v>39980</v>
      </c>
      <c r="P126" s="5" t="s">
        <v>504</v>
      </c>
    </row>
    <row r="127" spans="1:16" customFormat="1" x14ac:dyDescent="0.35">
      <c r="A127" s="40" t="s">
        <v>3659</v>
      </c>
      <c r="B127" s="8">
        <f t="shared" si="7"/>
        <v>46114</v>
      </c>
      <c r="C127" s="8">
        <f t="shared" si="6"/>
        <v>46120</v>
      </c>
      <c r="D127" s="5">
        <v>3208</v>
      </c>
      <c r="E127" s="5">
        <v>320</v>
      </c>
      <c r="F127" s="5">
        <v>1</v>
      </c>
      <c r="G127" s="5">
        <v>7</v>
      </c>
      <c r="H127" s="5">
        <v>81044</v>
      </c>
      <c r="I127" s="5" t="s">
        <v>16</v>
      </c>
      <c r="J127" s="5">
        <v>21418539</v>
      </c>
      <c r="K127" s="5" t="s">
        <v>121</v>
      </c>
      <c r="L127" s="19" t="s">
        <v>123</v>
      </c>
      <c r="M127" s="24">
        <v>199900</v>
      </c>
      <c r="N127" s="7">
        <v>0.8</v>
      </c>
      <c r="O127" s="6">
        <f t="shared" si="8"/>
        <v>39980</v>
      </c>
      <c r="P127" s="5" t="s">
        <v>504</v>
      </c>
    </row>
    <row r="128" spans="1:16" customFormat="1" x14ac:dyDescent="0.35">
      <c r="A128" s="40" t="s">
        <v>3659</v>
      </c>
      <c r="B128" s="8">
        <f t="shared" si="7"/>
        <v>46114</v>
      </c>
      <c r="C128" s="8">
        <f t="shared" si="6"/>
        <v>46120</v>
      </c>
      <c r="D128" s="5">
        <v>3208</v>
      </c>
      <c r="E128" s="5">
        <v>320</v>
      </c>
      <c r="F128" s="5">
        <v>1</v>
      </c>
      <c r="G128" s="5">
        <v>7</v>
      </c>
      <c r="H128" s="5">
        <v>81044</v>
      </c>
      <c r="I128" s="5" t="s">
        <v>16</v>
      </c>
      <c r="J128" s="5">
        <v>21418548</v>
      </c>
      <c r="K128" s="5" t="s">
        <v>121</v>
      </c>
      <c r="L128" s="19" t="s">
        <v>124</v>
      </c>
      <c r="M128" s="24">
        <v>199900</v>
      </c>
      <c r="N128" s="7">
        <v>0.8</v>
      </c>
      <c r="O128" s="6">
        <f t="shared" si="8"/>
        <v>39980</v>
      </c>
      <c r="P128" s="5" t="s">
        <v>504</v>
      </c>
    </row>
    <row r="129" spans="1:16" customFormat="1" x14ac:dyDescent="0.35">
      <c r="A129" s="40" t="s">
        <v>3659</v>
      </c>
      <c r="B129" s="8">
        <f t="shared" si="7"/>
        <v>46114</v>
      </c>
      <c r="C129" s="8">
        <f t="shared" si="6"/>
        <v>46120</v>
      </c>
      <c r="D129" s="5">
        <v>3208</v>
      </c>
      <c r="E129" s="5">
        <v>320</v>
      </c>
      <c r="F129" s="5">
        <v>1</v>
      </c>
      <c r="G129" s="5">
        <v>7</v>
      </c>
      <c r="H129" s="5">
        <v>81044</v>
      </c>
      <c r="I129" s="5" t="s">
        <v>16</v>
      </c>
      <c r="J129" s="5">
        <v>21418557</v>
      </c>
      <c r="K129" s="5" t="s">
        <v>121</v>
      </c>
      <c r="L129" s="19" t="s">
        <v>125</v>
      </c>
      <c r="M129" s="24">
        <v>199900</v>
      </c>
      <c r="N129" s="7">
        <v>0.8</v>
      </c>
      <c r="O129" s="6">
        <f t="shared" si="8"/>
        <v>39980</v>
      </c>
      <c r="P129" s="5" t="s">
        <v>504</v>
      </c>
    </row>
    <row r="130" spans="1:16" customFormat="1" x14ac:dyDescent="0.35">
      <c r="A130" s="40" t="s">
        <v>3659</v>
      </c>
      <c r="B130" s="8">
        <f t="shared" si="7"/>
        <v>46114</v>
      </c>
      <c r="C130" s="8">
        <f t="shared" si="6"/>
        <v>46120</v>
      </c>
      <c r="D130" s="5">
        <v>3208</v>
      </c>
      <c r="E130" s="5">
        <v>320</v>
      </c>
      <c r="F130" s="5">
        <v>1</v>
      </c>
      <c r="G130" s="5">
        <v>7</v>
      </c>
      <c r="H130" s="5">
        <v>81044</v>
      </c>
      <c r="I130" s="5" t="s">
        <v>16</v>
      </c>
      <c r="J130" s="5">
        <v>21458997</v>
      </c>
      <c r="K130" s="5" t="s">
        <v>126</v>
      </c>
      <c r="L130" s="19" t="s">
        <v>127</v>
      </c>
      <c r="M130" s="24">
        <v>199900</v>
      </c>
      <c r="N130" s="7">
        <v>0.8</v>
      </c>
      <c r="O130" s="6">
        <f t="shared" si="8"/>
        <v>39980</v>
      </c>
      <c r="P130" s="5" t="s">
        <v>504</v>
      </c>
    </row>
    <row r="131" spans="1:16" customFormat="1" x14ac:dyDescent="0.35">
      <c r="A131" s="40" t="s">
        <v>3659</v>
      </c>
      <c r="B131" s="8">
        <f t="shared" si="7"/>
        <v>46114</v>
      </c>
      <c r="C131" s="8">
        <f t="shared" si="6"/>
        <v>46120</v>
      </c>
      <c r="D131" s="5">
        <v>3208</v>
      </c>
      <c r="E131" s="5">
        <v>320</v>
      </c>
      <c r="F131" s="5">
        <v>1</v>
      </c>
      <c r="G131" s="5">
        <v>7</v>
      </c>
      <c r="H131" s="5">
        <v>81044</v>
      </c>
      <c r="I131" s="5" t="s">
        <v>16</v>
      </c>
      <c r="J131" s="5">
        <v>21459003</v>
      </c>
      <c r="K131" s="5" t="s">
        <v>126</v>
      </c>
      <c r="L131" s="19" t="s">
        <v>128</v>
      </c>
      <c r="M131" s="24">
        <v>199900</v>
      </c>
      <c r="N131" s="7">
        <v>0.8</v>
      </c>
      <c r="O131" s="6">
        <f t="shared" si="8"/>
        <v>39980</v>
      </c>
      <c r="P131" s="5" t="s">
        <v>504</v>
      </c>
    </row>
    <row r="132" spans="1:16" customFormat="1" x14ac:dyDescent="0.35">
      <c r="A132" s="40" t="s">
        <v>3659</v>
      </c>
      <c r="B132" s="8">
        <f t="shared" si="7"/>
        <v>46114</v>
      </c>
      <c r="C132" s="8">
        <f t="shared" ref="C132:C141" si="9">$C$2</f>
        <v>46120</v>
      </c>
      <c r="D132" s="5">
        <v>3208</v>
      </c>
      <c r="E132" s="5">
        <v>320</v>
      </c>
      <c r="F132" s="5">
        <v>1</v>
      </c>
      <c r="G132" s="5">
        <v>7</v>
      </c>
      <c r="H132" s="5">
        <v>81044</v>
      </c>
      <c r="I132" s="5" t="s">
        <v>16</v>
      </c>
      <c r="J132" s="5">
        <v>21459012</v>
      </c>
      <c r="K132" s="5" t="s">
        <v>126</v>
      </c>
      <c r="L132" s="19" t="s">
        <v>129</v>
      </c>
      <c r="M132" s="24">
        <v>199900</v>
      </c>
      <c r="N132" s="7">
        <v>0.8</v>
      </c>
      <c r="O132" s="6">
        <f t="shared" si="8"/>
        <v>39980</v>
      </c>
      <c r="P132" s="5" t="s">
        <v>504</v>
      </c>
    </row>
    <row r="133" spans="1:16" customFormat="1" x14ac:dyDescent="0.35">
      <c r="A133" s="40" t="s">
        <v>3659</v>
      </c>
      <c r="B133" s="8">
        <f t="shared" ref="B133:B141" si="10">$B$2</f>
        <v>46114</v>
      </c>
      <c r="C133" s="8">
        <f t="shared" si="9"/>
        <v>46120</v>
      </c>
      <c r="D133" s="5">
        <v>3208</v>
      </c>
      <c r="E133" s="5">
        <v>320</v>
      </c>
      <c r="F133" s="5">
        <v>1</v>
      </c>
      <c r="G133" s="5">
        <v>7</v>
      </c>
      <c r="H133" s="5">
        <v>81044</v>
      </c>
      <c r="I133" s="5" t="s">
        <v>16</v>
      </c>
      <c r="J133" s="5">
        <v>21459021</v>
      </c>
      <c r="K133" s="5" t="s">
        <v>126</v>
      </c>
      <c r="L133" s="19" t="s">
        <v>130</v>
      </c>
      <c r="M133" s="24">
        <v>199900</v>
      </c>
      <c r="N133" s="7">
        <v>0.8</v>
      </c>
      <c r="O133" s="6">
        <f t="shared" si="8"/>
        <v>39980</v>
      </c>
      <c r="P133" s="5" t="s">
        <v>504</v>
      </c>
    </row>
    <row r="134" spans="1:16" customFormat="1" x14ac:dyDescent="0.35">
      <c r="A134" s="40" t="s">
        <v>3659</v>
      </c>
      <c r="B134" s="8">
        <f t="shared" si="10"/>
        <v>46114</v>
      </c>
      <c r="C134" s="8">
        <f t="shared" si="9"/>
        <v>46120</v>
      </c>
      <c r="D134" s="5">
        <v>3208</v>
      </c>
      <c r="E134" s="5">
        <v>320</v>
      </c>
      <c r="F134" s="5">
        <v>1</v>
      </c>
      <c r="G134" s="5">
        <v>7</v>
      </c>
      <c r="H134" s="5">
        <v>81044</v>
      </c>
      <c r="I134" s="5" t="s">
        <v>16</v>
      </c>
      <c r="J134" s="5">
        <v>21467745</v>
      </c>
      <c r="K134" s="5" t="s">
        <v>131</v>
      </c>
      <c r="L134" s="19" t="s">
        <v>132</v>
      </c>
      <c r="M134" s="24">
        <v>199900</v>
      </c>
      <c r="N134" s="7">
        <v>0.8</v>
      </c>
      <c r="O134" s="6">
        <f t="shared" si="8"/>
        <v>39980</v>
      </c>
      <c r="P134" s="5" t="s">
        <v>504</v>
      </c>
    </row>
    <row r="135" spans="1:16" customFormat="1" x14ac:dyDescent="0.35">
      <c r="A135" s="40" t="s">
        <v>3659</v>
      </c>
      <c r="B135" s="8">
        <f t="shared" si="10"/>
        <v>46114</v>
      </c>
      <c r="C135" s="8">
        <f t="shared" si="9"/>
        <v>46120</v>
      </c>
      <c r="D135" s="5">
        <v>3208</v>
      </c>
      <c r="E135" s="5">
        <v>320</v>
      </c>
      <c r="F135" s="5">
        <v>1</v>
      </c>
      <c r="G135" s="5">
        <v>7</v>
      </c>
      <c r="H135" s="5">
        <v>81044</v>
      </c>
      <c r="I135" s="5" t="s">
        <v>16</v>
      </c>
      <c r="J135" s="5">
        <v>21467754</v>
      </c>
      <c r="K135" s="5" t="s">
        <v>131</v>
      </c>
      <c r="L135" s="19" t="s">
        <v>133</v>
      </c>
      <c r="M135" s="24">
        <v>199900</v>
      </c>
      <c r="N135" s="7">
        <v>0.8</v>
      </c>
      <c r="O135" s="6">
        <f t="shared" si="8"/>
        <v>39980</v>
      </c>
      <c r="P135" s="5" t="s">
        <v>504</v>
      </c>
    </row>
    <row r="136" spans="1:16" customFormat="1" x14ac:dyDescent="0.35">
      <c r="A136" s="40" t="s">
        <v>3659</v>
      </c>
      <c r="B136" s="8">
        <f t="shared" si="10"/>
        <v>46114</v>
      </c>
      <c r="C136" s="8">
        <f t="shared" si="9"/>
        <v>46120</v>
      </c>
      <c r="D136" s="5">
        <v>3208</v>
      </c>
      <c r="E136" s="5">
        <v>320</v>
      </c>
      <c r="F136" s="5">
        <v>1</v>
      </c>
      <c r="G136" s="5">
        <v>7</v>
      </c>
      <c r="H136" s="5">
        <v>81044</v>
      </c>
      <c r="I136" s="5" t="s">
        <v>16</v>
      </c>
      <c r="J136" s="5">
        <v>21467763</v>
      </c>
      <c r="K136" s="5" t="s">
        <v>131</v>
      </c>
      <c r="L136" s="19" t="s">
        <v>134</v>
      </c>
      <c r="M136" s="24">
        <v>199900</v>
      </c>
      <c r="N136" s="7">
        <v>0.8</v>
      </c>
      <c r="O136" s="6">
        <f t="shared" si="8"/>
        <v>39980</v>
      </c>
      <c r="P136" s="5" t="s">
        <v>504</v>
      </c>
    </row>
    <row r="137" spans="1:16" customFormat="1" x14ac:dyDescent="0.35">
      <c r="A137" s="40" t="s">
        <v>3659</v>
      </c>
      <c r="B137" s="8">
        <f t="shared" si="10"/>
        <v>46114</v>
      </c>
      <c r="C137" s="8">
        <f t="shared" si="9"/>
        <v>46120</v>
      </c>
      <c r="D137" s="5">
        <v>3208</v>
      </c>
      <c r="E137" s="5">
        <v>320</v>
      </c>
      <c r="F137" s="5">
        <v>1</v>
      </c>
      <c r="G137" s="5">
        <v>7</v>
      </c>
      <c r="H137" s="5">
        <v>81044</v>
      </c>
      <c r="I137" s="5" t="s">
        <v>16</v>
      </c>
      <c r="J137" s="5">
        <v>21467772</v>
      </c>
      <c r="K137" s="5" t="s">
        <v>131</v>
      </c>
      <c r="L137" s="19" t="s">
        <v>135</v>
      </c>
      <c r="M137" s="24">
        <v>199900</v>
      </c>
      <c r="N137" s="7">
        <v>0.8</v>
      </c>
      <c r="O137" s="6">
        <f t="shared" si="8"/>
        <v>39980</v>
      </c>
      <c r="P137" s="5" t="s">
        <v>504</v>
      </c>
    </row>
    <row r="138" spans="1:16" customFormat="1" x14ac:dyDescent="0.35">
      <c r="A138" s="40" t="s">
        <v>3659</v>
      </c>
      <c r="B138" s="8">
        <f t="shared" si="10"/>
        <v>46114</v>
      </c>
      <c r="C138" s="8">
        <f t="shared" si="9"/>
        <v>46120</v>
      </c>
      <c r="D138" s="5">
        <v>3208</v>
      </c>
      <c r="E138" s="5">
        <v>320</v>
      </c>
      <c r="F138" s="5">
        <v>1</v>
      </c>
      <c r="G138" s="5">
        <v>7</v>
      </c>
      <c r="H138" s="5">
        <v>81495</v>
      </c>
      <c r="I138" s="5" t="s">
        <v>16</v>
      </c>
      <c r="J138" s="5">
        <v>20607229</v>
      </c>
      <c r="K138" s="5" t="s">
        <v>136</v>
      </c>
      <c r="L138" s="19" t="s">
        <v>137</v>
      </c>
      <c r="M138" s="24">
        <v>199900</v>
      </c>
      <c r="N138" s="7">
        <v>0.8</v>
      </c>
      <c r="O138" s="6">
        <f t="shared" si="8"/>
        <v>39980</v>
      </c>
      <c r="P138" s="5" t="s">
        <v>504</v>
      </c>
    </row>
    <row r="139" spans="1:16" customFormat="1" x14ac:dyDescent="0.35">
      <c r="A139" s="40" t="s">
        <v>3659</v>
      </c>
      <c r="B139" s="8">
        <f t="shared" si="10"/>
        <v>46114</v>
      </c>
      <c r="C139" s="8">
        <f t="shared" si="9"/>
        <v>46120</v>
      </c>
      <c r="D139" s="5">
        <v>3208</v>
      </c>
      <c r="E139" s="5">
        <v>320</v>
      </c>
      <c r="F139" s="5">
        <v>1</v>
      </c>
      <c r="G139" s="5">
        <v>7</v>
      </c>
      <c r="H139" s="5">
        <v>81495</v>
      </c>
      <c r="I139" s="5" t="s">
        <v>16</v>
      </c>
      <c r="J139" s="5">
        <v>20607238</v>
      </c>
      <c r="K139" s="5" t="s">
        <v>136</v>
      </c>
      <c r="L139" s="19" t="s">
        <v>138</v>
      </c>
      <c r="M139" s="24">
        <v>199900</v>
      </c>
      <c r="N139" s="7">
        <v>0.8</v>
      </c>
      <c r="O139" s="6">
        <f t="shared" si="8"/>
        <v>39980</v>
      </c>
      <c r="P139" s="5" t="s">
        <v>504</v>
      </c>
    </row>
    <row r="140" spans="1:16" customFormat="1" x14ac:dyDescent="0.35">
      <c r="A140" s="40" t="s">
        <v>3659</v>
      </c>
      <c r="B140" s="8">
        <f t="shared" si="10"/>
        <v>46114</v>
      </c>
      <c r="C140" s="8">
        <f t="shared" si="9"/>
        <v>46120</v>
      </c>
      <c r="D140" s="5">
        <v>3208</v>
      </c>
      <c r="E140" s="5">
        <v>320</v>
      </c>
      <c r="F140" s="5">
        <v>1</v>
      </c>
      <c r="G140" s="5">
        <v>7</v>
      </c>
      <c r="H140" s="5">
        <v>81495</v>
      </c>
      <c r="I140" s="5" t="s">
        <v>16</v>
      </c>
      <c r="J140" s="5">
        <v>20607247</v>
      </c>
      <c r="K140" s="5" t="s">
        <v>136</v>
      </c>
      <c r="L140" s="19" t="s">
        <v>139</v>
      </c>
      <c r="M140" s="24">
        <v>199900</v>
      </c>
      <c r="N140" s="7">
        <v>0.8</v>
      </c>
      <c r="O140" s="6">
        <f t="shared" ref="O140:O141" si="11">M140-(M140*N140)</f>
        <v>39980</v>
      </c>
      <c r="P140" s="5" t="s">
        <v>504</v>
      </c>
    </row>
    <row r="141" spans="1:16" customFormat="1" x14ac:dyDescent="0.35">
      <c r="A141" s="40" t="s">
        <v>3659</v>
      </c>
      <c r="B141" s="8">
        <f t="shared" si="10"/>
        <v>46114</v>
      </c>
      <c r="C141" s="8">
        <f t="shared" si="9"/>
        <v>46120</v>
      </c>
      <c r="D141" s="5">
        <v>3208</v>
      </c>
      <c r="E141" s="5">
        <v>320</v>
      </c>
      <c r="F141" s="5">
        <v>1</v>
      </c>
      <c r="G141" s="5">
        <v>7</v>
      </c>
      <c r="H141" s="5">
        <v>81495</v>
      </c>
      <c r="I141" s="5" t="s">
        <v>16</v>
      </c>
      <c r="J141" s="5">
        <v>20607256</v>
      </c>
      <c r="K141" s="5" t="s">
        <v>136</v>
      </c>
      <c r="L141" s="19" t="s">
        <v>140</v>
      </c>
      <c r="M141" s="24">
        <v>199900</v>
      </c>
      <c r="N141" s="7">
        <v>0.8</v>
      </c>
      <c r="O141" s="6">
        <f t="shared" si="11"/>
        <v>39980</v>
      </c>
      <c r="P141" s="5" t="s">
        <v>504</v>
      </c>
    </row>
  </sheetData>
  <phoneticPr fontId="6" type="noConversion"/>
  <conditionalFormatting sqref="J86:J117">
    <cfRule type="duplicateValues" dxfId="10" priority="1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6"/>
  <sheetViews>
    <sheetView zoomScale="85" zoomScaleNormal="85" workbookViewId="0">
      <selection activeCell="A4" sqref="A4"/>
    </sheetView>
  </sheetViews>
  <sheetFormatPr defaultRowHeight="14.5" x14ac:dyDescent="0.35"/>
  <cols>
    <col min="1" max="1" width="26.26953125" style="28" customWidth="1"/>
    <col min="2" max="2" width="11.453125" bestFit="1" customWidth="1"/>
    <col min="3" max="3" width="10.81640625" bestFit="1" customWidth="1"/>
    <col min="4" max="4" width="5.453125" bestFit="1" customWidth="1"/>
    <col min="5" max="5" width="7.7265625" bestFit="1" customWidth="1"/>
    <col min="7" max="7" width="6.26953125" style="28" bestFit="1" customWidth="1"/>
    <col min="8" max="8" width="9.26953125" bestFit="1" customWidth="1"/>
    <col min="9" max="9" width="8" bestFit="1" customWidth="1"/>
    <col min="10" max="10" width="9" bestFit="1" customWidth="1"/>
    <col min="11" max="11" width="11" bestFit="1" customWidth="1"/>
    <col min="12" max="12" width="105.6328125" style="43" bestFit="1" customWidth="1"/>
    <col min="13" max="13" width="17.54296875" style="29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s="1" customFormat="1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9" t="s">
        <v>4</v>
      </c>
      <c r="M1" s="20" t="s">
        <v>3</v>
      </c>
      <c r="N1" s="11" t="s">
        <v>2</v>
      </c>
      <c r="O1" s="10" t="s">
        <v>1</v>
      </c>
      <c r="P1" s="9" t="s">
        <v>0</v>
      </c>
    </row>
    <row r="2" spans="1:16" s="17" customFormat="1" x14ac:dyDescent="0.35">
      <c r="A2" s="40" t="s">
        <v>3660</v>
      </c>
      <c r="B2" s="8">
        <f>'ALL 2024 H2 D80'!$B$2</f>
        <v>46114</v>
      </c>
      <c r="C2" s="8">
        <f>'ALL 2024 H2 D80'!$C$2</f>
        <v>46120</v>
      </c>
      <c r="D2" s="5">
        <v>3208</v>
      </c>
      <c r="E2" s="5">
        <v>320</v>
      </c>
      <c r="F2" s="5">
        <v>1</v>
      </c>
      <c r="G2" s="16">
        <v>5</v>
      </c>
      <c r="H2" s="16">
        <v>81495</v>
      </c>
      <c r="I2" s="16" t="s">
        <v>16</v>
      </c>
      <c r="J2" s="16">
        <v>18736586</v>
      </c>
      <c r="K2" s="16" t="s">
        <v>3395</v>
      </c>
      <c r="L2" s="18" t="s">
        <v>3396</v>
      </c>
      <c r="M2" s="21">
        <v>199900</v>
      </c>
      <c r="N2" s="7">
        <v>0.9</v>
      </c>
      <c r="O2" s="6">
        <f t="shared" ref="O2:O11" si="0">M2-(M2*N2)</f>
        <v>19990</v>
      </c>
      <c r="P2" s="5" t="s">
        <v>504</v>
      </c>
    </row>
    <row r="3" spans="1:16" s="17" customFormat="1" x14ac:dyDescent="0.35">
      <c r="A3" s="40" t="str">
        <f>$A$2</f>
        <v>ALL 2024 H1 D90</v>
      </c>
      <c r="B3" s="8">
        <f>'ALL 2024 H2 D80'!$B$2</f>
        <v>46114</v>
      </c>
      <c r="C3" s="8">
        <f>'ALL 2024 H2 D80'!$C$2</f>
        <v>46120</v>
      </c>
      <c r="D3" s="5">
        <v>3208</v>
      </c>
      <c r="E3" s="5">
        <v>320</v>
      </c>
      <c r="F3" s="5">
        <v>1</v>
      </c>
      <c r="G3" s="16">
        <v>5</v>
      </c>
      <c r="H3" s="16">
        <v>81495</v>
      </c>
      <c r="I3" s="16" t="s">
        <v>16</v>
      </c>
      <c r="J3" s="16">
        <v>18736595</v>
      </c>
      <c r="K3" s="16" t="s">
        <v>3395</v>
      </c>
      <c r="L3" s="18" t="s">
        <v>3397</v>
      </c>
      <c r="M3" s="21">
        <v>199900</v>
      </c>
      <c r="N3" s="7">
        <v>0.9</v>
      </c>
      <c r="O3" s="6">
        <f t="shared" si="0"/>
        <v>19990</v>
      </c>
      <c r="P3" s="5" t="s">
        <v>504</v>
      </c>
    </row>
    <row r="4" spans="1:16" s="17" customFormat="1" x14ac:dyDescent="0.35">
      <c r="A4" s="40" t="str">
        <f>$A$2</f>
        <v>ALL 2024 H1 D90</v>
      </c>
      <c r="B4" s="8">
        <f>'ALL 2024 H2 D80'!$B$2</f>
        <v>46114</v>
      </c>
      <c r="C4" s="8">
        <f>'ALL 2024 H2 D80'!$C$2</f>
        <v>46120</v>
      </c>
      <c r="D4" s="5">
        <v>3208</v>
      </c>
      <c r="E4" s="5">
        <v>320</v>
      </c>
      <c r="F4" s="5">
        <v>1</v>
      </c>
      <c r="G4" s="16">
        <v>5</v>
      </c>
      <c r="H4" s="16">
        <v>81495</v>
      </c>
      <c r="I4" s="16" t="s">
        <v>16</v>
      </c>
      <c r="J4" s="16">
        <v>18736602</v>
      </c>
      <c r="K4" s="16" t="s">
        <v>3395</v>
      </c>
      <c r="L4" s="18" t="s">
        <v>3398</v>
      </c>
      <c r="M4" s="21">
        <v>199900</v>
      </c>
      <c r="N4" s="7">
        <v>0.9</v>
      </c>
      <c r="O4" s="6">
        <f t="shared" si="0"/>
        <v>19990</v>
      </c>
      <c r="P4" s="5" t="s">
        <v>504</v>
      </c>
    </row>
    <row r="5" spans="1:16" s="17" customFormat="1" x14ac:dyDescent="0.35">
      <c r="A5" s="40" t="str">
        <f t="shared" ref="A5:A68" si="1">$A$2</f>
        <v>ALL 2024 H1 D90</v>
      </c>
      <c r="B5" s="8">
        <f>'ALL 2024 H2 D80'!$B$2</f>
        <v>46114</v>
      </c>
      <c r="C5" s="8">
        <f>'ALL 2024 H2 D80'!$C$2</f>
        <v>46120</v>
      </c>
      <c r="D5" s="5">
        <v>3208</v>
      </c>
      <c r="E5" s="5">
        <v>320</v>
      </c>
      <c r="F5" s="5">
        <v>1</v>
      </c>
      <c r="G5" s="16">
        <v>5</v>
      </c>
      <c r="H5" s="16">
        <v>81495</v>
      </c>
      <c r="I5" s="16" t="s">
        <v>16</v>
      </c>
      <c r="J5" s="16">
        <v>18736611</v>
      </c>
      <c r="K5" s="16" t="s">
        <v>3395</v>
      </c>
      <c r="L5" s="18" t="s">
        <v>3399</v>
      </c>
      <c r="M5" s="21">
        <v>199900</v>
      </c>
      <c r="N5" s="7">
        <v>0.9</v>
      </c>
      <c r="O5" s="6">
        <f t="shared" si="0"/>
        <v>19990</v>
      </c>
      <c r="P5" s="5" t="s">
        <v>504</v>
      </c>
    </row>
    <row r="6" spans="1:16" s="17" customFormat="1" x14ac:dyDescent="0.35">
      <c r="A6" s="40" t="str">
        <f t="shared" si="1"/>
        <v>ALL 2024 H1 D90</v>
      </c>
      <c r="B6" s="8">
        <f>'ALL 2024 H2 D80'!$B$2</f>
        <v>46114</v>
      </c>
      <c r="C6" s="8">
        <f>'ALL 2024 H2 D80'!$C$2</f>
        <v>46120</v>
      </c>
      <c r="D6" s="5">
        <v>3208</v>
      </c>
      <c r="E6" s="5">
        <v>320</v>
      </c>
      <c r="F6" s="5">
        <v>1</v>
      </c>
      <c r="G6" s="16">
        <v>5</v>
      </c>
      <c r="H6" s="16">
        <v>81495</v>
      </c>
      <c r="I6" s="16" t="s">
        <v>16</v>
      </c>
      <c r="J6" s="16">
        <v>18961190</v>
      </c>
      <c r="K6" s="16" t="s">
        <v>3400</v>
      </c>
      <c r="L6" s="18" t="s">
        <v>3401</v>
      </c>
      <c r="M6" s="21">
        <v>279900</v>
      </c>
      <c r="N6" s="7">
        <v>0.9</v>
      </c>
      <c r="O6" s="6">
        <f t="shared" si="0"/>
        <v>27990</v>
      </c>
      <c r="P6" s="5" t="s">
        <v>504</v>
      </c>
    </row>
    <row r="7" spans="1:16" s="17" customFormat="1" x14ac:dyDescent="0.35">
      <c r="A7" s="40" t="str">
        <f t="shared" si="1"/>
        <v>ALL 2024 H1 D90</v>
      </c>
      <c r="B7" s="8">
        <f>'ALL 2024 H2 D80'!$B$2</f>
        <v>46114</v>
      </c>
      <c r="C7" s="8">
        <f>'ALL 2024 H2 D80'!$C$2</f>
        <v>46120</v>
      </c>
      <c r="D7" s="5">
        <v>3208</v>
      </c>
      <c r="E7" s="5">
        <v>320</v>
      </c>
      <c r="F7" s="5">
        <v>1</v>
      </c>
      <c r="G7" s="16">
        <v>5</v>
      </c>
      <c r="H7" s="16">
        <v>81495</v>
      </c>
      <c r="I7" s="16" t="s">
        <v>16</v>
      </c>
      <c r="J7" s="16">
        <v>18961207</v>
      </c>
      <c r="K7" s="16" t="s">
        <v>3400</v>
      </c>
      <c r="L7" s="18" t="s">
        <v>3402</v>
      </c>
      <c r="M7" s="21">
        <v>279900</v>
      </c>
      <c r="N7" s="7">
        <v>0.9</v>
      </c>
      <c r="O7" s="6">
        <f t="shared" si="0"/>
        <v>27990</v>
      </c>
      <c r="P7" s="5" t="s">
        <v>504</v>
      </c>
    </row>
    <row r="8" spans="1:16" s="17" customFormat="1" x14ac:dyDescent="0.35">
      <c r="A8" s="40" t="str">
        <f t="shared" si="1"/>
        <v>ALL 2024 H1 D90</v>
      </c>
      <c r="B8" s="8">
        <f>'ALL 2024 H2 D80'!$B$2</f>
        <v>46114</v>
      </c>
      <c r="C8" s="8">
        <f>'ALL 2024 H2 D80'!$C$2</f>
        <v>46120</v>
      </c>
      <c r="D8" s="5">
        <v>3208</v>
      </c>
      <c r="E8" s="5">
        <v>320</v>
      </c>
      <c r="F8" s="5">
        <v>1</v>
      </c>
      <c r="G8" s="16">
        <v>5</v>
      </c>
      <c r="H8" s="16">
        <v>81495</v>
      </c>
      <c r="I8" s="16" t="s">
        <v>16</v>
      </c>
      <c r="J8" s="16">
        <v>18961216</v>
      </c>
      <c r="K8" s="16" t="s">
        <v>3400</v>
      </c>
      <c r="L8" s="18" t="s">
        <v>3403</v>
      </c>
      <c r="M8" s="21">
        <v>279900</v>
      </c>
      <c r="N8" s="7">
        <v>0.9</v>
      </c>
      <c r="O8" s="6">
        <f t="shared" si="0"/>
        <v>27990</v>
      </c>
      <c r="P8" s="5" t="s">
        <v>504</v>
      </c>
    </row>
    <row r="9" spans="1:16" s="17" customFormat="1" x14ac:dyDescent="0.35">
      <c r="A9" s="40" t="str">
        <f t="shared" si="1"/>
        <v>ALL 2024 H1 D90</v>
      </c>
      <c r="B9" s="8">
        <f>'ALL 2024 H2 D80'!$B$2</f>
        <v>46114</v>
      </c>
      <c r="C9" s="8">
        <f>'ALL 2024 H2 D80'!$C$2</f>
        <v>46120</v>
      </c>
      <c r="D9" s="5">
        <v>3208</v>
      </c>
      <c r="E9" s="5">
        <v>320</v>
      </c>
      <c r="F9" s="5">
        <v>1</v>
      </c>
      <c r="G9" s="16">
        <v>5</v>
      </c>
      <c r="H9" s="16">
        <v>81495</v>
      </c>
      <c r="I9" s="16" t="s">
        <v>16</v>
      </c>
      <c r="J9" s="16">
        <v>18961225</v>
      </c>
      <c r="K9" s="16" t="s">
        <v>3400</v>
      </c>
      <c r="L9" s="18" t="s">
        <v>3404</v>
      </c>
      <c r="M9" s="21">
        <v>279900</v>
      </c>
      <c r="N9" s="7">
        <v>0.9</v>
      </c>
      <c r="O9" s="6">
        <f t="shared" si="0"/>
        <v>27990</v>
      </c>
      <c r="P9" s="5" t="s">
        <v>504</v>
      </c>
    </row>
    <row r="10" spans="1:16" s="17" customFormat="1" x14ac:dyDescent="0.35">
      <c r="A10" s="40" t="str">
        <f t="shared" si="1"/>
        <v>ALL 2024 H1 D90</v>
      </c>
      <c r="B10" s="8">
        <f>'ALL 2024 H2 D80'!$B$2</f>
        <v>46114</v>
      </c>
      <c r="C10" s="8">
        <f>'ALL 2024 H2 D80'!$C$2</f>
        <v>46120</v>
      </c>
      <c r="D10" s="5">
        <v>3208</v>
      </c>
      <c r="E10" s="5">
        <v>320</v>
      </c>
      <c r="F10" s="5">
        <v>1</v>
      </c>
      <c r="G10" s="16">
        <v>5</v>
      </c>
      <c r="H10" s="16">
        <v>81045</v>
      </c>
      <c r="I10" s="16" t="s">
        <v>16</v>
      </c>
      <c r="J10" s="16">
        <v>18737441</v>
      </c>
      <c r="K10" s="16" t="s">
        <v>3405</v>
      </c>
      <c r="L10" s="18" t="s">
        <v>3406</v>
      </c>
      <c r="M10" s="21">
        <v>299900</v>
      </c>
      <c r="N10" s="7">
        <v>0.9</v>
      </c>
      <c r="O10" s="6">
        <f t="shared" si="0"/>
        <v>29990</v>
      </c>
      <c r="P10" s="5" t="s">
        <v>504</v>
      </c>
    </row>
    <row r="11" spans="1:16" s="17" customFormat="1" x14ac:dyDescent="0.35">
      <c r="A11" s="40" t="str">
        <f t="shared" si="1"/>
        <v>ALL 2024 H1 D90</v>
      </c>
      <c r="B11" s="8">
        <f>'ALL 2024 H2 D80'!$B$2</f>
        <v>46114</v>
      </c>
      <c r="C11" s="8">
        <f>'ALL 2024 H2 D80'!$C$2</f>
        <v>46120</v>
      </c>
      <c r="D11" s="5">
        <v>3208</v>
      </c>
      <c r="E11" s="5">
        <v>320</v>
      </c>
      <c r="F11" s="5">
        <v>1</v>
      </c>
      <c r="G11" s="16">
        <v>5</v>
      </c>
      <c r="H11" s="16">
        <v>81045</v>
      </c>
      <c r="I11" s="16" t="s">
        <v>16</v>
      </c>
      <c r="J11" s="16">
        <v>18737450</v>
      </c>
      <c r="K11" s="16" t="s">
        <v>3405</v>
      </c>
      <c r="L11" s="18" t="s">
        <v>3407</v>
      </c>
      <c r="M11" s="21">
        <v>299900</v>
      </c>
      <c r="N11" s="7">
        <v>0.9</v>
      </c>
      <c r="O11" s="6">
        <f t="shared" si="0"/>
        <v>29990</v>
      </c>
      <c r="P11" s="5" t="s">
        <v>504</v>
      </c>
    </row>
    <row r="12" spans="1:16" s="17" customFormat="1" x14ac:dyDescent="0.35">
      <c r="A12" s="40" t="str">
        <f t="shared" si="1"/>
        <v>ALL 2024 H1 D90</v>
      </c>
      <c r="B12" s="8">
        <f>'ALL 2024 H2 D80'!$B$2</f>
        <v>46114</v>
      </c>
      <c r="C12" s="8">
        <f>'ALL 2024 H2 D80'!$C$2</f>
        <v>46120</v>
      </c>
      <c r="D12" s="5">
        <v>3208</v>
      </c>
      <c r="E12" s="5">
        <v>320</v>
      </c>
      <c r="F12" s="5">
        <v>1</v>
      </c>
      <c r="G12" s="16">
        <v>5</v>
      </c>
      <c r="H12" s="16">
        <v>81045</v>
      </c>
      <c r="I12" s="16" t="s">
        <v>16</v>
      </c>
      <c r="J12" s="16">
        <v>18737469</v>
      </c>
      <c r="K12" s="16" t="s">
        <v>3405</v>
      </c>
      <c r="L12" s="18" t="s">
        <v>3408</v>
      </c>
      <c r="M12" s="21">
        <v>299900</v>
      </c>
      <c r="N12" s="7">
        <v>0.9</v>
      </c>
      <c r="O12" s="6">
        <f t="shared" ref="O12:O75" si="2">M12-(M12*N12)</f>
        <v>29990</v>
      </c>
      <c r="P12" s="5" t="s">
        <v>504</v>
      </c>
    </row>
    <row r="13" spans="1:16" s="17" customFormat="1" x14ac:dyDescent="0.35">
      <c r="A13" s="40" t="str">
        <f t="shared" si="1"/>
        <v>ALL 2024 H1 D90</v>
      </c>
      <c r="B13" s="8">
        <f>'ALL 2024 H2 D80'!$B$2</f>
        <v>46114</v>
      </c>
      <c r="C13" s="8">
        <f>'ALL 2024 H2 D80'!$C$2</f>
        <v>46120</v>
      </c>
      <c r="D13" s="5">
        <v>3208</v>
      </c>
      <c r="E13" s="5">
        <v>320</v>
      </c>
      <c r="F13" s="5">
        <v>1</v>
      </c>
      <c r="G13" s="16">
        <v>5</v>
      </c>
      <c r="H13" s="16">
        <v>81045</v>
      </c>
      <c r="I13" s="16" t="s">
        <v>16</v>
      </c>
      <c r="J13" s="16">
        <v>18737478</v>
      </c>
      <c r="K13" s="16" t="s">
        <v>3405</v>
      </c>
      <c r="L13" s="18" t="s">
        <v>3409</v>
      </c>
      <c r="M13" s="21">
        <v>299900</v>
      </c>
      <c r="N13" s="7">
        <v>0.9</v>
      </c>
      <c r="O13" s="6">
        <f t="shared" si="2"/>
        <v>29990</v>
      </c>
      <c r="P13" s="5" t="s">
        <v>504</v>
      </c>
    </row>
    <row r="14" spans="1:16" s="17" customFormat="1" x14ac:dyDescent="0.35">
      <c r="A14" s="40" t="str">
        <f t="shared" si="1"/>
        <v>ALL 2024 H1 D90</v>
      </c>
      <c r="B14" s="8">
        <f>'ALL 2024 H2 D80'!$B$2</f>
        <v>46114</v>
      </c>
      <c r="C14" s="8">
        <f>'ALL 2024 H2 D80'!$C$2</f>
        <v>46120</v>
      </c>
      <c r="D14" s="5">
        <v>3208</v>
      </c>
      <c r="E14" s="5">
        <v>320</v>
      </c>
      <c r="F14" s="5">
        <v>1</v>
      </c>
      <c r="G14" s="16">
        <v>5</v>
      </c>
      <c r="H14" s="16">
        <v>81809</v>
      </c>
      <c r="I14" s="16" t="s">
        <v>16</v>
      </c>
      <c r="J14" s="16">
        <v>18736924</v>
      </c>
      <c r="K14" s="16" t="s">
        <v>3410</v>
      </c>
      <c r="L14" s="18" t="s">
        <v>3411</v>
      </c>
      <c r="M14" s="21">
        <v>279900</v>
      </c>
      <c r="N14" s="7">
        <v>0.9</v>
      </c>
      <c r="O14" s="6">
        <f t="shared" si="2"/>
        <v>27990</v>
      </c>
      <c r="P14" s="5" t="s">
        <v>504</v>
      </c>
    </row>
    <row r="15" spans="1:16" s="17" customFormat="1" x14ac:dyDescent="0.35">
      <c r="A15" s="40" t="str">
        <f t="shared" si="1"/>
        <v>ALL 2024 H1 D90</v>
      </c>
      <c r="B15" s="8">
        <f>'ALL 2024 H2 D80'!$B$2</f>
        <v>46114</v>
      </c>
      <c r="C15" s="8">
        <f>'ALL 2024 H2 D80'!$C$2</f>
        <v>46120</v>
      </c>
      <c r="D15" s="5">
        <v>3208</v>
      </c>
      <c r="E15" s="5">
        <v>320</v>
      </c>
      <c r="F15" s="5">
        <v>1</v>
      </c>
      <c r="G15" s="16">
        <v>5</v>
      </c>
      <c r="H15" s="16">
        <v>81809</v>
      </c>
      <c r="I15" s="16" t="s">
        <v>16</v>
      </c>
      <c r="J15" s="16">
        <v>18736951</v>
      </c>
      <c r="K15" s="16" t="s">
        <v>3410</v>
      </c>
      <c r="L15" s="18" t="s">
        <v>3412</v>
      </c>
      <c r="M15" s="21">
        <v>279900</v>
      </c>
      <c r="N15" s="7">
        <v>0.9</v>
      </c>
      <c r="O15" s="6">
        <f t="shared" si="2"/>
        <v>27990</v>
      </c>
      <c r="P15" s="5" t="s">
        <v>504</v>
      </c>
    </row>
    <row r="16" spans="1:16" s="17" customFormat="1" x14ac:dyDescent="0.35">
      <c r="A16" s="40" t="str">
        <f t="shared" si="1"/>
        <v>ALL 2024 H1 D90</v>
      </c>
      <c r="B16" s="8">
        <f>'ALL 2024 H2 D80'!$B$2</f>
        <v>46114</v>
      </c>
      <c r="C16" s="8">
        <f>'ALL 2024 H2 D80'!$C$2</f>
        <v>46120</v>
      </c>
      <c r="D16" s="5">
        <v>3208</v>
      </c>
      <c r="E16" s="5">
        <v>320</v>
      </c>
      <c r="F16" s="5">
        <v>1</v>
      </c>
      <c r="G16" s="16">
        <v>5</v>
      </c>
      <c r="H16" s="16">
        <v>81809</v>
      </c>
      <c r="I16" s="16" t="s">
        <v>16</v>
      </c>
      <c r="J16" s="16">
        <v>18736960</v>
      </c>
      <c r="K16" s="16" t="s">
        <v>3410</v>
      </c>
      <c r="L16" s="18" t="s">
        <v>3413</v>
      </c>
      <c r="M16" s="21">
        <v>279900</v>
      </c>
      <c r="N16" s="7">
        <v>0.9</v>
      </c>
      <c r="O16" s="6">
        <f t="shared" si="2"/>
        <v>27990</v>
      </c>
      <c r="P16" s="5" t="s">
        <v>504</v>
      </c>
    </row>
    <row r="17" spans="1:16" s="17" customFormat="1" x14ac:dyDescent="0.35">
      <c r="A17" s="40" t="str">
        <f t="shared" si="1"/>
        <v>ALL 2024 H1 D90</v>
      </c>
      <c r="B17" s="8">
        <f>'ALL 2024 H2 D80'!$B$2</f>
        <v>46114</v>
      </c>
      <c r="C17" s="8">
        <f>'ALL 2024 H2 D80'!$C$2</f>
        <v>46120</v>
      </c>
      <c r="D17" s="5">
        <v>3208</v>
      </c>
      <c r="E17" s="5">
        <v>320</v>
      </c>
      <c r="F17" s="5">
        <v>1</v>
      </c>
      <c r="G17" s="16">
        <v>5</v>
      </c>
      <c r="H17" s="16">
        <v>81809</v>
      </c>
      <c r="I17" s="16" t="s">
        <v>16</v>
      </c>
      <c r="J17" s="16">
        <v>18736979</v>
      </c>
      <c r="K17" s="16" t="s">
        <v>3410</v>
      </c>
      <c r="L17" s="18" t="s">
        <v>3414</v>
      </c>
      <c r="M17" s="21">
        <v>279900</v>
      </c>
      <c r="N17" s="7">
        <v>0.9</v>
      </c>
      <c r="O17" s="6">
        <f t="shared" si="2"/>
        <v>27990</v>
      </c>
      <c r="P17" s="5" t="s">
        <v>504</v>
      </c>
    </row>
    <row r="18" spans="1:16" s="1" customFormat="1" x14ac:dyDescent="0.35">
      <c r="A18" s="40" t="str">
        <f t="shared" si="1"/>
        <v>ALL 2024 H1 D90</v>
      </c>
      <c r="B18" s="8">
        <f>'ALL 2024 H2 D80'!$B$2</f>
        <v>46114</v>
      </c>
      <c r="C18" s="8">
        <f>'ALL 2024 H2 D80'!$C$2</f>
        <v>46120</v>
      </c>
      <c r="D18" s="5">
        <v>3208</v>
      </c>
      <c r="E18" s="5">
        <v>320</v>
      </c>
      <c r="F18" s="5">
        <v>1</v>
      </c>
      <c r="G18" s="5">
        <v>5</v>
      </c>
      <c r="H18" s="5">
        <v>81495</v>
      </c>
      <c r="I18" s="5" t="s">
        <v>16</v>
      </c>
      <c r="J18" s="5">
        <v>15943536</v>
      </c>
      <c r="K18" s="5" t="s">
        <v>3129</v>
      </c>
      <c r="L18" s="19" t="s">
        <v>3130</v>
      </c>
      <c r="M18" s="22">
        <v>199900</v>
      </c>
      <c r="N18" s="7">
        <v>0.9</v>
      </c>
      <c r="O18" s="6">
        <f t="shared" si="2"/>
        <v>19990</v>
      </c>
      <c r="P18" s="5" t="s">
        <v>504</v>
      </c>
    </row>
    <row r="19" spans="1:16" s="1" customFormat="1" x14ac:dyDescent="0.35">
      <c r="A19" s="40" t="str">
        <f t="shared" si="1"/>
        <v>ALL 2024 H1 D90</v>
      </c>
      <c r="B19" s="8">
        <f>'ALL 2024 H2 D80'!$B$2</f>
        <v>46114</v>
      </c>
      <c r="C19" s="8">
        <f>'ALL 2024 H2 D80'!$C$2</f>
        <v>46120</v>
      </c>
      <c r="D19" s="5">
        <v>3208</v>
      </c>
      <c r="E19" s="5">
        <v>320</v>
      </c>
      <c r="F19" s="5">
        <v>1</v>
      </c>
      <c r="G19" s="5">
        <v>5</v>
      </c>
      <c r="H19" s="5">
        <v>81495</v>
      </c>
      <c r="I19" s="5" t="s">
        <v>16</v>
      </c>
      <c r="J19" s="5">
        <v>15943545</v>
      </c>
      <c r="K19" s="5" t="s">
        <v>3129</v>
      </c>
      <c r="L19" s="19" t="s">
        <v>3131</v>
      </c>
      <c r="M19" s="22">
        <v>199900</v>
      </c>
      <c r="N19" s="7">
        <v>0.9</v>
      </c>
      <c r="O19" s="6">
        <f t="shared" si="2"/>
        <v>19990</v>
      </c>
      <c r="P19" s="5" t="s">
        <v>504</v>
      </c>
    </row>
    <row r="20" spans="1:16" s="1" customFormat="1" x14ac:dyDescent="0.35">
      <c r="A20" s="40" t="str">
        <f t="shared" si="1"/>
        <v>ALL 2024 H1 D90</v>
      </c>
      <c r="B20" s="8">
        <f>'ALL 2024 H2 D80'!$B$2</f>
        <v>46114</v>
      </c>
      <c r="C20" s="8">
        <f>'ALL 2024 H2 D80'!$C$2</f>
        <v>46120</v>
      </c>
      <c r="D20" s="5">
        <v>3208</v>
      </c>
      <c r="E20" s="5">
        <v>320</v>
      </c>
      <c r="F20" s="5">
        <v>1</v>
      </c>
      <c r="G20" s="5">
        <v>5</v>
      </c>
      <c r="H20" s="5">
        <v>81495</v>
      </c>
      <c r="I20" s="5" t="s">
        <v>16</v>
      </c>
      <c r="J20" s="5">
        <v>15943554</v>
      </c>
      <c r="K20" s="5" t="s">
        <v>3129</v>
      </c>
      <c r="L20" s="19" t="s">
        <v>3132</v>
      </c>
      <c r="M20" s="22">
        <v>199900</v>
      </c>
      <c r="N20" s="7">
        <v>0.9</v>
      </c>
      <c r="O20" s="6">
        <f t="shared" si="2"/>
        <v>19990</v>
      </c>
      <c r="P20" s="5" t="s">
        <v>504</v>
      </c>
    </row>
    <row r="21" spans="1:16" s="1" customFormat="1" x14ac:dyDescent="0.35">
      <c r="A21" s="40" t="str">
        <f t="shared" si="1"/>
        <v>ALL 2024 H1 D90</v>
      </c>
      <c r="B21" s="8">
        <f>'ALL 2024 H2 D80'!$B$2</f>
        <v>46114</v>
      </c>
      <c r="C21" s="8">
        <f>'ALL 2024 H2 D80'!$C$2</f>
        <v>46120</v>
      </c>
      <c r="D21" s="5">
        <v>3208</v>
      </c>
      <c r="E21" s="5">
        <v>320</v>
      </c>
      <c r="F21" s="5">
        <v>1</v>
      </c>
      <c r="G21" s="5">
        <v>5</v>
      </c>
      <c r="H21" s="5">
        <v>81495</v>
      </c>
      <c r="I21" s="5" t="s">
        <v>16</v>
      </c>
      <c r="J21" s="5">
        <v>15951876</v>
      </c>
      <c r="K21" s="5" t="s">
        <v>3129</v>
      </c>
      <c r="L21" s="19" t="s">
        <v>3133</v>
      </c>
      <c r="M21" s="22">
        <v>199900</v>
      </c>
      <c r="N21" s="7">
        <v>0.9</v>
      </c>
      <c r="O21" s="6">
        <f t="shared" si="2"/>
        <v>19990</v>
      </c>
      <c r="P21" s="5" t="s">
        <v>504</v>
      </c>
    </row>
    <row r="22" spans="1:16" s="1" customFormat="1" x14ac:dyDescent="0.35">
      <c r="A22" s="40" t="str">
        <f t="shared" si="1"/>
        <v>ALL 2024 H1 D90</v>
      </c>
      <c r="B22" s="8">
        <f>'ALL 2024 H2 D80'!$B$2</f>
        <v>46114</v>
      </c>
      <c r="C22" s="8">
        <f>'ALL 2024 H2 D80'!$C$2</f>
        <v>46120</v>
      </c>
      <c r="D22" s="5">
        <v>3208</v>
      </c>
      <c r="E22" s="5">
        <v>320</v>
      </c>
      <c r="F22" s="5">
        <v>1</v>
      </c>
      <c r="G22" s="5">
        <v>5</v>
      </c>
      <c r="H22" s="5">
        <v>81045</v>
      </c>
      <c r="I22" s="5" t="s">
        <v>16</v>
      </c>
      <c r="J22" s="5">
        <v>15943107</v>
      </c>
      <c r="K22" s="5" t="s">
        <v>3134</v>
      </c>
      <c r="L22" s="19" t="s">
        <v>3135</v>
      </c>
      <c r="M22" s="22">
        <v>299900</v>
      </c>
      <c r="N22" s="7">
        <v>0.9</v>
      </c>
      <c r="O22" s="6">
        <f t="shared" si="2"/>
        <v>29990</v>
      </c>
      <c r="P22" s="5" t="s">
        <v>504</v>
      </c>
    </row>
    <row r="23" spans="1:16" s="1" customFormat="1" x14ac:dyDescent="0.35">
      <c r="A23" s="40" t="str">
        <f t="shared" si="1"/>
        <v>ALL 2024 H1 D90</v>
      </c>
      <c r="B23" s="8">
        <f>'ALL 2024 H2 D80'!$B$2</f>
        <v>46114</v>
      </c>
      <c r="C23" s="8">
        <f>'ALL 2024 H2 D80'!$C$2</f>
        <v>46120</v>
      </c>
      <c r="D23" s="5">
        <v>3208</v>
      </c>
      <c r="E23" s="5">
        <v>320</v>
      </c>
      <c r="F23" s="5">
        <v>1</v>
      </c>
      <c r="G23" s="5">
        <v>5</v>
      </c>
      <c r="H23" s="5">
        <v>81045</v>
      </c>
      <c r="I23" s="5" t="s">
        <v>16</v>
      </c>
      <c r="J23" s="5">
        <v>15943116</v>
      </c>
      <c r="K23" s="5" t="s">
        <v>3134</v>
      </c>
      <c r="L23" s="19" t="s">
        <v>3136</v>
      </c>
      <c r="M23" s="22">
        <v>299900</v>
      </c>
      <c r="N23" s="7">
        <v>0.9</v>
      </c>
      <c r="O23" s="6">
        <f t="shared" si="2"/>
        <v>29990</v>
      </c>
      <c r="P23" s="5" t="s">
        <v>504</v>
      </c>
    </row>
    <row r="24" spans="1:16" s="1" customFormat="1" x14ac:dyDescent="0.35">
      <c r="A24" s="40" t="str">
        <f t="shared" si="1"/>
        <v>ALL 2024 H1 D90</v>
      </c>
      <c r="B24" s="8">
        <f>'ALL 2024 H2 D80'!$B$2</f>
        <v>46114</v>
      </c>
      <c r="C24" s="8">
        <f>'ALL 2024 H2 D80'!$C$2</f>
        <v>46120</v>
      </c>
      <c r="D24" s="5">
        <v>3208</v>
      </c>
      <c r="E24" s="5">
        <v>320</v>
      </c>
      <c r="F24" s="5">
        <v>1</v>
      </c>
      <c r="G24" s="5">
        <v>5</v>
      </c>
      <c r="H24" s="5">
        <v>81045</v>
      </c>
      <c r="I24" s="5" t="s">
        <v>16</v>
      </c>
      <c r="J24" s="5">
        <v>15943125</v>
      </c>
      <c r="K24" s="5" t="s">
        <v>3134</v>
      </c>
      <c r="L24" s="19" t="s">
        <v>3137</v>
      </c>
      <c r="M24" s="22">
        <v>299900</v>
      </c>
      <c r="N24" s="7">
        <v>0.9</v>
      </c>
      <c r="O24" s="6">
        <f t="shared" si="2"/>
        <v>29990</v>
      </c>
      <c r="P24" s="5" t="s">
        <v>504</v>
      </c>
    </row>
    <row r="25" spans="1:16" s="1" customFormat="1" x14ac:dyDescent="0.35">
      <c r="A25" s="40" t="str">
        <f t="shared" si="1"/>
        <v>ALL 2024 H1 D90</v>
      </c>
      <c r="B25" s="8">
        <f>'ALL 2024 H2 D80'!$B$2</f>
        <v>46114</v>
      </c>
      <c r="C25" s="8">
        <f>'ALL 2024 H2 D80'!$C$2</f>
        <v>46120</v>
      </c>
      <c r="D25" s="5">
        <v>3208</v>
      </c>
      <c r="E25" s="5">
        <v>320</v>
      </c>
      <c r="F25" s="5">
        <v>1</v>
      </c>
      <c r="G25" s="5">
        <v>5</v>
      </c>
      <c r="H25" s="5">
        <v>81045</v>
      </c>
      <c r="I25" s="5" t="s">
        <v>16</v>
      </c>
      <c r="J25" s="5">
        <v>15951723</v>
      </c>
      <c r="K25" s="5" t="s">
        <v>3134</v>
      </c>
      <c r="L25" s="19" t="s">
        <v>3138</v>
      </c>
      <c r="M25" s="22">
        <v>299900</v>
      </c>
      <c r="N25" s="7">
        <v>0.9</v>
      </c>
      <c r="O25" s="6">
        <f t="shared" si="2"/>
        <v>29990</v>
      </c>
      <c r="P25" s="5" t="s">
        <v>504</v>
      </c>
    </row>
    <row r="26" spans="1:16" s="1" customFormat="1" x14ac:dyDescent="0.35">
      <c r="A26" s="40" t="str">
        <f t="shared" si="1"/>
        <v>ALL 2024 H1 D90</v>
      </c>
      <c r="B26" s="8">
        <f>'ALL 2024 H2 D80'!$B$2</f>
        <v>46114</v>
      </c>
      <c r="C26" s="8">
        <f>'ALL 2024 H2 D80'!$C$2</f>
        <v>46120</v>
      </c>
      <c r="D26" s="5">
        <v>3208</v>
      </c>
      <c r="E26" s="5">
        <v>320</v>
      </c>
      <c r="F26" s="5">
        <v>1</v>
      </c>
      <c r="G26" s="5">
        <v>5</v>
      </c>
      <c r="H26" s="5">
        <v>81239</v>
      </c>
      <c r="I26" s="5" t="s">
        <v>16</v>
      </c>
      <c r="J26" s="5">
        <v>14274618</v>
      </c>
      <c r="K26" s="5" t="s">
        <v>3139</v>
      </c>
      <c r="L26" s="19" t="s">
        <v>3140</v>
      </c>
      <c r="M26" s="22">
        <v>279900</v>
      </c>
      <c r="N26" s="7">
        <v>0.9</v>
      </c>
      <c r="O26" s="6">
        <f t="shared" si="2"/>
        <v>27990</v>
      </c>
      <c r="P26" s="5" t="s">
        <v>504</v>
      </c>
    </row>
    <row r="27" spans="1:16" s="1" customFormat="1" x14ac:dyDescent="0.35">
      <c r="A27" s="40" t="str">
        <f t="shared" si="1"/>
        <v>ALL 2024 H1 D90</v>
      </c>
      <c r="B27" s="8">
        <f>'ALL 2024 H2 D80'!$B$2</f>
        <v>46114</v>
      </c>
      <c r="C27" s="8">
        <f>'ALL 2024 H2 D80'!$C$2</f>
        <v>46120</v>
      </c>
      <c r="D27" s="5">
        <v>3208</v>
      </c>
      <c r="E27" s="5">
        <v>320</v>
      </c>
      <c r="F27" s="5">
        <v>1</v>
      </c>
      <c r="G27" s="5">
        <v>5</v>
      </c>
      <c r="H27" s="5">
        <v>81239</v>
      </c>
      <c r="I27" s="5" t="s">
        <v>16</v>
      </c>
      <c r="J27" s="5">
        <v>14274627</v>
      </c>
      <c r="K27" s="5" t="s">
        <v>3139</v>
      </c>
      <c r="L27" s="19" t="s">
        <v>3141</v>
      </c>
      <c r="M27" s="22">
        <v>279900</v>
      </c>
      <c r="N27" s="7">
        <v>0.9</v>
      </c>
      <c r="O27" s="6">
        <f t="shared" si="2"/>
        <v>27990</v>
      </c>
      <c r="P27" s="5" t="s">
        <v>504</v>
      </c>
    </row>
    <row r="28" spans="1:16" s="1" customFormat="1" x14ac:dyDescent="0.35">
      <c r="A28" s="40" t="str">
        <f t="shared" si="1"/>
        <v>ALL 2024 H1 D90</v>
      </c>
      <c r="B28" s="8">
        <f>'ALL 2024 H2 D80'!$B$2</f>
        <v>46114</v>
      </c>
      <c r="C28" s="8">
        <f>'ALL 2024 H2 D80'!$C$2</f>
        <v>46120</v>
      </c>
      <c r="D28" s="5">
        <v>3208</v>
      </c>
      <c r="E28" s="5">
        <v>320</v>
      </c>
      <c r="F28" s="5">
        <v>1</v>
      </c>
      <c r="G28" s="5">
        <v>5</v>
      </c>
      <c r="H28" s="5">
        <v>81239</v>
      </c>
      <c r="I28" s="5" t="s">
        <v>16</v>
      </c>
      <c r="J28" s="5">
        <v>14274636</v>
      </c>
      <c r="K28" s="5" t="s">
        <v>3139</v>
      </c>
      <c r="L28" s="19" t="s">
        <v>3142</v>
      </c>
      <c r="M28" s="22">
        <v>279900</v>
      </c>
      <c r="N28" s="7">
        <v>0.9</v>
      </c>
      <c r="O28" s="6">
        <f t="shared" si="2"/>
        <v>27990</v>
      </c>
      <c r="P28" s="5" t="s">
        <v>504</v>
      </c>
    </row>
    <row r="29" spans="1:16" s="1" customFormat="1" x14ac:dyDescent="0.35">
      <c r="A29" s="40" t="str">
        <f t="shared" si="1"/>
        <v>ALL 2024 H1 D90</v>
      </c>
      <c r="B29" s="8">
        <f>'ALL 2024 H2 D80'!$B$2</f>
        <v>46114</v>
      </c>
      <c r="C29" s="8">
        <f>'ALL 2024 H2 D80'!$C$2</f>
        <v>46120</v>
      </c>
      <c r="D29" s="5">
        <v>3208</v>
      </c>
      <c r="E29" s="5">
        <v>320</v>
      </c>
      <c r="F29" s="5">
        <v>1</v>
      </c>
      <c r="G29" s="5">
        <v>5</v>
      </c>
      <c r="H29" s="5">
        <v>81239</v>
      </c>
      <c r="I29" s="5" t="s">
        <v>16</v>
      </c>
      <c r="J29" s="5">
        <v>14274645</v>
      </c>
      <c r="K29" s="5" t="s">
        <v>3139</v>
      </c>
      <c r="L29" s="19" t="s">
        <v>3143</v>
      </c>
      <c r="M29" s="22">
        <v>279900</v>
      </c>
      <c r="N29" s="7">
        <v>0.9</v>
      </c>
      <c r="O29" s="6">
        <f t="shared" si="2"/>
        <v>27990</v>
      </c>
      <c r="P29" s="5" t="s">
        <v>504</v>
      </c>
    </row>
    <row r="30" spans="1:16" s="1" customFormat="1" x14ac:dyDescent="0.35">
      <c r="A30" s="40" t="str">
        <f t="shared" si="1"/>
        <v>ALL 2024 H1 D90</v>
      </c>
      <c r="B30" s="8">
        <f>'ALL 2024 H2 D80'!$B$2</f>
        <v>46114</v>
      </c>
      <c r="C30" s="8">
        <f>'ALL 2024 H2 D80'!$C$2</f>
        <v>46120</v>
      </c>
      <c r="D30" s="5">
        <v>3208</v>
      </c>
      <c r="E30" s="5">
        <v>320</v>
      </c>
      <c r="F30" s="5">
        <v>1</v>
      </c>
      <c r="G30" s="5">
        <v>5</v>
      </c>
      <c r="H30" s="5">
        <v>81239</v>
      </c>
      <c r="I30" s="5" t="s">
        <v>16</v>
      </c>
      <c r="J30" s="5">
        <v>14274654</v>
      </c>
      <c r="K30" s="5" t="s">
        <v>3139</v>
      </c>
      <c r="L30" s="19" t="s">
        <v>3144</v>
      </c>
      <c r="M30" s="22">
        <v>279900</v>
      </c>
      <c r="N30" s="7">
        <v>0.9</v>
      </c>
      <c r="O30" s="6">
        <f t="shared" si="2"/>
        <v>27990</v>
      </c>
      <c r="P30" s="5" t="s">
        <v>504</v>
      </c>
    </row>
    <row r="31" spans="1:16" s="1" customFormat="1" x14ac:dyDescent="0.35">
      <c r="A31" s="40" t="str">
        <f t="shared" si="1"/>
        <v>ALL 2024 H1 D90</v>
      </c>
      <c r="B31" s="8">
        <f>'ALL 2024 H2 D80'!$B$2</f>
        <v>46114</v>
      </c>
      <c r="C31" s="8">
        <f>'ALL 2024 H2 D80'!$C$2</f>
        <v>46120</v>
      </c>
      <c r="D31" s="5">
        <v>3208</v>
      </c>
      <c r="E31" s="5">
        <v>320</v>
      </c>
      <c r="F31" s="5">
        <v>1</v>
      </c>
      <c r="G31" s="5">
        <v>5</v>
      </c>
      <c r="H31" s="5">
        <v>81239</v>
      </c>
      <c r="I31" s="5" t="s">
        <v>16</v>
      </c>
      <c r="J31" s="5">
        <v>14274663</v>
      </c>
      <c r="K31" s="5" t="s">
        <v>3139</v>
      </c>
      <c r="L31" s="19" t="s">
        <v>3145</v>
      </c>
      <c r="M31" s="22">
        <v>279900</v>
      </c>
      <c r="N31" s="7">
        <v>0.9</v>
      </c>
      <c r="O31" s="6">
        <f t="shared" si="2"/>
        <v>27990</v>
      </c>
      <c r="P31" s="5" t="s">
        <v>504</v>
      </c>
    </row>
    <row r="32" spans="1:16" s="1" customFormat="1" x14ac:dyDescent="0.35">
      <c r="A32" s="40" t="str">
        <f t="shared" si="1"/>
        <v>ALL 2024 H1 D90</v>
      </c>
      <c r="B32" s="8">
        <f>'ALL 2024 H2 D80'!$B$2</f>
        <v>46114</v>
      </c>
      <c r="C32" s="8">
        <f>'ALL 2024 H2 D80'!$C$2</f>
        <v>46120</v>
      </c>
      <c r="D32" s="5">
        <v>3208</v>
      </c>
      <c r="E32" s="5">
        <v>320</v>
      </c>
      <c r="F32" s="5">
        <v>1</v>
      </c>
      <c r="G32" s="5">
        <v>5</v>
      </c>
      <c r="H32" s="5">
        <v>81239</v>
      </c>
      <c r="I32" s="5" t="s">
        <v>16</v>
      </c>
      <c r="J32" s="5">
        <v>14274672</v>
      </c>
      <c r="K32" s="5" t="s">
        <v>3139</v>
      </c>
      <c r="L32" s="19" t="s">
        <v>3146</v>
      </c>
      <c r="M32" s="22">
        <v>279900</v>
      </c>
      <c r="N32" s="7">
        <v>0.9</v>
      </c>
      <c r="O32" s="6">
        <f t="shared" si="2"/>
        <v>27990</v>
      </c>
      <c r="P32" s="5" t="s">
        <v>504</v>
      </c>
    </row>
    <row r="33" spans="1:16" s="1" customFormat="1" x14ac:dyDescent="0.35">
      <c r="A33" s="40" t="str">
        <f t="shared" si="1"/>
        <v>ALL 2024 H1 D90</v>
      </c>
      <c r="B33" s="8">
        <f>'ALL 2024 H2 D80'!$B$2</f>
        <v>46114</v>
      </c>
      <c r="C33" s="8">
        <f>'ALL 2024 H2 D80'!$C$2</f>
        <v>46120</v>
      </c>
      <c r="D33" s="5">
        <v>3208</v>
      </c>
      <c r="E33" s="5">
        <v>320</v>
      </c>
      <c r="F33" s="5">
        <v>1</v>
      </c>
      <c r="G33" s="5">
        <v>5</v>
      </c>
      <c r="H33" s="5">
        <v>81239</v>
      </c>
      <c r="I33" s="5" t="s">
        <v>16</v>
      </c>
      <c r="J33" s="5">
        <v>14274681</v>
      </c>
      <c r="K33" s="5" t="s">
        <v>3139</v>
      </c>
      <c r="L33" s="19" t="s">
        <v>3147</v>
      </c>
      <c r="M33" s="22">
        <v>279900</v>
      </c>
      <c r="N33" s="7">
        <v>0.9</v>
      </c>
      <c r="O33" s="6">
        <f t="shared" si="2"/>
        <v>27990</v>
      </c>
      <c r="P33" s="5" t="s">
        <v>504</v>
      </c>
    </row>
    <row r="34" spans="1:16" s="1" customFormat="1" x14ac:dyDescent="0.35">
      <c r="A34" s="40" t="str">
        <f t="shared" si="1"/>
        <v>ALL 2024 H1 D90</v>
      </c>
      <c r="B34" s="8">
        <f>'ALL 2024 H2 D80'!$B$2</f>
        <v>46114</v>
      </c>
      <c r="C34" s="8">
        <f>'ALL 2024 H2 D80'!$C$2</f>
        <v>46120</v>
      </c>
      <c r="D34" s="5">
        <v>3208</v>
      </c>
      <c r="E34" s="5">
        <v>320</v>
      </c>
      <c r="F34" s="5">
        <v>1</v>
      </c>
      <c r="G34" s="5">
        <v>5</v>
      </c>
      <c r="H34" s="5">
        <v>81626</v>
      </c>
      <c r="I34" s="5" t="s">
        <v>16</v>
      </c>
      <c r="J34" s="5">
        <v>15943018</v>
      </c>
      <c r="K34" s="5" t="s">
        <v>2874</v>
      </c>
      <c r="L34" s="19" t="s">
        <v>3309</v>
      </c>
      <c r="M34" s="22">
        <v>279900</v>
      </c>
      <c r="N34" s="7">
        <v>0.9</v>
      </c>
      <c r="O34" s="6">
        <f t="shared" si="2"/>
        <v>27990</v>
      </c>
      <c r="P34" s="5" t="s">
        <v>504</v>
      </c>
    </row>
    <row r="35" spans="1:16" s="1" customFormat="1" x14ac:dyDescent="0.35">
      <c r="A35" s="40" t="str">
        <f t="shared" si="1"/>
        <v>ALL 2024 H1 D90</v>
      </c>
      <c r="B35" s="8">
        <f>'ALL 2024 H2 D80'!$B$2</f>
        <v>46114</v>
      </c>
      <c r="C35" s="8">
        <f>'ALL 2024 H2 D80'!$C$2</f>
        <v>46120</v>
      </c>
      <c r="D35" s="5">
        <v>3208</v>
      </c>
      <c r="E35" s="5">
        <v>320</v>
      </c>
      <c r="F35" s="5">
        <v>1</v>
      </c>
      <c r="G35" s="5">
        <v>5</v>
      </c>
      <c r="H35" s="5">
        <v>81626</v>
      </c>
      <c r="I35" s="5" t="s">
        <v>16</v>
      </c>
      <c r="J35" s="5">
        <v>15943027</v>
      </c>
      <c r="K35" s="5" t="s">
        <v>2874</v>
      </c>
      <c r="L35" s="19" t="s">
        <v>3310</v>
      </c>
      <c r="M35" s="22">
        <v>279900</v>
      </c>
      <c r="N35" s="7">
        <v>0.9</v>
      </c>
      <c r="O35" s="6">
        <f t="shared" si="2"/>
        <v>27990</v>
      </c>
      <c r="P35" s="5" t="s">
        <v>504</v>
      </c>
    </row>
    <row r="36" spans="1:16" s="1" customFormat="1" x14ac:dyDescent="0.35">
      <c r="A36" s="40" t="str">
        <f t="shared" si="1"/>
        <v>ALL 2024 H1 D90</v>
      </c>
      <c r="B36" s="8">
        <f>'ALL 2024 H2 D80'!$B$2</f>
        <v>46114</v>
      </c>
      <c r="C36" s="8">
        <f>'ALL 2024 H2 D80'!$C$2</f>
        <v>46120</v>
      </c>
      <c r="D36" s="5">
        <v>3208</v>
      </c>
      <c r="E36" s="5">
        <v>320</v>
      </c>
      <c r="F36" s="5">
        <v>1</v>
      </c>
      <c r="G36" s="5">
        <v>5</v>
      </c>
      <c r="H36" s="5">
        <v>81626</v>
      </c>
      <c r="I36" s="5" t="s">
        <v>16</v>
      </c>
      <c r="J36" s="5">
        <v>15943036</v>
      </c>
      <c r="K36" s="5" t="s">
        <v>2874</v>
      </c>
      <c r="L36" s="19" t="s">
        <v>3311</v>
      </c>
      <c r="M36" s="22">
        <v>279900</v>
      </c>
      <c r="N36" s="7">
        <v>0.9</v>
      </c>
      <c r="O36" s="6">
        <f t="shared" si="2"/>
        <v>27990</v>
      </c>
      <c r="P36" s="5" t="s">
        <v>504</v>
      </c>
    </row>
    <row r="37" spans="1:16" s="1" customFormat="1" x14ac:dyDescent="0.35">
      <c r="A37" s="40" t="str">
        <f t="shared" si="1"/>
        <v>ALL 2024 H1 D90</v>
      </c>
      <c r="B37" s="8">
        <f>'ALL 2024 H2 D80'!$B$2</f>
        <v>46114</v>
      </c>
      <c r="C37" s="8">
        <f>'ALL 2024 H2 D80'!$C$2</f>
        <v>46120</v>
      </c>
      <c r="D37" s="5">
        <v>3208</v>
      </c>
      <c r="E37" s="5">
        <v>320</v>
      </c>
      <c r="F37" s="5">
        <v>1</v>
      </c>
      <c r="G37" s="5">
        <v>5</v>
      </c>
      <c r="H37" s="5">
        <v>81626</v>
      </c>
      <c r="I37" s="5" t="s">
        <v>16</v>
      </c>
      <c r="J37" s="5">
        <v>15951698</v>
      </c>
      <c r="K37" s="5" t="s">
        <v>2874</v>
      </c>
      <c r="L37" s="19" t="s">
        <v>3312</v>
      </c>
      <c r="M37" s="22">
        <v>279900</v>
      </c>
      <c r="N37" s="7">
        <v>0.9</v>
      </c>
      <c r="O37" s="6">
        <f t="shared" si="2"/>
        <v>27990</v>
      </c>
      <c r="P37" s="5" t="s">
        <v>504</v>
      </c>
    </row>
    <row r="38" spans="1:16" s="1" customFormat="1" x14ac:dyDescent="0.35">
      <c r="A38" s="40" t="str">
        <f t="shared" si="1"/>
        <v>ALL 2024 H1 D90</v>
      </c>
      <c r="B38" s="8">
        <f>'ALL 2024 H2 D80'!$B$2</f>
        <v>46114</v>
      </c>
      <c r="C38" s="8">
        <f>'ALL 2024 H2 D80'!$C$2</f>
        <v>46120</v>
      </c>
      <c r="D38" s="5">
        <v>3208</v>
      </c>
      <c r="E38" s="5">
        <v>320</v>
      </c>
      <c r="F38" s="5">
        <v>1</v>
      </c>
      <c r="G38" s="5">
        <v>5</v>
      </c>
      <c r="H38" s="5">
        <v>81626</v>
      </c>
      <c r="I38" s="5" t="s">
        <v>16</v>
      </c>
      <c r="J38" s="5">
        <v>81889605</v>
      </c>
      <c r="K38" s="5" t="s">
        <v>2874</v>
      </c>
      <c r="L38" s="19" t="s">
        <v>2980</v>
      </c>
      <c r="M38" s="22">
        <v>279900</v>
      </c>
      <c r="N38" s="7">
        <v>0.9</v>
      </c>
      <c r="O38" s="6">
        <f t="shared" si="2"/>
        <v>27990</v>
      </c>
      <c r="P38" s="5" t="s">
        <v>504</v>
      </c>
    </row>
    <row r="39" spans="1:16" s="1" customFormat="1" x14ac:dyDescent="0.35">
      <c r="A39" s="40" t="str">
        <f t="shared" si="1"/>
        <v>ALL 2024 H1 D90</v>
      </c>
      <c r="B39" s="8">
        <f>'ALL 2024 H2 D80'!$B$2</f>
        <v>46114</v>
      </c>
      <c r="C39" s="8">
        <f>'ALL 2024 H2 D80'!$C$2</f>
        <v>46120</v>
      </c>
      <c r="D39" s="5">
        <v>3208</v>
      </c>
      <c r="E39" s="5">
        <v>320</v>
      </c>
      <c r="F39" s="5">
        <v>1</v>
      </c>
      <c r="G39" s="5">
        <v>5</v>
      </c>
      <c r="H39" s="5">
        <v>81626</v>
      </c>
      <c r="I39" s="5" t="s">
        <v>16</v>
      </c>
      <c r="J39" s="5">
        <v>81889614</v>
      </c>
      <c r="K39" s="5" t="s">
        <v>2874</v>
      </c>
      <c r="L39" s="19" t="s">
        <v>2981</v>
      </c>
      <c r="M39" s="22">
        <v>279900</v>
      </c>
      <c r="N39" s="7">
        <v>0.9</v>
      </c>
      <c r="O39" s="6">
        <f t="shared" si="2"/>
        <v>27990</v>
      </c>
      <c r="P39" s="5" t="s">
        <v>504</v>
      </c>
    </row>
    <row r="40" spans="1:16" s="1" customFormat="1" x14ac:dyDescent="0.35">
      <c r="A40" s="40" t="str">
        <f t="shared" si="1"/>
        <v>ALL 2024 H1 D90</v>
      </c>
      <c r="B40" s="8">
        <f>'ALL 2024 H2 D80'!$B$2</f>
        <v>46114</v>
      </c>
      <c r="C40" s="8">
        <f>'ALL 2024 H2 D80'!$C$2</f>
        <v>46120</v>
      </c>
      <c r="D40" s="5">
        <v>3208</v>
      </c>
      <c r="E40" s="5">
        <v>320</v>
      </c>
      <c r="F40" s="5">
        <v>1</v>
      </c>
      <c r="G40" s="5">
        <v>5</v>
      </c>
      <c r="H40" s="5">
        <v>81626</v>
      </c>
      <c r="I40" s="5" t="s">
        <v>16</v>
      </c>
      <c r="J40" s="5">
        <v>81889623</v>
      </c>
      <c r="K40" s="5" t="s">
        <v>2874</v>
      </c>
      <c r="L40" s="19" t="s">
        <v>2982</v>
      </c>
      <c r="M40" s="22">
        <v>279900</v>
      </c>
      <c r="N40" s="7">
        <v>0.9</v>
      </c>
      <c r="O40" s="6">
        <f t="shared" si="2"/>
        <v>27990</v>
      </c>
      <c r="P40" s="5" t="s">
        <v>504</v>
      </c>
    </row>
    <row r="41" spans="1:16" s="1" customFormat="1" x14ac:dyDescent="0.35">
      <c r="A41" s="40" t="str">
        <f t="shared" si="1"/>
        <v>ALL 2024 H1 D90</v>
      </c>
      <c r="B41" s="8">
        <f>'ALL 2024 H2 D80'!$B$2</f>
        <v>46114</v>
      </c>
      <c r="C41" s="8">
        <f>'ALL 2024 H2 D80'!$C$2</f>
        <v>46120</v>
      </c>
      <c r="D41" s="5">
        <v>3208</v>
      </c>
      <c r="E41" s="5">
        <v>320</v>
      </c>
      <c r="F41" s="5">
        <v>1</v>
      </c>
      <c r="G41" s="5">
        <v>5</v>
      </c>
      <c r="H41" s="5">
        <v>81626</v>
      </c>
      <c r="I41" s="5" t="s">
        <v>16</v>
      </c>
      <c r="J41" s="5">
        <v>81889632</v>
      </c>
      <c r="K41" s="5" t="s">
        <v>2874</v>
      </c>
      <c r="L41" s="19" t="s">
        <v>2983</v>
      </c>
      <c r="M41" s="22">
        <v>279900</v>
      </c>
      <c r="N41" s="7">
        <v>0.9</v>
      </c>
      <c r="O41" s="6">
        <f t="shared" si="2"/>
        <v>27990</v>
      </c>
      <c r="P41" s="5" t="s">
        <v>504</v>
      </c>
    </row>
    <row r="42" spans="1:16" s="1" customFormat="1" x14ac:dyDescent="0.35">
      <c r="A42" s="40" t="str">
        <f t="shared" si="1"/>
        <v>ALL 2024 H1 D90</v>
      </c>
      <c r="B42" s="8">
        <f>'ALL 2024 H2 D80'!$B$2</f>
        <v>46114</v>
      </c>
      <c r="C42" s="8">
        <f>'ALL 2024 H2 D80'!$C$2</f>
        <v>46120</v>
      </c>
      <c r="D42" s="5">
        <v>3208</v>
      </c>
      <c r="E42" s="5">
        <v>320</v>
      </c>
      <c r="F42" s="5">
        <v>1</v>
      </c>
      <c r="G42" s="5">
        <v>5</v>
      </c>
      <c r="H42" s="5">
        <v>81809</v>
      </c>
      <c r="I42" s="5" t="s">
        <v>16</v>
      </c>
      <c r="J42" s="5">
        <v>16811677</v>
      </c>
      <c r="K42" s="5" t="s">
        <v>3148</v>
      </c>
      <c r="L42" s="19" t="s">
        <v>3149</v>
      </c>
      <c r="M42" s="22">
        <v>279900</v>
      </c>
      <c r="N42" s="7">
        <v>0.9</v>
      </c>
      <c r="O42" s="6">
        <f t="shared" si="2"/>
        <v>27990</v>
      </c>
      <c r="P42" s="5" t="s">
        <v>504</v>
      </c>
    </row>
    <row r="43" spans="1:16" s="1" customFormat="1" x14ac:dyDescent="0.35">
      <c r="A43" s="40" t="str">
        <f t="shared" si="1"/>
        <v>ALL 2024 H1 D90</v>
      </c>
      <c r="B43" s="8">
        <f>'ALL 2024 H2 D80'!$B$2</f>
        <v>46114</v>
      </c>
      <c r="C43" s="8">
        <f>'ALL 2024 H2 D80'!$C$2</f>
        <v>46120</v>
      </c>
      <c r="D43" s="5">
        <v>3208</v>
      </c>
      <c r="E43" s="5">
        <v>320</v>
      </c>
      <c r="F43" s="5">
        <v>1</v>
      </c>
      <c r="G43" s="5">
        <v>5</v>
      </c>
      <c r="H43" s="5">
        <v>81809</v>
      </c>
      <c r="I43" s="5" t="s">
        <v>16</v>
      </c>
      <c r="J43" s="5">
        <v>16811686</v>
      </c>
      <c r="K43" s="5" t="s">
        <v>3148</v>
      </c>
      <c r="L43" s="19" t="s">
        <v>3150</v>
      </c>
      <c r="M43" s="22">
        <v>279900</v>
      </c>
      <c r="N43" s="7">
        <v>0.9</v>
      </c>
      <c r="O43" s="6">
        <f t="shared" si="2"/>
        <v>27990</v>
      </c>
      <c r="P43" s="5" t="s">
        <v>504</v>
      </c>
    </row>
    <row r="44" spans="1:16" s="1" customFormat="1" x14ac:dyDescent="0.35">
      <c r="A44" s="40" t="str">
        <f t="shared" si="1"/>
        <v>ALL 2024 H1 D90</v>
      </c>
      <c r="B44" s="8">
        <f>'ALL 2024 H2 D80'!$B$2</f>
        <v>46114</v>
      </c>
      <c r="C44" s="8">
        <f>'ALL 2024 H2 D80'!$C$2</f>
        <v>46120</v>
      </c>
      <c r="D44" s="5">
        <v>3208</v>
      </c>
      <c r="E44" s="5">
        <v>320</v>
      </c>
      <c r="F44" s="5">
        <v>1</v>
      </c>
      <c r="G44" s="5">
        <v>5</v>
      </c>
      <c r="H44" s="5">
        <v>81809</v>
      </c>
      <c r="I44" s="5" t="s">
        <v>16</v>
      </c>
      <c r="J44" s="5">
        <v>16811695</v>
      </c>
      <c r="K44" s="5" t="s">
        <v>3148</v>
      </c>
      <c r="L44" s="19" t="s">
        <v>3151</v>
      </c>
      <c r="M44" s="22">
        <v>279900</v>
      </c>
      <c r="N44" s="7">
        <v>0.9</v>
      </c>
      <c r="O44" s="6">
        <f t="shared" si="2"/>
        <v>27990</v>
      </c>
      <c r="P44" s="5" t="s">
        <v>504</v>
      </c>
    </row>
    <row r="45" spans="1:16" s="1" customFormat="1" x14ac:dyDescent="0.35">
      <c r="A45" s="40" t="str">
        <f t="shared" si="1"/>
        <v>ALL 2024 H1 D90</v>
      </c>
      <c r="B45" s="8">
        <f>'ALL 2024 H2 D80'!$B$2</f>
        <v>46114</v>
      </c>
      <c r="C45" s="8">
        <f>'ALL 2024 H2 D80'!$C$2</f>
        <v>46120</v>
      </c>
      <c r="D45" s="5">
        <v>3208</v>
      </c>
      <c r="E45" s="5">
        <v>320</v>
      </c>
      <c r="F45" s="5">
        <v>1</v>
      </c>
      <c r="G45" s="5">
        <v>5</v>
      </c>
      <c r="H45" s="5">
        <v>81809</v>
      </c>
      <c r="I45" s="5" t="s">
        <v>16</v>
      </c>
      <c r="J45" s="5">
        <v>16811702</v>
      </c>
      <c r="K45" s="5" t="s">
        <v>3148</v>
      </c>
      <c r="L45" s="19" t="s">
        <v>3152</v>
      </c>
      <c r="M45" s="22">
        <v>279900</v>
      </c>
      <c r="N45" s="7">
        <v>0.9</v>
      </c>
      <c r="O45" s="6">
        <f t="shared" si="2"/>
        <v>27990</v>
      </c>
      <c r="P45" s="5" t="s">
        <v>504</v>
      </c>
    </row>
    <row r="46" spans="1:16" s="1" customFormat="1" x14ac:dyDescent="0.35">
      <c r="A46" s="40" t="str">
        <f t="shared" si="1"/>
        <v>ALL 2024 H1 D90</v>
      </c>
      <c r="B46" s="8">
        <f>'ALL 2024 H2 D80'!$B$2</f>
        <v>46114</v>
      </c>
      <c r="C46" s="8">
        <f>'ALL 2024 H2 D80'!$C$2</f>
        <v>46120</v>
      </c>
      <c r="D46" s="5">
        <v>3208</v>
      </c>
      <c r="E46" s="5">
        <v>320</v>
      </c>
      <c r="F46" s="5">
        <v>1</v>
      </c>
      <c r="G46" s="5">
        <v>5</v>
      </c>
      <c r="H46" s="5">
        <v>81809</v>
      </c>
      <c r="I46" s="5" t="s">
        <v>16</v>
      </c>
      <c r="J46" s="5">
        <v>16811720</v>
      </c>
      <c r="K46" s="5" t="s">
        <v>3148</v>
      </c>
      <c r="L46" s="19" t="s">
        <v>3153</v>
      </c>
      <c r="M46" s="22">
        <v>279900</v>
      </c>
      <c r="N46" s="7">
        <v>0.9</v>
      </c>
      <c r="O46" s="6">
        <f t="shared" si="2"/>
        <v>27990</v>
      </c>
      <c r="P46" s="5" t="s">
        <v>504</v>
      </c>
    </row>
    <row r="47" spans="1:16" s="1" customFormat="1" x14ac:dyDescent="0.35">
      <c r="A47" s="40" t="str">
        <f t="shared" si="1"/>
        <v>ALL 2024 H1 D90</v>
      </c>
      <c r="B47" s="8">
        <f>'ALL 2024 H2 D80'!$B$2</f>
        <v>46114</v>
      </c>
      <c r="C47" s="8">
        <f>'ALL 2024 H2 D80'!$C$2</f>
        <v>46120</v>
      </c>
      <c r="D47" s="5">
        <v>3208</v>
      </c>
      <c r="E47" s="5">
        <v>320</v>
      </c>
      <c r="F47" s="5">
        <v>1</v>
      </c>
      <c r="G47" s="5">
        <v>5</v>
      </c>
      <c r="H47" s="5">
        <v>81809</v>
      </c>
      <c r="I47" s="5" t="s">
        <v>16</v>
      </c>
      <c r="J47" s="5">
        <v>16811739</v>
      </c>
      <c r="K47" s="5" t="s">
        <v>3148</v>
      </c>
      <c r="L47" s="19" t="s">
        <v>3154</v>
      </c>
      <c r="M47" s="22">
        <v>279900</v>
      </c>
      <c r="N47" s="7">
        <v>0.9</v>
      </c>
      <c r="O47" s="6">
        <f t="shared" si="2"/>
        <v>27990</v>
      </c>
      <c r="P47" s="5" t="s">
        <v>504</v>
      </c>
    </row>
    <row r="48" spans="1:16" s="1" customFormat="1" x14ac:dyDescent="0.35">
      <c r="A48" s="40" t="str">
        <f t="shared" si="1"/>
        <v>ALL 2024 H1 D90</v>
      </c>
      <c r="B48" s="8">
        <f>'ALL 2024 H2 D80'!$B$2</f>
        <v>46114</v>
      </c>
      <c r="C48" s="8">
        <f>'ALL 2024 H2 D80'!$C$2</f>
        <v>46120</v>
      </c>
      <c r="D48" s="5">
        <v>3208</v>
      </c>
      <c r="E48" s="5">
        <v>320</v>
      </c>
      <c r="F48" s="5">
        <v>1</v>
      </c>
      <c r="G48" s="5">
        <v>5</v>
      </c>
      <c r="H48" s="5">
        <v>81809</v>
      </c>
      <c r="I48" s="5" t="s">
        <v>16</v>
      </c>
      <c r="J48" s="5">
        <v>16811748</v>
      </c>
      <c r="K48" s="5" t="s">
        <v>3148</v>
      </c>
      <c r="L48" s="19" t="s">
        <v>3155</v>
      </c>
      <c r="M48" s="22">
        <v>279900</v>
      </c>
      <c r="N48" s="7">
        <v>0.9</v>
      </c>
      <c r="O48" s="6">
        <f t="shared" si="2"/>
        <v>27990</v>
      </c>
      <c r="P48" s="5" t="s">
        <v>504</v>
      </c>
    </row>
    <row r="49" spans="1:16" s="1" customFormat="1" x14ac:dyDescent="0.35">
      <c r="A49" s="40" t="str">
        <f t="shared" si="1"/>
        <v>ALL 2024 H1 D90</v>
      </c>
      <c r="B49" s="8">
        <f>'ALL 2024 H2 D80'!$B$2</f>
        <v>46114</v>
      </c>
      <c r="C49" s="8">
        <f>'ALL 2024 H2 D80'!$C$2</f>
        <v>46120</v>
      </c>
      <c r="D49" s="5">
        <v>3208</v>
      </c>
      <c r="E49" s="5">
        <v>320</v>
      </c>
      <c r="F49" s="5">
        <v>1</v>
      </c>
      <c r="G49" s="5">
        <v>5</v>
      </c>
      <c r="H49" s="5">
        <v>81809</v>
      </c>
      <c r="I49" s="5" t="s">
        <v>16</v>
      </c>
      <c r="J49" s="5">
        <v>16811757</v>
      </c>
      <c r="K49" s="5" t="s">
        <v>3148</v>
      </c>
      <c r="L49" s="19" t="s">
        <v>3156</v>
      </c>
      <c r="M49" s="22">
        <v>279900</v>
      </c>
      <c r="N49" s="7">
        <v>0.9</v>
      </c>
      <c r="O49" s="6">
        <f t="shared" si="2"/>
        <v>27990</v>
      </c>
      <c r="P49" s="5" t="s">
        <v>504</v>
      </c>
    </row>
    <row r="50" spans="1:16" s="1" customFormat="1" x14ac:dyDescent="0.35">
      <c r="A50" s="40" t="str">
        <f t="shared" si="1"/>
        <v>ALL 2024 H1 D90</v>
      </c>
      <c r="B50" s="8">
        <f>'ALL 2024 H2 D80'!$B$2</f>
        <v>46114</v>
      </c>
      <c r="C50" s="8">
        <f>'ALL 2024 H2 D80'!$C$2</f>
        <v>46120</v>
      </c>
      <c r="D50" s="5">
        <v>3208</v>
      </c>
      <c r="E50" s="5">
        <v>320</v>
      </c>
      <c r="F50" s="5">
        <v>1</v>
      </c>
      <c r="G50" s="5">
        <v>4</v>
      </c>
      <c r="H50" s="5">
        <v>81495</v>
      </c>
      <c r="I50" s="5" t="s">
        <v>16</v>
      </c>
      <c r="J50" s="5">
        <v>16255180</v>
      </c>
      <c r="K50" s="5" t="s">
        <v>3124</v>
      </c>
      <c r="L50" s="19" t="s">
        <v>3125</v>
      </c>
      <c r="M50" s="22">
        <v>399900</v>
      </c>
      <c r="N50" s="7">
        <v>0.9</v>
      </c>
      <c r="O50" s="6">
        <f t="shared" si="2"/>
        <v>39990</v>
      </c>
      <c r="P50" s="5" t="s">
        <v>504</v>
      </c>
    </row>
    <row r="51" spans="1:16" s="1" customFormat="1" x14ac:dyDescent="0.35">
      <c r="A51" s="40" t="str">
        <f t="shared" si="1"/>
        <v>ALL 2024 H1 D90</v>
      </c>
      <c r="B51" s="8">
        <f>'ALL 2024 H2 D80'!$B$2</f>
        <v>46114</v>
      </c>
      <c r="C51" s="8">
        <f>'ALL 2024 H2 D80'!$C$2</f>
        <v>46120</v>
      </c>
      <c r="D51" s="5">
        <v>3208</v>
      </c>
      <c r="E51" s="5">
        <v>320</v>
      </c>
      <c r="F51" s="5">
        <v>1</v>
      </c>
      <c r="G51" s="5">
        <v>4</v>
      </c>
      <c r="H51" s="5">
        <v>81495</v>
      </c>
      <c r="I51" s="5" t="s">
        <v>16</v>
      </c>
      <c r="J51" s="5">
        <v>16255199</v>
      </c>
      <c r="K51" s="5" t="s">
        <v>3124</v>
      </c>
      <c r="L51" s="19" t="s">
        <v>3126</v>
      </c>
      <c r="M51" s="22">
        <v>399900</v>
      </c>
      <c r="N51" s="7">
        <v>0.9</v>
      </c>
      <c r="O51" s="6">
        <f t="shared" si="2"/>
        <v>39990</v>
      </c>
      <c r="P51" s="5" t="s">
        <v>504</v>
      </c>
    </row>
    <row r="52" spans="1:16" s="1" customFormat="1" x14ac:dyDescent="0.35">
      <c r="A52" s="40" t="str">
        <f t="shared" si="1"/>
        <v>ALL 2024 H1 D90</v>
      </c>
      <c r="B52" s="8">
        <f>'ALL 2024 H2 D80'!$B$2</f>
        <v>46114</v>
      </c>
      <c r="C52" s="8">
        <f>'ALL 2024 H2 D80'!$C$2</f>
        <v>46120</v>
      </c>
      <c r="D52" s="5">
        <v>3208</v>
      </c>
      <c r="E52" s="5">
        <v>320</v>
      </c>
      <c r="F52" s="5">
        <v>1</v>
      </c>
      <c r="G52" s="5">
        <v>4</v>
      </c>
      <c r="H52" s="5">
        <v>81495</v>
      </c>
      <c r="I52" s="5" t="s">
        <v>16</v>
      </c>
      <c r="J52" s="5">
        <v>16255206</v>
      </c>
      <c r="K52" s="5" t="s">
        <v>3124</v>
      </c>
      <c r="L52" s="19" t="s">
        <v>3127</v>
      </c>
      <c r="M52" s="22">
        <v>399900</v>
      </c>
      <c r="N52" s="7">
        <v>0.9</v>
      </c>
      <c r="O52" s="6">
        <f t="shared" si="2"/>
        <v>39990</v>
      </c>
      <c r="P52" s="5" t="s">
        <v>504</v>
      </c>
    </row>
    <row r="53" spans="1:16" s="1" customFormat="1" x14ac:dyDescent="0.35">
      <c r="A53" s="40" t="str">
        <f t="shared" si="1"/>
        <v>ALL 2024 H1 D90</v>
      </c>
      <c r="B53" s="8">
        <f>'ALL 2024 H2 D80'!$B$2</f>
        <v>46114</v>
      </c>
      <c r="C53" s="8">
        <f>'ALL 2024 H2 D80'!$C$2</f>
        <v>46120</v>
      </c>
      <c r="D53" s="5">
        <v>3208</v>
      </c>
      <c r="E53" s="5">
        <v>320</v>
      </c>
      <c r="F53" s="5">
        <v>1</v>
      </c>
      <c r="G53" s="5">
        <v>4</v>
      </c>
      <c r="H53" s="5">
        <v>81495</v>
      </c>
      <c r="I53" s="5" t="s">
        <v>16</v>
      </c>
      <c r="J53" s="5">
        <v>16255215</v>
      </c>
      <c r="K53" s="5" t="s">
        <v>3124</v>
      </c>
      <c r="L53" s="19" t="s">
        <v>3128</v>
      </c>
      <c r="M53" s="22">
        <v>399900</v>
      </c>
      <c r="N53" s="7">
        <v>0.9</v>
      </c>
      <c r="O53" s="6">
        <f t="shared" si="2"/>
        <v>39990</v>
      </c>
      <c r="P53" s="5" t="s">
        <v>504</v>
      </c>
    </row>
    <row r="54" spans="1:16" x14ac:dyDescent="0.35">
      <c r="A54" s="40" t="str">
        <f t="shared" si="1"/>
        <v>ALL 2024 H1 D90</v>
      </c>
      <c r="B54" s="8">
        <f>'ALL 2024 H2 D80'!$B$2</f>
        <v>46114</v>
      </c>
      <c r="C54" s="8">
        <f>'ALL 2024 H2 D80'!$C$2</f>
        <v>46120</v>
      </c>
      <c r="D54" s="5">
        <v>3208</v>
      </c>
      <c r="E54" s="5">
        <v>320</v>
      </c>
      <c r="F54" s="5">
        <v>1</v>
      </c>
      <c r="G54" s="27">
        <v>1</v>
      </c>
      <c r="H54" s="26">
        <v>81045</v>
      </c>
      <c r="I54" s="26" t="s">
        <v>16</v>
      </c>
      <c r="J54" s="26">
        <v>16811515</v>
      </c>
      <c r="K54" s="26" t="s">
        <v>3023</v>
      </c>
      <c r="L54" s="42" t="s">
        <v>3024</v>
      </c>
      <c r="M54" s="25">
        <v>269900</v>
      </c>
      <c r="N54" s="7">
        <v>0.9</v>
      </c>
      <c r="O54" s="6">
        <f t="shared" si="2"/>
        <v>26990</v>
      </c>
      <c r="P54" s="5" t="s">
        <v>504</v>
      </c>
    </row>
    <row r="55" spans="1:16" x14ac:dyDescent="0.35">
      <c r="A55" s="40" t="str">
        <f t="shared" si="1"/>
        <v>ALL 2024 H1 D90</v>
      </c>
      <c r="B55" s="8">
        <f>'ALL 2024 H2 D80'!$B$2</f>
        <v>46114</v>
      </c>
      <c r="C55" s="8">
        <f>'ALL 2024 H2 D80'!$C$2</f>
        <v>46120</v>
      </c>
      <c r="D55" s="5">
        <v>3208</v>
      </c>
      <c r="E55" s="5">
        <v>320</v>
      </c>
      <c r="F55" s="5">
        <v>1</v>
      </c>
      <c r="G55" s="27">
        <v>1</v>
      </c>
      <c r="H55" s="26">
        <v>81045</v>
      </c>
      <c r="I55" s="26" t="s">
        <v>16</v>
      </c>
      <c r="J55" s="26">
        <v>16811524</v>
      </c>
      <c r="K55" s="26" t="s">
        <v>3023</v>
      </c>
      <c r="L55" s="42" t="s">
        <v>3025</v>
      </c>
      <c r="M55" s="25">
        <v>269900</v>
      </c>
      <c r="N55" s="7">
        <v>0.9</v>
      </c>
      <c r="O55" s="6">
        <f t="shared" si="2"/>
        <v>26990</v>
      </c>
      <c r="P55" s="5" t="s">
        <v>504</v>
      </c>
    </row>
    <row r="56" spans="1:16" x14ac:dyDescent="0.35">
      <c r="A56" s="40" t="str">
        <f t="shared" si="1"/>
        <v>ALL 2024 H1 D90</v>
      </c>
      <c r="B56" s="8">
        <f>'ALL 2024 H2 D80'!$B$2</f>
        <v>46114</v>
      </c>
      <c r="C56" s="8">
        <f>'ALL 2024 H2 D80'!$C$2</f>
        <v>46120</v>
      </c>
      <c r="D56" s="5">
        <v>3208</v>
      </c>
      <c r="E56" s="5">
        <v>320</v>
      </c>
      <c r="F56" s="5">
        <v>1</v>
      </c>
      <c r="G56" s="27">
        <v>1</v>
      </c>
      <c r="H56" s="26">
        <v>81045</v>
      </c>
      <c r="I56" s="26" t="s">
        <v>16</v>
      </c>
      <c r="J56" s="26">
        <v>16811533</v>
      </c>
      <c r="K56" s="26" t="s">
        <v>3023</v>
      </c>
      <c r="L56" s="42" t="s">
        <v>3026</v>
      </c>
      <c r="M56" s="25">
        <v>269900</v>
      </c>
      <c r="N56" s="7">
        <v>0.9</v>
      </c>
      <c r="O56" s="6">
        <f t="shared" si="2"/>
        <v>26990</v>
      </c>
      <c r="P56" s="5" t="s">
        <v>504</v>
      </c>
    </row>
    <row r="57" spans="1:16" x14ac:dyDescent="0.35">
      <c r="A57" s="40" t="str">
        <f t="shared" si="1"/>
        <v>ALL 2024 H1 D90</v>
      </c>
      <c r="B57" s="8">
        <f>'ALL 2024 H2 D80'!$B$2</f>
        <v>46114</v>
      </c>
      <c r="C57" s="8">
        <f>'ALL 2024 H2 D80'!$C$2</f>
        <v>46120</v>
      </c>
      <c r="D57" s="5">
        <v>3208</v>
      </c>
      <c r="E57" s="5">
        <v>320</v>
      </c>
      <c r="F57" s="5">
        <v>1</v>
      </c>
      <c r="G57" s="27">
        <v>1</v>
      </c>
      <c r="H57" s="26">
        <v>81045</v>
      </c>
      <c r="I57" s="26" t="s">
        <v>16</v>
      </c>
      <c r="J57" s="26">
        <v>16811542</v>
      </c>
      <c r="K57" s="26" t="s">
        <v>3023</v>
      </c>
      <c r="L57" s="42" t="s">
        <v>3027</v>
      </c>
      <c r="M57" s="25">
        <v>269900</v>
      </c>
      <c r="N57" s="7">
        <v>0.9</v>
      </c>
      <c r="O57" s="6">
        <f t="shared" si="2"/>
        <v>26990</v>
      </c>
      <c r="P57" s="5" t="s">
        <v>504</v>
      </c>
    </row>
    <row r="58" spans="1:16" x14ac:dyDescent="0.35">
      <c r="A58" s="40" t="str">
        <f t="shared" si="1"/>
        <v>ALL 2024 H1 D90</v>
      </c>
      <c r="B58" s="8">
        <f>'ALL 2024 H2 D80'!$B$2</f>
        <v>46114</v>
      </c>
      <c r="C58" s="8">
        <f>'ALL 2024 H2 D80'!$C$2</f>
        <v>46120</v>
      </c>
      <c r="D58" s="5">
        <v>3208</v>
      </c>
      <c r="E58" s="5">
        <v>320</v>
      </c>
      <c r="F58" s="5">
        <v>1</v>
      </c>
      <c r="G58" s="27">
        <v>1</v>
      </c>
      <c r="H58" s="26">
        <v>81045</v>
      </c>
      <c r="I58" s="26" t="s">
        <v>16</v>
      </c>
      <c r="J58" s="26">
        <v>16811551</v>
      </c>
      <c r="K58" s="26" t="s">
        <v>3023</v>
      </c>
      <c r="L58" s="42" t="s">
        <v>3028</v>
      </c>
      <c r="M58" s="25">
        <v>269900</v>
      </c>
      <c r="N58" s="7">
        <v>0.9</v>
      </c>
      <c r="O58" s="6">
        <f t="shared" si="2"/>
        <v>26990</v>
      </c>
      <c r="P58" s="5" t="s">
        <v>504</v>
      </c>
    </row>
    <row r="59" spans="1:16" x14ac:dyDescent="0.35">
      <c r="A59" s="40" t="str">
        <f t="shared" si="1"/>
        <v>ALL 2024 H1 D90</v>
      </c>
      <c r="B59" s="8">
        <f>'ALL 2024 H2 D80'!$B$2</f>
        <v>46114</v>
      </c>
      <c r="C59" s="8">
        <f>'ALL 2024 H2 D80'!$C$2</f>
        <v>46120</v>
      </c>
      <c r="D59" s="5">
        <v>3208</v>
      </c>
      <c r="E59" s="5">
        <v>320</v>
      </c>
      <c r="F59" s="5">
        <v>1</v>
      </c>
      <c r="G59" s="27">
        <v>1</v>
      </c>
      <c r="H59" s="26">
        <v>81045</v>
      </c>
      <c r="I59" s="26" t="s">
        <v>16</v>
      </c>
      <c r="J59" s="26">
        <v>16811560</v>
      </c>
      <c r="K59" s="26" t="s">
        <v>3023</v>
      </c>
      <c r="L59" s="42" t="s">
        <v>3029</v>
      </c>
      <c r="M59" s="25">
        <v>269900</v>
      </c>
      <c r="N59" s="7">
        <v>0.9</v>
      </c>
      <c r="O59" s="6">
        <f t="shared" si="2"/>
        <v>26990</v>
      </c>
      <c r="P59" s="5" t="s">
        <v>504</v>
      </c>
    </row>
    <row r="60" spans="1:16" x14ac:dyDescent="0.35">
      <c r="A60" s="40" t="str">
        <f t="shared" si="1"/>
        <v>ALL 2024 H1 D90</v>
      </c>
      <c r="B60" s="8">
        <f>'ALL 2024 H2 D80'!$B$2</f>
        <v>46114</v>
      </c>
      <c r="C60" s="8">
        <f>'ALL 2024 H2 D80'!$C$2</f>
        <v>46120</v>
      </c>
      <c r="D60" s="5">
        <v>3208</v>
      </c>
      <c r="E60" s="5">
        <v>320</v>
      </c>
      <c r="F60" s="5">
        <v>1</v>
      </c>
      <c r="G60" s="27">
        <v>1</v>
      </c>
      <c r="H60" s="26">
        <v>81045</v>
      </c>
      <c r="I60" s="26" t="s">
        <v>16</v>
      </c>
      <c r="J60" s="26">
        <v>16811579</v>
      </c>
      <c r="K60" s="26" t="s">
        <v>3023</v>
      </c>
      <c r="L60" s="42" t="s">
        <v>3030</v>
      </c>
      <c r="M60" s="25">
        <v>269900</v>
      </c>
      <c r="N60" s="7">
        <v>0.9</v>
      </c>
      <c r="O60" s="6">
        <f t="shared" si="2"/>
        <v>26990</v>
      </c>
      <c r="P60" s="5" t="s">
        <v>504</v>
      </c>
    </row>
    <row r="61" spans="1:16" x14ac:dyDescent="0.35">
      <c r="A61" s="40" t="str">
        <f t="shared" si="1"/>
        <v>ALL 2024 H1 D90</v>
      </c>
      <c r="B61" s="8">
        <f>'ALL 2024 H2 D80'!$B$2</f>
        <v>46114</v>
      </c>
      <c r="C61" s="8">
        <f>'ALL 2024 H2 D80'!$C$2</f>
        <v>46120</v>
      </c>
      <c r="D61" s="5">
        <v>3208</v>
      </c>
      <c r="E61" s="5">
        <v>320</v>
      </c>
      <c r="F61" s="5">
        <v>1</v>
      </c>
      <c r="G61" s="27">
        <v>1</v>
      </c>
      <c r="H61" s="26">
        <v>81045</v>
      </c>
      <c r="I61" s="26" t="s">
        <v>16</v>
      </c>
      <c r="J61" s="26">
        <v>16811588</v>
      </c>
      <c r="K61" s="26" t="s">
        <v>3023</v>
      </c>
      <c r="L61" s="42" t="s">
        <v>3031</v>
      </c>
      <c r="M61" s="25">
        <v>269900</v>
      </c>
      <c r="N61" s="7">
        <v>0.9</v>
      </c>
      <c r="O61" s="6">
        <f t="shared" si="2"/>
        <v>26990</v>
      </c>
      <c r="P61" s="5" t="s">
        <v>504</v>
      </c>
    </row>
    <row r="62" spans="1:16" x14ac:dyDescent="0.35">
      <c r="A62" s="40" t="str">
        <f t="shared" si="1"/>
        <v>ALL 2024 H1 D90</v>
      </c>
      <c r="B62" s="8">
        <f>'ALL 2024 H2 D80'!$B$2</f>
        <v>46114</v>
      </c>
      <c r="C62" s="8">
        <f>'ALL 2024 H2 D80'!$C$2</f>
        <v>46120</v>
      </c>
      <c r="D62" s="5">
        <v>3208</v>
      </c>
      <c r="E62" s="5">
        <v>320</v>
      </c>
      <c r="F62" s="5">
        <v>1</v>
      </c>
      <c r="G62" s="27">
        <v>1</v>
      </c>
      <c r="H62" s="26">
        <v>81045</v>
      </c>
      <c r="I62" s="26" t="s">
        <v>16</v>
      </c>
      <c r="J62" s="26">
        <v>16811800</v>
      </c>
      <c r="K62" s="26" t="s">
        <v>3032</v>
      </c>
      <c r="L62" s="42" t="s">
        <v>3033</v>
      </c>
      <c r="M62" s="25">
        <v>199900</v>
      </c>
      <c r="N62" s="7">
        <v>0.9</v>
      </c>
      <c r="O62" s="6">
        <f t="shared" si="2"/>
        <v>19990</v>
      </c>
      <c r="P62" s="5" t="s">
        <v>504</v>
      </c>
    </row>
    <row r="63" spans="1:16" x14ac:dyDescent="0.35">
      <c r="A63" s="40" t="str">
        <f t="shared" si="1"/>
        <v>ALL 2024 H1 D90</v>
      </c>
      <c r="B63" s="8">
        <f>'ALL 2024 H2 D80'!$B$2</f>
        <v>46114</v>
      </c>
      <c r="C63" s="8">
        <f>'ALL 2024 H2 D80'!$C$2</f>
        <v>46120</v>
      </c>
      <c r="D63" s="5">
        <v>3208</v>
      </c>
      <c r="E63" s="5">
        <v>320</v>
      </c>
      <c r="F63" s="5">
        <v>1</v>
      </c>
      <c r="G63" s="27">
        <v>1</v>
      </c>
      <c r="H63" s="26">
        <v>81045</v>
      </c>
      <c r="I63" s="26" t="s">
        <v>16</v>
      </c>
      <c r="J63" s="26">
        <v>16811819</v>
      </c>
      <c r="K63" s="26" t="s">
        <v>3032</v>
      </c>
      <c r="L63" s="42" t="s">
        <v>3034</v>
      </c>
      <c r="M63" s="25">
        <v>199900</v>
      </c>
      <c r="N63" s="7">
        <v>0.9</v>
      </c>
      <c r="O63" s="6">
        <f t="shared" si="2"/>
        <v>19990</v>
      </c>
      <c r="P63" s="5" t="s">
        <v>504</v>
      </c>
    </row>
    <row r="64" spans="1:16" x14ac:dyDescent="0.35">
      <c r="A64" s="40" t="str">
        <f t="shared" si="1"/>
        <v>ALL 2024 H1 D90</v>
      </c>
      <c r="B64" s="8">
        <f>'ALL 2024 H2 D80'!$B$2</f>
        <v>46114</v>
      </c>
      <c r="C64" s="8">
        <f>'ALL 2024 H2 D80'!$C$2</f>
        <v>46120</v>
      </c>
      <c r="D64" s="5">
        <v>3208</v>
      </c>
      <c r="E64" s="5">
        <v>320</v>
      </c>
      <c r="F64" s="5">
        <v>1</v>
      </c>
      <c r="G64" s="27">
        <v>1</v>
      </c>
      <c r="H64" s="26">
        <v>81045</v>
      </c>
      <c r="I64" s="26" t="s">
        <v>16</v>
      </c>
      <c r="J64" s="26">
        <v>16811828</v>
      </c>
      <c r="K64" s="26" t="s">
        <v>3032</v>
      </c>
      <c r="L64" s="42" t="s">
        <v>3035</v>
      </c>
      <c r="M64" s="25">
        <v>199900</v>
      </c>
      <c r="N64" s="7">
        <v>0.9</v>
      </c>
      <c r="O64" s="6">
        <f t="shared" si="2"/>
        <v>19990</v>
      </c>
      <c r="P64" s="5" t="s">
        <v>504</v>
      </c>
    </row>
    <row r="65" spans="1:16" x14ac:dyDescent="0.35">
      <c r="A65" s="40" t="str">
        <f t="shared" si="1"/>
        <v>ALL 2024 H1 D90</v>
      </c>
      <c r="B65" s="8">
        <f>'ALL 2024 H2 D80'!$B$2</f>
        <v>46114</v>
      </c>
      <c r="C65" s="8">
        <f>'ALL 2024 H2 D80'!$C$2</f>
        <v>46120</v>
      </c>
      <c r="D65" s="5">
        <v>3208</v>
      </c>
      <c r="E65" s="5">
        <v>320</v>
      </c>
      <c r="F65" s="5">
        <v>1</v>
      </c>
      <c r="G65" s="27">
        <v>1</v>
      </c>
      <c r="H65" s="26">
        <v>81239</v>
      </c>
      <c r="I65" s="26" t="s">
        <v>16</v>
      </c>
      <c r="J65" s="26">
        <v>16401066</v>
      </c>
      <c r="K65" s="26" t="s">
        <v>3036</v>
      </c>
      <c r="L65" s="42" t="s">
        <v>3037</v>
      </c>
      <c r="M65" s="25">
        <v>249900</v>
      </c>
      <c r="N65" s="7">
        <v>0.9</v>
      </c>
      <c r="O65" s="6">
        <f t="shared" si="2"/>
        <v>24990</v>
      </c>
      <c r="P65" s="5" t="s">
        <v>504</v>
      </c>
    </row>
    <row r="66" spans="1:16" x14ac:dyDescent="0.35">
      <c r="A66" s="40" t="str">
        <f t="shared" si="1"/>
        <v>ALL 2024 H1 D90</v>
      </c>
      <c r="B66" s="8">
        <f>'ALL 2024 H2 D80'!$B$2</f>
        <v>46114</v>
      </c>
      <c r="C66" s="8">
        <f>'ALL 2024 H2 D80'!$C$2</f>
        <v>46120</v>
      </c>
      <c r="D66" s="5">
        <v>3208</v>
      </c>
      <c r="E66" s="5">
        <v>320</v>
      </c>
      <c r="F66" s="5">
        <v>1</v>
      </c>
      <c r="G66" s="27">
        <v>1</v>
      </c>
      <c r="H66" s="26">
        <v>81239</v>
      </c>
      <c r="I66" s="26" t="s">
        <v>16</v>
      </c>
      <c r="J66" s="26">
        <v>16401075</v>
      </c>
      <c r="K66" s="26" t="s">
        <v>3036</v>
      </c>
      <c r="L66" s="42" t="s">
        <v>3038</v>
      </c>
      <c r="M66" s="25">
        <v>249900</v>
      </c>
      <c r="N66" s="7">
        <v>0.9</v>
      </c>
      <c r="O66" s="6">
        <f t="shared" si="2"/>
        <v>24990</v>
      </c>
      <c r="P66" s="5" t="s">
        <v>504</v>
      </c>
    </row>
    <row r="67" spans="1:16" x14ac:dyDescent="0.35">
      <c r="A67" s="40" t="str">
        <f t="shared" si="1"/>
        <v>ALL 2024 H1 D90</v>
      </c>
      <c r="B67" s="8">
        <f>'ALL 2024 H2 D80'!$B$2</f>
        <v>46114</v>
      </c>
      <c r="C67" s="8">
        <f>'ALL 2024 H2 D80'!$C$2</f>
        <v>46120</v>
      </c>
      <c r="D67" s="5">
        <v>3208</v>
      </c>
      <c r="E67" s="5">
        <v>320</v>
      </c>
      <c r="F67" s="5">
        <v>1</v>
      </c>
      <c r="G67" s="27">
        <v>1</v>
      </c>
      <c r="H67" s="26">
        <v>81239</v>
      </c>
      <c r="I67" s="26" t="s">
        <v>16</v>
      </c>
      <c r="J67" s="26">
        <v>16401084</v>
      </c>
      <c r="K67" s="26" t="s">
        <v>3036</v>
      </c>
      <c r="L67" s="42" t="s">
        <v>3039</v>
      </c>
      <c r="M67" s="25">
        <v>249900</v>
      </c>
      <c r="N67" s="7">
        <v>0.9</v>
      </c>
      <c r="O67" s="6">
        <f t="shared" si="2"/>
        <v>24990</v>
      </c>
      <c r="P67" s="5" t="s">
        <v>504</v>
      </c>
    </row>
    <row r="68" spans="1:16" x14ac:dyDescent="0.35">
      <c r="A68" s="40" t="str">
        <f t="shared" si="1"/>
        <v>ALL 2024 H1 D90</v>
      </c>
      <c r="B68" s="8">
        <f>'ALL 2024 H2 D80'!$B$2</f>
        <v>46114</v>
      </c>
      <c r="C68" s="8">
        <f>'ALL 2024 H2 D80'!$C$2</f>
        <v>46120</v>
      </c>
      <c r="D68" s="5">
        <v>3208</v>
      </c>
      <c r="E68" s="5">
        <v>320</v>
      </c>
      <c r="F68" s="5">
        <v>1</v>
      </c>
      <c r="G68" s="27">
        <v>1</v>
      </c>
      <c r="H68" s="26">
        <v>81239</v>
      </c>
      <c r="I68" s="26" t="s">
        <v>16</v>
      </c>
      <c r="J68" s="26">
        <v>16401093</v>
      </c>
      <c r="K68" s="26" t="s">
        <v>3036</v>
      </c>
      <c r="L68" s="42" t="s">
        <v>3040</v>
      </c>
      <c r="M68" s="25">
        <v>249900</v>
      </c>
      <c r="N68" s="7">
        <v>0.9</v>
      </c>
      <c r="O68" s="6">
        <f t="shared" si="2"/>
        <v>24990</v>
      </c>
      <c r="P68" s="5" t="s">
        <v>504</v>
      </c>
    </row>
    <row r="69" spans="1:16" x14ac:dyDescent="0.35">
      <c r="A69" s="40" t="str">
        <f t="shared" ref="A69:A132" si="3">$A$2</f>
        <v>ALL 2024 H1 D90</v>
      </c>
      <c r="B69" s="8">
        <f>'ALL 2024 H2 D80'!$B$2</f>
        <v>46114</v>
      </c>
      <c r="C69" s="8">
        <f>'ALL 2024 H2 D80'!$C$2</f>
        <v>46120</v>
      </c>
      <c r="D69" s="5">
        <v>3208</v>
      </c>
      <c r="E69" s="5">
        <v>320</v>
      </c>
      <c r="F69" s="5">
        <v>1</v>
      </c>
      <c r="G69" s="27">
        <v>1</v>
      </c>
      <c r="H69" s="26">
        <v>81490</v>
      </c>
      <c r="I69" s="26" t="s">
        <v>16</v>
      </c>
      <c r="J69" s="26">
        <v>15664230</v>
      </c>
      <c r="K69" s="26" t="s">
        <v>284</v>
      </c>
      <c r="L69" s="42" t="s">
        <v>3009</v>
      </c>
      <c r="M69" s="25">
        <v>269900</v>
      </c>
      <c r="N69" s="7">
        <v>0.9</v>
      </c>
      <c r="O69" s="6">
        <f t="shared" si="2"/>
        <v>26990</v>
      </c>
      <c r="P69" s="5" t="s">
        <v>504</v>
      </c>
    </row>
    <row r="70" spans="1:16" x14ac:dyDescent="0.35">
      <c r="A70" s="40" t="str">
        <f t="shared" si="3"/>
        <v>ALL 2024 H1 D90</v>
      </c>
      <c r="B70" s="8">
        <f>'ALL 2024 H2 D80'!$B$2</f>
        <v>46114</v>
      </c>
      <c r="C70" s="8">
        <f>'ALL 2024 H2 D80'!$C$2</f>
        <v>46120</v>
      </c>
      <c r="D70" s="5">
        <v>3208</v>
      </c>
      <c r="E70" s="5">
        <v>320</v>
      </c>
      <c r="F70" s="5">
        <v>1</v>
      </c>
      <c r="G70" s="27">
        <v>1</v>
      </c>
      <c r="H70" s="26">
        <v>81490</v>
      </c>
      <c r="I70" s="26" t="s">
        <v>16</v>
      </c>
      <c r="J70" s="26">
        <v>15664249</v>
      </c>
      <c r="K70" s="26" t="s">
        <v>284</v>
      </c>
      <c r="L70" s="42" t="s">
        <v>3010</v>
      </c>
      <c r="M70" s="25">
        <v>269900</v>
      </c>
      <c r="N70" s="7">
        <v>0.9</v>
      </c>
      <c r="O70" s="6">
        <f t="shared" si="2"/>
        <v>26990</v>
      </c>
      <c r="P70" s="5" t="s">
        <v>504</v>
      </c>
    </row>
    <row r="71" spans="1:16" x14ac:dyDescent="0.35">
      <c r="A71" s="40" t="str">
        <f t="shared" si="3"/>
        <v>ALL 2024 H1 D90</v>
      </c>
      <c r="B71" s="8">
        <f>'ALL 2024 H2 D80'!$B$2</f>
        <v>46114</v>
      </c>
      <c r="C71" s="8">
        <f>'ALL 2024 H2 D80'!$C$2</f>
        <v>46120</v>
      </c>
      <c r="D71" s="5">
        <v>3208</v>
      </c>
      <c r="E71" s="5">
        <v>320</v>
      </c>
      <c r="F71" s="5">
        <v>1</v>
      </c>
      <c r="G71" s="27">
        <v>1</v>
      </c>
      <c r="H71" s="26">
        <v>81490</v>
      </c>
      <c r="I71" s="26" t="s">
        <v>16</v>
      </c>
      <c r="J71" s="26">
        <v>15664258</v>
      </c>
      <c r="K71" s="26" t="s">
        <v>284</v>
      </c>
      <c r="L71" s="42" t="s">
        <v>3011</v>
      </c>
      <c r="M71" s="25">
        <v>269900</v>
      </c>
      <c r="N71" s="7">
        <v>0.9</v>
      </c>
      <c r="O71" s="6">
        <f t="shared" si="2"/>
        <v>26990</v>
      </c>
      <c r="P71" s="5" t="s">
        <v>504</v>
      </c>
    </row>
    <row r="72" spans="1:16" x14ac:dyDescent="0.35">
      <c r="A72" s="40" t="str">
        <f t="shared" si="3"/>
        <v>ALL 2024 H1 D90</v>
      </c>
      <c r="B72" s="8">
        <f>'ALL 2024 H2 D80'!$B$2</f>
        <v>46114</v>
      </c>
      <c r="C72" s="8">
        <f>'ALL 2024 H2 D80'!$C$2</f>
        <v>46120</v>
      </c>
      <c r="D72" s="5">
        <v>3208</v>
      </c>
      <c r="E72" s="5">
        <v>320</v>
      </c>
      <c r="F72" s="5">
        <v>1</v>
      </c>
      <c r="G72" s="27">
        <v>1</v>
      </c>
      <c r="H72" s="26">
        <v>81490</v>
      </c>
      <c r="I72" s="26" t="s">
        <v>16</v>
      </c>
      <c r="J72" s="26">
        <v>15664267</v>
      </c>
      <c r="K72" s="26" t="s">
        <v>284</v>
      </c>
      <c r="L72" s="42" t="s">
        <v>3012</v>
      </c>
      <c r="M72" s="25">
        <v>269900</v>
      </c>
      <c r="N72" s="7">
        <v>0.9</v>
      </c>
      <c r="O72" s="6">
        <f t="shared" si="2"/>
        <v>26990</v>
      </c>
      <c r="P72" s="5" t="s">
        <v>504</v>
      </c>
    </row>
    <row r="73" spans="1:16" x14ac:dyDescent="0.35">
      <c r="A73" s="40" t="str">
        <f t="shared" si="3"/>
        <v>ALL 2024 H1 D90</v>
      </c>
      <c r="B73" s="8">
        <f>'ALL 2024 H2 D80'!$B$2</f>
        <v>46114</v>
      </c>
      <c r="C73" s="8">
        <f>'ALL 2024 H2 D80'!$C$2</f>
        <v>46120</v>
      </c>
      <c r="D73" s="5">
        <v>3208</v>
      </c>
      <c r="E73" s="5">
        <v>320</v>
      </c>
      <c r="F73" s="5">
        <v>1</v>
      </c>
      <c r="G73" s="27">
        <v>1</v>
      </c>
      <c r="H73" s="26">
        <v>81809</v>
      </c>
      <c r="I73" s="26" t="s">
        <v>16</v>
      </c>
      <c r="J73" s="26">
        <v>15971372</v>
      </c>
      <c r="K73" s="26" t="s">
        <v>517</v>
      </c>
      <c r="L73" s="42" t="s">
        <v>3292</v>
      </c>
      <c r="M73" s="25">
        <v>229900</v>
      </c>
      <c r="N73" s="7">
        <v>0.9</v>
      </c>
      <c r="O73" s="6">
        <f t="shared" si="2"/>
        <v>22990</v>
      </c>
      <c r="P73" s="5" t="s">
        <v>504</v>
      </c>
    </row>
    <row r="74" spans="1:16" x14ac:dyDescent="0.35">
      <c r="A74" s="40" t="str">
        <f t="shared" si="3"/>
        <v>ALL 2024 H1 D90</v>
      </c>
      <c r="B74" s="8">
        <f>'ALL 2024 H2 D80'!$B$2</f>
        <v>46114</v>
      </c>
      <c r="C74" s="8">
        <f>'ALL 2024 H2 D80'!$C$2</f>
        <v>46120</v>
      </c>
      <c r="D74" s="5">
        <v>3208</v>
      </c>
      <c r="E74" s="5">
        <v>320</v>
      </c>
      <c r="F74" s="5">
        <v>1</v>
      </c>
      <c r="G74" s="27">
        <v>1</v>
      </c>
      <c r="H74" s="26">
        <v>81809</v>
      </c>
      <c r="I74" s="26" t="s">
        <v>16</v>
      </c>
      <c r="J74" s="26">
        <v>15971381</v>
      </c>
      <c r="K74" s="26" t="s">
        <v>517</v>
      </c>
      <c r="L74" s="42" t="s">
        <v>3293</v>
      </c>
      <c r="M74" s="25">
        <v>229900</v>
      </c>
      <c r="N74" s="7">
        <v>0.9</v>
      </c>
      <c r="O74" s="6">
        <f t="shared" si="2"/>
        <v>22990</v>
      </c>
      <c r="P74" s="5" t="s">
        <v>504</v>
      </c>
    </row>
    <row r="75" spans="1:16" x14ac:dyDescent="0.35">
      <c r="A75" s="40" t="str">
        <f t="shared" si="3"/>
        <v>ALL 2024 H1 D90</v>
      </c>
      <c r="B75" s="8">
        <f>'ALL 2024 H2 D80'!$B$2</f>
        <v>46114</v>
      </c>
      <c r="C75" s="8">
        <f>'ALL 2024 H2 D80'!$C$2</f>
        <v>46120</v>
      </c>
      <c r="D75" s="5">
        <v>3208</v>
      </c>
      <c r="E75" s="5">
        <v>320</v>
      </c>
      <c r="F75" s="5">
        <v>1</v>
      </c>
      <c r="G75" s="27">
        <v>1</v>
      </c>
      <c r="H75" s="26">
        <v>81809</v>
      </c>
      <c r="I75" s="26" t="s">
        <v>16</v>
      </c>
      <c r="J75" s="26">
        <v>15971390</v>
      </c>
      <c r="K75" s="26" t="s">
        <v>517</v>
      </c>
      <c r="L75" s="42" t="s">
        <v>3294</v>
      </c>
      <c r="M75" s="25">
        <v>229900</v>
      </c>
      <c r="N75" s="7">
        <v>0.9</v>
      </c>
      <c r="O75" s="6">
        <f t="shared" si="2"/>
        <v>22990</v>
      </c>
      <c r="P75" s="5" t="s">
        <v>504</v>
      </c>
    </row>
    <row r="76" spans="1:16" x14ac:dyDescent="0.35">
      <c r="A76" s="40" t="str">
        <f t="shared" si="3"/>
        <v>ALL 2024 H1 D90</v>
      </c>
      <c r="B76" s="8">
        <f>'ALL 2024 H2 D80'!$B$2</f>
        <v>46114</v>
      </c>
      <c r="C76" s="8">
        <f>'ALL 2024 H2 D80'!$C$2</f>
        <v>46120</v>
      </c>
      <c r="D76" s="5">
        <v>3208</v>
      </c>
      <c r="E76" s="5">
        <v>320</v>
      </c>
      <c r="F76" s="5">
        <v>1</v>
      </c>
      <c r="G76" s="27">
        <v>1</v>
      </c>
      <c r="H76" s="26">
        <v>81809</v>
      </c>
      <c r="I76" s="26" t="s">
        <v>16</v>
      </c>
      <c r="J76" s="26">
        <v>15971407</v>
      </c>
      <c r="K76" s="26" t="s">
        <v>517</v>
      </c>
      <c r="L76" s="42" t="s">
        <v>3295</v>
      </c>
      <c r="M76" s="25">
        <v>229900</v>
      </c>
      <c r="N76" s="7">
        <v>0.9</v>
      </c>
      <c r="O76" s="6">
        <f t="shared" ref="O76:O139" si="4">M76-(M76*N76)</f>
        <v>22990</v>
      </c>
      <c r="P76" s="5" t="s">
        <v>504</v>
      </c>
    </row>
    <row r="77" spans="1:16" x14ac:dyDescent="0.35">
      <c r="A77" s="40" t="str">
        <f t="shared" si="3"/>
        <v>ALL 2024 H1 D90</v>
      </c>
      <c r="B77" s="8">
        <f>'ALL 2024 H2 D80'!$B$2</f>
        <v>46114</v>
      </c>
      <c r="C77" s="8">
        <f>'ALL 2024 H2 D80'!$C$2</f>
        <v>46120</v>
      </c>
      <c r="D77" s="5">
        <v>3208</v>
      </c>
      <c r="E77" s="5">
        <v>320</v>
      </c>
      <c r="F77" s="5">
        <v>1</v>
      </c>
      <c r="G77" s="27">
        <v>1</v>
      </c>
      <c r="H77" s="26">
        <v>81809</v>
      </c>
      <c r="I77" s="26" t="s">
        <v>16</v>
      </c>
      <c r="J77" s="26">
        <v>15971416</v>
      </c>
      <c r="K77" s="26" t="s">
        <v>517</v>
      </c>
      <c r="L77" s="42" t="s">
        <v>3296</v>
      </c>
      <c r="M77" s="25">
        <v>229900</v>
      </c>
      <c r="N77" s="7">
        <v>0.9</v>
      </c>
      <c r="O77" s="6">
        <f t="shared" si="4"/>
        <v>22990</v>
      </c>
      <c r="P77" s="5" t="s">
        <v>504</v>
      </c>
    </row>
    <row r="78" spans="1:16" x14ac:dyDescent="0.35">
      <c r="A78" s="40" t="str">
        <f t="shared" si="3"/>
        <v>ALL 2024 H1 D90</v>
      </c>
      <c r="B78" s="8">
        <f>'ALL 2024 H2 D80'!$B$2</f>
        <v>46114</v>
      </c>
      <c r="C78" s="8">
        <f>'ALL 2024 H2 D80'!$C$2</f>
        <v>46120</v>
      </c>
      <c r="D78" s="5">
        <v>3208</v>
      </c>
      <c r="E78" s="5">
        <v>320</v>
      </c>
      <c r="F78" s="5">
        <v>1</v>
      </c>
      <c r="G78" s="27">
        <v>1</v>
      </c>
      <c r="H78" s="26">
        <v>81809</v>
      </c>
      <c r="I78" s="26" t="s">
        <v>16</v>
      </c>
      <c r="J78" s="26">
        <v>15971425</v>
      </c>
      <c r="K78" s="26" t="s">
        <v>517</v>
      </c>
      <c r="L78" s="42" t="s">
        <v>3297</v>
      </c>
      <c r="M78" s="25">
        <v>229900</v>
      </c>
      <c r="N78" s="7">
        <v>0.9</v>
      </c>
      <c r="O78" s="6">
        <f t="shared" si="4"/>
        <v>22990</v>
      </c>
      <c r="P78" s="5" t="s">
        <v>504</v>
      </c>
    </row>
    <row r="79" spans="1:16" x14ac:dyDescent="0.35">
      <c r="A79" s="40" t="str">
        <f t="shared" si="3"/>
        <v>ALL 2024 H1 D90</v>
      </c>
      <c r="B79" s="8">
        <f>'ALL 2024 H2 D80'!$B$2</f>
        <v>46114</v>
      </c>
      <c r="C79" s="8">
        <f>'ALL 2024 H2 D80'!$C$2</f>
        <v>46120</v>
      </c>
      <c r="D79" s="5">
        <v>3208</v>
      </c>
      <c r="E79" s="5">
        <v>320</v>
      </c>
      <c r="F79" s="5">
        <v>1</v>
      </c>
      <c r="G79" s="27">
        <v>1</v>
      </c>
      <c r="H79" s="26">
        <v>81809</v>
      </c>
      <c r="I79" s="26" t="s">
        <v>16</v>
      </c>
      <c r="J79" s="26">
        <v>15978268</v>
      </c>
      <c r="K79" s="26" t="s">
        <v>517</v>
      </c>
      <c r="L79" s="42" t="s">
        <v>3298</v>
      </c>
      <c r="M79" s="25">
        <v>229900</v>
      </c>
      <c r="N79" s="7">
        <v>0.9</v>
      </c>
      <c r="O79" s="6">
        <f t="shared" si="4"/>
        <v>22990</v>
      </c>
      <c r="P79" s="5" t="s">
        <v>504</v>
      </c>
    </row>
    <row r="80" spans="1:16" x14ac:dyDescent="0.35">
      <c r="A80" s="40" t="str">
        <f t="shared" si="3"/>
        <v>ALL 2024 H1 D90</v>
      </c>
      <c r="B80" s="8">
        <f>'ALL 2024 H2 D80'!$B$2</f>
        <v>46114</v>
      </c>
      <c r="C80" s="8">
        <f>'ALL 2024 H2 D80'!$C$2</f>
        <v>46120</v>
      </c>
      <c r="D80" s="5">
        <v>3208</v>
      </c>
      <c r="E80" s="5">
        <v>320</v>
      </c>
      <c r="F80" s="5">
        <v>1</v>
      </c>
      <c r="G80" s="27">
        <v>1</v>
      </c>
      <c r="H80" s="26">
        <v>81809</v>
      </c>
      <c r="I80" s="26" t="s">
        <v>16</v>
      </c>
      <c r="J80" s="26">
        <v>15978277</v>
      </c>
      <c r="K80" s="26" t="s">
        <v>517</v>
      </c>
      <c r="L80" s="42" t="s">
        <v>3299</v>
      </c>
      <c r="M80" s="25">
        <v>229900</v>
      </c>
      <c r="N80" s="7">
        <v>0.9</v>
      </c>
      <c r="O80" s="6">
        <f t="shared" si="4"/>
        <v>22990</v>
      </c>
      <c r="P80" s="5" t="s">
        <v>504</v>
      </c>
    </row>
    <row r="81" spans="1:16" x14ac:dyDescent="0.35">
      <c r="A81" s="40" t="str">
        <f t="shared" si="3"/>
        <v>ALL 2024 H1 D90</v>
      </c>
      <c r="B81" s="8">
        <f>'ALL 2024 H2 D80'!$B$2</f>
        <v>46114</v>
      </c>
      <c r="C81" s="8">
        <f>'ALL 2024 H2 D80'!$C$2</f>
        <v>46120</v>
      </c>
      <c r="D81" s="5">
        <v>3208</v>
      </c>
      <c r="E81" s="5">
        <v>320</v>
      </c>
      <c r="F81" s="5">
        <v>1</v>
      </c>
      <c r="G81" s="27">
        <v>1</v>
      </c>
      <c r="H81" s="26">
        <v>81809</v>
      </c>
      <c r="I81" s="26" t="s">
        <v>16</v>
      </c>
      <c r="J81" s="26">
        <v>79674074</v>
      </c>
      <c r="K81" s="26" t="s">
        <v>517</v>
      </c>
      <c r="L81" s="42" t="s">
        <v>2967</v>
      </c>
      <c r="M81" s="25">
        <v>229900</v>
      </c>
      <c r="N81" s="7">
        <v>0.9</v>
      </c>
      <c r="O81" s="6">
        <f t="shared" si="4"/>
        <v>22990</v>
      </c>
      <c r="P81" s="5" t="s">
        <v>504</v>
      </c>
    </row>
    <row r="82" spans="1:16" x14ac:dyDescent="0.35">
      <c r="A82" s="40" t="str">
        <f t="shared" si="3"/>
        <v>ALL 2024 H1 D90</v>
      </c>
      <c r="B82" s="8">
        <f>'ALL 2024 H2 D80'!$B$2</f>
        <v>46114</v>
      </c>
      <c r="C82" s="8">
        <f>'ALL 2024 H2 D80'!$C$2</f>
        <v>46120</v>
      </c>
      <c r="D82" s="5">
        <v>3208</v>
      </c>
      <c r="E82" s="5">
        <v>320</v>
      </c>
      <c r="F82" s="5">
        <v>1</v>
      </c>
      <c r="G82" s="27">
        <v>1</v>
      </c>
      <c r="H82" s="26">
        <v>81809</v>
      </c>
      <c r="I82" s="26" t="s">
        <v>16</v>
      </c>
      <c r="J82" s="26">
        <v>79674083</v>
      </c>
      <c r="K82" s="26" t="s">
        <v>517</v>
      </c>
      <c r="L82" s="42" t="s">
        <v>2968</v>
      </c>
      <c r="M82" s="25">
        <v>229900</v>
      </c>
      <c r="N82" s="7">
        <v>0.9</v>
      </c>
      <c r="O82" s="6">
        <f t="shared" si="4"/>
        <v>22990</v>
      </c>
      <c r="P82" s="5" t="s">
        <v>504</v>
      </c>
    </row>
    <row r="83" spans="1:16" x14ac:dyDescent="0.35">
      <c r="A83" s="40" t="str">
        <f t="shared" si="3"/>
        <v>ALL 2024 H1 D90</v>
      </c>
      <c r="B83" s="8">
        <f>'ALL 2024 H2 D80'!$B$2</f>
        <v>46114</v>
      </c>
      <c r="C83" s="8">
        <f>'ALL 2024 H2 D80'!$C$2</f>
        <v>46120</v>
      </c>
      <c r="D83" s="5">
        <v>3208</v>
      </c>
      <c r="E83" s="5">
        <v>320</v>
      </c>
      <c r="F83" s="5">
        <v>1</v>
      </c>
      <c r="G83" s="27">
        <v>1</v>
      </c>
      <c r="H83" s="26">
        <v>81809</v>
      </c>
      <c r="I83" s="26" t="s">
        <v>16</v>
      </c>
      <c r="J83" s="26">
        <v>79674092</v>
      </c>
      <c r="K83" s="26" t="s">
        <v>517</v>
      </c>
      <c r="L83" s="42" t="s">
        <v>2969</v>
      </c>
      <c r="M83" s="25">
        <v>229900</v>
      </c>
      <c r="N83" s="7">
        <v>0.9</v>
      </c>
      <c r="O83" s="6">
        <f t="shared" si="4"/>
        <v>22990</v>
      </c>
      <c r="P83" s="5" t="s">
        <v>504</v>
      </c>
    </row>
    <row r="84" spans="1:16" x14ac:dyDescent="0.35">
      <c r="A84" s="40" t="str">
        <f t="shared" si="3"/>
        <v>ALL 2024 H1 D90</v>
      </c>
      <c r="B84" s="8">
        <f>'ALL 2024 H2 D80'!$B$2</f>
        <v>46114</v>
      </c>
      <c r="C84" s="8">
        <f>'ALL 2024 H2 D80'!$C$2</f>
        <v>46120</v>
      </c>
      <c r="D84" s="5">
        <v>3208</v>
      </c>
      <c r="E84" s="5">
        <v>320</v>
      </c>
      <c r="F84" s="5">
        <v>1</v>
      </c>
      <c r="G84" s="27">
        <v>1</v>
      </c>
      <c r="H84" s="26">
        <v>81809</v>
      </c>
      <c r="I84" s="26" t="s">
        <v>16</v>
      </c>
      <c r="J84" s="26">
        <v>79674109</v>
      </c>
      <c r="K84" s="26" t="s">
        <v>517</v>
      </c>
      <c r="L84" s="42" t="s">
        <v>2970</v>
      </c>
      <c r="M84" s="25">
        <v>229900</v>
      </c>
      <c r="N84" s="7">
        <v>0.9</v>
      </c>
      <c r="O84" s="6">
        <f t="shared" si="4"/>
        <v>22990</v>
      </c>
      <c r="P84" s="5" t="s">
        <v>504</v>
      </c>
    </row>
    <row r="85" spans="1:16" x14ac:dyDescent="0.35">
      <c r="A85" s="40" t="str">
        <f t="shared" si="3"/>
        <v>ALL 2024 H1 D90</v>
      </c>
      <c r="B85" s="8">
        <f>'ALL 2024 H2 D80'!$B$2</f>
        <v>46114</v>
      </c>
      <c r="C85" s="8">
        <f>'ALL 2024 H2 D80'!$C$2</f>
        <v>46120</v>
      </c>
      <c r="D85" s="5">
        <v>3208</v>
      </c>
      <c r="E85" s="5">
        <v>320</v>
      </c>
      <c r="F85" s="5">
        <v>1</v>
      </c>
      <c r="G85" s="27">
        <v>1</v>
      </c>
      <c r="H85" s="26">
        <v>81809</v>
      </c>
      <c r="I85" s="26" t="s">
        <v>16</v>
      </c>
      <c r="J85" s="26">
        <v>79674118</v>
      </c>
      <c r="K85" s="26" t="s">
        <v>517</v>
      </c>
      <c r="L85" s="42" t="s">
        <v>2971</v>
      </c>
      <c r="M85" s="25">
        <v>229900</v>
      </c>
      <c r="N85" s="7">
        <v>0.9</v>
      </c>
      <c r="O85" s="6">
        <f t="shared" si="4"/>
        <v>22990</v>
      </c>
      <c r="P85" s="5" t="s">
        <v>504</v>
      </c>
    </row>
    <row r="86" spans="1:16" x14ac:dyDescent="0.35">
      <c r="A86" s="40" t="str">
        <f t="shared" si="3"/>
        <v>ALL 2024 H1 D90</v>
      </c>
      <c r="B86" s="8">
        <f>'ALL 2024 H2 D80'!$B$2</f>
        <v>46114</v>
      </c>
      <c r="C86" s="8">
        <f>'ALL 2024 H2 D80'!$C$2</f>
        <v>46120</v>
      </c>
      <c r="D86" s="5">
        <v>3208</v>
      </c>
      <c r="E86" s="5">
        <v>320</v>
      </c>
      <c r="F86" s="5">
        <v>1</v>
      </c>
      <c r="G86" s="27">
        <v>1</v>
      </c>
      <c r="H86" s="26">
        <v>81809</v>
      </c>
      <c r="I86" s="26" t="s">
        <v>16</v>
      </c>
      <c r="J86" s="26">
        <v>79674127</v>
      </c>
      <c r="K86" s="26" t="s">
        <v>517</v>
      </c>
      <c r="L86" s="42" t="s">
        <v>2972</v>
      </c>
      <c r="M86" s="25">
        <v>229900</v>
      </c>
      <c r="N86" s="7">
        <v>0.9</v>
      </c>
      <c r="O86" s="6">
        <f t="shared" si="4"/>
        <v>22990</v>
      </c>
      <c r="P86" s="5" t="s">
        <v>504</v>
      </c>
    </row>
    <row r="87" spans="1:16" x14ac:dyDescent="0.35">
      <c r="A87" s="40" t="str">
        <f t="shared" si="3"/>
        <v>ALL 2024 H1 D90</v>
      </c>
      <c r="B87" s="8">
        <f>'ALL 2024 H2 D80'!$B$2</f>
        <v>46114</v>
      </c>
      <c r="C87" s="8">
        <f>'ALL 2024 H2 D80'!$C$2</f>
        <v>46120</v>
      </c>
      <c r="D87" s="5">
        <v>3208</v>
      </c>
      <c r="E87" s="5">
        <v>320</v>
      </c>
      <c r="F87" s="5">
        <v>1</v>
      </c>
      <c r="G87" s="27">
        <v>1</v>
      </c>
      <c r="H87" s="26">
        <v>81809</v>
      </c>
      <c r="I87" s="26" t="s">
        <v>16</v>
      </c>
      <c r="J87" s="26">
        <v>79674163</v>
      </c>
      <c r="K87" s="26" t="s">
        <v>517</v>
      </c>
      <c r="L87" s="42" t="s">
        <v>2973</v>
      </c>
      <c r="M87" s="25">
        <v>229900</v>
      </c>
      <c r="N87" s="7">
        <v>0.9</v>
      </c>
      <c r="O87" s="6">
        <f t="shared" si="4"/>
        <v>22990</v>
      </c>
      <c r="P87" s="5" t="s">
        <v>504</v>
      </c>
    </row>
    <row r="88" spans="1:16" x14ac:dyDescent="0.35">
      <c r="A88" s="40" t="str">
        <f t="shared" si="3"/>
        <v>ALL 2024 H1 D90</v>
      </c>
      <c r="B88" s="8">
        <f>'ALL 2024 H2 D80'!$B$2</f>
        <v>46114</v>
      </c>
      <c r="C88" s="8">
        <f>'ALL 2024 H2 D80'!$C$2</f>
        <v>46120</v>
      </c>
      <c r="D88" s="5">
        <v>3208</v>
      </c>
      <c r="E88" s="5">
        <v>320</v>
      </c>
      <c r="F88" s="5">
        <v>1</v>
      </c>
      <c r="G88" s="27">
        <v>1</v>
      </c>
      <c r="H88" s="26">
        <v>81809</v>
      </c>
      <c r="I88" s="26" t="s">
        <v>16</v>
      </c>
      <c r="J88" s="26">
        <v>79674172</v>
      </c>
      <c r="K88" s="26" t="s">
        <v>517</v>
      </c>
      <c r="L88" s="42" t="s">
        <v>2974</v>
      </c>
      <c r="M88" s="25">
        <v>229900</v>
      </c>
      <c r="N88" s="7">
        <v>0.9</v>
      </c>
      <c r="O88" s="6">
        <f t="shared" si="4"/>
        <v>22990</v>
      </c>
      <c r="P88" s="5" t="s">
        <v>504</v>
      </c>
    </row>
    <row r="89" spans="1:16" x14ac:dyDescent="0.35">
      <c r="A89" s="40" t="str">
        <f t="shared" si="3"/>
        <v>ALL 2024 H1 D90</v>
      </c>
      <c r="B89" s="8">
        <f>'ALL 2024 H2 D80'!$B$2</f>
        <v>46114</v>
      </c>
      <c r="C89" s="8">
        <f>'ALL 2024 H2 D80'!$C$2</f>
        <v>46120</v>
      </c>
      <c r="D89" s="5">
        <v>3208</v>
      </c>
      <c r="E89" s="5">
        <v>320</v>
      </c>
      <c r="F89" s="5">
        <v>1</v>
      </c>
      <c r="G89" s="27">
        <v>1</v>
      </c>
      <c r="H89" s="26">
        <v>81809</v>
      </c>
      <c r="I89" s="26" t="s">
        <v>16</v>
      </c>
      <c r="J89" s="26">
        <v>15943590</v>
      </c>
      <c r="K89" s="26" t="s">
        <v>3057</v>
      </c>
      <c r="L89" s="42" t="s">
        <v>3058</v>
      </c>
      <c r="M89" s="25">
        <v>249900</v>
      </c>
      <c r="N89" s="7">
        <v>0.9</v>
      </c>
      <c r="O89" s="6">
        <f t="shared" si="4"/>
        <v>24990</v>
      </c>
      <c r="P89" s="5" t="s">
        <v>504</v>
      </c>
    </row>
    <row r="90" spans="1:16" x14ac:dyDescent="0.35">
      <c r="A90" s="40" t="str">
        <f t="shared" si="3"/>
        <v>ALL 2024 H1 D90</v>
      </c>
      <c r="B90" s="8">
        <f>'ALL 2024 H2 D80'!$B$2</f>
        <v>46114</v>
      </c>
      <c r="C90" s="8">
        <f>'ALL 2024 H2 D80'!$C$2</f>
        <v>46120</v>
      </c>
      <c r="D90" s="5">
        <v>3208</v>
      </c>
      <c r="E90" s="5">
        <v>320</v>
      </c>
      <c r="F90" s="5">
        <v>1</v>
      </c>
      <c r="G90" s="27">
        <v>1</v>
      </c>
      <c r="H90" s="26">
        <v>81809</v>
      </c>
      <c r="I90" s="26" t="s">
        <v>16</v>
      </c>
      <c r="J90" s="26">
        <v>15943607</v>
      </c>
      <c r="K90" s="26" t="s">
        <v>3057</v>
      </c>
      <c r="L90" s="42" t="s">
        <v>3059</v>
      </c>
      <c r="M90" s="25">
        <v>249900</v>
      </c>
      <c r="N90" s="7">
        <v>0.9</v>
      </c>
      <c r="O90" s="6">
        <f t="shared" si="4"/>
        <v>24990</v>
      </c>
      <c r="P90" s="5" t="s">
        <v>504</v>
      </c>
    </row>
    <row r="91" spans="1:16" x14ac:dyDescent="0.35">
      <c r="A91" s="40" t="str">
        <f t="shared" si="3"/>
        <v>ALL 2024 H1 D90</v>
      </c>
      <c r="B91" s="8">
        <f>'ALL 2024 H2 D80'!$B$2</f>
        <v>46114</v>
      </c>
      <c r="C91" s="8">
        <f>'ALL 2024 H2 D80'!$C$2</f>
        <v>46120</v>
      </c>
      <c r="D91" s="5">
        <v>3208</v>
      </c>
      <c r="E91" s="5">
        <v>320</v>
      </c>
      <c r="F91" s="5">
        <v>1</v>
      </c>
      <c r="G91" s="27">
        <v>1</v>
      </c>
      <c r="H91" s="26">
        <v>81809</v>
      </c>
      <c r="I91" s="26" t="s">
        <v>16</v>
      </c>
      <c r="J91" s="26">
        <v>15943616</v>
      </c>
      <c r="K91" s="26" t="s">
        <v>3057</v>
      </c>
      <c r="L91" s="42" t="s">
        <v>3060</v>
      </c>
      <c r="M91" s="25">
        <v>249900</v>
      </c>
      <c r="N91" s="7">
        <v>0.9</v>
      </c>
      <c r="O91" s="6">
        <f t="shared" si="4"/>
        <v>24990</v>
      </c>
      <c r="P91" s="5" t="s">
        <v>504</v>
      </c>
    </row>
    <row r="92" spans="1:16" x14ac:dyDescent="0.35">
      <c r="A92" s="40" t="str">
        <f t="shared" si="3"/>
        <v>ALL 2024 H1 D90</v>
      </c>
      <c r="B92" s="8">
        <f>'ALL 2024 H2 D80'!$B$2</f>
        <v>46114</v>
      </c>
      <c r="C92" s="8">
        <f>'ALL 2024 H2 D80'!$C$2</f>
        <v>46120</v>
      </c>
      <c r="D92" s="5">
        <v>3208</v>
      </c>
      <c r="E92" s="5">
        <v>320</v>
      </c>
      <c r="F92" s="5">
        <v>1</v>
      </c>
      <c r="G92" s="27">
        <v>1</v>
      </c>
      <c r="H92" s="26">
        <v>81809</v>
      </c>
      <c r="I92" s="26" t="s">
        <v>16</v>
      </c>
      <c r="J92" s="26">
        <v>15943625</v>
      </c>
      <c r="K92" s="26" t="s">
        <v>3057</v>
      </c>
      <c r="L92" s="42" t="s">
        <v>3061</v>
      </c>
      <c r="M92" s="25">
        <v>249900</v>
      </c>
      <c r="N92" s="7">
        <v>0.9</v>
      </c>
      <c r="O92" s="6">
        <f t="shared" si="4"/>
        <v>24990</v>
      </c>
      <c r="P92" s="5" t="s">
        <v>504</v>
      </c>
    </row>
    <row r="93" spans="1:16" x14ac:dyDescent="0.35">
      <c r="A93" s="40" t="str">
        <f t="shared" si="3"/>
        <v>ALL 2024 H1 D90</v>
      </c>
      <c r="B93" s="8">
        <f>'ALL 2024 H2 D80'!$B$2</f>
        <v>46114</v>
      </c>
      <c r="C93" s="8">
        <f>'ALL 2024 H2 D80'!$C$2</f>
        <v>46120</v>
      </c>
      <c r="D93" s="5">
        <v>3208</v>
      </c>
      <c r="E93" s="5">
        <v>320</v>
      </c>
      <c r="F93" s="5">
        <v>1</v>
      </c>
      <c r="G93" s="27">
        <v>1</v>
      </c>
      <c r="H93" s="26">
        <v>81809</v>
      </c>
      <c r="I93" s="26" t="s">
        <v>16</v>
      </c>
      <c r="J93" s="26">
        <v>15943634</v>
      </c>
      <c r="K93" s="26" t="s">
        <v>3057</v>
      </c>
      <c r="L93" s="42" t="s">
        <v>3062</v>
      </c>
      <c r="M93" s="25">
        <v>249900</v>
      </c>
      <c r="N93" s="7">
        <v>0.9</v>
      </c>
      <c r="O93" s="6">
        <f t="shared" si="4"/>
        <v>24990</v>
      </c>
      <c r="P93" s="5" t="s">
        <v>504</v>
      </c>
    </row>
    <row r="94" spans="1:16" x14ac:dyDescent="0.35">
      <c r="A94" s="40" t="str">
        <f t="shared" si="3"/>
        <v>ALL 2024 H1 D90</v>
      </c>
      <c r="B94" s="8">
        <f>'ALL 2024 H2 D80'!$B$2</f>
        <v>46114</v>
      </c>
      <c r="C94" s="8">
        <f>'ALL 2024 H2 D80'!$C$2</f>
        <v>46120</v>
      </c>
      <c r="D94" s="5">
        <v>3208</v>
      </c>
      <c r="E94" s="5">
        <v>320</v>
      </c>
      <c r="F94" s="5">
        <v>1</v>
      </c>
      <c r="G94" s="27">
        <v>1</v>
      </c>
      <c r="H94" s="26">
        <v>81809</v>
      </c>
      <c r="I94" s="26" t="s">
        <v>16</v>
      </c>
      <c r="J94" s="26">
        <v>15943643</v>
      </c>
      <c r="K94" s="26" t="s">
        <v>3057</v>
      </c>
      <c r="L94" s="42" t="s">
        <v>3063</v>
      </c>
      <c r="M94" s="25">
        <v>249900</v>
      </c>
      <c r="N94" s="7">
        <v>0.9</v>
      </c>
      <c r="O94" s="6">
        <f t="shared" si="4"/>
        <v>24990</v>
      </c>
      <c r="P94" s="5" t="s">
        <v>504</v>
      </c>
    </row>
    <row r="95" spans="1:16" x14ac:dyDescent="0.35">
      <c r="A95" s="40" t="str">
        <f t="shared" si="3"/>
        <v>ALL 2024 H1 D90</v>
      </c>
      <c r="B95" s="8">
        <f>'ALL 2024 H2 D80'!$B$2</f>
        <v>46114</v>
      </c>
      <c r="C95" s="8">
        <f>'ALL 2024 H2 D80'!$C$2</f>
        <v>46120</v>
      </c>
      <c r="D95" s="5">
        <v>3208</v>
      </c>
      <c r="E95" s="5">
        <v>320</v>
      </c>
      <c r="F95" s="5">
        <v>1</v>
      </c>
      <c r="G95" s="27">
        <v>1</v>
      </c>
      <c r="H95" s="26">
        <v>81809</v>
      </c>
      <c r="I95" s="26" t="s">
        <v>16</v>
      </c>
      <c r="J95" s="26">
        <v>15951885</v>
      </c>
      <c r="K95" s="26" t="s">
        <v>3057</v>
      </c>
      <c r="L95" s="42" t="s">
        <v>3066</v>
      </c>
      <c r="M95" s="25">
        <v>249900</v>
      </c>
      <c r="N95" s="7">
        <v>0.9</v>
      </c>
      <c r="O95" s="6">
        <f t="shared" si="4"/>
        <v>24990</v>
      </c>
      <c r="P95" s="5" t="s">
        <v>504</v>
      </c>
    </row>
    <row r="96" spans="1:16" x14ac:dyDescent="0.35">
      <c r="A96" s="40" t="str">
        <f t="shared" si="3"/>
        <v>ALL 2024 H1 D90</v>
      </c>
      <c r="B96" s="8">
        <f>'ALL 2024 H2 D80'!$B$2</f>
        <v>46114</v>
      </c>
      <c r="C96" s="8">
        <f>'ALL 2024 H2 D80'!$C$2</f>
        <v>46120</v>
      </c>
      <c r="D96" s="5">
        <v>3208</v>
      </c>
      <c r="E96" s="5">
        <v>320</v>
      </c>
      <c r="F96" s="5">
        <v>1</v>
      </c>
      <c r="G96" s="27">
        <v>1</v>
      </c>
      <c r="H96" s="26">
        <v>81809</v>
      </c>
      <c r="I96" s="26" t="s">
        <v>16</v>
      </c>
      <c r="J96" s="26">
        <v>15951894</v>
      </c>
      <c r="K96" s="26" t="s">
        <v>3057</v>
      </c>
      <c r="L96" s="42" t="s">
        <v>3067</v>
      </c>
      <c r="M96" s="25">
        <v>249900</v>
      </c>
      <c r="N96" s="7">
        <v>0.9</v>
      </c>
      <c r="O96" s="6">
        <f t="shared" si="4"/>
        <v>24990</v>
      </c>
      <c r="P96" s="5" t="s">
        <v>504</v>
      </c>
    </row>
    <row r="97" spans="1:16" x14ac:dyDescent="0.35">
      <c r="A97" s="40" t="str">
        <f t="shared" si="3"/>
        <v>ALL 2024 H1 D90</v>
      </c>
      <c r="B97" s="8">
        <f>'ALL 2024 H2 D80'!$B$2</f>
        <v>46114</v>
      </c>
      <c r="C97" s="8">
        <f>'ALL 2024 H2 D80'!$C$2</f>
        <v>46120</v>
      </c>
      <c r="D97" s="5">
        <v>3208</v>
      </c>
      <c r="E97" s="5">
        <v>320</v>
      </c>
      <c r="F97" s="5">
        <v>1</v>
      </c>
      <c r="G97" s="27">
        <v>1</v>
      </c>
      <c r="H97" s="26">
        <v>81809</v>
      </c>
      <c r="I97" s="26" t="s">
        <v>16</v>
      </c>
      <c r="J97" s="26">
        <v>16401226</v>
      </c>
      <c r="K97" s="26" t="s">
        <v>3068</v>
      </c>
      <c r="L97" s="42" t="s">
        <v>3069</v>
      </c>
      <c r="M97" s="25">
        <v>249900</v>
      </c>
      <c r="N97" s="7">
        <v>0.9</v>
      </c>
      <c r="O97" s="6">
        <f t="shared" si="4"/>
        <v>24990</v>
      </c>
      <c r="P97" s="5" t="s">
        <v>504</v>
      </c>
    </row>
    <row r="98" spans="1:16" x14ac:dyDescent="0.35">
      <c r="A98" s="40" t="str">
        <f t="shared" si="3"/>
        <v>ALL 2024 H1 D90</v>
      </c>
      <c r="B98" s="8">
        <f>'ALL 2024 H2 D80'!$B$2</f>
        <v>46114</v>
      </c>
      <c r="C98" s="8">
        <f>'ALL 2024 H2 D80'!$C$2</f>
        <v>46120</v>
      </c>
      <c r="D98" s="5">
        <v>3208</v>
      </c>
      <c r="E98" s="5">
        <v>320</v>
      </c>
      <c r="F98" s="5">
        <v>1</v>
      </c>
      <c r="G98" s="27">
        <v>1</v>
      </c>
      <c r="H98" s="26">
        <v>81809</v>
      </c>
      <c r="I98" s="26" t="s">
        <v>16</v>
      </c>
      <c r="J98" s="26">
        <v>16401235</v>
      </c>
      <c r="K98" s="26" t="s">
        <v>3068</v>
      </c>
      <c r="L98" s="42" t="s">
        <v>3070</v>
      </c>
      <c r="M98" s="25">
        <v>249900</v>
      </c>
      <c r="N98" s="7">
        <v>0.9</v>
      </c>
      <c r="O98" s="6">
        <f t="shared" si="4"/>
        <v>24990</v>
      </c>
      <c r="P98" s="5" t="s">
        <v>504</v>
      </c>
    </row>
    <row r="99" spans="1:16" x14ac:dyDescent="0.35">
      <c r="A99" s="40" t="str">
        <f t="shared" si="3"/>
        <v>ALL 2024 H1 D90</v>
      </c>
      <c r="B99" s="8">
        <f>'ALL 2024 H2 D80'!$B$2</f>
        <v>46114</v>
      </c>
      <c r="C99" s="8">
        <f>'ALL 2024 H2 D80'!$C$2</f>
        <v>46120</v>
      </c>
      <c r="D99" s="5">
        <v>3208</v>
      </c>
      <c r="E99" s="5">
        <v>320</v>
      </c>
      <c r="F99" s="5">
        <v>1</v>
      </c>
      <c r="G99" s="27">
        <v>1</v>
      </c>
      <c r="H99" s="26">
        <v>81809</v>
      </c>
      <c r="I99" s="26" t="s">
        <v>16</v>
      </c>
      <c r="J99" s="26">
        <v>16401244</v>
      </c>
      <c r="K99" s="26" t="s">
        <v>3068</v>
      </c>
      <c r="L99" s="42" t="s">
        <v>3071</v>
      </c>
      <c r="M99" s="25">
        <v>249900</v>
      </c>
      <c r="N99" s="7">
        <v>0.9</v>
      </c>
      <c r="O99" s="6">
        <f t="shared" si="4"/>
        <v>24990</v>
      </c>
      <c r="P99" s="5" t="s">
        <v>504</v>
      </c>
    </row>
    <row r="100" spans="1:16" x14ac:dyDescent="0.35">
      <c r="A100" s="40" t="str">
        <f t="shared" si="3"/>
        <v>ALL 2024 H1 D90</v>
      </c>
      <c r="B100" s="8">
        <f>'ALL 2024 H2 D80'!$B$2</f>
        <v>46114</v>
      </c>
      <c r="C100" s="8">
        <f>'ALL 2024 H2 D80'!$C$2</f>
        <v>46120</v>
      </c>
      <c r="D100" s="5">
        <v>3208</v>
      </c>
      <c r="E100" s="5">
        <v>320</v>
      </c>
      <c r="F100" s="5">
        <v>1</v>
      </c>
      <c r="G100" s="27">
        <v>1</v>
      </c>
      <c r="H100" s="26">
        <v>81809</v>
      </c>
      <c r="I100" s="26" t="s">
        <v>16</v>
      </c>
      <c r="J100" s="26">
        <v>16401253</v>
      </c>
      <c r="K100" s="26" t="s">
        <v>3068</v>
      </c>
      <c r="L100" s="42" t="s">
        <v>3072</v>
      </c>
      <c r="M100" s="25">
        <v>249900</v>
      </c>
      <c r="N100" s="7">
        <v>0.9</v>
      </c>
      <c r="O100" s="6">
        <f t="shared" si="4"/>
        <v>24990</v>
      </c>
      <c r="P100" s="5" t="s">
        <v>504</v>
      </c>
    </row>
    <row r="101" spans="1:16" x14ac:dyDescent="0.35">
      <c r="A101" s="40" t="str">
        <f t="shared" si="3"/>
        <v>ALL 2024 H1 D90</v>
      </c>
      <c r="B101" s="8">
        <f>'ALL 2024 H2 D80'!$B$2</f>
        <v>46114</v>
      </c>
      <c r="C101" s="8">
        <f>'ALL 2024 H2 D80'!$C$2</f>
        <v>46120</v>
      </c>
      <c r="D101" s="5">
        <v>3208</v>
      </c>
      <c r="E101" s="5">
        <v>320</v>
      </c>
      <c r="F101" s="5">
        <v>1</v>
      </c>
      <c r="G101" s="27">
        <v>1</v>
      </c>
      <c r="H101" s="26">
        <v>81809</v>
      </c>
      <c r="I101" s="26" t="s">
        <v>16</v>
      </c>
      <c r="J101" s="26">
        <v>16401262</v>
      </c>
      <c r="K101" s="26" t="s">
        <v>3068</v>
      </c>
      <c r="L101" s="42" t="s">
        <v>3073</v>
      </c>
      <c r="M101" s="25">
        <v>249900</v>
      </c>
      <c r="N101" s="7">
        <v>0.9</v>
      </c>
      <c r="O101" s="6">
        <f t="shared" si="4"/>
        <v>24990</v>
      </c>
      <c r="P101" s="5" t="s">
        <v>504</v>
      </c>
    </row>
    <row r="102" spans="1:16" x14ac:dyDescent="0.35">
      <c r="A102" s="40" t="str">
        <f t="shared" si="3"/>
        <v>ALL 2024 H1 D90</v>
      </c>
      <c r="B102" s="8">
        <f>'ALL 2024 H2 D80'!$B$2</f>
        <v>46114</v>
      </c>
      <c r="C102" s="8">
        <f>'ALL 2024 H2 D80'!$C$2</f>
        <v>46120</v>
      </c>
      <c r="D102" s="5">
        <v>3208</v>
      </c>
      <c r="E102" s="5">
        <v>320</v>
      </c>
      <c r="F102" s="5">
        <v>1</v>
      </c>
      <c r="G102" s="27">
        <v>1</v>
      </c>
      <c r="H102" s="26">
        <v>81809</v>
      </c>
      <c r="I102" s="26" t="s">
        <v>16</v>
      </c>
      <c r="J102" s="26">
        <v>16401271</v>
      </c>
      <c r="K102" s="26" t="s">
        <v>3068</v>
      </c>
      <c r="L102" s="42" t="s">
        <v>3074</v>
      </c>
      <c r="M102" s="25">
        <v>249900</v>
      </c>
      <c r="N102" s="7">
        <v>0.9</v>
      </c>
      <c r="O102" s="6">
        <f t="shared" si="4"/>
        <v>24990</v>
      </c>
      <c r="P102" s="5" t="s">
        <v>504</v>
      </c>
    </row>
    <row r="103" spans="1:16" x14ac:dyDescent="0.35">
      <c r="A103" s="40" t="str">
        <f t="shared" si="3"/>
        <v>ALL 2024 H1 D90</v>
      </c>
      <c r="B103" s="8">
        <f>'ALL 2024 H2 D80'!$B$2</f>
        <v>46114</v>
      </c>
      <c r="C103" s="8">
        <f>'ALL 2024 H2 D80'!$C$2</f>
        <v>46120</v>
      </c>
      <c r="D103" s="5">
        <v>3208</v>
      </c>
      <c r="E103" s="5">
        <v>320</v>
      </c>
      <c r="F103" s="5">
        <v>1</v>
      </c>
      <c r="G103" s="27">
        <v>1</v>
      </c>
      <c r="H103" s="26">
        <v>81809</v>
      </c>
      <c r="I103" s="26" t="s">
        <v>16</v>
      </c>
      <c r="J103" s="26">
        <v>16401280</v>
      </c>
      <c r="K103" s="26" t="s">
        <v>3068</v>
      </c>
      <c r="L103" s="42" t="s">
        <v>3075</v>
      </c>
      <c r="M103" s="25">
        <v>249900</v>
      </c>
      <c r="N103" s="7">
        <v>0.9</v>
      </c>
      <c r="O103" s="6">
        <f t="shared" si="4"/>
        <v>24990</v>
      </c>
      <c r="P103" s="5" t="s">
        <v>504</v>
      </c>
    </row>
    <row r="104" spans="1:16" x14ac:dyDescent="0.35">
      <c r="A104" s="40" t="str">
        <f t="shared" si="3"/>
        <v>ALL 2024 H1 D90</v>
      </c>
      <c r="B104" s="8">
        <f>'ALL 2024 H2 D80'!$B$2</f>
        <v>46114</v>
      </c>
      <c r="C104" s="8">
        <f>'ALL 2024 H2 D80'!$C$2</f>
        <v>46120</v>
      </c>
      <c r="D104" s="5">
        <v>3208</v>
      </c>
      <c r="E104" s="5">
        <v>320</v>
      </c>
      <c r="F104" s="5">
        <v>1</v>
      </c>
      <c r="G104" s="27">
        <v>1</v>
      </c>
      <c r="H104" s="26">
        <v>81809</v>
      </c>
      <c r="I104" s="26" t="s">
        <v>16</v>
      </c>
      <c r="J104" s="26">
        <v>16401299</v>
      </c>
      <c r="K104" s="26" t="s">
        <v>3068</v>
      </c>
      <c r="L104" s="42" t="s">
        <v>3076</v>
      </c>
      <c r="M104" s="25">
        <v>249900</v>
      </c>
      <c r="N104" s="7">
        <v>0.9</v>
      </c>
      <c r="O104" s="6">
        <f t="shared" si="4"/>
        <v>24990</v>
      </c>
      <c r="P104" s="5" t="s">
        <v>504</v>
      </c>
    </row>
    <row r="105" spans="1:16" x14ac:dyDescent="0.35">
      <c r="A105" s="40" t="str">
        <f t="shared" si="3"/>
        <v>ALL 2024 H1 D90</v>
      </c>
      <c r="B105" s="8">
        <f>'ALL 2024 H2 D80'!$B$2</f>
        <v>46114</v>
      </c>
      <c r="C105" s="8">
        <f>'ALL 2024 H2 D80'!$C$2</f>
        <v>46120</v>
      </c>
      <c r="D105" s="5">
        <v>3208</v>
      </c>
      <c r="E105" s="5">
        <v>320</v>
      </c>
      <c r="F105" s="5">
        <v>1</v>
      </c>
      <c r="G105" s="27">
        <v>1</v>
      </c>
      <c r="H105" s="26">
        <v>81045</v>
      </c>
      <c r="I105" s="26" t="s">
        <v>16</v>
      </c>
      <c r="J105" s="26">
        <v>15943134</v>
      </c>
      <c r="K105" s="26" t="s">
        <v>3018</v>
      </c>
      <c r="L105" s="42" t="s">
        <v>3019</v>
      </c>
      <c r="M105" s="25">
        <v>249900</v>
      </c>
      <c r="N105" s="7">
        <v>0.9</v>
      </c>
      <c r="O105" s="6">
        <f t="shared" si="4"/>
        <v>24990</v>
      </c>
      <c r="P105" s="5" t="s">
        <v>504</v>
      </c>
    </row>
    <row r="106" spans="1:16" x14ac:dyDescent="0.35">
      <c r="A106" s="40" t="str">
        <f t="shared" si="3"/>
        <v>ALL 2024 H1 D90</v>
      </c>
      <c r="B106" s="8">
        <f>'ALL 2024 H2 D80'!$B$2</f>
        <v>46114</v>
      </c>
      <c r="C106" s="8">
        <f>'ALL 2024 H2 D80'!$C$2</f>
        <v>46120</v>
      </c>
      <c r="D106" s="5">
        <v>3208</v>
      </c>
      <c r="E106" s="5">
        <v>320</v>
      </c>
      <c r="F106" s="5">
        <v>1</v>
      </c>
      <c r="G106" s="27">
        <v>1</v>
      </c>
      <c r="H106" s="26">
        <v>81045</v>
      </c>
      <c r="I106" s="26" t="s">
        <v>16</v>
      </c>
      <c r="J106" s="26">
        <v>15943143</v>
      </c>
      <c r="K106" s="26" t="s">
        <v>3018</v>
      </c>
      <c r="L106" s="42" t="s">
        <v>3020</v>
      </c>
      <c r="M106" s="25">
        <v>249900</v>
      </c>
      <c r="N106" s="7">
        <v>0.9</v>
      </c>
      <c r="O106" s="6">
        <f t="shared" si="4"/>
        <v>24990</v>
      </c>
      <c r="P106" s="5" t="s">
        <v>504</v>
      </c>
    </row>
    <row r="107" spans="1:16" x14ac:dyDescent="0.35">
      <c r="A107" s="40" t="str">
        <f t="shared" si="3"/>
        <v>ALL 2024 H1 D90</v>
      </c>
      <c r="B107" s="8">
        <f>'ALL 2024 H2 D80'!$B$2</f>
        <v>46114</v>
      </c>
      <c r="C107" s="8">
        <f>'ALL 2024 H2 D80'!$C$2</f>
        <v>46120</v>
      </c>
      <c r="D107" s="5">
        <v>3208</v>
      </c>
      <c r="E107" s="5">
        <v>320</v>
      </c>
      <c r="F107" s="5">
        <v>1</v>
      </c>
      <c r="G107" s="27">
        <v>1</v>
      </c>
      <c r="H107" s="26">
        <v>81045</v>
      </c>
      <c r="I107" s="26" t="s">
        <v>16</v>
      </c>
      <c r="J107" s="26">
        <v>15943152</v>
      </c>
      <c r="K107" s="26" t="s">
        <v>3018</v>
      </c>
      <c r="L107" s="42" t="s">
        <v>3021</v>
      </c>
      <c r="M107" s="25">
        <v>249900</v>
      </c>
      <c r="N107" s="7">
        <v>0.9</v>
      </c>
      <c r="O107" s="6">
        <f t="shared" si="4"/>
        <v>24990</v>
      </c>
      <c r="P107" s="5" t="s">
        <v>504</v>
      </c>
    </row>
    <row r="108" spans="1:16" x14ac:dyDescent="0.35">
      <c r="A108" s="40" t="str">
        <f t="shared" si="3"/>
        <v>ALL 2024 H1 D90</v>
      </c>
      <c r="B108" s="8">
        <f>'ALL 2024 H2 D80'!$B$2</f>
        <v>46114</v>
      </c>
      <c r="C108" s="8">
        <f>'ALL 2024 H2 D80'!$C$2</f>
        <v>46120</v>
      </c>
      <c r="D108" s="5">
        <v>3208</v>
      </c>
      <c r="E108" s="5">
        <v>320</v>
      </c>
      <c r="F108" s="5">
        <v>1</v>
      </c>
      <c r="G108" s="27">
        <v>1</v>
      </c>
      <c r="H108" s="26">
        <v>81045</v>
      </c>
      <c r="I108" s="26" t="s">
        <v>16</v>
      </c>
      <c r="J108" s="26">
        <v>15951732</v>
      </c>
      <c r="K108" s="26" t="s">
        <v>3018</v>
      </c>
      <c r="L108" s="42" t="s">
        <v>3022</v>
      </c>
      <c r="M108" s="25">
        <v>249900</v>
      </c>
      <c r="N108" s="7">
        <v>0.9</v>
      </c>
      <c r="O108" s="6">
        <f t="shared" si="4"/>
        <v>24990</v>
      </c>
      <c r="P108" s="5" t="s">
        <v>504</v>
      </c>
    </row>
    <row r="109" spans="1:16" x14ac:dyDescent="0.35">
      <c r="A109" s="40" t="str">
        <f t="shared" si="3"/>
        <v>ALL 2024 H1 D90</v>
      </c>
      <c r="B109" s="8">
        <f>'ALL 2024 H2 D80'!$B$2</f>
        <v>46114</v>
      </c>
      <c r="C109" s="8">
        <f>'ALL 2024 H2 D80'!$C$2</f>
        <v>46120</v>
      </c>
      <c r="D109" s="5">
        <v>3208</v>
      </c>
      <c r="E109" s="5">
        <v>320</v>
      </c>
      <c r="F109" s="5">
        <v>1</v>
      </c>
      <c r="G109" s="27">
        <v>1</v>
      </c>
      <c r="H109" s="26">
        <v>81809</v>
      </c>
      <c r="I109" s="26" t="s">
        <v>16</v>
      </c>
      <c r="J109" s="26">
        <v>15943045</v>
      </c>
      <c r="K109" s="26" t="s">
        <v>3050</v>
      </c>
      <c r="L109" s="42" t="s">
        <v>3051</v>
      </c>
      <c r="M109" s="25">
        <v>249900</v>
      </c>
      <c r="N109" s="7">
        <v>0.9</v>
      </c>
      <c r="O109" s="6">
        <f t="shared" si="4"/>
        <v>24990</v>
      </c>
      <c r="P109" s="5" t="s">
        <v>504</v>
      </c>
    </row>
    <row r="110" spans="1:16" x14ac:dyDescent="0.35">
      <c r="A110" s="40" t="str">
        <f t="shared" si="3"/>
        <v>ALL 2024 H1 D90</v>
      </c>
      <c r="B110" s="8">
        <f>'ALL 2024 H2 D80'!$B$2</f>
        <v>46114</v>
      </c>
      <c r="C110" s="8">
        <f>'ALL 2024 H2 D80'!$C$2</f>
        <v>46120</v>
      </c>
      <c r="D110" s="5">
        <v>3208</v>
      </c>
      <c r="E110" s="5">
        <v>320</v>
      </c>
      <c r="F110" s="5">
        <v>1</v>
      </c>
      <c r="G110" s="27">
        <v>1</v>
      </c>
      <c r="H110" s="26">
        <v>81809</v>
      </c>
      <c r="I110" s="26" t="s">
        <v>16</v>
      </c>
      <c r="J110" s="26">
        <v>15943054</v>
      </c>
      <c r="K110" s="26" t="s">
        <v>3050</v>
      </c>
      <c r="L110" s="42" t="s">
        <v>3052</v>
      </c>
      <c r="M110" s="25">
        <v>249900</v>
      </c>
      <c r="N110" s="7">
        <v>0.9</v>
      </c>
      <c r="O110" s="6">
        <f t="shared" si="4"/>
        <v>24990</v>
      </c>
      <c r="P110" s="5" t="s">
        <v>504</v>
      </c>
    </row>
    <row r="111" spans="1:16" x14ac:dyDescent="0.35">
      <c r="A111" s="40" t="str">
        <f t="shared" si="3"/>
        <v>ALL 2024 H1 D90</v>
      </c>
      <c r="B111" s="8">
        <f>'ALL 2024 H2 D80'!$B$2</f>
        <v>46114</v>
      </c>
      <c r="C111" s="8">
        <f>'ALL 2024 H2 D80'!$C$2</f>
        <v>46120</v>
      </c>
      <c r="D111" s="5">
        <v>3208</v>
      </c>
      <c r="E111" s="5">
        <v>320</v>
      </c>
      <c r="F111" s="5">
        <v>1</v>
      </c>
      <c r="G111" s="27">
        <v>1</v>
      </c>
      <c r="H111" s="26">
        <v>81809</v>
      </c>
      <c r="I111" s="26" t="s">
        <v>16</v>
      </c>
      <c r="J111" s="26">
        <v>15943063</v>
      </c>
      <c r="K111" s="26" t="s">
        <v>3050</v>
      </c>
      <c r="L111" s="42" t="s">
        <v>3053</v>
      </c>
      <c r="M111" s="25">
        <v>249900</v>
      </c>
      <c r="N111" s="7">
        <v>0.9</v>
      </c>
      <c r="O111" s="6">
        <f t="shared" si="4"/>
        <v>24990</v>
      </c>
      <c r="P111" s="5" t="s">
        <v>504</v>
      </c>
    </row>
    <row r="112" spans="1:16" x14ac:dyDescent="0.35">
      <c r="A112" s="40" t="str">
        <f t="shared" si="3"/>
        <v>ALL 2024 H1 D90</v>
      </c>
      <c r="B112" s="8">
        <f>'ALL 2024 H2 D80'!$B$2</f>
        <v>46114</v>
      </c>
      <c r="C112" s="8">
        <f>'ALL 2024 H2 D80'!$C$2</f>
        <v>46120</v>
      </c>
      <c r="D112" s="5">
        <v>3208</v>
      </c>
      <c r="E112" s="5">
        <v>320</v>
      </c>
      <c r="F112" s="5">
        <v>1</v>
      </c>
      <c r="G112" s="27">
        <v>1</v>
      </c>
      <c r="H112" s="26">
        <v>81809</v>
      </c>
      <c r="I112" s="26" t="s">
        <v>16</v>
      </c>
      <c r="J112" s="26">
        <v>15943072</v>
      </c>
      <c r="K112" s="26" t="s">
        <v>3050</v>
      </c>
      <c r="L112" s="42" t="s">
        <v>3054</v>
      </c>
      <c r="M112" s="25">
        <v>249900</v>
      </c>
      <c r="N112" s="7">
        <v>0.9</v>
      </c>
      <c r="O112" s="6">
        <f t="shared" si="4"/>
        <v>24990</v>
      </c>
      <c r="P112" s="5" t="s">
        <v>504</v>
      </c>
    </row>
    <row r="113" spans="1:16" x14ac:dyDescent="0.35">
      <c r="A113" s="40" t="str">
        <f t="shared" si="3"/>
        <v>ALL 2024 H1 D90</v>
      </c>
      <c r="B113" s="8">
        <f>'ALL 2024 H2 D80'!$B$2</f>
        <v>46114</v>
      </c>
      <c r="C113" s="8">
        <f>'ALL 2024 H2 D80'!$C$2</f>
        <v>46120</v>
      </c>
      <c r="D113" s="5">
        <v>3208</v>
      </c>
      <c r="E113" s="5">
        <v>320</v>
      </c>
      <c r="F113" s="5">
        <v>1</v>
      </c>
      <c r="G113" s="27">
        <v>1</v>
      </c>
      <c r="H113" s="26">
        <v>81809</v>
      </c>
      <c r="I113" s="26" t="s">
        <v>16</v>
      </c>
      <c r="J113" s="26">
        <v>15943081</v>
      </c>
      <c r="K113" s="26" t="s">
        <v>3050</v>
      </c>
      <c r="L113" s="42" t="s">
        <v>3055</v>
      </c>
      <c r="M113" s="25">
        <v>249900</v>
      </c>
      <c r="N113" s="7">
        <v>0.9</v>
      </c>
      <c r="O113" s="6">
        <f t="shared" si="4"/>
        <v>24990</v>
      </c>
      <c r="P113" s="5" t="s">
        <v>504</v>
      </c>
    </row>
    <row r="114" spans="1:16" x14ac:dyDescent="0.35">
      <c r="A114" s="40" t="str">
        <f t="shared" si="3"/>
        <v>ALL 2024 H1 D90</v>
      </c>
      <c r="B114" s="8">
        <f>'ALL 2024 H2 D80'!$B$2</f>
        <v>46114</v>
      </c>
      <c r="C114" s="8">
        <f>'ALL 2024 H2 D80'!$C$2</f>
        <v>46120</v>
      </c>
      <c r="D114" s="5">
        <v>3208</v>
      </c>
      <c r="E114" s="5">
        <v>320</v>
      </c>
      <c r="F114" s="5">
        <v>1</v>
      </c>
      <c r="G114" s="27">
        <v>1</v>
      </c>
      <c r="H114" s="26">
        <v>81809</v>
      </c>
      <c r="I114" s="26" t="s">
        <v>16</v>
      </c>
      <c r="J114" s="26">
        <v>15943090</v>
      </c>
      <c r="K114" s="26" t="s">
        <v>3050</v>
      </c>
      <c r="L114" s="42" t="s">
        <v>3056</v>
      </c>
      <c r="M114" s="25">
        <v>249900</v>
      </c>
      <c r="N114" s="7">
        <v>0.9</v>
      </c>
      <c r="O114" s="6">
        <f t="shared" si="4"/>
        <v>24990</v>
      </c>
      <c r="P114" s="5" t="s">
        <v>504</v>
      </c>
    </row>
    <row r="115" spans="1:16" x14ac:dyDescent="0.35">
      <c r="A115" s="40" t="str">
        <f t="shared" si="3"/>
        <v>ALL 2024 H1 D90</v>
      </c>
      <c r="B115" s="8">
        <f>'ALL 2024 H2 D80'!$B$2</f>
        <v>46114</v>
      </c>
      <c r="C115" s="8">
        <f>'ALL 2024 H2 D80'!$C$2</f>
        <v>46120</v>
      </c>
      <c r="D115" s="5">
        <v>3208</v>
      </c>
      <c r="E115" s="5">
        <v>320</v>
      </c>
      <c r="F115" s="5">
        <v>1</v>
      </c>
      <c r="G115" s="27">
        <v>1</v>
      </c>
      <c r="H115" s="26">
        <v>81809</v>
      </c>
      <c r="I115" s="26" t="s">
        <v>16</v>
      </c>
      <c r="J115" s="26">
        <v>15951705</v>
      </c>
      <c r="K115" s="26" t="s">
        <v>3050</v>
      </c>
      <c r="L115" s="42" t="s">
        <v>3064</v>
      </c>
      <c r="M115" s="25">
        <v>249900</v>
      </c>
      <c r="N115" s="7">
        <v>0.9</v>
      </c>
      <c r="O115" s="6">
        <f t="shared" si="4"/>
        <v>24990</v>
      </c>
      <c r="P115" s="5" t="s">
        <v>504</v>
      </c>
    </row>
    <row r="116" spans="1:16" x14ac:dyDescent="0.35">
      <c r="A116" s="40" t="str">
        <f t="shared" si="3"/>
        <v>ALL 2024 H1 D90</v>
      </c>
      <c r="B116" s="8">
        <f>'ALL 2024 H2 D80'!$B$2</f>
        <v>46114</v>
      </c>
      <c r="C116" s="8">
        <f>'ALL 2024 H2 D80'!$C$2</f>
        <v>46120</v>
      </c>
      <c r="D116" s="5">
        <v>3208</v>
      </c>
      <c r="E116" s="5">
        <v>320</v>
      </c>
      <c r="F116" s="5">
        <v>1</v>
      </c>
      <c r="G116" s="27">
        <v>1</v>
      </c>
      <c r="H116" s="26">
        <v>81809</v>
      </c>
      <c r="I116" s="26" t="s">
        <v>16</v>
      </c>
      <c r="J116" s="26">
        <v>15951714</v>
      </c>
      <c r="K116" s="26" t="s">
        <v>3050</v>
      </c>
      <c r="L116" s="42" t="s">
        <v>3065</v>
      </c>
      <c r="M116" s="25">
        <v>249900</v>
      </c>
      <c r="N116" s="7">
        <v>0.9</v>
      </c>
      <c r="O116" s="6">
        <f t="shared" si="4"/>
        <v>24990</v>
      </c>
      <c r="P116" s="5" t="s">
        <v>504</v>
      </c>
    </row>
    <row r="117" spans="1:16" x14ac:dyDescent="0.35">
      <c r="A117" s="40" t="str">
        <f t="shared" si="3"/>
        <v>ALL 2024 H1 D90</v>
      </c>
      <c r="B117" s="8">
        <f>'ALL 2024 H2 D80'!$B$2</f>
        <v>46114</v>
      </c>
      <c r="C117" s="8">
        <f>'ALL 2024 H2 D80'!$C$2</f>
        <v>46120</v>
      </c>
      <c r="D117" s="5">
        <v>3208</v>
      </c>
      <c r="E117" s="5">
        <v>320</v>
      </c>
      <c r="F117" s="5">
        <v>1</v>
      </c>
      <c r="G117" s="27">
        <v>1</v>
      </c>
      <c r="H117" s="26">
        <v>81239</v>
      </c>
      <c r="I117" s="26" t="s">
        <v>16</v>
      </c>
      <c r="J117" s="26">
        <v>17539783</v>
      </c>
      <c r="K117" s="26" t="s">
        <v>3041</v>
      </c>
      <c r="L117" s="42" t="s">
        <v>3042</v>
      </c>
      <c r="M117" s="25">
        <v>229900</v>
      </c>
      <c r="N117" s="7">
        <v>0.9</v>
      </c>
      <c r="O117" s="6">
        <f t="shared" si="4"/>
        <v>22990</v>
      </c>
      <c r="P117" s="5" t="s">
        <v>504</v>
      </c>
    </row>
    <row r="118" spans="1:16" x14ac:dyDescent="0.35">
      <c r="A118" s="40" t="str">
        <f t="shared" si="3"/>
        <v>ALL 2024 H1 D90</v>
      </c>
      <c r="B118" s="8">
        <f>'ALL 2024 H2 D80'!$B$2</f>
        <v>46114</v>
      </c>
      <c r="C118" s="8">
        <f>'ALL 2024 H2 D80'!$C$2</f>
        <v>46120</v>
      </c>
      <c r="D118" s="5">
        <v>3208</v>
      </c>
      <c r="E118" s="5">
        <v>320</v>
      </c>
      <c r="F118" s="5">
        <v>1</v>
      </c>
      <c r="G118" s="27">
        <v>1</v>
      </c>
      <c r="H118" s="26">
        <v>81239</v>
      </c>
      <c r="I118" s="26" t="s">
        <v>16</v>
      </c>
      <c r="J118" s="26">
        <v>17539792</v>
      </c>
      <c r="K118" s="26" t="s">
        <v>3041</v>
      </c>
      <c r="L118" s="42" t="s">
        <v>3043</v>
      </c>
      <c r="M118" s="25">
        <v>229900</v>
      </c>
      <c r="N118" s="7">
        <v>0.9</v>
      </c>
      <c r="O118" s="6">
        <f t="shared" si="4"/>
        <v>22990</v>
      </c>
      <c r="P118" s="5" t="s">
        <v>504</v>
      </c>
    </row>
    <row r="119" spans="1:16" x14ac:dyDescent="0.35">
      <c r="A119" s="40" t="str">
        <f t="shared" si="3"/>
        <v>ALL 2024 H1 D90</v>
      </c>
      <c r="B119" s="8">
        <f>'ALL 2024 H2 D80'!$B$2</f>
        <v>46114</v>
      </c>
      <c r="C119" s="8">
        <f>'ALL 2024 H2 D80'!$C$2</f>
        <v>46120</v>
      </c>
      <c r="D119" s="5">
        <v>3208</v>
      </c>
      <c r="E119" s="5">
        <v>320</v>
      </c>
      <c r="F119" s="5">
        <v>1</v>
      </c>
      <c r="G119" s="27">
        <v>1</v>
      </c>
      <c r="H119" s="26">
        <v>81239</v>
      </c>
      <c r="I119" s="26" t="s">
        <v>16</v>
      </c>
      <c r="J119" s="26">
        <v>17539809</v>
      </c>
      <c r="K119" s="26" t="s">
        <v>3041</v>
      </c>
      <c r="L119" s="42" t="s">
        <v>3044</v>
      </c>
      <c r="M119" s="25">
        <v>229900</v>
      </c>
      <c r="N119" s="7">
        <v>0.9</v>
      </c>
      <c r="O119" s="6">
        <f t="shared" si="4"/>
        <v>22990</v>
      </c>
      <c r="P119" s="5" t="s">
        <v>504</v>
      </c>
    </row>
    <row r="120" spans="1:16" x14ac:dyDescent="0.35">
      <c r="A120" s="40" t="str">
        <f t="shared" si="3"/>
        <v>ALL 2024 H1 D90</v>
      </c>
      <c r="B120" s="8">
        <f>'ALL 2024 H2 D80'!$B$2</f>
        <v>46114</v>
      </c>
      <c r="C120" s="8">
        <f>'ALL 2024 H2 D80'!$C$2</f>
        <v>46120</v>
      </c>
      <c r="D120" s="5">
        <v>3208</v>
      </c>
      <c r="E120" s="5">
        <v>320</v>
      </c>
      <c r="F120" s="5">
        <v>1</v>
      </c>
      <c r="G120" s="27">
        <v>1</v>
      </c>
      <c r="H120" s="26">
        <v>81239</v>
      </c>
      <c r="I120" s="26" t="s">
        <v>16</v>
      </c>
      <c r="J120" s="26">
        <v>17539818</v>
      </c>
      <c r="K120" s="26" t="s">
        <v>3041</v>
      </c>
      <c r="L120" s="42" t="s">
        <v>3045</v>
      </c>
      <c r="M120" s="25">
        <v>229900</v>
      </c>
      <c r="N120" s="7">
        <v>0.9</v>
      </c>
      <c r="O120" s="6">
        <f t="shared" si="4"/>
        <v>22990</v>
      </c>
      <c r="P120" s="5" t="s">
        <v>504</v>
      </c>
    </row>
    <row r="121" spans="1:16" x14ac:dyDescent="0.35">
      <c r="A121" s="40" t="str">
        <f t="shared" si="3"/>
        <v>ALL 2024 H1 D90</v>
      </c>
      <c r="B121" s="8">
        <f>'ALL 2024 H2 D80'!$B$2</f>
        <v>46114</v>
      </c>
      <c r="C121" s="8">
        <f>'ALL 2024 H2 D80'!$C$2</f>
        <v>46120</v>
      </c>
      <c r="D121" s="5">
        <v>3208</v>
      </c>
      <c r="E121" s="5">
        <v>320</v>
      </c>
      <c r="F121" s="5">
        <v>1</v>
      </c>
      <c r="G121" s="27">
        <v>1</v>
      </c>
      <c r="H121" s="26">
        <v>81239</v>
      </c>
      <c r="I121" s="26" t="s">
        <v>16</v>
      </c>
      <c r="J121" s="26">
        <v>17539827</v>
      </c>
      <c r="K121" s="26" t="s">
        <v>3041</v>
      </c>
      <c r="L121" s="42" t="s">
        <v>3046</v>
      </c>
      <c r="M121" s="25">
        <v>229900</v>
      </c>
      <c r="N121" s="7">
        <v>0.9</v>
      </c>
      <c r="O121" s="6">
        <f t="shared" si="4"/>
        <v>22990</v>
      </c>
      <c r="P121" s="5" t="s">
        <v>504</v>
      </c>
    </row>
    <row r="122" spans="1:16" x14ac:dyDescent="0.35">
      <c r="A122" s="40" t="str">
        <f t="shared" si="3"/>
        <v>ALL 2024 H1 D90</v>
      </c>
      <c r="B122" s="8">
        <f>'ALL 2024 H2 D80'!$B$2</f>
        <v>46114</v>
      </c>
      <c r="C122" s="8">
        <f>'ALL 2024 H2 D80'!$C$2</f>
        <v>46120</v>
      </c>
      <c r="D122" s="5">
        <v>3208</v>
      </c>
      <c r="E122" s="5">
        <v>320</v>
      </c>
      <c r="F122" s="5">
        <v>1</v>
      </c>
      <c r="G122" s="27">
        <v>1</v>
      </c>
      <c r="H122" s="26">
        <v>81239</v>
      </c>
      <c r="I122" s="26" t="s">
        <v>16</v>
      </c>
      <c r="J122" s="26">
        <v>17539836</v>
      </c>
      <c r="K122" s="26" t="s">
        <v>3041</v>
      </c>
      <c r="L122" s="42" t="s">
        <v>3047</v>
      </c>
      <c r="M122" s="25">
        <v>229900</v>
      </c>
      <c r="N122" s="7">
        <v>0.9</v>
      </c>
      <c r="O122" s="6">
        <f t="shared" si="4"/>
        <v>22990</v>
      </c>
      <c r="P122" s="5" t="s">
        <v>504</v>
      </c>
    </row>
    <row r="123" spans="1:16" x14ac:dyDescent="0.35">
      <c r="A123" s="40" t="str">
        <f t="shared" si="3"/>
        <v>ALL 2024 H1 D90</v>
      </c>
      <c r="B123" s="8">
        <f>'ALL 2024 H2 D80'!$B$2</f>
        <v>46114</v>
      </c>
      <c r="C123" s="8">
        <f>'ALL 2024 H2 D80'!$C$2</f>
        <v>46120</v>
      </c>
      <c r="D123" s="5">
        <v>3208</v>
      </c>
      <c r="E123" s="5">
        <v>320</v>
      </c>
      <c r="F123" s="5">
        <v>1</v>
      </c>
      <c r="G123" s="27">
        <v>1</v>
      </c>
      <c r="H123" s="26">
        <v>81239</v>
      </c>
      <c r="I123" s="26" t="s">
        <v>16</v>
      </c>
      <c r="J123" s="26">
        <v>17539845</v>
      </c>
      <c r="K123" s="26" t="s">
        <v>3041</v>
      </c>
      <c r="L123" s="42" t="s">
        <v>3048</v>
      </c>
      <c r="M123" s="25">
        <v>229900</v>
      </c>
      <c r="N123" s="7">
        <v>0.9</v>
      </c>
      <c r="O123" s="6">
        <f t="shared" si="4"/>
        <v>22990</v>
      </c>
      <c r="P123" s="5" t="s">
        <v>504</v>
      </c>
    </row>
    <row r="124" spans="1:16" x14ac:dyDescent="0.35">
      <c r="A124" s="40" t="str">
        <f t="shared" si="3"/>
        <v>ALL 2024 H1 D90</v>
      </c>
      <c r="B124" s="8">
        <f>'ALL 2024 H2 D80'!$B$2</f>
        <v>46114</v>
      </c>
      <c r="C124" s="8">
        <f>'ALL 2024 H2 D80'!$C$2</f>
        <v>46120</v>
      </c>
      <c r="D124" s="5">
        <v>3208</v>
      </c>
      <c r="E124" s="5">
        <v>320</v>
      </c>
      <c r="F124" s="5">
        <v>1</v>
      </c>
      <c r="G124" s="27">
        <v>1</v>
      </c>
      <c r="H124" s="26">
        <v>81239</v>
      </c>
      <c r="I124" s="26" t="s">
        <v>16</v>
      </c>
      <c r="J124" s="26">
        <v>17539854</v>
      </c>
      <c r="K124" s="26" t="s">
        <v>3041</v>
      </c>
      <c r="L124" s="42" t="s">
        <v>3049</v>
      </c>
      <c r="M124" s="25">
        <v>229900</v>
      </c>
      <c r="N124" s="7">
        <v>0.9</v>
      </c>
      <c r="O124" s="6">
        <f t="shared" si="4"/>
        <v>22990</v>
      </c>
      <c r="P124" s="5" t="s">
        <v>504</v>
      </c>
    </row>
    <row r="125" spans="1:16" s="1" customFormat="1" x14ac:dyDescent="0.35">
      <c r="A125" s="40" t="str">
        <f t="shared" si="3"/>
        <v>ALL 2024 H1 D90</v>
      </c>
      <c r="B125" s="8">
        <f>'ALL 2024 H2 D80'!$B$2</f>
        <v>46114</v>
      </c>
      <c r="C125" s="8">
        <f>'ALL 2024 H2 D80'!$C$2</f>
        <v>46120</v>
      </c>
      <c r="D125" s="5">
        <v>3208</v>
      </c>
      <c r="E125" s="5">
        <v>320</v>
      </c>
      <c r="F125" s="5">
        <v>1</v>
      </c>
      <c r="G125" s="5">
        <v>3</v>
      </c>
      <c r="H125" s="5">
        <v>81736</v>
      </c>
      <c r="I125" s="5" t="s">
        <v>16</v>
      </c>
      <c r="J125" s="5">
        <v>14275135</v>
      </c>
      <c r="K125" s="5" t="s">
        <v>2975</v>
      </c>
      <c r="L125" s="19" t="s">
        <v>3105</v>
      </c>
      <c r="M125" s="24">
        <v>299900</v>
      </c>
      <c r="N125" s="7">
        <v>0.9</v>
      </c>
      <c r="O125" s="6">
        <f t="shared" si="4"/>
        <v>29990</v>
      </c>
      <c r="P125" s="5" t="s">
        <v>504</v>
      </c>
    </row>
    <row r="126" spans="1:16" s="1" customFormat="1" x14ac:dyDescent="0.35">
      <c r="A126" s="40" t="str">
        <f t="shared" si="3"/>
        <v>ALL 2024 H1 D90</v>
      </c>
      <c r="B126" s="8">
        <f>'ALL 2024 H2 D80'!$B$2</f>
        <v>46114</v>
      </c>
      <c r="C126" s="8">
        <f>'ALL 2024 H2 D80'!$C$2</f>
        <v>46120</v>
      </c>
      <c r="D126" s="5">
        <v>3208</v>
      </c>
      <c r="E126" s="5">
        <v>320</v>
      </c>
      <c r="F126" s="5">
        <v>1</v>
      </c>
      <c r="G126" s="5">
        <v>3</v>
      </c>
      <c r="H126" s="5">
        <v>81736</v>
      </c>
      <c r="I126" s="5" t="s">
        <v>16</v>
      </c>
      <c r="J126" s="5">
        <v>14275144</v>
      </c>
      <c r="K126" s="5" t="s">
        <v>2975</v>
      </c>
      <c r="L126" s="19" t="s">
        <v>3106</v>
      </c>
      <c r="M126" s="24">
        <v>299900</v>
      </c>
      <c r="N126" s="7">
        <v>0.9</v>
      </c>
      <c r="O126" s="6">
        <f t="shared" si="4"/>
        <v>29990</v>
      </c>
      <c r="P126" s="5" t="s">
        <v>504</v>
      </c>
    </row>
    <row r="127" spans="1:16" s="1" customFormat="1" x14ac:dyDescent="0.35">
      <c r="A127" s="40" t="str">
        <f t="shared" si="3"/>
        <v>ALL 2024 H1 D90</v>
      </c>
      <c r="B127" s="8">
        <f>'ALL 2024 H2 D80'!$B$2</f>
        <v>46114</v>
      </c>
      <c r="C127" s="8">
        <f>'ALL 2024 H2 D80'!$C$2</f>
        <v>46120</v>
      </c>
      <c r="D127" s="5">
        <v>3208</v>
      </c>
      <c r="E127" s="5">
        <v>320</v>
      </c>
      <c r="F127" s="5">
        <v>1</v>
      </c>
      <c r="G127" s="5">
        <v>3</v>
      </c>
      <c r="H127" s="5">
        <v>81736</v>
      </c>
      <c r="I127" s="5" t="s">
        <v>16</v>
      </c>
      <c r="J127" s="5">
        <v>14275153</v>
      </c>
      <c r="K127" s="5" t="s">
        <v>2975</v>
      </c>
      <c r="L127" s="19" t="s">
        <v>3107</v>
      </c>
      <c r="M127" s="24">
        <v>299900</v>
      </c>
      <c r="N127" s="7">
        <v>0.9</v>
      </c>
      <c r="O127" s="6">
        <f t="shared" si="4"/>
        <v>29990</v>
      </c>
      <c r="P127" s="5" t="s">
        <v>504</v>
      </c>
    </row>
    <row r="128" spans="1:16" s="1" customFormat="1" x14ac:dyDescent="0.35">
      <c r="A128" s="40" t="str">
        <f t="shared" si="3"/>
        <v>ALL 2024 H1 D90</v>
      </c>
      <c r="B128" s="8">
        <f>'ALL 2024 H2 D80'!$B$2</f>
        <v>46114</v>
      </c>
      <c r="C128" s="8">
        <f>'ALL 2024 H2 D80'!$C$2</f>
        <v>46120</v>
      </c>
      <c r="D128" s="5">
        <v>3208</v>
      </c>
      <c r="E128" s="5">
        <v>320</v>
      </c>
      <c r="F128" s="5">
        <v>1</v>
      </c>
      <c r="G128" s="5">
        <v>3</v>
      </c>
      <c r="H128" s="5">
        <v>81736</v>
      </c>
      <c r="I128" s="5" t="s">
        <v>16</v>
      </c>
      <c r="J128" s="5">
        <v>14275162</v>
      </c>
      <c r="K128" s="5" t="s">
        <v>2975</v>
      </c>
      <c r="L128" s="19" t="s">
        <v>3108</v>
      </c>
      <c r="M128" s="24">
        <v>299900</v>
      </c>
      <c r="N128" s="7">
        <v>0.9</v>
      </c>
      <c r="O128" s="6">
        <f t="shared" si="4"/>
        <v>29990</v>
      </c>
      <c r="P128" s="5" t="s">
        <v>504</v>
      </c>
    </row>
    <row r="129" spans="1:16" s="1" customFormat="1" x14ac:dyDescent="0.35">
      <c r="A129" s="40" t="str">
        <f t="shared" si="3"/>
        <v>ALL 2024 H1 D90</v>
      </c>
      <c r="B129" s="8">
        <f>'ALL 2024 H2 D80'!$B$2</f>
        <v>46114</v>
      </c>
      <c r="C129" s="8">
        <f>'ALL 2024 H2 D80'!$C$2</f>
        <v>46120</v>
      </c>
      <c r="D129" s="5">
        <v>3208</v>
      </c>
      <c r="E129" s="5">
        <v>320</v>
      </c>
      <c r="F129" s="5">
        <v>1</v>
      </c>
      <c r="G129" s="5">
        <v>3</v>
      </c>
      <c r="H129" s="5">
        <v>81736</v>
      </c>
      <c r="I129" s="5" t="s">
        <v>16</v>
      </c>
      <c r="J129" s="5">
        <v>81889650</v>
      </c>
      <c r="K129" s="5" t="s">
        <v>2975</v>
      </c>
      <c r="L129" s="19" t="s">
        <v>2976</v>
      </c>
      <c r="M129" s="24">
        <v>299900</v>
      </c>
      <c r="N129" s="7">
        <v>0.9</v>
      </c>
      <c r="O129" s="6">
        <f t="shared" si="4"/>
        <v>29990</v>
      </c>
      <c r="P129" s="5" t="s">
        <v>504</v>
      </c>
    </row>
    <row r="130" spans="1:16" s="1" customFormat="1" x14ac:dyDescent="0.35">
      <c r="A130" s="40" t="str">
        <f t="shared" si="3"/>
        <v>ALL 2024 H1 D90</v>
      </c>
      <c r="B130" s="8">
        <f>'ALL 2024 H2 D80'!$B$2</f>
        <v>46114</v>
      </c>
      <c r="C130" s="8">
        <f>'ALL 2024 H2 D80'!$C$2</f>
        <v>46120</v>
      </c>
      <c r="D130" s="5">
        <v>3208</v>
      </c>
      <c r="E130" s="5">
        <v>320</v>
      </c>
      <c r="F130" s="5">
        <v>1</v>
      </c>
      <c r="G130" s="5">
        <v>3</v>
      </c>
      <c r="H130" s="5">
        <v>81736</v>
      </c>
      <c r="I130" s="5" t="s">
        <v>16</v>
      </c>
      <c r="J130" s="5">
        <v>81889669</v>
      </c>
      <c r="K130" s="5" t="s">
        <v>2975</v>
      </c>
      <c r="L130" s="19" t="s">
        <v>2977</v>
      </c>
      <c r="M130" s="24">
        <v>299900</v>
      </c>
      <c r="N130" s="7">
        <v>0.9</v>
      </c>
      <c r="O130" s="6">
        <f t="shared" si="4"/>
        <v>29990</v>
      </c>
      <c r="P130" s="5" t="s">
        <v>504</v>
      </c>
    </row>
    <row r="131" spans="1:16" s="1" customFormat="1" x14ac:dyDescent="0.35">
      <c r="A131" s="40" t="str">
        <f t="shared" si="3"/>
        <v>ALL 2024 H1 D90</v>
      </c>
      <c r="B131" s="8">
        <f>'ALL 2024 H2 D80'!$B$2</f>
        <v>46114</v>
      </c>
      <c r="C131" s="8">
        <f>'ALL 2024 H2 D80'!$C$2</f>
        <v>46120</v>
      </c>
      <c r="D131" s="5">
        <v>3208</v>
      </c>
      <c r="E131" s="5">
        <v>320</v>
      </c>
      <c r="F131" s="5">
        <v>1</v>
      </c>
      <c r="G131" s="5">
        <v>3</v>
      </c>
      <c r="H131" s="5">
        <v>81736</v>
      </c>
      <c r="I131" s="5" t="s">
        <v>16</v>
      </c>
      <c r="J131" s="5">
        <v>81889678</v>
      </c>
      <c r="K131" s="5" t="s">
        <v>2975</v>
      </c>
      <c r="L131" s="19" t="s">
        <v>2978</v>
      </c>
      <c r="M131" s="24">
        <v>299900</v>
      </c>
      <c r="N131" s="7">
        <v>0.9</v>
      </c>
      <c r="O131" s="6">
        <f t="shared" si="4"/>
        <v>29990</v>
      </c>
      <c r="P131" s="5" t="s">
        <v>504</v>
      </c>
    </row>
    <row r="132" spans="1:16" s="1" customFormat="1" x14ac:dyDescent="0.35">
      <c r="A132" s="40" t="str">
        <f t="shared" si="3"/>
        <v>ALL 2024 H1 D90</v>
      </c>
      <c r="B132" s="8">
        <f>'ALL 2024 H2 D80'!$B$2</f>
        <v>46114</v>
      </c>
      <c r="C132" s="8">
        <f>'ALL 2024 H2 D80'!$C$2</f>
        <v>46120</v>
      </c>
      <c r="D132" s="5">
        <v>3208</v>
      </c>
      <c r="E132" s="5">
        <v>320</v>
      </c>
      <c r="F132" s="5">
        <v>1</v>
      </c>
      <c r="G132" s="5">
        <v>3</v>
      </c>
      <c r="H132" s="5">
        <v>81736</v>
      </c>
      <c r="I132" s="5" t="s">
        <v>16</v>
      </c>
      <c r="J132" s="5">
        <v>81897534</v>
      </c>
      <c r="K132" s="5" t="s">
        <v>2975</v>
      </c>
      <c r="L132" s="19" t="s">
        <v>2979</v>
      </c>
      <c r="M132" s="24">
        <v>299900</v>
      </c>
      <c r="N132" s="7">
        <v>0.9</v>
      </c>
      <c r="O132" s="6">
        <f t="shared" si="4"/>
        <v>29990</v>
      </c>
      <c r="P132" s="5" t="s">
        <v>504</v>
      </c>
    </row>
    <row r="133" spans="1:16" s="1" customFormat="1" x14ac:dyDescent="0.35">
      <c r="A133" s="40" t="str">
        <f t="shared" ref="A133:A196" si="5">$A$2</f>
        <v>ALL 2024 H1 D90</v>
      </c>
      <c r="B133" s="8">
        <f>'ALL 2024 H2 D80'!$B$2</f>
        <v>46114</v>
      </c>
      <c r="C133" s="8">
        <f>'ALL 2024 H2 D80'!$C$2</f>
        <v>46120</v>
      </c>
      <c r="D133" s="5">
        <v>3208</v>
      </c>
      <c r="E133" s="5">
        <v>320</v>
      </c>
      <c r="F133" s="5">
        <v>1</v>
      </c>
      <c r="G133" s="5">
        <v>3</v>
      </c>
      <c r="H133" s="5">
        <v>81078</v>
      </c>
      <c r="I133" s="5" t="s">
        <v>16</v>
      </c>
      <c r="J133" s="5">
        <v>16811597</v>
      </c>
      <c r="K133" s="5" t="s">
        <v>3100</v>
      </c>
      <c r="L133" s="19" t="s">
        <v>3101</v>
      </c>
      <c r="M133" s="24">
        <v>299900</v>
      </c>
      <c r="N133" s="7">
        <v>0.9</v>
      </c>
      <c r="O133" s="6">
        <f t="shared" si="4"/>
        <v>29990</v>
      </c>
      <c r="P133" s="5" t="s">
        <v>504</v>
      </c>
    </row>
    <row r="134" spans="1:16" s="1" customFormat="1" x14ac:dyDescent="0.35">
      <c r="A134" s="40" t="str">
        <f t="shared" si="5"/>
        <v>ALL 2024 H1 D90</v>
      </c>
      <c r="B134" s="8">
        <f>'ALL 2024 H2 D80'!$B$2</f>
        <v>46114</v>
      </c>
      <c r="C134" s="8">
        <f>'ALL 2024 H2 D80'!$C$2</f>
        <v>46120</v>
      </c>
      <c r="D134" s="5">
        <v>3208</v>
      </c>
      <c r="E134" s="5">
        <v>320</v>
      </c>
      <c r="F134" s="5">
        <v>1</v>
      </c>
      <c r="G134" s="5">
        <v>3</v>
      </c>
      <c r="H134" s="5">
        <v>81078</v>
      </c>
      <c r="I134" s="5" t="s">
        <v>16</v>
      </c>
      <c r="J134" s="5">
        <v>16811604</v>
      </c>
      <c r="K134" s="5" t="s">
        <v>3100</v>
      </c>
      <c r="L134" s="19" t="s">
        <v>3102</v>
      </c>
      <c r="M134" s="24">
        <v>299900</v>
      </c>
      <c r="N134" s="7">
        <v>0.9</v>
      </c>
      <c r="O134" s="6">
        <f t="shared" si="4"/>
        <v>29990</v>
      </c>
      <c r="P134" s="5" t="s">
        <v>504</v>
      </c>
    </row>
    <row r="135" spans="1:16" s="1" customFormat="1" x14ac:dyDescent="0.35">
      <c r="A135" s="40" t="str">
        <f t="shared" si="5"/>
        <v>ALL 2024 H1 D90</v>
      </c>
      <c r="B135" s="8">
        <f>'ALL 2024 H2 D80'!$B$2</f>
        <v>46114</v>
      </c>
      <c r="C135" s="8">
        <f>'ALL 2024 H2 D80'!$C$2</f>
        <v>46120</v>
      </c>
      <c r="D135" s="5">
        <v>3208</v>
      </c>
      <c r="E135" s="5">
        <v>320</v>
      </c>
      <c r="F135" s="5">
        <v>1</v>
      </c>
      <c r="G135" s="5">
        <v>3</v>
      </c>
      <c r="H135" s="5">
        <v>81078</v>
      </c>
      <c r="I135" s="5" t="s">
        <v>16</v>
      </c>
      <c r="J135" s="5">
        <v>16811613</v>
      </c>
      <c r="K135" s="5" t="s">
        <v>3100</v>
      </c>
      <c r="L135" s="19" t="s">
        <v>3103</v>
      </c>
      <c r="M135" s="24">
        <v>299900</v>
      </c>
      <c r="N135" s="7">
        <v>0.9</v>
      </c>
      <c r="O135" s="6">
        <f t="shared" si="4"/>
        <v>29990</v>
      </c>
      <c r="P135" s="5" t="s">
        <v>504</v>
      </c>
    </row>
    <row r="136" spans="1:16" s="1" customFormat="1" x14ac:dyDescent="0.35">
      <c r="A136" s="40" t="str">
        <f t="shared" si="5"/>
        <v>ALL 2024 H1 D90</v>
      </c>
      <c r="B136" s="8">
        <f>'ALL 2024 H2 D80'!$B$2</f>
        <v>46114</v>
      </c>
      <c r="C136" s="8">
        <f>'ALL 2024 H2 D80'!$C$2</f>
        <v>46120</v>
      </c>
      <c r="D136" s="5">
        <v>3208</v>
      </c>
      <c r="E136" s="5">
        <v>320</v>
      </c>
      <c r="F136" s="5">
        <v>1</v>
      </c>
      <c r="G136" s="5">
        <v>3</v>
      </c>
      <c r="H136" s="5">
        <v>81078</v>
      </c>
      <c r="I136" s="5" t="s">
        <v>16</v>
      </c>
      <c r="J136" s="5">
        <v>16811622</v>
      </c>
      <c r="K136" s="5" t="s">
        <v>3100</v>
      </c>
      <c r="L136" s="19" t="s">
        <v>3104</v>
      </c>
      <c r="M136" s="24">
        <v>299900</v>
      </c>
      <c r="N136" s="7">
        <v>0.9</v>
      </c>
      <c r="O136" s="6">
        <f t="shared" si="4"/>
        <v>29990</v>
      </c>
      <c r="P136" s="5" t="s">
        <v>504</v>
      </c>
    </row>
    <row r="137" spans="1:16" s="1" customFormat="1" x14ac:dyDescent="0.35">
      <c r="A137" s="40" t="str">
        <f t="shared" si="5"/>
        <v>ALL 2024 H1 D90</v>
      </c>
      <c r="B137" s="8">
        <f>'ALL 2024 H2 D80'!$B$2</f>
        <v>46114</v>
      </c>
      <c r="C137" s="8">
        <f>'ALL 2024 H2 D80'!$C$2</f>
        <v>46120</v>
      </c>
      <c r="D137" s="5">
        <v>3208</v>
      </c>
      <c r="E137" s="5">
        <v>320</v>
      </c>
      <c r="F137" s="5">
        <v>1</v>
      </c>
      <c r="G137" s="5">
        <v>3</v>
      </c>
      <c r="H137" s="5">
        <v>81736</v>
      </c>
      <c r="I137" s="5" t="s">
        <v>16</v>
      </c>
      <c r="J137" s="5">
        <v>16401020</v>
      </c>
      <c r="K137" s="5" t="s">
        <v>3109</v>
      </c>
      <c r="L137" s="19" t="s">
        <v>3110</v>
      </c>
      <c r="M137" s="24">
        <v>269900</v>
      </c>
      <c r="N137" s="7">
        <v>0.9</v>
      </c>
      <c r="O137" s="6">
        <f t="shared" si="4"/>
        <v>26990</v>
      </c>
      <c r="P137" s="5" t="s">
        <v>504</v>
      </c>
    </row>
    <row r="138" spans="1:16" s="1" customFormat="1" x14ac:dyDescent="0.35">
      <c r="A138" s="40" t="str">
        <f t="shared" si="5"/>
        <v>ALL 2024 H1 D90</v>
      </c>
      <c r="B138" s="8">
        <f>'ALL 2024 H2 D80'!$B$2</f>
        <v>46114</v>
      </c>
      <c r="C138" s="8">
        <f>'ALL 2024 H2 D80'!$C$2</f>
        <v>46120</v>
      </c>
      <c r="D138" s="5">
        <v>3208</v>
      </c>
      <c r="E138" s="5">
        <v>320</v>
      </c>
      <c r="F138" s="5">
        <v>1</v>
      </c>
      <c r="G138" s="5">
        <v>3</v>
      </c>
      <c r="H138" s="5">
        <v>81736</v>
      </c>
      <c r="I138" s="5" t="s">
        <v>16</v>
      </c>
      <c r="J138" s="5">
        <v>16401039</v>
      </c>
      <c r="K138" s="5" t="s">
        <v>3109</v>
      </c>
      <c r="L138" s="19" t="s">
        <v>3111</v>
      </c>
      <c r="M138" s="24">
        <v>269900</v>
      </c>
      <c r="N138" s="7">
        <v>0.9</v>
      </c>
      <c r="O138" s="6">
        <f t="shared" si="4"/>
        <v>26990</v>
      </c>
      <c r="P138" s="5" t="s">
        <v>504</v>
      </c>
    </row>
    <row r="139" spans="1:16" s="1" customFormat="1" x14ac:dyDescent="0.35">
      <c r="A139" s="40" t="str">
        <f t="shared" si="5"/>
        <v>ALL 2024 H1 D90</v>
      </c>
      <c r="B139" s="8">
        <f>'ALL 2024 H2 D80'!$B$2</f>
        <v>46114</v>
      </c>
      <c r="C139" s="8">
        <f>'ALL 2024 H2 D80'!$C$2</f>
        <v>46120</v>
      </c>
      <c r="D139" s="5">
        <v>3208</v>
      </c>
      <c r="E139" s="5">
        <v>320</v>
      </c>
      <c r="F139" s="5">
        <v>1</v>
      </c>
      <c r="G139" s="5">
        <v>3</v>
      </c>
      <c r="H139" s="5">
        <v>81736</v>
      </c>
      <c r="I139" s="5" t="s">
        <v>16</v>
      </c>
      <c r="J139" s="5">
        <v>16401048</v>
      </c>
      <c r="K139" s="5" t="s">
        <v>3109</v>
      </c>
      <c r="L139" s="19" t="s">
        <v>3112</v>
      </c>
      <c r="M139" s="24">
        <v>269900</v>
      </c>
      <c r="N139" s="7">
        <v>0.9</v>
      </c>
      <c r="O139" s="6">
        <f t="shared" si="4"/>
        <v>26990</v>
      </c>
      <c r="P139" s="5" t="s">
        <v>504</v>
      </c>
    </row>
    <row r="140" spans="1:16" s="1" customFormat="1" x14ac:dyDescent="0.35">
      <c r="A140" s="40" t="str">
        <f t="shared" si="5"/>
        <v>ALL 2024 H1 D90</v>
      </c>
      <c r="B140" s="8">
        <f>'ALL 2024 H2 D80'!$B$2</f>
        <v>46114</v>
      </c>
      <c r="C140" s="8">
        <f>'ALL 2024 H2 D80'!$C$2</f>
        <v>46120</v>
      </c>
      <c r="D140" s="5">
        <v>3208</v>
      </c>
      <c r="E140" s="5">
        <v>320</v>
      </c>
      <c r="F140" s="5">
        <v>1</v>
      </c>
      <c r="G140" s="5">
        <v>3</v>
      </c>
      <c r="H140" s="5">
        <v>81736</v>
      </c>
      <c r="I140" s="5" t="s">
        <v>16</v>
      </c>
      <c r="J140" s="5">
        <v>16401057</v>
      </c>
      <c r="K140" s="5" t="s">
        <v>3109</v>
      </c>
      <c r="L140" s="19" t="s">
        <v>3113</v>
      </c>
      <c r="M140" s="24">
        <v>269900</v>
      </c>
      <c r="N140" s="7">
        <v>0.9</v>
      </c>
      <c r="O140" s="6">
        <f t="shared" ref="O140:O203" si="6">M140-(M140*N140)</f>
        <v>26990</v>
      </c>
      <c r="P140" s="5" t="s">
        <v>504</v>
      </c>
    </row>
    <row r="141" spans="1:16" s="1" customFormat="1" x14ac:dyDescent="0.35">
      <c r="A141" s="40" t="str">
        <f t="shared" si="5"/>
        <v>ALL 2024 H1 D90</v>
      </c>
      <c r="B141" s="8">
        <f>'ALL 2024 H2 D80'!$B$2</f>
        <v>46114</v>
      </c>
      <c r="C141" s="8">
        <f>'ALL 2024 H2 D80'!$C$2</f>
        <v>46120</v>
      </c>
      <c r="D141" s="5">
        <v>3208</v>
      </c>
      <c r="E141" s="5">
        <v>320</v>
      </c>
      <c r="F141" s="5">
        <v>1</v>
      </c>
      <c r="G141" s="5">
        <v>3</v>
      </c>
      <c r="H141" s="5">
        <v>81736</v>
      </c>
      <c r="I141" s="5" t="s">
        <v>16</v>
      </c>
      <c r="J141" s="5">
        <v>16811631</v>
      </c>
      <c r="K141" s="5" t="s">
        <v>3114</v>
      </c>
      <c r="L141" s="19" t="s">
        <v>3115</v>
      </c>
      <c r="M141" s="24">
        <v>269900</v>
      </c>
      <c r="N141" s="7">
        <v>0.9</v>
      </c>
      <c r="O141" s="6">
        <f t="shared" si="6"/>
        <v>26990</v>
      </c>
      <c r="P141" s="5" t="s">
        <v>504</v>
      </c>
    </row>
    <row r="142" spans="1:16" s="1" customFormat="1" x14ac:dyDescent="0.35">
      <c r="A142" s="40" t="str">
        <f t="shared" si="5"/>
        <v>ALL 2024 H1 D90</v>
      </c>
      <c r="B142" s="8">
        <f>'ALL 2024 H2 D80'!$B$2</f>
        <v>46114</v>
      </c>
      <c r="C142" s="8">
        <f>'ALL 2024 H2 D80'!$C$2</f>
        <v>46120</v>
      </c>
      <c r="D142" s="5">
        <v>3208</v>
      </c>
      <c r="E142" s="5">
        <v>320</v>
      </c>
      <c r="F142" s="5">
        <v>1</v>
      </c>
      <c r="G142" s="5">
        <v>3</v>
      </c>
      <c r="H142" s="5">
        <v>81736</v>
      </c>
      <c r="I142" s="5" t="s">
        <v>16</v>
      </c>
      <c r="J142" s="5">
        <v>16811640</v>
      </c>
      <c r="K142" s="5" t="s">
        <v>3114</v>
      </c>
      <c r="L142" s="19" t="s">
        <v>3116</v>
      </c>
      <c r="M142" s="24">
        <v>269900</v>
      </c>
      <c r="N142" s="7">
        <v>0.9</v>
      </c>
      <c r="O142" s="6">
        <f t="shared" si="6"/>
        <v>26990</v>
      </c>
      <c r="P142" s="5" t="s">
        <v>504</v>
      </c>
    </row>
    <row r="143" spans="1:16" s="1" customFormat="1" x14ac:dyDescent="0.35">
      <c r="A143" s="40" t="str">
        <f t="shared" si="5"/>
        <v>ALL 2024 H1 D90</v>
      </c>
      <c r="B143" s="8">
        <f>'ALL 2024 H2 D80'!$B$2</f>
        <v>46114</v>
      </c>
      <c r="C143" s="8">
        <f>'ALL 2024 H2 D80'!$C$2</f>
        <v>46120</v>
      </c>
      <c r="D143" s="5">
        <v>3208</v>
      </c>
      <c r="E143" s="5">
        <v>320</v>
      </c>
      <c r="F143" s="5">
        <v>1</v>
      </c>
      <c r="G143" s="5">
        <v>3</v>
      </c>
      <c r="H143" s="5">
        <v>81736</v>
      </c>
      <c r="I143" s="5" t="s">
        <v>16</v>
      </c>
      <c r="J143" s="5">
        <v>16811659</v>
      </c>
      <c r="K143" s="5" t="s">
        <v>3114</v>
      </c>
      <c r="L143" s="19" t="s">
        <v>3117</v>
      </c>
      <c r="M143" s="24">
        <v>269900</v>
      </c>
      <c r="N143" s="7">
        <v>0.9</v>
      </c>
      <c r="O143" s="6">
        <f t="shared" si="6"/>
        <v>26990</v>
      </c>
      <c r="P143" s="5" t="s">
        <v>504</v>
      </c>
    </row>
    <row r="144" spans="1:16" s="1" customFormat="1" x14ac:dyDescent="0.35">
      <c r="A144" s="40" t="str">
        <f t="shared" si="5"/>
        <v>ALL 2024 H1 D90</v>
      </c>
      <c r="B144" s="8">
        <f>'ALL 2024 H2 D80'!$B$2</f>
        <v>46114</v>
      </c>
      <c r="C144" s="8">
        <f>'ALL 2024 H2 D80'!$C$2</f>
        <v>46120</v>
      </c>
      <c r="D144" s="5">
        <v>3208</v>
      </c>
      <c r="E144" s="5">
        <v>320</v>
      </c>
      <c r="F144" s="5">
        <v>1</v>
      </c>
      <c r="G144" s="5">
        <v>3</v>
      </c>
      <c r="H144" s="5">
        <v>81736</v>
      </c>
      <c r="I144" s="5" t="s">
        <v>16</v>
      </c>
      <c r="J144" s="5">
        <v>16811668</v>
      </c>
      <c r="K144" s="5" t="s">
        <v>3114</v>
      </c>
      <c r="L144" s="19" t="s">
        <v>3118</v>
      </c>
      <c r="M144" s="24">
        <v>269900</v>
      </c>
      <c r="N144" s="7">
        <v>0.9</v>
      </c>
      <c r="O144" s="6">
        <f t="shared" si="6"/>
        <v>26990</v>
      </c>
      <c r="P144" s="5" t="s">
        <v>504</v>
      </c>
    </row>
    <row r="145" spans="1:16" s="1" customFormat="1" x14ac:dyDescent="0.35">
      <c r="A145" s="40" t="str">
        <f t="shared" si="5"/>
        <v>ALL 2024 H1 D90</v>
      </c>
      <c r="B145" s="8">
        <f>'ALL 2024 H2 D80'!$B$2</f>
        <v>46114</v>
      </c>
      <c r="C145" s="8">
        <f>'ALL 2024 H2 D80'!$C$2</f>
        <v>46120</v>
      </c>
      <c r="D145" s="5">
        <v>3208</v>
      </c>
      <c r="E145" s="5">
        <v>320</v>
      </c>
      <c r="F145" s="5">
        <v>1</v>
      </c>
      <c r="G145" s="5">
        <v>3</v>
      </c>
      <c r="H145" s="5">
        <v>81748</v>
      </c>
      <c r="I145" s="5" t="s">
        <v>16</v>
      </c>
      <c r="J145" s="5">
        <v>14274814</v>
      </c>
      <c r="K145" s="5" t="s">
        <v>3119</v>
      </c>
      <c r="L145" s="19" t="s">
        <v>3120</v>
      </c>
      <c r="M145" s="24">
        <v>269900</v>
      </c>
      <c r="N145" s="7">
        <v>0.9</v>
      </c>
      <c r="O145" s="6">
        <f t="shared" si="6"/>
        <v>26990</v>
      </c>
      <c r="P145" s="5" t="s">
        <v>504</v>
      </c>
    </row>
    <row r="146" spans="1:16" s="1" customFormat="1" x14ac:dyDescent="0.35">
      <c r="A146" s="40" t="str">
        <f t="shared" si="5"/>
        <v>ALL 2024 H1 D90</v>
      </c>
      <c r="B146" s="8">
        <f>'ALL 2024 H2 D80'!$B$2</f>
        <v>46114</v>
      </c>
      <c r="C146" s="8">
        <f>'ALL 2024 H2 D80'!$C$2</f>
        <v>46120</v>
      </c>
      <c r="D146" s="5">
        <v>3208</v>
      </c>
      <c r="E146" s="5">
        <v>320</v>
      </c>
      <c r="F146" s="5">
        <v>1</v>
      </c>
      <c r="G146" s="5">
        <v>3</v>
      </c>
      <c r="H146" s="5">
        <v>81748</v>
      </c>
      <c r="I146" s="5" t="s">
        <v>16</v>
      </c>
      <c r="J146" s="5">
        <v>14274823</v>
      </c>
      <c r="K146" s="5" t="s">
        <v>3119</v>
      </c>
      <c r="L146" s="19" t="s">
        <v>3121</v>
      </c>
      <c r="M146" s="24">
        <v>269900</v>
      </c>
      <c r="N146" s="7">
        <v>0.9</v>
      </c>
      <c r="O146" s="6">
        <f t="shared" si="6"/>
        <v>26990</v>
      </c>
      <c r="P146" s="5" t="s">
        <v>504</v>
      </c>
    </row>
    <row r="147" spans="1:16" s="1" customFormat="1" x14ac:dyDescent="0.35">
      <c r="A147" s="40" t="str">
        <f t="shared" si="5"/>
        <v>ALL 2024 H1 D90</v>
      </c>
      <c r="B147" s="8">
        <f>'ALL 2024 H2 D80'!$B$2</f>
        <v>46114</v>
      </c>
      <c r="C147" s="8">
        <f>'ALL 2024 H2 D80'!$C$2</f>
        <v>46120</v>
      </c>
      <c r="D147" s="5">
        <v>3208</v>
      </c>
      <c r="E147" s="5">
        <v>320</v>
      </c>
      <c r="F147" s="5">
        <v>1</v>
      </c>
      <c r="G147" s="5">
        <v>3</v>
      </c>
      <c r="H147" s="5">
        <v>81748</v>
      </c>
      <c r="I147" s="5" t="s">
        <v>16</v>
      </c>
      <c r="J147" s="5">
        <v>14274832</v>
      </c>
      <c r="K147" s="5" t="s">
        <v>3119</v>
      </c>
      <c r="L147" s="19" t="s">
        <v>3122</v>
      </c>
      <c r="M147" s="24">
        <v>269900</v>
      </c>
      <c r="N147" s="7">
        <v>0.9</v>
      </c>
      <c r="O147" s="6">
        <f t="shared" si="6"/>
        <v>26990</v>
      </c>
      <c r="P147" s="5" t="s">
        <v>504</v>
      </c>
    </row>
    <row r="148" spans="1:16" s="1" customFormat="1" x14ac:dyDescent="0.35">
      <c r="A148" s="40" t="str">
        <f t="shared" si="5"/>
        <v>ALL 2024 H1 D90</v>
      </c>
      <c r="B148" s="8">
        <f>'ALL 2024 H2 D80'!$B$2</f>
        <v>46114</v>
      </c>
      <c r="C148" s="8">
        <f>'ALL 2024 H2 D80'!$C$2</f>
        <v>46120</v>
      </c>
      <c r="D148" s="5">
        <v>3208</v>
      </c>
      <c r="E148" s="5">
        <v>320</v>
      </c>
      <c r="F148" s="5">
        <v>1</v>
      </c>
      <c r="G148" s="5">
        <v>3</v>
      </c>
      <c r="H148" s="5">
        <v>81748</v>
      </c>
      <c r="I148" s="5" t="s">
        <v>16</v>
      </c>
      <c r="J148" s="5">
        <v>14274841</v>
      </c>
      <c r="K148" s="5" t="s">
        <v>3119</v>
      </c>
      <c r="L148" s="19" t="s">
        <v>3123</v>
      </c>
      <c r="M148" s="24">
        <v>269900</v>
      </c>
      <c r="N148" s="7">
        <v>0.9</v>
      </c>
      <c r="O148" s="6">
        <f t="shared" si="6"/>
        <v>26990</v>
      </c>
      <c r="P148" s="5" t="s">
        <v>504</v>
      </c>
    </row>
    <row r="149" spans="1:16" s="1" customFormat="1" x14ac:dyDescent="0.35">
      <c r="A149" s="40" t="str">
        <f t="shared" si="5"/>
        <v>ALL 2024 H1 D90</v>
      </c>
      <c r="B149" s="8">
        <f>'ALL 2024 H2 D80'!$B$2</f>
        <v>46114</v>
      </c>
      <c r="C149" s="8">
        <f>'ALL 2024 H2 D80'!$C$2</f>
        <v>46120</v>
      </c>
      <c r="D149" s="5">
        <v>3208</v>
      </c>
      <c r="E149" s="5">
        <v>320</v>
      </c>
      <c r="F149" s="5">
        <v>1</v>
      </c>
      <c r="G149" s="5">
        <v>10</v>
      </c>
      <c r="H149" s="5">
        <v>81406</v>
      </c>
      <c r="I149" s="5" t="s">
        <v>16</v>
      </c>
      <c r="J149" s="5">
        <v>14275019</v>
      </c>
      <c r="K149" s="5" t="s">
        <v>3166</v>
      </c>
      <c r="L149" s="19" t="s">
        <v>3167</v>
      </c>
      <c r="M149" s="24">
        <v>299900</v>
      </c>
      <c r="N149" s="7">
        <v>0.9</v>
      </c>
      <c r="O149" s="6">
        <f t="shared" si="6"/>
        <v>29990</v>
      </c>
      <c r="P149" s="5" t="s">
        <v>504</v>
      </c>
    </row>
    <row r="150" spans="1:16" s="1" customFormat="1" x14ac:dyDescent="0.35">
      <c r="A150" s="40" t="str">
        <f t="shared" si="5"/>
        <v>ALL 2024 H1 D90</v>
      </c>
      <c r="B150" s="8">
        <f>'ALL 2024 H2 D80'!$B$2</f>
        <v>46114</v>
      </c>
      <c r="C150" s="8">
        <f>'ALL 2024 H2 D80'!$C$2</f>
        <v>46120</v>
      </c>
      <c r="D150" s="5">
        <v>3208</v>
      </c>
      <c r="E150" s="5">
        <v>320</v>
      </c>
      <c r="F150" s="5">
        <v>1</v>
      </c>
      <c r="G150" s="5">
        <v>10</v>
      </c>
      <c r="H150" s="5">
        <v>81406</v>
      </c>
      <c r="I150" s="5" t="s">
        <v>16</v>
      </c>
      <c r="J150" s="5">
        <v>14275028</v>
      </c>
      <c r="K150" s="5" t="s">
        <v>3166</v>
      </c>
      <c r="L150" s="19" t="s">
        <v>3168</v>
      </c>
      <c r="M150" s="24">
        <v>299900</v>
      </c>
      <c r="N150" s="7">
        <v>0.9</v>
      </c>
      <c r="O150" s="6">
        <f t="shared" si="6"/>
        <v>29990</v>
      </c>
      <c r="P150" s="5" t="s">
        <v>504</v>
      </c>
    </row>
    <row r="151" spans="1:16" s="1" customFormat="1" x14ac:dyDescent="0.35">
      <c r="A151" s="40" t="str">
        <f t="shared" si="5"/>
        <v>ALL 2024 H1 D90</v>
      </c>
      <c r="B151" s="8">
        <f>'ALL 2024 H2 D80'!$B$2</f>
        <v>46114</v>
      </c>
      <c r="C151" s="8">
        <f>'ALL 2024 H2 D80'!$C$2</f>
        <v>46120</v>
      </c>
      <c r="D151" s="5">
        <v>3208</v>
      </c>
      <c r="E151" s="5">
        <v>320</v>
      </c>
      <c r="F151" s="5">
        <v>1</v>
      </c>
      <c r="G151" s="5">
        <v>10</v>
      </c>
      <c r="H151" s="5">
        <v>81406</v>
      </c>
      <c r="I151" s="5" t="s">
        <v>16</v>
      </c>
      <c r="J151" s="5">
        <v>14275037</v>
      </c>
      <c r="K151" s="5" t="s">
        <v>3166</v>
      </c>
      <c r="L151" s="19" t="s">
        <v>3169</v>
      </c>
      <c r="M151" s="24">
        <v>299900</v>
      </c>
      <c r="N151" s="7">
        <v>0.9</v>
      </c>
      <c r="O151" s="6">
        <f t="shared" si="6"/>
        <v>29990</v>
      </c>
      <c r="P151" s="5" t="s">
        <v>504</v>
      </c>
    </row>
    <row r="152" spans="1:16" s="1" customFormat="1" x14ac:dyDescent="0.35">
      <c r="A152" s="40" t="str">
        <f t="shared" si="5"/>
        <v>ALL 2024 H1 D90</v>
      </c>
      <c r="B152" s="8">
        <f>'ALL 2024 H2 D80'!$B$2</f>
        <v>46114</v>
      </c>
      <c r="C152" s="8">
        <f>'ALL 2024 H2 D80'!$C$2</f>
        <v>46120</v>
      </c>
      <c r="D152" s="5">
        <v>3208</v>
      </c>
      <c r="E152" s="5">
        <v>320</v>
      </c>
      <c r="F152" s="5">
        <v>1</v>
      </c>
      <c r="G152" s="5">
        <v>10</v>
      </c>
      <c r="H152" s="5">
        <v>81406</v>
      </c>
      <c r="I152" s="5" t="s">
        <v>16</v>
      </c>
      <c r="J152" s="5">
        <v>14275046</v>
      </c>
      <c r="K152" s="5" t="s">
        <v>3166</v>
      </c>
      <c r="L152" s="19" t="s">
        <v>3170</v>
      </c>
      <c r="M152" s="24">
        <v>299900</v>
      </c>
      <c r="N152" s="7">
        <v>0.9</v>
      </c>
      <c r="O152" s="6">
        <f t="shared" si="6"/>
        <v>29990</v>
      </c>
      <c r="P152" s="5" t="s">
        <v>504</v>
      </c>
    </row>
    <row r="153" spans="1:16" s="1" customFormat="1" x14ac:dyDescent="0.35">
      <c r="A153" s="40" t="str">
        <f t="shared" si="5"/>
        <v>ALL 2024 H1 D90</v>
      </c>
      <c r="B153" s="8">
        <f>'ALL 2024 H2 D80'!$B$2</f>
        <v>46114</v>
      </c>
      <c r="C153" s="8">
        <f>'ALL 2024 H2 D80'!$C$2</f>
        <v>46120</v>
      </c>
      <c r="D153" s="5">
        <v>3208</v>
      </c>
      <c r="E153" s="5">
        <v>320</v>
      </c>
      <c r="F153" s="5">
        <v>1</v>
      </c>
      <c r="G153" s="5">
        <v>10</v>
      </c>
      <c r="H153" s="5">
        <v>81406</v>
      </c>
      <c r="I153" s="5" t="s">
        <v>16</v>
      </c>
      <c r="J153" s="5">
        <v>15943563</v>
      </c>
      <c r="K153" s="5" t="s">
        <v>2984</v>
      </c>
      <c r="L153" s="19" t="s">
        <v>3313</v>
      </c>
      <c r="M153" s="24">
        <v>329900</v>
      </c>
      <c r="N153" s="7">
        <v>0.9</v>
      </c>
      <c r="O153" s="6">
        <f t="shared" si="6"/>
        <v>32990</v>
      </c>
      <c r="P153" s="5" t="s">
        <v>504</v>
      </c>
    </row>
    <row r="154" spans="1:16" s="1" customFormat="1" x14ac:dyDescent="0.35">
      <c r="A154" s="40" t="str">
        <f t="shared" si="5"/>
        <v>ALL 2024 H1 D90</v>
      </c>
      <c r="B154" s="8">
        <f>'ALL 2024 H2 D80'!$B$2</f>
        <v>46114</v>
      </c>
      <c r="C154" s="8">
        <f>'ALL 2024 H2 D80'!$C$2</f>
        <v>46120</v>
      </c>
      <c r="D154" s="5">
        <v>3208</v>
      </c>
      <c r="E154" s="5">
        <v>320</v>
      </c>
      <c r="F154" s="5">
        <v>1</v>
      </c>
      <c r="G154" s="5">
        <v>10</v>
      </c>
      <c r="H154" s="5">
        <v>81406</v>
      </c>
      <c r="I154" s="5" t="s">
        <v>16</v>
      </c>
      <c r="J154" s="5">
        <v>15943572</v>
      </c>
      <c r="K154" s="5" t="s">
        <v>2984</v>
      </c>
      <c r="L154" s="19" t="s">
        <v>3314</v>
      </c>
      <c r="M154" s="24">
        <v>329900</v>
      </c>
      <c r="N154" s="7">
        <v>0.9</v>
      </c>
      <c r="O154" s="6">
        <f t="shared" si="6"/>
        <v>32990</v>
      </c>
      <c r="P154" s="5" t="s">
        <v>504</v>
      </c>
    </row>
    <row r="155" spans="1:16" s="1" customFormat="1" x14ac:dyDescent="0.35">
      <c r="A155" s="40" t="str">
        <f t="shared" si="5"/>
        <v>ALL 2024 H1 D90</v>
      </c>
      <c r="B155" s="8">
        <f>'ALL 2024 H2 D80'!$B$2</f>
        <v>46114</v>
      </c>
      <c r="C155" s="8">
        <f>'ALL 2024 H2 D80'!$C$2</f>
        <v>46120</v>
      </c>
      <c r="D155" s="5">
        <v>3208</v>
      </c>
      <c r="E155" s="5">
        <v>320</v>
      </c>
      <c r="F155" s="5">
        <v>1</v>
      </c>
      <c r="G155" s="5">
        <v>10</v>
      </c>
      <c r="H155" s="5">
        <v>81406</v>
      </c>
      <c r="I155" s="5" t="s">
        <v>16</v>
      </c>
      <c r="J155" s="5">
        <v>15943581</v>
      </c>
      <c r="K155" s="5" t="s">
        <v>2984</v>
      </c>
      <c r="L155" s="19" t="s">
        <v>3315</v>
      </c>
      <c r="M155" s="24">
        <v>329900</v>
      </c>
      <c r="N155" s="7">
        <v>0.9</v>
      </c>
      <c r="O155" s="6">
        <f t="shared" si="6"/>
        <v>32990</v>
      </c>
      <c r="P155" s="5" t="s">
        <v>504</v>
      </c>
    </row>
    <row r="156" spans="1:16" s="1" customFormat="1" x14ac:dyDescent="0.35">
      <c r="A156" s="40" t="str">
        <f t="shared" si="5"/>
        <v>ALL 2024 H1 D90</v>
      </c>
      <c r="B156" s="8">
        <f>'ALL 2024 H2 D80'!$B$2</f>
        <v>46114</v>
      </c>
      <c r="C156" s="8">
        <f>'ALL 2024 H2 D80'!$C$2</f>
        <v>46120</v>
      </c>
      <c r="D156" s="5">
        <v>3208</v>
      </c>
      <c r="E156" s="5">
        <v>320</v>
      </c>
      <c r="F156" s="5">
        <v>1</v>
      </c>
      <c r="G156" s="5">
        <v>10</v>
      </c>
      <c r="H156" s="5">
        <v>81406</v>
      </c>
      <c r="I156" s="5" t="s">
        <v>16</v>
      </c>
      <c r="J156" s="5">
        <v>15964040</v>
      </c>
      <c r="K156" s="5" t="s">
        <v>2984</v>
      </c>
      <c r="L156" s="19" t="s">
        <v>3316</v>
      </c>
      <c r="M156" s="24">
        <v>329900</v>
      </c>
      <c r="N156" s="7">
        <v>0.9</v>
      </c>
      <c r="O156" s="6">
        <f t="shared" si="6"/>
        <v>32990</v>
      </c>
      <c r="P156" s="5" t="s">
        <v>504</v>
      </c>
    </row>
    <row r="157" spans="1:16" s="1" customFormat="1" x14ac:dyDescent="0.35">
      <c r="A157" s="40" t="str">
        <f t="shared" si="5"/>
        <v>ALL 2024 H1 D90</v>
      </c>
      <c r="B157" s="8">
        <f>'ALL 2024 H2 D80'!$B$2</f>
        <v>46114</v>
      </c>
      <c r="C157" s="8">
        <f>'ALL 2024 H2 D80'!$C$2</f>
        <v>46120</v>
      </c>
      <c r="D157" s="5">
        <v>3208</v>
      </c>
      <c r="E157" s="5">
        <v>320</v>
      </c>
      <c r="F157" s="5">
        <v>1</v>
      </c>
      <c r="G157" s="5">
        <v>10</v>
      </c>
      <c r="H157" s="5">
        <v>81406</v>
      </c>
      <c r="I157" s="5" t="s">
        <v>16</v>
      </c>
      <c r="J157" s="5">
        <v>16400709</v>
      </c>
      <c r="K157" s="5" t="s">
        <v>3171</v>
      </c>
      <c r="L157" s="19" t="s">
        <v>3172</v>
      </c>
      <c r="M157" s="24">
        <v>329900</v>
      </c>
      <c r="N157" s="7">
        <v>0.9</v>
      </c>
      <c r="O157" s="6">
        <f t="shared" si="6"/>
        <v>32990</v>
      </c>
      <c r="P157" s="5" t="s">
        <v>504</v>
      </c>
    </row>
    <row r="158" spans="1:16" s="1" customFormat="1" x14ac:dyDescent="0.35">
      <c r="A158" s="40" t="str">
        <f t="shared" si="5"/>
        <v>ALL 2024 H1 D90</v>
      </c>
      <c r="B158" s="8">
        <f>'ALL 2024 H2 D80'!$B$2</f>
        <v>46114</v>
      </c>
      <c r="C158" s="8">
        <f>'ALL 2024 H2 D80'!$C$2</f>
        <v>46120</v>
      </c>
      <c r="D158" s="5">
        <v>3208</v>
      </c>
      <c r="E158" s="5">
        <v>320</v>
      </c>
      <c r="F158" s="5">
        <v>1</v>
      </c>
      <c r="G158" s="5">
        <v>10</v>
      </c>
      <c r="H158" s="5">
        <v>81406</v>
      </c>
      <c r="I158" s="5" t="s">
        <v>16</v>
      </c>
      <c r="J158" s="5">
        <v>16400718</v>
      </c>
      <c r="K158" s="5" t="s">
        <v>3171</v>
      </c>
      <c r="L158" s="19" t="s">
        <v>3173</v>
      </c>
      <c r="M158" s="24">
        <v>329900</v>
      </c>
      <c r="N158" s="7">
        <v>0.9</v>
      </c>
      <c r="O158" s="6">
        <f t="shared" si="6"/>
        <v>32990</v>
      </c>
      <c r="P158" s="5" t="s">
        <v>504</v>
      </c>
    </row>
    <row r="159" spans="1:16" s="1" customFormat="1" x14ac:dyDescent="0.35">
      <c r="A159" s="40" t="str">
        <f t="shared" si="5"/>
        <v>ALL 2024 H1 D90</v>
      </c>
      <c r="B159" s="8">
        <f>'ALL 2024 H2 D80'!$B$2</f>
        <v>46114</v>
      </c>
      <c r="C159" s="8">
        <f>'ALL 2024 H2 D80'!$C$2</f>
        <v>46120</v>
      </c>
      <c r="D159" s="5">
        <v>3208</v>
      </c>
      <c r="E159" s="5">
        <v>320</v>
      </c>
      <c r="F159" s="5">
        <v>1</v>
      </c>
      <c r="G159" s="5">
        <v>10</v>
      </c>
      <c r="H159" s="5">
        <v>81406</v>
      </c>
      <c r="I159" s="5" t="s">
        <v>16</v>
      </c>
      <c r="J159" s="5">
        <v>16400727</v>
      </c>
      <c r="K159" s="5" t="s">
        <v>3171</v>
      </c>
      <c r="L159" s="19" t="s">
        <v>3174</v>
      </c>
      <c r="M159" s="24">
        <v>329900</v>
      </c>
      <c r="N159" s="7">
        <v>0.9</v>
      </c>
      <c r="O159" s="6">
        <f t="shared" si="6"/>
        <v>32990</v>
      </c>
      <c r="P159" s="5" t="s">
        <v>504</v>
      </c>
    </row>
    <row r="160" spans="1:16" s="1" customFormat="1" x14ac:dyDescent="0.35">
      <c r="A160" s="40" t="str">
        <f t="shared" si="5"/>
        <v>ALL 2024 H1 D90</v>
      </c>
      <c r="B160" s="8">
        <f>'ALL 2024 H2 D80'!$B$2</f>
        <v>46114</v>
      </c>
      <c r="C160" s="8">
        <f>'ALL 2024 H2 D80'!$C$2</f>
        <v>46120</v>
      </c>
      <c r="D160" s="5">
        <v>3208</v>
      </c>
      <c r="E160" s="5">
        <v>320</v>
      </c>
      <c r="F160" s="5">
        <v>1</v>
      </c>
      <c r="G160" s="5">
        <v>10</v>
      </c>
      <c r="H160" s="5">
        <v>81406</v>
      </c>
      <c r="I160" s="5" t="s">
        <v>16</v>
      </c>
      <c r="J160" s="5">
        <v>16400736</v>
      </c>
      <c r="K160" s="5" t="s">
        <v>3171</v>
      </c>
      <c r="L160" s="19" t="s">
        <v>3175</v>
      </c>
      <c r="M160" s="24">
        <v>329900</v>
      </c>
      <c r="N160" s="7">
        <v>0.9</v>
      </c>
      <c r="O160" s="6">
        <f t="shared" si="6"/>
        <v>32990</v>
      </c>
      <c r="P160" s="5" t="s">
        <v>504</v>
      </c>
    </row>
    <row r="161" spans="1:16" s="1" customFormat="1" x14ac:dyDescent="0.35">
      <c r="A161" s="40" t="str">
        <f t="shared" si="5"/>
        <v>ALL 2024 H1 D90</v>
      </c>
      <c r="B161" s="8">
        <f>'ALL 2024 H2 D80'!$B$2</f>
        <v>46114</v>
      </c>
      <c r="C161" s="8">
        <f>'ALL 2024 H2 D80'!$C$2</f>
        <v>46120</v>
      </c>
      <c r="D161" s="5">
        <v>3208</v>
      </c>
      <c r="E161" s="5">
        <v>320</v>
      </c>
      <c r="F161" s="5">
        <v>1</v>
      </c>
      <c r="G161" s="5">
        <v>10</v>
      </c>
      <c r="H161" s="5">
        <v>81406</v>
      </c>
      <c r="I161" s="5" t="s">
        <v>16</v>
      </c>
      <c r="J161" s="5">
        <v>70042932</v>
      </c>
      <c r="K161" s="5" t="s">
        <v>2984</v>
      </c>
      <c r="L161" s="19" t="s">
        <v>2985</v>
      </c>
      <c r="M161" s="24">
        <v>329900</v>
      </c>
      <c r="N161" s="7">
        <v>0.9</v>
      </c>
      <c r="O161" s="6">
        <f t="shared" si="6"/>
        <v>32990</v>
      </c>
      <c r="P161" s="5" t="s">
        <v>504</v>
      </c>
    </row>
    <row r="162" spans="1:16" s="1" customFormat="1" x14ac:dyDescent="0.35">
      <c r="A162" s="40" t="str">
        <f t="shared" si="5"/>
        <v>ALL 2024 H1 D90</v>
      </c>
      <c r="B162" s="8">
        <f>'ALL 2024 H2 D80'!$B$2</f>
        <v>46114</v>
      </c>
      <c r="C162" s="8">
        <f>'ALL 2024 H2 D80'!$C$2</f>
        <v>46120</v>
      </c>
      <c r="D162" s="5">
        <v>3208</v>
      </c>
      <c r="E162" s="5">
        <v>320</v>
      </c>
      <c r="F162" s="5">
        <v>1</v>
      </c>
      <c r="G162" s="5">
        <v>10</v>
      </c>
      <c r="H162" s="5">
        <v>81406</v>
      </c>
      <c r="I162" s="5" t="s">
        <v>16</v>
      </c>
      <c r="J162" s="5">
        <v>70042941</v>
      </c>
      <c r="K162" s="5" t="s">
        <v>2984</v>
      </c>
      <c r="L162" s="19" t="s">
        <v>2986</v>
      </c>
      <c r="M162" s="24">
        <v>329900</v>
      </c>
      <c r="N162" s="7">
        <v>0.9</v>
      </c>
      <c r="O162" s="6">
        <f t="shared" si="6"/>
        <v>32990</v>
      </c>
      <c r="P162" s="5" t="s">
        <v>504</v>
      </c>
    </row>
    <row r="163" spans="1:16" s="1" customFormat="1" x14ac:dyDescent="0.35">
      <c r="A163" s="40" t="str">
        <f t="shared" si="5"/>
        <v>ALL 2024 H1 D90</v>
      </c>
      <c r="B163" s="8">
        <f>'ALL 2024 H2 D80'!$B$2</f>
        <v>46114</v>
      </c>
      <c r="C163" s="8">
        <f>'ALL 2024 H2 D80'!$C$2</f>
        <v>46120</v>
      </c>
      <c r="D163" s="5">
        <v>3208</v>
      </c>
      <c r="E163" s="5">
        <v>320</v>
      </c>
      <c r="F163" s="5">
        <v>1</v>
      </c>
      <c r="G163" s="5">
        <v>10</v>
      </c>
      <c r="H163" s="5">
        <v>81406</v>
      </c>
      <c r="I163" s="5" t="s">
        <v>16</v>
      </c>
      <c r="J163" s="5">
        <v>70042950</v>
      </c>
      <c r="K163" s="5" t="s">
        <v>2984</v>
      </c>
      <c r="L163" s="19" t="s">
        <v>2987</v>
      </c>
      <c r="M163" s="24">
        <v>329900</v>
      </c>
      <c r="N163" s="7">
        <v>0.9</v>
      </c>
      <c r="O163" s="6">
        <f t="shared" si="6"/>
        <v>32990</v>
      </c>
      <c r="P163" s="5" t="s">
        <v>504</v>
      </c>
    </row>
    <row r="164" spans="1:16" s="1" customFormat="1" x14ac:dyDescent="0.35">
      <c r="A164" s="40" t="str">
        <f t="shared" si="5"/>
        <v>ALL 2024 H1 D90</v>
      </c>
      <c r="B164" s="8">
        <f>'ALL 2024 H2 D80'!$B$2</f>
        <v>46114</v>
      </c>
      <c r="C164" s="8">
        <f>'ALL 2024 H2 D80'!$C$2</f>
        <v>46120</v>
      </c>
      <c r="D164" s="5">
        <v>3208</v>
      </c>
      <c r="E164" s="5">
        <v>320</v>
      </c>
      <c r="F164" s="5">
        <v>1</v>
      </c>
      <c r="G164" s="5">
        <v>10</v>
      </c>
      <c r="H164" s="5">
        <v>81406</v>
      </c>
      <c r="I164" s="5" t="s">
        <v>16</v>
      </c>
      <c r="J164" s="5">
        <v>70042969</v>
      </c>
      <c r="K164" s="5" t="s">
        <v>2984</v>
      </c>
      <c r="L164" s="19" t="s">
        <v>2988</v>
      </c>
      <c r="M164" s="24">
        <v>329900</v>
      </c>
      <c r="N164" s="7">
        <v>0.9</v>
      </c>
      <c r="O164" s="6">
        <f t="shared" si="6"/>
        <v>32990</v>
      </c>
      <c r="P164" s="5" t="s">
        <v>504</v>
      </c>
    </row>
    <row r="165" spans="1:16" s="1" customFormat="1" x14ac:dyDescent="0.35">
      <c r="A165" s="40" t="str">
        <f t="shared" si="5"/>
        <v>ALL 2024 H1 D90</v>
      </c>
      <c r="B165" s="8">
        <f>'ALL 2024 H2 D80'!$B$2</f>
        <v>46114</v>
      </c>
      <c r="C165" s="8">
        <f>'ALL 2024 H2 D80'!$C$2</f>
        <v>46120</v>
      </c>
      <c r="D165" s="5">
        <v>3208</v>
      </c>
      <c r="E165" s="5">
        <v>320</v>
      </c>
      <c r="F165" s="5">
        <v>1</v>
      </c>
      <c r="G165" s="5">
        <v>10</v>
      </c>
      <c r="H165" s="5">
        <v>81810</v>
      </c>
      <c r="I165" s="5" t="s">
        <v>16</v>
      </c>
      <c r="J165" s="5">
        <v>16401182</v>
      </c>
      <c r="K165" s="5" t="s">
        <v>3182</v>
      </c>
      <c r="L165" s="19" t="s">
        <v>3183</v>
      </c>
      <c r="M165" s="24">
        <v>329900</v>
      </c>
      <c r="N165" s="7">
        <v>0.9</v>
      </c>
      <c r="O165" s="6">
        <f t="shared" si="6"/>
        <v>32990</v>
      </c>
      <c r="P165" s="5" t="s">
        <v>504</v>
      </c>
    </row>
    <row r="166" spans="1:16" s="1" customFormat="1" x14ac:dyDescent="0.35">
      <c r="A166" s="40" t="str">
        <f t="shared" si="5"/>
        <v>ALL 2024 H1 D90</v>
      </c>
      <c r="B166" s="8">
        <f>'ALL 2024 H2 D80'!$B$2</f>
        <v>46114</v>
      </c>
      <c r="C166" s="8">
        <f>'ALL 2024 H2 D80'!$C$2</f>
        <v>46120</v>
      </c>
      <c r="D166" s="5">
        <v>3208</v>
      </c>
      <c r="E166" s="5">
        <v>320</v>
      </c>
      <c r="F166" s="5">
        <v>1</v>
      </c>
      <c r="G166" s="5">
        <v>10</v>
      </c>
      <c r="H166" s="5">
        <v>81810</v>
      </c>
      <c r="I166" s="5" t="s">
        <v>16</v>
      </c>
      <c r="J166" s="5">
        <v>16401191</v>
      </c>
      <c r="K166" s="5" t="s">
        <v>3182</v>
      </c>
      <c r="L166" s="19" t="s">
        <v>3184</v>
      </c>
      <c r="M166" s="24">
        <v>329900</v>
      </c>
      <c r="N166" s="7">
        <v>0.9</v>
      </c>
      <c r="O166" s="6">
        <f t="shared" si="6"/>
        <v>32990</v>
      </c>
      <c r="P166" s="5" t="s">
        <v>504</v>
      </c>
    </row>
    <row r="167" spans="1:16" s="1" customFormat="1" x14ac:dyDescent="0.35">
      <c r="A167" s="40" t="str">
        <f t="shared" si="5"/>
        <v>ALL 2024 H1 D90</v>
      </c>
      <c r="B167" s="8">
        <f>'ALL 2024 H2 D80'!$B$2</f>
        <v>46114</v>
      </c>
      <c r="C167" s="8">
        <f>'ALL 2024 H2 D80'!$C$2</f>
        <v>46120</v>
      </c>
      <c r="D167" s="5">
        <v>3208</v>
      </c>
      <c r="E167" s="5">
        <v>320</v>
      </c>
      <c r="F167" s="5">
        <v>1</v>
      </c>
      <c r="G167" s="5">
        <v>10</v>
      </c>
      <c r="H167" s="5">
        <v>81810</v>
      </c>
      <c r="I167" s="5" t="s">
        <v>16</v>
      </c>
      <c r="J167" s="5">
        <v>16401208</v>
      </c>
      <c r="K167" s="5" t="s">
        <v>3182</v>
      </c>
      <c r="L167" s="19" t="s">
        <v>3185</v>
      </c>
      <c r="M167" s="24">
        <v>329900</v>
      </c>
      <c r="N167" s="7">
        <v>0.9</v>
      </c>
      <c r="O167" s="6">
        <f t="shared" si="6"/>
        <v>32990</v>
      </c>
      <c r="P167" s="5" t="s">
        <v>504</v>
      </c>
    </row>
    <row r="168" spans="1:16" s="1" customFormat="1" x14ac:dyDescent="0.35">
      <c r="A168" s="40" t="str">
        <f t="shared" si="5"/>
        <v>ALL 2024 H1 D90</v>
      </c>
      <c r="B168" s="8">
        <f>'ALL 2024 H2 D80'!$B$2</f>
        <v>46114</v>
      </c>
      <c r="C168" s="8">
        <f>'ALL 2024 H2 D80'!$C$2</f>
        <v>46120</v>
      </c>
      <c r="D168" s="5">
        <v>3208</v>
      </c>
      <c r="E168" s="5">
        <v>320</v>
      </c>
      <c r="F168" s="5">
        <v>1</v>
      </c>
      <c r="G168" s="5">
        <v>10</v>
      </c>
      <c r="H168" s="5">
        <v>81810</v>
      </c>
      <c r="I168" s="5" t="s">
        <v>16</v>
      </c>
      <c r="J168" s="5">
        <v>16401217</v>
      </c>
      <c r="K168" s="5" t="s">
        <v>3182</v>
      </c>
      <c r="L168" s="19" t="s">
        <v>3186</v>
      </c>
      <c r="M168" s="24">
        <v>329900</v>
      </c>
      <c r="N168" s="7">
        <v>0.9</v>
      </c>
      <c r="O168" s="6">
        <f t="shared" si="6"/>
        <v>32990</v>
      </c>
      <c r="P168" s="5" t="s">
        <v>504</v>
      </c>
    </row>
    <row r="169" spans="1:16" s="1" customFormat="1" x14ac:dyDescent="0.35">
      <c r="A169" s="40" t="str">
        <f t="shared" si="5"/>
        <v>ALL 2024 H1 D90</v>
      </c>
      <c r="B169" s="8">
        <f>'ALL 2024 H2 D80'!$B$2</f>
        <v>46114</v>
      </c>
      <c r="C169" s="8">
        <f>'ALL 2024 H2 D80'!$C$2</f>
        <v>46120</v>
      </c>
      <c r="D169" s="5">
        <v>3208</v>
      </c>
      <c r="E169" s="5">
        <v>320</v>
      </c>
      <c r="F169" s="5">
        <v>1</v>
      </c>
      <c r="G169" s="5">
        <v>10</v>
      </c>
      <c r="H169" s="5">
        <v>81810</v>
      </c>
      <c r="I169" s="5" t="s">
        <v>16</v>
      </c>
      <c r="J169" s="5">
        <v>17175443</v>
      </c>
      <c r="K169" s="5" t="s">
        <v>3187</v>
      </c>
      <c r="L169" s="19" t="s">
        <v>3188</v>
      </c>
      <c r="M169" s="24">
        <v>329900</v>
      </c>
      <c r="N169" s="7">
        <v>0.9</v>
      </c>
      <c r="O169" s="6">
        <f t="shared" si="6"/>
        <v>32990</v>
      </c>
      <c r="P169" s="5" t="s">
        <v>504</v>
      </c>
    </row>
    <row r="170" spans="1:16" s="1" customFormat="1" x14ac:dyDescent="0.35">
      <c r="A170" s="40" t="str">
        <f t="shared" si="5"/>
        <v>ALL 2024 H1 D90</v>
      </c>
      <c r="B170" s="8">
        <f>'ALL 2024 H2 D80'!$B$2</f>
        <v>46114</v>
      </c>
      <c r="C170" s="8">
        <f>'ALL 2024 H2 D80'!$C$2</f>
        <v>46120</v>
      </c>
      <c r="D170" s="5">
        <v>3208</v>
      </c>
      <c r="E170" s="5">
        <v>320</v>
      </c>
      <c r="F170" s="5">
        <v>1</v>
      </c>
      <c r="G170" s="5">
        <v>10</v>
      </c>
      <c r="H170" s="5">
        <v>81810</v>
      </c>
      <c r="I170" s="5" t="s">
        <v>16</v>
      </c>
      <c r="J170" s="5">
        <v>17175452</v>
      </c>
      <c r="K170" s="5" t="s">
        <v>3187</v>
      </c>
      <c r="L170" s="19" t="s">
        <v>3189</v>
      </c>
      <c r="M170" s="24">
        <v>329900</v>
      </c>
      <c r="N170" s="7">
        <v>0.9</v>
      </c>
      <c r="O170" s="6">
        <f t="shared" si="6"/>
        <v>32990</v>
      </c>
      <c r="P170" s="5" t="s">
        <v>504</v>
      </c>
    </row>
    <row r="171" spans="1:16" s="1" customFormat="1" x14ac:dyDescent="0.35">
      <c r="A171" s="40" t="str">
        <f t="shared" si="5"/>
        <v>ALL 2024 H1 D90</v>
      </c>
      <c r="B171" s="8">
        <f>'ALL 2024 H2 D80'!$B$2</f>
        <v>46114</v>
      </c>
      <c r="C171" s="8">
        <f>'ALL 2024 H2 D80'!$C$2</f>
        <v>46120</v>
      </c>
      <c r="D171" s="5">
        <v>3208</v>
      </c>
      <c r="E171" s="5">
        <v>320</v>
      </c>
      <c r="F171" s="5">
        <v>1</v>
      </c>
      <c r="G171" s="5">
        <v>10</v>
      </c>
      <c r="H171" s="5">
        <v>81810</v>
      </c>
      <c r="I171" s="5" t="s">
        <v>16</v>
      </c>
      <c r="J171" s="5">
        <v>17175461</v>
      </c>
      <c r="K171" s="5" t="s">
        <v>3187</v>
      </c>
      <c r="L171" s="19" t="s">
        <v>3190</v>
      </c>
      <c r="M171" s="24">
        <v>329900</v>
      </c>
      <c r="N171" s="7">
        <v>0.9</v>
      </c>
      <c r="O171" s="6">
        <f t="shared" si="6"/>
        <v>32990</v>
      </c>
      <c r="P171" s="5" t="s">
        <v>504</v>
      </c>
    </row>
    <row r="172" spans="1:16" s="1" customFormat="1" x14ac:dyDescent="0.35">
      <c r="A172" s="40" t="str">
        <f t="shared" si="5"/>
        <v>ALL 2024 H1 D90</v>
      </c>
      <c r="B172" s="8">
        <f>'ALL 2024 H2 D80'!$B$2</f>
        <v>46114</v>
      </c>
      <c r="C172" s="8">
        <f>'ALL 2024 H2 D80'!$C$2</f>
        <v>46120</v>
      </c>
      <c r="D172" s="5">
        <v>3208</v>
      </c>
      <c r="E172" s="5">
        <v>320</v>
      </c>
      <c r="F172" s="5">
        <v>1</v>
      </c>
      <c r="G172" s="5">
        <v>10</v>
      </c>
      <c r="H172" s="5">
        <v>81810</v>
      </c>
      <c r="I172" s="5" t="s">
        <v>16</v>
      </c>
      <c r="J172" s="5">
        <v>17175470</v>
      </c>
      <c r="K172" s="5" t="s">
        <v>3187</v>
      </c>
      <c r="L172" s="19" t="s">
        <v>3191</v>
      </c>
      <c r="M172" s="24">
        <v>329900</v>
      </c>
      <c r="N172" s="7">
        <v>0.9</v>
      </c>
      <c r="O172" s="6">
        <f t="shared" si="6"/>
        <v>32990</v>
      </c>
      <c r="P172" s="5" t="s">
        <v>504</v>
      </c>
    </row>
    <row r="173" spans="1:16" x14ac:dyDescent="0.35">
      <c r="A173" s="40" t="str">
        <f t="shared" si="5"/>
        <v>ALL 2024 H1 D90</v>
      </c>
      <c r="B173" s="8">
        <f>'ALL 2024 H2 D80'!$B$2</f>
        <v>46114</v>
      </c>
      <c r="C173" s="8">
        <f>'ALL 2024 H2 D80'!$C$2</f>
        <v>46120</v>
      </c>
      <c r="D173" s="5">
        <v>3208</v>
      </c>
      <c r="E173" s="5">
        <v>320</v>
      </c>
      <c r="F173" s="5">
        <v>1</v>
      </c>
      <c r="G173" s="16">
        <v>1</v>
      </c>
      <c r="H173" s="16">
        <v>81045</v>
      </c>
      <c r="I173" s="16" t="s">
        <v>16</v>
      </c>
      <c r="J173" s="16">
        <v>18736540</v>
      </c>
      <c r="K173" s="16" t="s">
        <v>3318</v>
      </c>
      <c r="L173" s="18" t="s">
        <v>3319</v>
      </c>
      <c r="M173" s="21">
        <v>249900</v>
      </c>
      <c r="N173" s="7">
        <v>0.9</v>
      </c>
      <c r="O173" s="6">
        <f t="shared" si="6"/>
        <v>24990</v>
      </c>
      <c r="P173" s="5" t="s">
        <v>504</v>
      </c>
    </row>
    <row r="174" spans="1:16" x14ac:dyDescent="0.35">
      <c r="A174" s="40" t="str">
        <f t="shared" si="5"/>
        <v>ALL 2024 H1 D90</v>
      </c>
      <c r="B174" s="8">
        <f>'ALL 2024 H2 D80'!$B$2</f>
        <v>46114</v>
      </c>
      <c r="C174" s="8">
        <f>'ALL 2024 H2 D80'!$C$2</f>
        <v>46120</v>
      </c>
      <c r="D174" s="5">
        <v>3208</v>
      </c>
      <c r="E174" s="5">
        <v>320</v>
      </c>
      <c r="F174" s="5">
        <v>1</v>
      </c>
      <c r="G174" s="16">
        <v>1</v>
      </c>
      <c r="H174" s="16">
        <v>81045</v>
      </c>
      <c r="I174" s="16" t="s">
        <v>16</v>
      </c>
      <c r="J174" s="16">
        <v>18736559</v>
      </c>
      <c r="K174" s="16" t="s">
        <v>3318</v>
      </c>
      <c r="L174" s="18" t="s">
        <v>3320</v>
      </c>
      <c r="M174" s="21">
        <v>249900</v>
      </c>
      <c r="N174" s="7">
        <v>0.9</v>
      </c>
      <c r="O174" s="6">
        <f t="shared" si="6"/>
        <v>24990</v>
      </c>
      <c r="P174" s="5" t="s">
        <v>504</v>
      </c>
    </row>
    <row r="175" spans="1:16" x14ac:dyDescent="0.35">
      <c r="A175" s="40" t="str">
        <f t="shared" si="5"/>
        <v>ALL 2024 H1 D90</v>
      </c>
      <c r="B175" s="8">
        <f>'ALL 2024 H2 D80'!$B$2</f>
        <v>46114</v>
      </c>
      <c r="C175" s="8">
        <f>'ALL 2024 H2 D80'!$C$2</f>
        <v>46120</v>
      </c>
      <c r="D175" s="5">
        <v>3208</v>
      </c>
      <c r="E175" s="5">
        <v>320</v>
      </c>
      <c r="F175" s="5">
        <v>1</v>
      </c>
      <c r="G175" s="16">
        <v>1</v>
      </c>
      <c r="H175" s="16">
        <v>81045</v>
      </c>
      <c r="I175" s="16" t="s">
        <v>16</v>
      </c>
      <c r="J175" s="16">
        <v>18736568</v>
      </c>
      <c r="K175" s="16" t="s">
        <v>3318</v>
      </c>
      <c r="L175" s="18" t="s">
        <v>3321</v>
      </c>
      <c r="M175" s="21">
        <v>249900</v>
      </c>
      <c r="N175" s="7">
        <v>0.9</v>
      </c>
      <c r="O175" s="6">
        <f t="shared" si="6"/>
        <v>24990</v>
      </c>
      <c r="P175" s="5" t="s">
        <v>504</v>
      </c>
    </row>
    <row r="176" spans="1:16" x14ac:dyDescent="0.35">
      <c r="A176" s="40" t="str">
        <f t="shared" si="5"/>
        <v>ALL 2024 H1 D90</v>
      </c>
      <c r="B176" s="8">
        <f>'ALL 2024 H2 D80'!$B$2</f>
        <v>46114</v>
      </c>
      <c r="C176" s="8">
        <f>'ALL 2024 H2 D80'!$C$2</f>
        <v>46120</v>
      </c>
      <c r="D176" s="5">
        <v>3208</v>
      </c>
      <c r="E176" s="5">
        <v>320</v>
      </c>
      <c r="F176" s="5">
        <v>1</v>
      </c>
      <c r="G176" s="16">
        <v>1</v>
      </c>
      <c r="H176" s="16">
        <v>81045</v>
      </c>
      <c r="I176" s="16" t="s">
        <v>16</v>
      </c>
      <c r="J176" s="16">
        <v>18736577</v>
      </c>
      <c r="K176" s="16" t="s">
        <v>3318</v>
      </c>
      <c r="L176" s="18" t="s">
        <v>3322</v>
      </c>
      <c r="M176" s="21">
        <v>249900</v>
      </c>
      <c r="N176" s="7">
        <v>0.9</v>
      </c>
      <c r="O176" s="6">
        <f t="shared" si="6"/>
        <v>24990</v>
      </c>
      <c r="P176" s="5" t="s">
        <v>504</v>
      </c>
    </row>
    <row r="177" spans="1:16" x14ac:dyDescent="0.35">
      <c r="A177" s="40" t="str">
        <f t="shared" si="5"/>
        <v>ALL 2024 H1 D90</v>
      </c>
      <c r="B177" s="8">
        <f>'ALL 2024 H2 D80'!$B$2</f>
        <v>46114</v>
      </c>
      <c r="C177" s="8">
        <f>'ALL 2024 H2 D80'!$C$2</f>
        <v>46120</v>
      </c>
      <c r="D177" s="5">
        <v>3208</v>
      </c>
      <c r="E177" s="5">
        <v>320</v>
      </c>
      <c r="F177" s="5">
        <v>1</v>
      </c>
      <c r="G177" s="16">
        <v>1</v>
      </c>
      <c r="H177" s="16">
        <v>81045</v>
      </c>
      <c r="I177" s="16" t="s">
        <v>16</v>
      </c>
      <c r="J177" s="16">
        <v>18736620</v>
      </c>
      <c r="K177" s="16" t="s">
        <v>3323</v>
      </c>
      <c r="L177" s="18" t="s">
        <v>3324</v>
      </c>
      <c r="M177" s="21">
        <v>249900</v>
      </c>
      <c r="N177" s="7">
        <v>0.9</v>
      </c>
      <c r="O177" s="6">
        <f t="shared" si="6"/>
        <v>24990</v>
      </c>
      <c r="P177" s="5" t="s">
        <v>504</v>
      </c>
    </row>
    <row r="178" spans="1:16" x14ac:dyDescent="0.35">
      <c r="A178" s="40" t="str">
        <f t="shared" si="5"/>
        <v>ALL 2024 H1 D90</v>
      </c>
      <c r="B178" s="8">
        <f>'ALL 2024 H2 D80'!$B$2</f>
        <v>46114</v>
      </c>
      <c r="C178" s="8">
        <f>'ALL 2024 H2 D80'!$C$2</f>
        <v>46120</v>
      </c>
      <c r="D178" s="5">
        <v>3208</v>
      </c>
      <c r="E178" s="5">
        <v>320</v>
      </c>
      <c r="F178" s="5">
        <v>1</v>
      </c>
      <c r="G178" s="16">
        <v>1</v>
      </c>
      <c r="H178" s="16">
        <v>81045</v>
      </c>
      <c r="I178" s="16" t="s">
        <v>16</v>
      </c>
      <c r="J178" s="16">
        <v>18736639</v>
      </c>
      <c r="K178" s="16" t="s">
        <v>3323</v>
      </c>
      <c r="L178" s="18" t="s">
        <v>3325</v>
      </c>
      <c r="M178" s="21">
        <v>249900</v>
      </c>
      <c r="N178" s="7">
        <v>0.9</v>
      </c>
      <c r="O178" s="6">
        <f t="shared" si="6"/>
        <v>24990</v>
      </c>
      <c r="P178" s="5" t="s">
        <v>504</v>
      </c>
    </row>
    <row r="179" spans="1:16" x14ac:dyDescent="0.35">
      <c r="A179" s="40" t="str">
        <f t="shared" si="5"/>
        <v>ALL 2024 H1 D90</v>
      </c>
      <c r="B179" s="8">
        <f>'ALL 2024 H2 D80'!$B$2</f>
        <v>46114</v>
      </c>
      <c r="C179" s="8">
        <f>'ALL 2024 H2 D80'!$C$2</f>
        <v>46120</v>
      </c>
      <c r="D179" s="5">
        <v>3208</v>
      </c>
      <c r="E179" s="5">
        <v>320</v>
      </c>
      <c r="F179" s="5">
        <v>1</v>
      </c>
      <c r="G179" s="16">
        <v>1</v>
      </c>
      <c r="H179" s="16">
        <v>81045</v>
      </c>
      <c r="I179" s="16" t="s">
        <v>16</v>
      </c>
      <c r="J179" s="16">
        <v>18736657</v>
      </c>
      <c r="K179" s="16" t="s">
        <v>3323</v>
      </c>
      <c r="L179" s="18" t="s">
        <v>3326</v>
      </c>
      <c r="M179" s="21">
        <v>249900</v>
      </c>
      <c r="N179" s="7">
        <v>0.9</v>
      </c>
      <c r="O179" s="6">
        <f t="shared" si="6"/>
        <v>24990</v>
      </c>
      <c r="P179" s="5" t="s">
        <v>504</v>
      </c>
    </row>
    <row r="180" spans="1:16" x14ac:dyDescent="0.35">
      <c r="A180" s="40" t="str">
        <f t="shared" si="5"/>
        <v>ALL 2024 H1 D90</v>
      </c>
      <c r="B180" s="8">
        <f>'ALL 2024 H2 D80'!$B$2</f>
        <v>46114</v>
      </c>
      <c r="C180" s="8">
        <f>'ALL 2024 H2 D80'!$C$2</f>
        <v>46120</v>
      </c>
      <c r="D180" s="5">
        <v>3208</v>
      </c>
      <c r="E180" s="5">
        <v>320</v>
      </c>
      <c r="F180" s="5">
        <v>1</v>
      </c>
      <c r="G180" s="16">
        <v>1</v>
      </c>
      <c r="H180" s="16">
        <v>81045</v>
      </c>
      <c r="I180" s="16" t="s">
        <v>16</v>
      </c>
      <c r="J180" s="16">
        <v>18736666</v>
      </c>
      <c r="K180" s="16" t="s">
        <v>3323</v>
      </c>
      <c r="L180" s="18" t="s">
        <v>3327</v>
      </c>
      <c r="M180" s="21">
        <v>249900</v>
      </c>
      <c r="N180" s="7">
        <v>0.9</v>
      </c>
      <c r="O180" s="6">
        <f t="shared" si="6"/>
        <v>24990</v>
      </c>
      <c r="P180" s="5" t="s">
        <v>504</v>
      </c>
    </row>
    <row r="181" spans="1:16" x14ac:dyDescent="0.35">
      <c r="A181" s="40" t="str">
        <f t="shared" si="5"/>
        <v>ALL 2024 H1 D90</v>
      </c>
      <c r="B181" s="8">
        <f>'ALL 2024 H2 D80'!$B$2</f>
        <v>46114</v>
      </c>
      <c r="C181" s="8">
        <f>'ALL 2024 H2 D80'!$C$2</f>
        <v>46120</v>
      </c>
      <c r="D181" s="5">
        <v>3208</v>
      </c>
      <c r="E181" s="5">
        <v>320</v>
      </c>
      <c r="F181" s="5">
        <v>1</v>
      </c>
      <c r="G181" s="16">
        <v>1</v>
      </c>
      <c r="H181" s="16">
        <v>81239</v>
      </c>
      <c r="I181" s="16" t="s">
        <v>16</v>
      </c>
      <c r="J181" s="16">
        <v>18737487</v>
      </c>
      <c r="K181" s="16" t="s">
        <v>3337</v>
      </c>
      <c r="L181" s="18" t="s">
        <v>3338</v>
      </c>
      <c r="M181" s="21">
        <v>269900</v>
      </c>
      <c r="N181" s="7">
        <v>0.9</v>
      </c>
      <c r="O181" s="6">
        <f t="shared" si="6"/>
        <v>26990</v>
      </c>
      <c r="P181" s="5" t="s">
        <v>504</v>
      </c>
    </row>
    <row r="182" spans="1:16" x14ac:dyDescent="0.35">
      <c r="A182" s="40" t="str">
        <f t="shared" si="5"/>
        <v>ALL 2024 H1 D90</v>
      </c>
      <c r="B182" s="8">
        <f>'ALL 2024 H2 D80'!$B$2</f>
        <v>46114</v>
      </c>
      <c r="C182" s="8">
        <f>'ALL 2024 H2 D80'!$C$2</f>
        <v>46120</v>
      </c>
      <c r="D182" s="5">
        <v>3208</v>
      </c>
      <c r="E182" s="5">
        <v>320</v>
      </c>
      <c r="F182" s="5">
        <v>1</v>
      </c>
      <c r="G182" s="16">
        <v>1</v>
      </c>
      <c r="H182" s="16">
        <v>81239</v>
      </c>
      <c r="I182" s="16" t="s">
        <v>16</v>
      </c>
      <c r="J182" s="16">
        <v>18737496</v>
      </c>
      <c r="K182" s="16" t="s">
        <v>3337</v>
      </c>
      <c r="L182" s="18" t="s">
        <v>3339</v>
      </c>
      <c r="M182" s="21">
        <v>269900</v>
      </c>
      <c r="N182" s="7">
        <v>0.9</v>
      </c>
      <c r="O182" s="6">
        <f t="shared" si="6"/>
        <v>26990</v>
      </c>
      <c r="P182" s="5" t="s">
        <v>504</v>
      </c>
    </row>
    <row r="183" spans="1:16" x14ac:dyDescent="0.35">
      <c r="A183" s="40" t="str">
        <f t="shared" si="5"/>
        <v>ALL 2024 H1 D90</v>
      </c>
      <c r="B183" s="8">
        <f>'ALL 2024 H2 D80'!$B$2</f>
        <v>46114</v>
      </c>
      <c r="C183" s="8">
        <f>'ALL 2024 H2 D80'!$C$2</f>
        <v>46120</v>
      </c>
      <c r="D183" s="5">
        <v>3208</v>
      </c>
      <c r="E183" s="5">
        <v>320</v>
      </c>
      <c r="F183" s="5">
        <v>1</v>
      </c>
      <c r="G183" s="16">
        <v>1</v>
      </c>
      <c r="H183" s="16">
        <v>81239</v>
      </c>
      <c r="I183" s="16" t="s">
        <v>16</v>
      </c>
      <c r="J183" s="16">
        <v>18737503</v>
      </c>
      <c r="K183" s="16" t="s">
        <v>3337</v>
      </c>
      <c r="L183" s="18" t="s">
        <v>3340</v>
      </c>
      <c r="M183" s="21">
        <v>269900</v>
      </c>
      <c r="N183" s="7">
        <v>0.9</v>
      </c>
      <c r="O183" s="6">
        <f t="shared" si="6"/>
        <v>26990</v>
      </c>
      <c r="P183" s="5" t="s">
        <v>504</v>
      </c>
    </row>
    <row r="184" spans="1:16" x14ac:dyDescent="0.35">
      <c r="A184" s="40" t="str">
        <f t="shared" si="5"/>
        <v>ALL 2024 H1 D90</v>
      </c>
      <c r="B184" s="8">
        <f>'ALL 2024 H2 D80'!$B$2</f>
        <v>46114</v>
      </c>
      <c r="C184" s="8">
        <f>'ALL 2024 H2 D80'!$C$2</f>
        <v>46120</v>
      </c>
      <c r="D184" s="5">
        <v>3208</v>
      </c>
      <c r="E184" s="5">
        <v>320</v>
      </c>
      <c r="F184" s="5">
        <v>1</v>
      </c>
      <c r="G184" s="16">
        <v>1</v>
      </c>
      <c r="H184" s="16">
        <v>81239</v>
      </c>
      <c r="I184" s="16" t="s">
        <v>16</v>
      </c>
      <c r="J184" s="16">
        <v>18737512</v>
      </c>
      <c r="K184" s="16" t="s">
        <v>3337</v>
      </c>
      <c r="L184" s="18" t="s">
        <v>3341</v>
      </c>
      <c r="M184" s="21">
        <v>269900</v>
      </c>
      <c r="N184" s="7">
        <v>0.9</v>
      </c>
      <c r="O184" s="6">
        <f t="shared" si="6"/>
        <v>26990</v>
      </c>
      <c r="P184" s="5" t="s">
        <v>504</v>
      </c>
    </row>
    <row r="185" spans="1:16" x14ac:dyDescent="0.35">
      <c r="A185" s="40" t="str">
        <f t="shared" si="5"/>
        <v>ALL 2024 H1 D90</v>
      </c>
      <c r="B185" s="8">
        <f>'ALL 2024 H2 D80'!$B$2</f>
        <v>46114</v>
      </c>
      <c r="C185" s="8">
        <f>'ALL 2024 H2 D80'!$C$2</f>
        <v>46120</v>
      </c>
      <c r="D185" s="5">
        <v>3208</v>
      </c>
      <c r="E185" s="5">
        <v>320</v>
      </c>
      <c r="F185" s="5">
        <v>1</v>
      </c>
      <c r="G185" s="16">
        <v>1</v>
      </c>
      <c r="H185" s="16">
        <v>81239</v>
      </c>
      <c r="I185" s="16" t="s">
        <v>16</v>
      </c>
      <c r="J185" s="16">
        <v>18737521</v>
      </c>
      <c r="K185" s="16" t="s">
        <v>3337</v>
      </c>
      <c r="L185" s="18" t="s">
        <v>3342</v>
      </c>
      <c r="M185" s="21">
        <v>269900</v>
      </c>
      <c r="N185" s="7">
        <v>0.9</v>
      </c>
      <c r="O185" s="6">
        <f t="shared" si="6"/>
        <v>26990</v>
      </c>
      <c r="P185" s="5" t="s">
        <v>504</v>
      </c>
    </row>
    <row r="186" spans="1:16" x14ac:dyDescent="0.35">
      <c r="A186" s="40" t="str">
        <f t="shared" si="5"/>
        <v>ALL 2024 H1 D90</v>
      </c>
      <c r="B186" s="8">
        <f>'ALL 2024 H2 D80'!$B$2</f>
        <v>46114</v>
      </c>
      <c r="C186" s="8">
        <f>'ALL 2024 H2 D80'!$C$2</f>
        <v>46120</v>
      </c>
      <c r="D186" s="5">
        <v>3208</v>
      </c>
      <c r="E186" s="5">
        <v>320</v>
      </c>
      <c r="F186" s="5">
        <v>1</v>
      </c>
      <c r="G186" s="16">
        <v>1</v>
      </c>
      <c r="H186" s="16">
        <v>81239</v>
      </c>
      <c r="I186" s="16" t="s">
        <v>16</v>
      </c>
      <c r="J186" s="16">
        <v>18737530</v>
      </c>
      <c r="K186" s="16" t="s">
        <v>3337</v>
      </c>
      <c r="L186" s="18" t="s">
        <v>3343</v>
      </c>
      <c r="M186" s="21">
        <v>269900</v>
      </c>
      <c r="N186" s="7">
        <v>0.9</v>
      </c>
      <c r="O186" s="6">
        <f t="shared" si="6"/>
        <v>26990</v>
      </c>
      <c r="P186" s="5" t="s">
        <v>504</v>
      </c>
    </row>
    <row r="187" spans="1:16" x14ac:dyDescent="0.35">
      <c r="A187" s="40" t="str">
        <f t="shared" si="5"/>
        <v>ALL 2024 H1 D90</v>
      </c>
      <c r="B187" s="8">
        <f>'ALL 2024 H2 D80'!$B$2</f>
        <v>46114</v>
      </c>
      <c r="C187" s="8">
        <f>'ALL 2024 H2 D80'!$C$2</f>
        <v>46120</v>
      </c>
      <c r="D187" s="5">
        <v>3208</v>
      </c>
      <c r="E187" s="5">
        <v>320</v>
      </c>
      <c r="F187" s="5">
        <v>1</v>
      </c>
      <c r="G187" s="16">
        <v>1</v>
      </c>
      <c r="H187" s="16">
        <v>81239</v>
      </c>
      <c r="I187" s="16" t="s">
        <v>16</v>
      </c>
      <c r="J187" s="16">
        <v>18737549</v>
      </c>
      <c r="K187" s="16" t="s">
        <v>3337</v>
      </c>
      <c r="L187" s="18" t="s">
        <v>3344</v>
      </c>
      <c r="M187" s="21">
        <v>269900</v>
      </c>
      <c r="N187" s="7">
        <v>0.9</v>
      </c>
      <c r="O187" s="6">
        <f t="shared" si="6"/>
        <v>26990</v>
      </c>
      <c r="P187" s="5" t="s">
        <v>504</v>
      </c>
    </row>
    <row r="188" spans="1:16" x14ac:dyDescent="0.35">
      <c r="A188" s="40" t="str">
        <f t="shared" si="5"/>
        <v>ALL 2024 H1 D90</v>
      </c>
      <c r="B188" s="8">
        <f>'ALL 2024 H2 D80'!$B$2</f>
        <v>46114</v>
      </c>
      <c r="C188" s="8">
        <f>'ALL 2024 H2 D80'!$C$2</f>
        <v>46120</v>
      </c>
      <c r="D188" s="5">
        <v>3208</v>
      </c>
      <c r="E188" s="5">
        <v>320</v>
      </c>
      <c r="F188" s="5">
        <v>1</v>
      </c>
      <c r="G188" s="16">
        <v>1</v>
      </c>
      <c r="H188" s="16">
        <v>81239</v>
      </c>
      <c r="I188" s="16" t="s">
        <v>16</v>
      </c>
      <c r="J188" s="16">
        <v>18737558</v>
      </c>
      <c r="K188" s="16" t="s">
        <v>3337</v>
      </c>
      <c r="L188" s="18" t="s">
        <v>3345</v>
      </c>
      <c r="M188" s="21">
        <v>269900</v>
      </c>
      <c r="N188" s="7">
        <v>0.9</v>
      </c>
      <c r="O188" s="6">
        <f t="shared" si="6"/>
        <v>26990</v>
      </c>
      <c r="P188" s="5" t="s">
        <v>504</v>
      </c>
    </row>
    <row r="189" spans="1:16" x14ac:dyDescent="0.35">
      <c r="A189" s="40" t="str">
        <f t="shared" si="5"/>
        <v>ALL 2024 H1 D90</v>
      </c>
      <c r="B189" s="8">
        <f>'ALL 2024 H2 D80'!$B$2</f>
        <v>46114</v>
      </c>
      <c r="C189" s="8">
        <f>'ALL 2024 H2 D80'!$C$2</f>
        <v>46120</v>
      </c>
      <c r="D189" s="5">
        <v>3208</v>
      </c>
      <c r="E189" s="5">
        <v>320</v>
      </c>
      <c r="F189" s="5">
        <v>1</v>
      </c>
      <c r="G189" s="16">
        <v>1</v>
      </c>
      <c r="H189" s="16">
        <v>81239</v>
      </c>
      <c r="I189" s="16" t="s">
        <v>16</v>
      </c>
      <c r="J189" s="16">
        <v>18737567</v>
      </c>
      <c r="K189" s="16" t="s">
        <v>3346</v>
      </c>
      <c r="L189" s="18" t="s">
        <v>3347</v>
      </c>
      <c r="M189" s="21">
        <v>229900</v>
      </c>
      <c r="N189" s="7">
        <v>0.9</v>
      </c>
      <c r="O189" s="6">
        <f t="shared" si="6"/>
        <v>22990</v>
      </c>
      <c r="P189" s="5" t="s">
        <v>504</v>
      </c>
    </row>
    <row r="190" spans="1:16" x14ac:dyDescent="0.35">
      <c r="A190" s="40" t="str">
        <f t="shared" si="5"/>
        <v>ALL 2024 H1 D90</v>
      </c>
      <c r="B190" s="8">
        <f>'ALL 2024 H2 D80'!$B$2</f>
        <v>46114</v>
      </c>
      <c r="C190" s="8">
        <f>'ALL 2024 H2 D80'!$C$2</f>
        <v>46120</v>
      </c>
      <c r="D190" s="5">
        <v>3208</v>
      </c>
      <c r="E190" s="5">
        <v>320</v>
      </c>
      <c r="F190" s="5">
        <v>1</v>
      </c>
      <c r="G190" s="16">
        <v>1</v>
      </c>
      <c r="H190" s="16">
        <v>81239</v>
      </c>
      <c r="I190" s="16" t="s">
        <v>16</v>
      </c>
      <c r="J190" s="16">
        <v>18737576</v>
      </c>
      <c r="K190" s="16" t="s">
        <v>3346</v>
      </c>
      <c r="L190" s="18" t="s">
        <v>3348</v>
      </c>
      <c r="M190" s="21">
        <v>229900</v>
      </c>
      <c r="N190" s="7">
        <v>0.9</v>
      </c>
      <c r="O190" s="6">
        <f t="shared" si="6"/>
        <v>22990</v>
      </c>
      <c r="P190" s="5" t="s">
        <v>504</v>
      </c>
    </row>
    <row r="191" spans="1:16" x14ac:dyDescent="0.35">
      <c r="A191" s="40" t="str">
        <f t="shared" si="5"/>
        <v>ALL 2024 H1 D90</v>
      </c>
      <c r="B191" s="8">
        <f>'ALL 2024 H2 D80'!$B$2</f>
        <v>46114</v>
      </c>
      <c r="C191" s="8">
        <f>'ALL 2024 H2 D80'!$C$2</f>
        <v>46120</v>
      </c>
      <c r="D191" s="5">
        <v>3208</v>
      </c>
      <c r="E191" s="5">
        <v>320</v>
      </c>
      <c r="F191" s="5">
        <v>1</v>
      </c>
      <c r="G191" s="16">
        <v>1</v>
      </c>
      <c r="H191" s="16">
        <v>81239</v>
      </c>
      <c r="I191" s="16" t="s">
        <v>16</v>
      </c>
      <c r="J191" s="16">
        <v>18737585</v>
      </c>
      <c r="K191" s="16" t="s">
        <v>3346</v>
      </c>
      <c r="L191" s="18" t="s">
        <v>3349</v>
      </c>
      <c r="M191" s="21">
        <v>229900</v>
      </c>
      <c r="N191" s="7">
        <v>0.9</v>
      </c>
      <c r="O191" s="6">
        <f t="shared" si="6"/>
        <v>22990</v>
      </c>
      <c r="P191" s="5" t="s">
        <v>504</v>
      </c>
    </row>
    <row r="192" spans="1:16" x14ac:dyDescent="0.35">
      <c r="A192" s="40" t="str">
        <f t="shared" si="5"/>
        <v>ALL 2024 H1 D90</v>
      </c>
      <c r="B192" s="8">
        <f>'ALL 2024 H2 D80'!$B$2</f>
        <v>46114</v>
      </c>
      <c r="C192" s="8">
        <f>'ALL 2024 H2 D80'!$C$2</f>
        <v>46120</v>
      </c>
      <c r="D192" s="5">
        <v>3208</v>
      </c>
      <c r="E192" s="5">
        <v>320</v>
      </c>
      <c r="F192" s="5">
        <v>1</v>
      </c>
      <c r="G192" s="16">
        <v>1</v>
      </c>
      <c r="H192" s="16">
        <v>81239</v>
      </c>
      <c r="I192" s="16" t="s">
        <v>16</v>
      </c>
      <c r="J192" s="16">
        <v>18737594</v>
      </c>
      <c r="K192" s="16" t="s">
        <v>3346</v>
      </c>
      <c r="L192" s="18" t="s">
        <v>3350</v>
      </c>
      <c r="M192" s="21">
        <v>229900</v>
      </c>
      <c r="N192" s="7">
        <v>0.9</v>
      </c>
      <c r="O192" s="6">
        <f t="shared" si="6"/>
        <v>22990</v>
      </c>
      <c r="P192" s="5" t="s">
        <v>504</v>
      </c>
    </row>
    <row r="193" spans="1:16" x14ac:dyDescent="0.35">
      <c r="A193" s="40" t="str">
        <f t="shared" si="5"/>
        <v>ALL 2024 H1 D90</v>
      </c>
      <c r="B193" s="8">
        <f>'ALL 2024 H2 D80'!$B$2</f>
        <v>46114</v>
      </c>
      <c r="C193" s="8">
        <f>'ALL 2024 H2 D80'!$C$2</f>
        <v>46120</v>
      </c>
      <c r="D193" s="5">
        <v>3208</v>
      </c>
      <c r="E193" s="5">
        <v>320</v>
      </c>
      <c r="F193" s="5">
        <v>1</v>
      </c>
      <c r="G193" s="16">
        <v>1</v>
      </c>
      <c r="H193" s="16">
        <v>81239</v>
      </c>
      <c r="I193" s="16" t="s">
        <v>16</v>
      </c>
      <c r="J193" s="16">
        <v>18737629</v>
      </c>
      <c r="K193" s="16" t="s">
        <v>3346</v>
      </c>
      <c r="L193" s="18" t="s">
        <v>3351</v>
      </c>
      <c r="M193" s="21">
        <v>229900</v>
      </c>
      <c r="N193" s="7">
        <v>0.9</v>
      </c>
      <c r="O193" s="6">
        <f t="shared" si="6"/>
        <v>22990</v>
      </c>
      <c r="P193" s="5" t="s">
        <v>504</v>
      </c>
    </row>
    <row r="194" spans="1:16" x14ac:dyDescent="0.35">
      <c r="A194" s="40" t="str">
        <f t="shared" si="5"/>
        <v>ALL 2024 H1 D90</v>
      </c>
      <c r="B194" s="8">
        <f>'ALL 2024 H2 D80'!$B$2</f>
        <v>46114</v>
      </c>
      <c r="C194" s="8">
        <f>'ALL 2024 H2 D80'!$C$2</f>
        <v>46120</v>
      </c>
      <c r="D194" s="5">
        <v>3208</v>
      </c>
      <c r="E194" s="5">
        <v>320</v>
      </c>
      <c r="F194" s="5">
        <v>1</v>
      </c>
      <c r="G194" s="16">
        <v>1</v>
      </c>
      <c r="H194" s="16">
        <v>81239</v>
      </c>
      <c r="I194" s="16" t="s">
        <v>16</v>
      </c>
      <c r="J194" s="16">
        <v>18737638</v>
      </c>
      <c r="K194" s="16" t="s">
        <v>3346</v>
      </c>
      <c r="L194" s="18" t="s">
        <v>3352</v>
      </c>
      <c r="M194" s="21">
        <v>229900</v>
      </c>
      <c r="N194" s="7">
        <v>0.9</v>
      </c>
      <c r="O194" s="6">
        <f t="shared" si="6"/>
        <v>22990</v>
      </c>
      <c r="P194" s="5" t="s">
        <v>504</v>
      </c>
    </row>
    <row r="195" spans="1:16" x14ac:dyDescent="0.35">
      <c r="A195" s="40" t="str">
        <f t="shared" si="5"/>
        <v>ALL 2024 H1 D90</v>
      </c>
      <c r="B195" s="8">
        <f>'ALL 2024 H2 D80'!$B$2</f>
        <v>46114</v>
      </c>
      <c r="C195" s="8">
        <f>'ALL 2024 H2 D80'!$C$2</f>
        <v>46120</v>
      </c>
      <c r="D195" s="5">
        <v>3208</v>
      </c>
      <c r="E195" s="5">
        <v>320</v>
      </c>
      <c r="F195" s="5">
        <v>1</v>
      </c>
      <c r="G195" s="16">
        <v>1</v>
      </c>
      <c r="H195" s="16">
        <v>81239</v>
      </c>
      <c r="I195" s="16" t="s">
        <v>16</v>
      </c>
      <c r="J195" s="16">
        <v>18737647</v>
      </c>
      <c r="K195" s="16" t="s">
        <v>3346</v>
      </c>
      <c r="L195" s="18" t="s">
        <v>3353</v>
      </c>
      <c r="M195" s="21">
        <v>229900</v>
      </c>
      <c r="N195" s="7">
        <v>0.9</v>
      </c>
      <c r="O195" s="6">
        <f t="shared" si="6"/>
        <v>22990</v>
      </c>
      <c r="P195" s="5" t="s">
        <v>504</v>
      </c>
    </row>
    <row r="196" spans="1:16" x14ac:dyDescent="0.35">
      <c r="A196" s="40" t="str">
        <f t="shared" si="5"/>
        <v>ALL 2024 H1 D90</v>
      </c>
      <c r="B196" s="8">
        <f>'ALL 2024 H2 D80'!$B$2</f>
        <v>46114</v>
      </c>
      <c r="C196" s="8">
        <f>'ALL 2024 H2 D80'!$C$2</f>
        <v>46120</v>
      </c>
      <c r="D196" s="5">
        <v>3208</v>
      </c>
      <c r="E196" s="5">
        <v>320</v>
      </c>
      <c r="F196" s="5">
        <v>1</v>
      </c>
      <c r="G196" s="16">
        <v>1</v>
      </c>
      <c r="H196" s="16">
        <v>81239</v>
      </c>
      <c r="I196" s="16" t="s">
        <v>16</v>
      </c>
      <c r="J196" s="16">
        <v>18737656</v>
      </c>
      <c r="K196" s="16" t="s">
        <v>3346</v>
      </c>
      <c r="L196" s="18" t="s">
        <v>3354</v>
      </c>
      <c r="M196" s="21">
        <v>229900</v>
      </c>
      <c r="N196" s="7">
        <v>0.9</v>
      </c>
      <c r="O196" s="6">
        <f t="shared" si="6"/>
        <v>22990</v>
      </c>
      <c r="P196" s="5" t="s">
        <v>504</v>
      </c>
    </row>
    <row r="197" spans="1:16" x14ac:dyDescent="0.35">
      <c r="A197" s="40" t="str">
        <f t="shared" ref="A197:A260" si="7">$A$2</f>
        <v>ALL 2024 H1 D90</v>
      </c>
      <c r="B197" s="8">
        <f>'ALL 2024 H2 D80'!$B$2</f>
        <v>46114</v>
      </c>
      <c r="C197" s="8">
        <f>'ALL 2024 H2 D80'!$C$2</f>
        <v>46120</v>
      </c>
      <c r="D197" s="5">
        <v>3208</v>
      </c>
      <c r="E197" s="5">
        <v>320</v>
      </c>
      <c r="F197" s="5">
        <v>1</v>
      </c>
      <c r="G197" s="16">
        <v>1</v>
      </c>
      <c r="H197" s="16">
        <v>81239</v>
      </c>
      <c r="I197" s="16" t="s">
        <v>16</v>
      </c>
      <c r="J197" s="16">
        <v>18794004</v>
      </c>
      <c r="K197" s="16" t="s">
        <v>3355</v>
      </c>
      <c r="L197" s="18" t="s">
        <v>3356</v>
      </c>
      <c r="M197" s="21">
        <v>229900</v>
      </c>
      <c r="N197" s="7">
        <v>0.9</v>
      </c>
      <c r="O197" s="6">
        <f t="shared" si="6"/>
        <v>22990</v>
      </c>
      <c r="P197" s="5" t="s">
        <v>504</v>
      </c>
    </row>
    <row r="198" spans="1:16" x14ac:dyDescent="0.35">
      <c r="A198" s="40" t="str">
        <f t="shared" si="7"/>
        <v>ALL 2024 H1 D90</v>
      </c>
      <c r="B198" s="8">
        <f>'ALL 2024 H2 D80'!$B$2</f>
        <v>46114</v>
      </c>
      <c r="C198" s="8">
        <f>'ALL 2024 H2 D80'!$C$2</f>
        <v>46120</v>
      </c>
      <c r="D198" s="5">
        <v>3208</v>
      </c>
      <c r="E198" s="5">
        <v>320</v>
      </c>
      <c r="F198" s="5">
        <v>1</v>
      </c>
      <c r="G198" s="16">
        <v>1</v>
      </c>
      <c r="H198" s="16">
        <v>81239</v>
      </c>
      <c r="I198" s="16" t="s">
        <v>16</v>
      </c>
      <c r="J198" s="16">
        <v>18794040</v>
      </c>
      <c r="K198" s="16" t="s">
        <v>3355</v>
      </c>
      <c r="L198" s="18" t="s">
        <v>3357</v>
      </c>
      <c r="M198" s="21">
        <v>229900</v>
      </c>
      <c r="N198" s="7">
        <v>0.9</v>
      </c>
      <c r="O198" s="6">
        <f t="shared" si="6"/>
        <v>22990</v>
      </c>
      <c r="P198" s="5" t="s">
        <v>504</v>
      </c>
    </row>
    <row r="199" spans="1:16" x14ac:dyDescent="0.35">
      <c r="A199" s="40" t="str">
        <f t="shared" si="7"/>
        <v>ALL 2024 H1 D90</v>
      </c>
      <c r="B199" s="8">
        <f>'ALL 2024 H2 D80'!$B$2</f>
        <v>46114</v>
      </c>
      <c r="C199" s="8">
        <f>'ALL 2024 H2 D80'!$C$2</f>
        <v>46120</v>
      </c>
      <c r="D199" s="5">
        <v>3208</v>
      </c>
      <c r="E199" s="5">
        <v>320</v>
      </c>
      <c r="F199" s="5">
        <v>1</v>
      </c>
      <c r="G199" s="16">
        <v>1</v>
      </c>
      <c r="H199" s="16">
        <v>81239</v>
      </c>
      <c r="I199" s="16" t="s">
        <v>16</v>
      </c>
      <c r="J199" s="16">
        <v>18794095</v>
      </c>
      <c r="K199" s="16" t="s">
        <v>3355</v>
      </c>
      <c r="L199" s="18" t="s">
        <v>3358</v>
      </c>
      <c r="M199" s="21">
        <v>229900</v>
      </c>
      <c r="N199" s="7">
        <v>0.9</v>
      </c>
      <c r="O199" s="6">
        <f t="shared" si="6"/>
        <v>22990</v>
      </c>
      <c r="P199" s="5" t="s">
        <v>504</v>
      </c>
    </row>
    <row r="200" spans="1:16" x14ac:dyDescent="0.35">
      <c r="A200" s="40" t="str">
        <f t="shared" si="7"/>
        <v>ALL 2024 H1 D90</v>
      </c>
      <c r="B200" s="8">
        <f>'ALL 2024 H2 D80'!$B$2</f>
        <v>46114</v>
      </c>
      <c r="C200" s="8">
        <f>'ALL 2024 H2 D80'!$C$2</f>
        <v>46120</v>
      </c>
      <c r="D200" s="5">
        <v>3208</v>
      </c>
      <c r="E200" s="5">
        <v>320</v>
      </c>
      <c r="F200" s="5">
        <v>1</v>
      </c>
      <c r="G200" s="16">
        <v>1</v>
      </c>
      <c r="H200" s="16">
        <v>81239</v>
      </c>
      <c r="I200" s="16" t="s">
        <v>16</v>
      </c>
      <c r="J200" s="16">
        <v>18794102</v>
      </c>
      <c r="K200" s="16" t="s">
        <v>3355</v>
      </c>
      <c r="L200" s="18" t="s">
        <v>3359</v>
      </c>
      <c r="M200" s="21">
        <v>229900</v>
      </c>
      <c r="N200" s="7">
        <v>0.9</v>
      </c>
      <c r="O200" s="6">
        <f t="shared" si="6"/>
        <v>22990</v>
      </c>
      <c r="P200" s="5" t="s">
        <v>504</v>
      </c>
    </row>
    <row r="201" spans="1:16" x14ac:dyDescent="0.35">
      <c r="A201" s="40" t="str">
        <f t="shared" si="7"/>
        <v>ALL 2024 H1 D90</v>
      </c>
      <c r="B201" s="8">
        <f>'ALL 2024 H2 D80'!$B$2</f>
        <v>46114</v>
      </c>
      <c r="C201" s="8">
        <f>'ALL 2024 H2 D80'!$C$2</f>
        <v>46120</v>
      </c>
      <c r="D201" s="5">
        <v>3208</v>
      </c>
      <c r="E201" s="5">
        <v>320</v>
      </c>
      <c r="F201" s="5">
        <v>1</v>
      </c>
      <c r="G201" s="16">
        <v>1</v>
      </c>
      <c r="H201" s="16">
        <v>81748</v>
      </c>
      <c r="I201" s="16" t="s">
        <v>16</v>
      </c>
      <c r="J201" s="16">
        <v>18961234</v>
      </c>
      <c r="K201" s="16" t="s">
        <v>3360</v>
      </c>
      <c r="L201" s="18" t="s">
        <v>3361</v>
      </c>
      <c r="M201" s="21">
        <v>279900</v>
      </c>
      <c r="N201" s="7">
        <v>0.9</v>
      </c>
      <c r="O201" s="6">
        <f t="shared" si="6"/>
        <v>27990</v>
      </c>
      <c r="P201" s="5" t="s">
        <v>504</v>
      </c>
    </row>
    <row r="202" spans="1:16" x14ac:dyDescent="0.35">
      <c r="A202" s="40" t="str">
        <f t="shared" si="7"/>
        <v>ALL 2024 H1 D90</v>
      </c>
      <c r="B202" s="8">
        <f>'ALL 2024 H2 D80'!$B$2</f>
        <v>46114</v>
      </c>
      <c r="C202" s="8">
        <f>'ALL 2024 H2 D80'!$C$2</f>
        <v>46120</v>
      </c>
      <c r="D202" s="5">
        <v>3208</v>
      </c>
      <c r="E202" s="5">
        <v>320</v>
      </c>
      <c r="F202" s="5">
        <v>1</v>
      </c>
      <c r="G202" s="16">
        <v>1</v>
      </c>
      <c r="H202" s="16">
        <v>81748</v>
      </c>
      <c r="I202" s="16" t="s">
        <v>16</v>
      </c>
      <c r="J202" s="16">
        <v>18961243</v>
      </c>
      <c r="K202" s="16" t="s">
        <v>3360</v>
      </c>
      <c r="L202" s="18" t="s">
        <v>3362</v>
      </c>
      <c r="M202" s="21">
        <v>279900</v>
      </c>
      <c r="N202" s="7">
        <v>0.9</v>
      </c>
      <c r="O202" s="6">
        <f t="shared" si="6"/>
        <v>27990</v>
      </c>
      <c r="P202" s="5" t="s">
        <v>504</v>
      </c>
    </row>
    <row r="203" spans="1:16" x14ac:dyDescent="0.35">
      <c r="A203" s="40" t="str">
        <f t="shared" si="7"/>
        <v>ALL 2024 H1 D90</v>
      </c>
      <c r="B203" s="8">
        <f>'ALL 2024 H2 D80'!$B$2</f>
        <v>46114</v>
      </c>
      <c r="C203" s="8">
        <f>'ALL 2024 H2 D80'!$C$2</f>
        <v>46120</v>
      </c>
      <c r="D203" s="5">
        <v>3208</v>
      </c>
      <c r="E203" s="5">
        <v>320</v>
      </c>
      <c r="F203" s="5">
        <v>1</v>
      </c>
      <c r="G203" s="16">
        <v>1</v>
      </c>
      <c r="H203" s="16">
        <v>81748</v>
      </c>
      <c r="I203" s="16" t="s">
        <v>16</v>
      </c>
      <c r="J203" s="16">
        <v>18961252</v>
      </c>
      <c r="K203" s="16" t="s">
        <v>3360</v>
      </c>
      <c r="L203" s="18" t="s">
        <v>3363</v>
      </c>
      <c r="M203" s="21">
        <v>279900</v>
      </c>
      <c r="N203" s="7">
        <v>0.9</v>
      </c>
      <c r="O203" s="6">
        <f t="shared" si="6"/>
        <v>27990</v>
      </c>
      <c r="P203" s="5" t="s">
        <v>504</v>
      </c>
    </row>
    <row r="204" spans="1:16" x14ac:dyDescent="0.35">
      <c r="A204" s="40" t="str">
        <f t="shared" si="7"/>
        <v>ALL 2024 H1 D90</v>
      </c>
      <c r="B204" s="8">
        <f>'ALL 2024 H2 D80'!$B$2</f>
        <v>46114</v>
      </c>
      <c r="C204" s="8">
        <f>'ALL 2024 H2 D80'!$C$2</f>
        <v>46120</v>
      </c>
      <c r="D204" s="5">
        <v>3208</v>
      </c>
      <c r="E204" s="5">
        <v>320</v>
      </c>
      <c r="F204" s="5">
        <v>1</v>
      </c>
      <c r="G204" s="16">
        <v>1</v>
      </c>
      <c r="H204" s="16">
        <v>81748</v>
      </c>
      <c r="I204" s="16" t="s">
        <v>16</v>
      </c>
      <c r="J204" s="16">
        <v>18961261</v>
      </c>
      <c r="K204" s="16" t="s">
        <v>3360</v>
      </c>
      <c r="L204" s="18" t="s">
        <v>3364</v>
      </c>
      <c r="M204" s="21">
        <v>279900</v>
      </c>
      <c r="N204" s="7">
        <v>0.9</v>
      </c>
      <c r="O204" s="6">
        <f t="shared" ref="O204:O267" si="8">M204-(M204*N204)</f>
        <v>27990</v>
      </c>
      <c r="P204" s="5" t="s">
        <v>504</v>
      </c>
    </row>
    <row r="205" spans="1:16" x14ac:dyDescent="0.35">
      <c r="A205" s="40" t="str">
        <f t="shared" si="7"/>
        <v>ALL 2024 H1 D90</v>
      </c>
      <c r="B205" s="8">
        <f>'ALL 2024 H2 D80'!$B$2</f>
        <v>46114</v>
      </c>
      <c r="C205" s="8">
        <f>'ALL 2024 H2 D80'!$C$2</f>
        <v>46120</v>
      </c>
      <c r="D205" s="5">
        <v>3208</v>
      </c>
      <c r="E205" s="5">
        <v>320</v>
      </c>
      <c r="F205" s="5">
        <v>1</v>
      </c>
      <c r="G205" s="16">
        <v>1</v>
      </c>
      <c r="H205" s="16">
        <v>81748</v>
      </c>
      <c r="I205" s="16" t="s">
        <v>16</v>
      </c>
      <c r="J205" s="16">
        <v>16401146</v>
      </c>
      <c r="K205" s="16" t="s">
        <v>3274</v>
      </c>
      <c r="L205" s="18" t="s">
        <v>3275</v>
      </c>
      <c r="M205" s="21">
        <v>279900</v>
      </c>
      <c r="N205" s="7">
        <v>0.9</v>
      </c>
      <c r="O205" s="6">
        <f t="shared" si="8"/>
        <v>27990</v>
      </c>
      <c r="P205" s="5" t="s">
        <v>504</v>
      </c>
    </row>
    <row r="206" spans="1:16" x14ac:dyDescent="0.35">
      <c r="A206" s="40" t="str">
        <f t="shared" si="7"/>
        <v>ALL 2024 H1 D90</v>
      </c>
      <c r="B206" s="8">
        <f>'ALL 2024 H2 D80'!$B$2</f>
        <v>46114</v>
      </c>
      <c r="C206" s="8">
        <f>'ALL 2024 H2 D80'!$C$2</f>
        <v>46120</v>
      </c>
      <c r="D206" s="5">
        <v>3208</v>
      </c>
      <c r="E206" s="5">
        <v>320</v>
      </c>
      <c r="F206" s="5">
        <v>1</v>
      </c>
      <c r="G206" s="16">
        <v>1</v>
      </c>
      <c r="H206" s="16">
        <v>81748</v>
      </c>
      <c r="I206" s="16" t="s">
        <v>16</v>
      </c>
      <c r="J206" s="16">
        <v>16401155</v>
      </c>
      <c r="K206" s="16" t="s">
        <v>3274</v>
      </c>
      <c r="L206" s="18" t="s">
        <v>3276</v>
      </c>
      <c r="M206" s="21">
        <v>279900</v>
      </c>
      <c r="N206" s="7">
        <v>0.9</v>
      </c>
      <c r="O206" s="6">
        <f t="shared" si="8"/>
        <v>27990</v>
      </c>
      <c r="P206" s="5" t="s">
        <v>504</v>
      </c>
    </row>
    <row r="207" spans="1:16" x14ac:dyDescent="0.35">
      <c r="A207" s="40" t="str">
        <f t="shared" si="7"/>
        <v>ALL 2024 H1 D90</v>
      </c>
      <c r="B207" s="8">
        <f>'ALL 2024 H2 D80'!$B$2</f>
        <v>46114</v>
      </c>
      <c r="C207" s="8">
        <f>'ALL 2024 H2 D80'!$C$2</f>
        <v>46120</v>
      </c>
      <c r="D207" s="5">
        <v>3208</v>
      </c>
      <c r="E207" s="5">
        <v>320</v>
      </c>
      <c r="F207" s="5">
        <v>1</v>
      </c>
      <c r="G207" s="16">
        <v>1</v>
      </c>
      <c r="H207" s="16">
        <v>81748</v>
      </c>
      <c r="I207" s="16" t="s">
        <v>16</v>
      </c>
      <c r="J207" s="16">
        <v>16401164</v>
      </c>
      <c r="K207" s="16" t="s">
        <v>3274</v>
      </c>
      <c r="L207" s="18" t="s">
        <v>3277</v>
      </c>
      <c r="M207" s="21">
        <v>279900</v>
      </c>
      <c r="N207" s="7">
        <v>0.9</v>
      </c>
      <c r="O207" s="6">
        <f t="shared" si="8"/>
        <v>27990</v>
      </c>
      <c r="P207" s="5" t="s">
        <v>504</v>
      </c>
    </row>
    <row r="208" spans="1:16" x14ac:dyDescent="0.35">
      <c r="A208" s="40" t="str">
        <f t="shared" si="7"/>
        <v>ALL 2024 H1 D90</v>
      </c>
      <c r="B208" s="8">
        <f>'ALL 2024 H2 D80'!$B$2</f>
        <v>46114</v>
      </c>
      <c r="C208" s="8">
        <f>'ALL 2024 H2 D80'!$C$2</f>
        <v>46120</v>
      </c>
      <c r="D208" s="5">
        <v>3208</v>
      </c>
      <c r="E208" s="5">
        <v>320</v>
      </c>
      <c r="F208" s="5">
        <v>1</v>
      </c>
      <c r="G208" s="16">
        <v>1</v>
      </c>
      <c r="H208" s="16">
        <v>81748</v>
      </c>
      <c r="I208" s="16" t="s">
        <v>16</v>
      </c>
      <c r="J208" s="16">
        <v>16401173</v>
      </c>
      <c r="K208" s="16" t="s">
        <v>3274</v>
      </c>
      <c r="L208" s="18" t="s">
        <v>3278</v>
      </c>
      <c r="M208" s="21">
        <v>279900</v>
      </c>
      <c r="N208" s="7">
        <v>0.9</v>
      </c>
      <c r="O208" s="6">
        <f t="shared" si="8"/>
        <v>27990</v>
      </c>
      <c r="P208" s="5" t="s">
        <v>504</v>
      </c>
    </row>
    <row r="209" spans="1:16" x14ac:dyDescent="0.35">
      <c r="A209" s="40" t="str">
        <f t="shared" si="7"/>
        <v>ALL 2024 H1 D90</v>
      </c>
      <c r="B209" s="8">
        <f>'ALL 2024 H2 D80'!$B$2</f>
        <v>46114</v>
      </c>
      <c r="C209" s="8">
        <f>'ALL 2024 H2 D80'!$C$2</f>
        <v>46120</v>
      </c>
      <c r="D209" s="5">
        <v>3208</v>
      </c>
      <c r="E209" s="5">
        <v>320</v>
      </c>
      <c r="F209" s="5">
        <v>1</v>
      </c>
      <c r="G209" s="16">
        <v>1</v>
      </c>
      <c r="H209" s="16">
        <v>81748</v>
      </c>
      <c r="I209" s="16" t="s">
        <v>16</v>
      </c>
      <c r="J209" s="16">
        <v>18962671</v>
      </c>
      <c r="K209" s="16" t="s">
        <v>3274</v>
      </c>
      <c r="L209" s="18" t="s">
        <v>3365</v>
      </c>
      <c r="M209" s="21">
        <v>279900</v>
      </c>
      <c r="N209" s="7">
        <v>0.9</v>
      </c>
      <c r="O209" s="6">
        <f t="shared" si="8"/>
        <v>27990</v>
      </c>
      <c r="P209" s="5" t="s">
        <v>504</v>
      </c>
    </row>
    <row r="210" spans="1:16" x14ac:dyDescent="0.35">
      <c r="A210" s="40" t="str">
        <f t="shared" si="7"/>
        <v>ALL 2024 H1 D90</v>
      </c>
      <c r="B210" s="8">
        <f>'ALL 2024 H2 D80'!$B$2</f>
        <v>46114</v>
      </c>
      <c r="C210" s="8">
        <f>'ALL 2024 H2 D80'!$C$2</f>
        <v>46120</v>
      </c>
      <c r="D210" s="5">
        <v>3208</v>
      </c>
      <c r="E210" s="5">
        <v>320</v>
      </c>
      <c r="F210" s="5">
        <v>1</v>
      </c>
      <c r="G210" s="16">
        <v>1</v>
      </c>
      <c r="H210" s="16">
        <v>81748</v>
      </c>
      <c r="I210" s="16" t="s">
        <v>16</v>
      </c>
      <c r="J210" s="16">
        <v>18962680</v>
      </c>
      <c r="K210" s="16" t="s">
        <v>3274</v>
      </c>
      <c r="L210" s="18" t="s">
        <v>3366</v>
      </c>
      <c r="M210" s="21">
        <v>279900</v>
      </c>
      <c r="N210" s="7">
        <v>0.9</v>
      </c>
      <c r="O210" s="6">
        <f t="shared" si="8"/>
        <v>27990</v>
      </c>
      <c r="P210" s="5" t="s">
        <v>504</v>
      </c>
    </row>
    <row r="211" spans="1:16" x14ac:dyDescent="0.35">
      <c r="A211" s="40" t="str">
        <f t="shared" si="7"/>
        <v>ALL 2024 H1 D90</v>
      </c>
      <c r="B211" s="8">
        <f>'ALL 2024 H2 D80'!$B$2</f>
        <v>46114</v>
      </c>
      <c r="C211" s="8">
        <f>'ALL 2024 H2 D80'!$C$2</f>
        <v>46120</v>
      </c>
      <c r="D211" s="5">
        <v>3208</v>
      </c>
      <c r="E211" s="5">
        <v>320</v>
      </c>
      <c r="F211" s="5">
        <v>1</v>
      </c>
      <c r="G211" s="16">
        <v>1</v>
      </c>
      <c r="H211" s="16">
        <v>81748</v>
      </c>
      <c r="I211" s="16" t="s">
        <v>16</v>
      </c>
      <c r="J211" s="16">
        <v>18962715</v>
      </c>
      <c r="K211" s="16" t="s">
        <v>3274</v>
      </c>
      <c r="L211" s="18" t="s">
        <v>3367</v>
      </c>
      <c r="M211" s="21">
        <v>279900</v>
      </c>
      <c r="N211" s="7">
        <v>0.9</v>
      </c>
      <c r="O211" s="6">
        <f t="shared" si="8"/>
        <v>27990</v>
      </c>
      <c r="P211" s="5" t="s">
        <v>504</v>
      </c>
    </row>
    <row r="212" spans="1:16" x14ac:dyDescent="0.35">
      <c r="A212" s="40" t="str">
        <f t="shared" si="7"/>
        <v>ALL 2024 H1 D90</v>
      </c>
      <c r="B212" s="8">
        <f>'ALL 2024 H2 D80'!$B$2</f>
        <v>46114</v>
      </c>
      <c r="C212" s="8">
        <f>'ALL 2024 H2 D80'!$C$2</f>
        <v>46120</v>
      </c>
      <c r="D212" s="5">
        <v>3208</v>
      </c>
      <c r="E212" s="5">
        <v>320</v>
      </c>
      <c r="F212" s="5">
        <v>1</v>
      </c>
      <c r="G212" s="16">
        <v>1</v>
      </c>
      <c r="H212" s="16">
        <v>81748</v>
      </c>
      <c r="I212" s="16" t="s">
        <v>16</v>
      </c>
      <c r="J212" s="16">
        <v>18962724</v>
      </c>
      <c r="K212" s="16" t="s">
        <v>3274</v>
      </c>
      <c r="L212" s="18" t="s">
        <v>3368</v>
      </c>
      <c r="M212" s="21">
        <v>279900</v>
      </c>
      <c r="N212" s="7">
        <v>0.9</v>
      </c>
      <c r="O212" s="6">
        <f t="shared" si="8"/>
        <v>27990</v>
      </c>
      <c r="P212" s="5" t="s">
        <v>504</v>
      </c>
    </row>
    <row r="213" spans="1:16" x14ac:dyDescent="0.35">
      <c r="A213" s="40" t="str">
        <f t="shared" si="7"/>
        <v>ALL 2024 H1 D90</v>
      </c>
      <c r="B213" s="8">
        <f>'ALL 2024 H2 D80'!$B$2</f>
        <v>46114</v>
      </c>
      <c r="C213" s="8">
        <f>'ALL 2024 H2 D80'!$C$2</f>
        <v>46120</v>
      </c>
      <c r="D213" s="5">
        <v>3208</v>
      </c>
      <c r="E213" s="5">
        <v>320</v>
      </c>
      <c r="F213" s="5">
        <v>1</v>
      </c>
      <c r="G213" s="16">
        <v>1</v>
      </c>
      <c r="H213" s="16">
        <v>81748</v>
      </c>
      <c r="I213" s="16" t="s">
        <v>16</v>
      </c>
      <c r="J213" s="16">
        <v>87543673</v>
      </c>
      <c r="K213" s="16" t="s">
        <v>3274</v>
      </c>
      <c r="L213" s="18" t="s">
        <v>3279</v>
      </c>
      <c r="M213" s="21">
        <v>279900</v>
      </c>
      <c r="N213" s="7">
        <v>0.9</v>
      </c>
      <c r="O213" s="6">
        <f t="shared" si="8"/>
        <v>27990</v>
      </c>
      <c r="P213" s="5" t="s">
        <v>504</v>
      </c>
    </row>
    <row r="214" spans="1:16" x14ac:dyDescent="0.35">
      <c r="A214" s="40" t="str">
        <f t="shared" si="7"/>
        <v>ALL 2024 H1 D90</v>
      </c>
      <c r="B214" s="8">
        <f>'ALL 2024 H2 D80'!$B$2</f>
        <v>46114</v>
      </c>
      <c r="C214" s="8">
        <f>'ALL 2024 H2 D80'!$C$2</f>
        <v>46120</v>
      </c>
      <c r="D214" s="5">
        <v>3208</v>
      </c>
      <c r="E214" s="5">
        <v>320</v>
      </c>
      <c r="F214" s="5">
        <v>1</v>
      </c>
      <c r="G214" s="16">
        <v>1</v>
      </c>
      <c r="H214" s="16">
        <v>81748</v>
      </c>
      <c r="I214" s="16" t="s">
        <v>16</v>
      </c>
      <c r="J214" s="16">
        <v>87543682</v>
      </c>
      <c r="K214" s="16" t="s">
        <v>3274</v>
      </c>
      <c r="L214" s="18" t="s">
        <v>3280</v>
      </c>
      <c r="M214" s="21">
        <v>279900</v>
      </c>
      <c r="N214" s="7">
        <v>0.9</v>
      </c>
      <c r="O214" s="6">
        <f t="shared" si="8"/>
        <v>27990</v>
      </c>
      <c r="P214" s="5" t="s">
        <v>504</v>
      </c>
    </row>
    <row r="215" spans="1:16" x14ac:dyDescent="0.35">
      <c r="A215" s="40" t="str">
        <f t="shared" si="7"/>
        <v>ALL 2024 H1 D90</v>
      </c>
      <c r="B215" s="8">
        <f>'ALL 2024 H2 D80'!$B$2</f>
        <v>46114</v>
      </c>
      <c r="C215" s="8">
        <f>'ALL 2024 H2 D80'!$C$2</f>
        <v>46120</v>
      </c>
      <c r="D215" s="5">
        <v>3208</v>
      </c>
      <c r="E215" s="5">
        <v>320</v>
      </c>
      <c r="F215" s="5">
        <v>1</v>
      </c>
      <c r="G215" s="16">
        <v>1</v>
      </c>
      <c r="H215" s="16">
        <v>81748</v>
      </c>
      <c r="I215" s="16" t="s">
        <v>16</v>
      </c>
      <c r="J215" s="16">
        <v>87543691</v>
      </c>
      <c r="K215" s="16" t="s">
        <v>3274</v>
      </c>
      <c r="L215" s="18" t="s">
        <v>3281</v>
      </c>
      <c r="M215" s="21">
        <v>279900</v>
      </c>
      <c r="N215" s="7">
        <v>0.9</v>
      </c>
      <c r="O215" s="6">
        <f t="shared" si="8"/>
        <v>27990</v>
      </c>
      <c r="P215" s="5" t="s">
        <v>504</v>
      </c>
    </row>
    <row r="216" spans="1:16" x14ac:dyDescent="0.35">
      <c r="A216" s="40" t="str">
        <f t="shared" si="7"/>
        <v>ALL 2024 H1 D90</v>
      </c>
      <c r="B216" s="8">
        <f>'ALL 2024 H2 D80'!$B$2</f>
        <v>46114</v>
      </c>
      <c r="C216" s="8">
        <f>'ALL 2024 H2 D80'!$C$2</f>
        <v>46120</v>
      </c>
      <c r="D216" s="5">
        <v>3208</v>
      </c>
      <c r="E216" s="5">
        <v>320</v>
      </c>
      <c r="F216" s="5">
        <v>1</v>
      </c>
      <c r="G216" s="16">
        <v>1</v>
      </c>
      <c r="H216" s="16">
        <v>81748</v>
      </c>
      <c r="I216" s="16" t="s">
        <v>16</v>
      </c>
      <c r="J216" s="16">
        <v>87543708</v>
      </c>
      <c r="K216" s="16" t="s">
        <v>3274</v>
      </c>
      <c r="L216" s="18" t="s">
        <v>3282</v>
      </c>
      <c r="M216" s="21">
        <v>279900</v>
      </c>
      <c r="N216" s="7">
        <v>0.9</v>
      </c>
      <c r="O216" s="6">
        <f t="shared" si="8"/>
        <v>27990</v>
      </c>
      <c r="P216" s="5" t="s">
        <v>504</v>
      </c>
    </row>
    <row r="217" spans="1:16" x14ac:dyDescent="0.35">
      <c r="A217" s="40" t="str">
        <f t="shared" si="7"/>
        <v>ALL 2024 H1 D90</v>
      </c>
      <c r="B217" s="8">
        <f>'ALL 2024 H2 D80'!$B$2</f>
        <v>46114</v>
      </c>
      <c r="C217" s="8">
        <f>'ALL 2024 H2 D80'!$C$2</f>
        <v>46120</v>
      </c>
      <c r="D217" s="5">
        <v>3208</v>
      </c>
      <c r="E217" s="5">
        <v>320</v>
      </c>
      <c r="F217" s="5">
        <v>1</v>
      </c>
      <c r="G217" s="16">
        <v>1</v>
      </c>
      <c r="H217" s="16">
        <v>81748</v>
      </c>
      <c r="I217" s="16" t="s">
        <v>16</v>
      </c>
      <c r="J217" s="16">
        <v>87543717</v>
      </c>
      <c r="K217" s="16" t="s">
        <v>3274</v>
      </c>
      <c r="L217" s="18" t="s">
        <v>3369</v>
      </c>
      <c r="M217" s="21">
        <v>279900</v>
      </c>
      <c r="N217" s="7">
        <v>0.9</v>
      </c>
      <c r="O217" s="6">
        <f t="shared" si="8"/>
        <v>27990</v>
      </c>
      <c r="P217" s="5" t="s">
        <v>504</v>
      </c>
    </row>
    <row r="218" spans="1:16" x14ac:dyDescent="0.35">
      <c r="A218" s="40" t="str">
        <f t="shared" si="7"/>
        <v>ALL 2024 H1 D90</v>
      </c>
      <c r="B218" s="8">
        <f>'ALL 2024 H2 D80'!$B$2</f>
        <v>46114</v>
      </c>
      <c r="C218" s="8">
        <f>'ALL 2024 H2 D80'!$C$2</f>
        <v>46120</v>
      </c>
      <c r="D218" s="5">
        <v>3208</v>
      </c>
      <c r="E218" s="5">
        <v>320</v>
      </c>
      <c r="F218" s="5">
        <v>1</v>
      </c>
      <c r="G218" s="16">
        <v>1</v>
      </c>
      <c r="H218" s="16">
        <v>81748</v>
      </c>
      <c r="I218" s="16" t="s">
        <v>16</v>
      </c>
      <c r="J218" s="16">
        <v>87543726</v>
      </c>
      <c r="K218" s="16" t="s">
        <v>3274</v>
      </c>
      <c r="L218" s="18" t="s">
        <v>3370</v>
      </c>
      <c r="M218" s="21">
        <v>279900</v>
      </c>
      <c r="N218" s="7">
        <v>0.9</v>
      </c>
      <c r="O218" s="6">
        <f t="shared" si="8"/>
        <v>27990</v>
      </c>
      <c r="P218" s="5" t="s">
        <v>504</v>
      </c>
    </row>
    <row r="219" spans="1:16" x14ac:dyDescent="0.35">
      <c r="A219" s="40" t="str">
        <f t="shared" si="7"/>
        <v>ALL 2024 H1 D90</v>
      </c>
      <c r="B219" s="8">
        <f>'ALL 2024 H2 D80'!$B$2</f>
        <v>46114</v>
      </c>
      <c r="C219" s="8">
        <f>'ALL 2024 H2 D80'!$C$2</f>
        <v>46120</v>
      </c>
      <c r="D219" s="5">
        <v>3208</v>
      </c>
      <c r="E219" s="5">
        <v>320</v>
      </c>
      <c r="F219" s="5">
        <v>1</v>
      </c>
      <c r="G219" s="16">
        <v>1</v>
      </c>
      <c r="H219" s="16">
        <v>81748</v>
      </c>
      <c r="I219" s="16" t="s">
        <v>16</v>
      </c>
      <c r="J219" s="16">
        <v>87543735</v>
      </c>
      <c r="K219" s="16" t="s">
        <v>3274</v>
      </c>
      <c r="L219" s="18" t="s">
        <v>3371</v>
      </c>
      <c r="M219" s="21">
        <v>279900</v>
      </c>
      <c r="N219" s="7">
        <v>0.9</v>
      </c>
      <c r="O219" s="6">
        <f t="shared" si="8"/>
        <v>27990</v>
      </c>
      <c r="P219" s="5" t="s">
        <v>504</v>
      </c>
    </row>
    <row r="220" spans="1:16" x14ac:dyDescent="0.35">
      <c r="A220" s="40" t="str">
        <f t="shared" si="7"/>
        <v>ALL 2024 H1 D90</v>
      </c>
      <c r="B220" s="8">
        <f>'ALL 2024 H2 D80'!$B$2</f>
        <v>46114</v>
      </c>
      <c r="C220" s="8">
        <f>'ALL 2024 H2 D80'!$C$2</f>
        <v>46120</v>
      </c>
      <c r="D220" s="5">
        <v>3208</v>
      </c>
      <c r="E220" s="5">
        <v>320</v>
      </c>
      <c r="F220" s="5">
        <v>1</v>
      </c>
      <c r="G220" s="16">
        <v>1</v>
      </c>
      <c r="H220" s="16">
        <v>81748</v>
      </c>
      <c r="I220" s="16" t="s">
        <v>16</v>
      </c>
      <c r="J220" s="16">
        <v>87543744</v>
      </c>
      <c r="K220" s="16" t="s">
        <v>3274</v>
      </c>
      <c r="L220" s="18" t="s">
        <v>3372</v>
      </c>
      <c r="M220" s="21">
        <v>279900</v>
      </c>
      <c r="N220" s="7">
        <v>0.9</v>
      </c>
      <c r="O220" s="6">
        <f t="shared" si="8"/>
        <v>27990</v>
      </c>
      <c r="P220" s="5" t="s">
        <v>504</v>
      </c>
    </row>
    <row r="221" spans="1:16" x14ac:dyDescent="0.35">
      <c r="A221" s="40" t="str">
        <f t="shared" si="7"/>
        <v>ALL 2024 H1 D90</v>
      </c>
      <c r="B221" s="8">
        <f>'ALL 2024 H2 D80'!$B$2</f>
        <v>46114</v>
      </c>
      <c r="C221" s="8">
        <f>'ALL 2024 H2 D80'!$C$2</f>
        <v>46120</v>
      </c>
      <c r="D221" s="5">
        <v>3208</v>
      </c>
      <c r="E221" s="5">
        <v>320</v>
      </c>
      <c r="F221" s="5">
        <v>1</v>
      </c>
      <c r="G221" s="16">
        <v>1</v>
      </c>
      <c r="H221" s="16">
        <v>81809</v>
      </c>
      <c r="I221" s="16" t="s">
        <v>16</v>
      </c>
      <c r="J221" s="16">
        <v>15664356</v>
      </c>
      <c r="K221" s="16" t="s">
        <v>3373</v>
      </c>
      <c r="L221" s="18" t="s">
        <v>3374</v>
      </c>
      <c r="M221" s="21">
        <v>269900</v>
      </c>
      <c r="N221" s="7">
        <v>0.9</v>
      </c>
      <c r="O221" s="6">
        <f t="shared" si="8"/>
        <v>26990</v>
      </c>
      <c r="P221" s="5" t="s">
        <v>504</v>
      </c>
    </row>
    <row r="222" spans="1:16" x14ac:dyDescent="0.35">
      <c r="A222" s="40" t="str">
        <f t="shared" si="7"/>
        <v>ALL 2024 H1 D90</v>
      </c>
      <c r="B222" s="8">
        <f>'ALL 2024 H2 D80'!$B$2</f>
        <v>46114</v>
      </c>
      <c r="C222" s="8">
        <f>'ALL 2024 H2 D80'!$C$2</f>
        <v>46120</v>
      </c>
      <c r="D222" s="5">
        <v>3208</v>
      </c>
      <c r="E222" s="5">
        <v>320</v>
      </c>
      <c r="F222" s="5">
        <v>1</v>
      </c>
      <c r="G222" s="16">
        <v>1</v>
      </c>
      <c r="H222" s="16">
        <v>81809</v>
      </c>
      <c r="I222" s="16" t="s">
        <v>16</v>
      </c>
      <c r="J222" s="16">
        <v>15664365</v>
      </c>
      <c r="K222" s="16" t="s">
        <v>3373</v>
      </c>
      <c r="L222" s="18" t="s">
        <v>3375</v>
      </c>
      <c r="M222" s="21">
        <v>269900</v>
      </c>
      <c r="N222" s="7">
        <v>0.9</v>
      </c>
      <c r="O222" s="6">
        <f t="shared" si="8"/>
        <v>26990</v>
      </c>
      <c r="P222" s="5" t="s">
        <v>504</v>
      </c>
    </row>
    <row r="223" spans="1:16" x14ac:dyDescent="0.35">
      <c r="A223" s="40" t="str">
        <f t="shared" si="7"/>
        <v>ALL 2024 H1 D90</v>
      </c>
      <c r="B223" s="8">
        <f>'ALL 2024 H2 D80'!$B$2</f>
        <v>46114</v>
      </c>
      <c r="C223" s="8">
        <f>'ALL 2024 H2 D80'!$C$2</f>
        <v>46120</v>
      </c>
      <c r="D223" s="5">
        <v>3208</v>
      </c>
      <c r="E223" s="5">
        <v>320</v>
      </c>
      <c r="F223" s="5">
        <v>1</v>
      </c>
      <c r="G223" s="16">
        <v>1</v>
      </c>
      <c r="H223" s="16">
        <v>81809</v>
      </c>
      <c r="I223" s="16" t="s">
        <v>16</v>
      </c>
      <c r="J223" s="16">
        <v>15664374</v>
      </c>
      <c r="K223" s="16" t="s">
        <v>3373</v>
      </c>
      <c r="L223" s="18" t="s">
        <v>3376</v>
      </c>
      <c r="M223" s="21">
        <v>269900</v>
      </c>
      <c r="N223" s="7">
        <v>0.9</v>
      </c>
      <c r="O223" s="6">
        <f t="shared" si="8"/>
        <v>26990</v>
      </c>
      <c r="P223" s="5" t="s">
        <v>504</v>
      </c>
    </row>
    <row r="224" spans="1:16" x14ac:dyDescent="0.35">
      <c r="A224" s="40" t="str">
        <f t="shared" si="7"/>
        <v>ALL 2024 H1 D90</v>
      </c>
      <c r="B224" s="8">
        <f>'ALL 2024 H2 D80'!$B$2</f>
        <v>46114</v>
      </c>
      <c r="C224" s="8">
        <f>'ALL 2024 H2 D80'!$C$2</f>
        <v>46120</v>
      </c>
      <c r="D224" s="5">
        <v>3208</v>
      </c>
      <c r="E224" s="5">
        <v>320</v>
      </c>
      <c r="F224" s="5">
        <v>1</v>
      </c>
      <c r="G224" s="16">
        <v>1</v>
      </c>
      <c r="H224" s="16">
        <v>81809</v>
      </c>
      <c r="I224" s="16" t="s">
        <v>16</v>
      </c>
      <c r="J224" s="16">
        <v>15664383</v>
      </c>
      <c r="K224" s="16" t="s">
        <v>3373</v>
      </c>
      <c r="L224" s="18" t="s">
        <v>3377</v>
      </c>
      <c r="M224" s="21">
        <v>269900</v>
      </c>
      <c r="N224" s="7">
        <v>0.9</v>
      </c>
      <c r="O224" s="6">
        <f t="shared" si="8"/>
        <v>26990</v>
      </c>
      <c r="P224" s="5" t="s">
        <v>504</v>
      </c>
    </row>
    <row r="225" spans="1:16" x14ac:dyDescent="0.35">
      <c r="A225" s="40" t="str">
        <f t="shared" si="7"/>
        <v>ALL 2024 H1 D90</v>
      </c>
      <c r="B225" s="8">
        <f>'ALL 2024 H2 D80'!$B$2</f>
        <v>46114</v>
      </c>
      <c r="C225" s="8">
        <f>'ALL 2024 H2 D80'!$C$2</f>
        <v>46120</v>
      </c>
      <c r="D225" s="5">
        <v>3208</v>
      </c>
      <c r="E225" s="5">
        <v>320</v>
      </c>
      <c r="F225" s="5">
        <v>1</v>
      </c>
      <c r="G225" s="16">
        <v>1</v>
      </c>
      <c r="H225" s="16">
        <v>81809</v>
      </c>
      <c r="I225" s="16" t="s">
        <v>16</v>
      </c>
      <c r="J225" s="16">
        <v>18736988</v>
      </c>
      <c r="K225" s="16" t="s">
        <v>3378</v>
      </c>
      <c r="L225" s="18" t="s">
        <v>3379</v>
      </c>
      <c r="M225" s="21">
        <v>269900</v>
      </c>
      <c r="N225" s="7">
        <v>0.9</v>
      </c>
      <c r="O225" s="6">
        <f t="shared" si="8"/>
        <v>26990</v>
      </c>
      <c r="P225" s="5" t="s">
        <v>504</v>
      </c>
    </row>
    <row r="226" spans="1:16" x14ac:dyDescent="0.35">
      <c r="A226" s="40" t="str">
        <f t="shared" si="7"/>
        <v>ALL 2024 H1 D90</v>
      </c>
      <c r="B226" s="8">
        <f>'ALL 2024 H2 D80'!$B$2</f>
        <v>46114</v>
      </c>
      <c r="C226" s="8">
        <f>'ALL 2024 H2 D80'!$C$2</f>
        <v>46120</v>
      </c>
      <c r="D226" s="5">
        <v>3208</v>
      </c>
      <c r="E226" s="5">
        <v>320</v>
      </c>
      <c r="F226" s="5">
        <v>1</v>
      </c>
      <c r="G226" s="16">
        <v>1</v>
      </c>
      <c r="H226" s="16">
        <v>81809</v>
      </c>
      <c r="I226" s="16" t="s">
        <v>16</v>
      </c>
      <c r="J226" s="16">
        <v>18736997</v>
      </c>
      <c r="K226" s="16" t="s">
        <v>3378</v>
      </c>
      <c r="L226" s="18" t="s">
        <v>3380</v>
      </c>
      <c r="M226" s="21">
        <v>269900</v>
      </c>
      <c r="N226" s="7">
        <v>0.9</v>
      </c>
      <c r="O226" s="6">
        <f t="shared" si="8"/>
        <v>26990</v>
      </c>
      <c r="P226" s="5" t="s">
        <v>504</v>
      </c>
    </row>
    <row r="227" spans="1:16" x14ac:dyDescent="0.35">
      <c r="A227" s="40" t="str">
        <f t="shared" si="7"/>
        <v>ALL 2024 H1 D90</v>
      </c>
      <c r="B227" s="8">
        <f>'ALL 2024 H2 D80'!$B$2</f>
        <v>46114</v>
      </c>
      <c r="C227" s="8">
        <f>'ALL 2024 H2 D80'!$C$2</f>
        <v>46120</v>
      </c>
      <c r="D227" s="5">
        <v>3208</v>
      </c>
      <c r="E227" s="5">
        <v>320</v>
      </c>
      <c r="F227" s="5">
        <v>1</v>
      </c>
      <c r="G227" s="16">
        <v>1</v>
      </c>
      <c r="H227" s="16">
        <v>81809</v>
      </c>
      <c r="I227" s="16" t="s">
        <v>16</v>
      </c>
      <c r="J227" s="16">
        <v>18737003</v>
      </c>
      <c r="K227" s="16" t="s">
        <v>3378</v>
      </c>
      <c r="L227" s="18" t="s">
        <v>3381</v>
      </c>
      <c r="M227" s="21">
        <v>269900</v>
      </c>
      <c r="N227" s="7">
        <v>0.9</v>
      </c>
      <c r="O227" s="6">
        <f t="shared" si="8"/>
        <v>26990</v>
      </c>
      <c r="P227" s="5" t="s">
        <v>504</v>
      </c>
    </row>
    <row r="228" spans="1:16" x14ac:dyDescent="0.35">
      <c r="A228" s="40" t="str">
        <f t="shared" si="7"/>
        <v>ALL 2024 H1 D90</v>
      </c>
      <c r="B228" s="8">
        <f>'ALL 2024 H2 D80'!$B$2</f>
        <v>46114</v>
      </c>
      <c r="C228" s="8">
        <f>'ALL 2024 H2 D80'!$C$2</f>
        <v>46120</v>
      </c>
      <c r="D228" s="5">
        <v>3208</v>
      </c>
      <c r="E228" s="5">
        <v>320</v>
      </c>
      <c r="F228" s="5">
        <v>1</v>
      </c>
      <c r="G228" s="16">
        <v>1</v>
      </c>
      <c r="H228" s="16">
        <v>81809</v>
      </c>
      <c r="I228" s="16" t="s">
        <v>16</v>
      </c>
      <c r="J228" s="16">
        <v>15943161</v>
      </c>
      <c r="K228" s="16" t="s">
        <v>3283</v>
      </c>
      <c r="L228" s="18" t="s">
        <v>3284</v>
      </c>
      <c r="M228" s="21">
        <v>199900</v>
      </c>
      <c r="N228" s="7">
        <v>0.9</v>
      </c>
      <c r="O228" s="6">
        <f t="shared" si="8"/>
        <v>19990</v>
      </c>
      <c r="P228" s="5" t="s">
        <v>504</v>
      </c>
    </row>
    <row r="229" spans="1:16" x14ac:dyDescent="0.35">
      <c r="A229" s="40" t="str">
        <f t="shared" si="7"/>
        <v>ALL 2024 H1 D90</v>
      </c>
      <c r="B229" s="8">
        <f>'ALL 2024 H2 D80'!$B$2</f>
        <v>46114</v>
      </c>
      <c r="C229" s="8">
        <f>'ALL 2024 H2 D80'!$C$2</f>
        <v>46120</v>
      </c>
      <c r="D229" s="5">
        <v>3208</v>
      </c>
      <c r="E229" s="5">
        <v>320</v>
      </c>
      <c r="F229" s="5">
        <v>1</v>
      </c>
      <c r="G229" s="16">
        <v>1</v>
      </c>
      <c r="H229" s="16">
        <v>81809</v>
      </c>
      <c r="I229" s="16" t="s">
        <v>16</v>
      </c>
      <c r="J229" s="16">
        <v>15943170</v>
      </c>
      <c r="K229" s="16" t="s">
        <v>3283</v>
      </c>
      <c r="L229" s="18" t="s">
        <v>3285</v>
      </c>
      <c r="M229" s="21">
        <v>199900</v>
      </c>
      <c r="N229" s="7">
        <v>0.9</v>
      </c>
      <c r="O229" s="6">
        <f t="shared" si="8"/>
        <v>19990</v>
      </c>
      <c r="P229" s="5" t="s">
        <v>504</v>
      </c>
    </row>
    <row r="230" spans="1:16" x14ac:dyDescent="0.35">
      <c r="A230" s="40" t="str">
        <f t="shared" si="7"/>
        <v>ALL 2024 H1 D90</v>
      </c>
      <c r="B230" s="8">
        <f>'ALL 2024 H2 D80'!$B$2</f>
        <v>46114</v>
      </c>
      <c r="C230" s="8">
        <f>'ALL 2024 H2 D80'!$C$2</f>
        <v>46120</v>
      </c>
      <c r="D230" s="5">
        <v>3208</v>
      </c>
      <c r="E230" s="5">
        <v>320</v>
      </c>
      <c r="F230" s="5">
        <v>1</v>
      </c>
      <c r="G230" s="16">
        <v>1</v>
      </c>
      <c r="H230" s="16">
        <v>81809</v>
      </c>
      <c r="I230" s="16" t="s">
        <v>16</v>
      </c>
      <c r="J230" s="16">
        <v>15943189</v>
      </c>
      <c r="K230" s="16" t="s">
        <v>3283</v>
      </c>
      <c r="L230" s="18" t="s">
        <v>3286</v>
      </c>
      <c r="M230" s="21">
        <v>199900</v>
      </c>
      <c r="N230" s="7">
        <v>0.9</v>
      </c>
      <c r="O230" s="6">
        <f t="shared" si="8"/>
        <v>19990</v>
      </c>
      <c r="P230" s="5" t="s">
        <v>504</v>
      </c>
    </row>
    <row r="231" spans="1:16" x14ac:dyDescent="0.35">
      <c r="A231" s="40" t="str">
        <f t="shared" si="7"/>
        <v>ALL 2024 H1 D90</v>
      </c>
      <c r="B231" s="8">
        <f>'ALL 2024 H2 D80'!$B$2</f>
        <v>46114</v>
      </c>
      <c r="C231" s="8">
        <f>'ALL 2024 H2 D80'!$C$2</f>
        <v>46120</v>
      </c>
      <c r="D231" s="5">
        <v>3208</v>
      </c>
      <c r="E231" s="5">
        <v>320</v>
      </c>
      <c r="F231" s="5">
        <v>1</v>
      </c>
      <c r="G231" s="16">
        <v>1</v>
      </c>
      <c r="H231" s="16">
        <v>81809</v>
      </c>
      <c r="I231" s="16" t="s">
        <v>16</v>
      </c>
      <c r="J231" s="16">
        <v>15943198</v>
      </c>
      <c r="K231" s="16" t="s">
        <v>3283</v>
      </c>
      <c r="L231" s="18" t="s">
        <v>3287</v>
      </c>
      <c r="M231" s="21">
        <v>199900</v>
      </c>
      <c r="N231" s="7">
        <v>0.9</v>
      </c>
      <c r="O231" s="6">
        <f t="shared" si="8"/>
        <v>19990</v>
      </c>
      <c r="P231" s="5" t="s">
        <v>504</v>
      </c>
    </row>
    <row r="232" spans="1:16" x14ac:dyDescent="0.35">
      <c r="A232" s="40" t="str">
        <f t="shared" si="7"/>
        <v>ALL 2024 H1 D90</v>
      </c>
      <c r="B232" s="8">
        <f>'ALL 2024 H2 D80'!$B$2</f>
        <v>46114</v>
      </c>
      <c r="C232" s="8">
        <f>'ALL 2024 H2 D80'!$C$2</f>
        <v>46120</v>
      </c>
      <c r="D232" s="5">
        <v>3208</v>
      </c>
      <c r="E232" s="5">
        <v>320</v>
      </c>
      <c r="F232" s="5">
        <v>1</v>
      </c>
      <c r="G232" s="16">
        <v>1</v>
      </c>
      <c r="H232" s="16">
        <v>81809</v>
      </c>
      <c r="I232" s="16" t="s">
        <v>16</v>
      </c>
      <c r="J232" s="16">
        <v>15943205</v>
      </c>
      <c r="K232" s="16" t="s">
        <v>3283</v>
      </c>
      <c r="L232" s="18" t="s">
        <v>3288</v>
      </c>
      <c r="M232" s="21">
        <v>199900</v>
      </c>
      <c r="N232" s="7">
        <v>0.9</v>
      </c>
      <c r="O232" s="6">
        <f t="shared" si="8"/>
        <v>19990</v>
      </c>
      <c r="P232" s="5" t="s">
        <v>504</v>
      </c>
    </row>
    <row r="233" spans="1:16" x14ac:dyDescent="0.35">
      <c r="A233" s="40" t="str">
        <f t="shared" si="7"/>
        <v>ALL 2024 H1 D90</v>
      </c>
      <c r="B233" s="8">
        <f>'ALL 2024 H2 D80'!$B$2</f>
        <v>46114</v>
      </c>
      <c r="C233" s="8">
        <f>'ALL 2024 H2 D80'!$C$2</f>
        <v>46120</v>
      </c>
      <c r="D233" s="5">
        <v>3208</v>
      </c>
      <c r="E233" s="5">
        <v>320</v>
      </c>
      <c r="F233" s="5">
        <v>1</v>
      </c>
      <c r="G233" s="16">
        <v>1</v>
      </c>
      <c r="H233" s="16">
        <v>81809</v>
      </c>
      <c r="I233" s="16" t="s">
        <v>16</v>
      </c>
      <c r="J233" s="16">
        <v>15943214</v>
      </c>
      <c r="K233" s="16" t="s">
        <v>3283</v>
      </c>
      <c r="L233" s="18" t="s">
        <v>3289</v>
      </c>
      <c r="M233" s="21">
        <v>199900</v>
      </c>
      <c r="N233" s="7">
        <v>0.9</v>
      </c>
      <c r="O233" s="6">
        <f t="shared" si="8"/>
        <v>19990</v>
      </c>
      <c r="P233" s="5" t="s">
        <v>504</v>
      </c>
    </row>
    <row r="234" spans="1:16" x14ac:dyDescent="0.35">
      <c r="A234" s="40" t="str">
        <f t="shared" si="7"/>
        <v>ALL 2024 H1 D90</v>
      </c>
      <c r="B234" s="8">
        <f>'ALL 2024 H2 D80'!$B$2</f>
        <v>46114</v>
      </c>
      <c r="C234" s="8">
        <f>'ALL 2024 H2 D80'!$C$2</f>
        <v>46120</v>
      </c>
      <c r="D234" s="5">
        <v>3208</v>
      </c>
      <c r="E234" s="5">
        <v>320</v>
      </c>
      <c r="F234" s="5">
        <v>1</v>
      </c>
      <c r="G234" s="16">
        <v>1</v>
      </c>
      <c r="H234" s="16">
        <v>81809</v>
      </c>
      <c r="I234" s="16" t="s">
        <v>16</v>
      </c>
      <c r="J234" s="16">
        <v>15951750</v>
      </c>
      <c r="K234" s="16" t="s">
        <v>3283</v>
      </c>
      <c r="L234" s="18" t="s">
        <v>3290</v>
      </c>
      <c r="M234" s="21">
        <v>199900</v>
      </c>
      <c r="N234" s="7">
        <v>0.9</v>
      </c>
      <c r="O234" s="6">
        <f t="shared" si="8"/>
        <v>19990</v>
      </c>
      <c r="P234" s="5" t="s">
        <v>504</v>
      </c>
    </row>
    <row r="235" spans="1:16" x14ac:dyDescent="0.35">
      <c r="A235" s="40" t="str">
        <f t="shared" si="7"/>
        <v>ALL 2024 H1 D90</v>
      </c>
      <c r="B235" s="8">
        <f>'ALL 2024 H2 D80'!$B$2</f>
        <v>46114</v>
      </c>
      <c r="C235" s="8">
        <f>'ALL 2024 H2 D80'!$C$2</f>
        <v>46120</v>
      </c>
      <c r="D235" s="5">
        <v>3208</v>
      </c>
      <c r="E235" s="5">
        <v>320</v>
      </c>
      <c r="F235" s="5">
        <v>1</v>
      </c>
      <c r="G235" s="16">
        <v>1</v>
      </c>
      <c r="H235" s="16">
        <v>81809</v>
      </c>
      <c r="I235" s="16" t="s">
        <v>16</v>
      </c>
      <c r="J235" s="16">
        <v>15951769</v>
      </c>
      <c r="K235" s="16" t="s">
        <v>3283</v>
      </c>
      <c r="L235" s="18" t="s">
        <v>3291</v>
      </c>
      <c r="M235" s="21">
        <v>199900</v>
      </c>
      <c r="N235" s="7">
        <v>0.9</v>
      </c>
      <c r="O235" s="6">
        <f t="shared" si="8"/>
        <v>19990</v>
      </c>
      <c r="P235" s="5" t="s">
        <v>504</v>
      </c>
    </row>
    <row r="236" spans="1:16" x14ac:dyDescent="0.35">
      <c r="A236" s="40" t="str">
        <f t="shared" si="7"/>
        <v>ALL 2024 H1 D90</v>
      </c>
      <c r="B236" s="8">
        <f>'ALL 2024 H2 D80'!$B$2</f>
        <v>46114</v>
      </c>
      <c r="C236" s="8">
        <f>'ALL 2024 H2 D80'!$C$2</f>
        <v>46120</v>
      </c>
      <c r="D236" s="5">
        <v>3208</v>
      </c>
      <c r="E236" s="5">
        <v>320</v>
      </c>
      <c r="F236" s="5">
        <v>1</v>
      </c>
      <c r="G236" s="5">
        <v>1</v>
      </c>
      <c r="H236" s="5">
        <v>81495</v>
      </c>
      <c r="I236" s="5" t="s">
        <v>16</v>
      </c>
      <c r="J236" s="5">
        <v>15943509</v>
      </c>
      <c r="K236" s="5" t="s">
        <v>3013</v>
      </c>
      <c r="L236" s="19" t="s">
        <v>3014</v>
      </c>
      <c r="M236" s="22">
        <v>159900</v>
      </c>
      <c r="N236" s="7">
        <v>0.9</v>
      </c>
      <c r="O236" s="6">
        <f t="shared" si="8"/>
        <v>15990</v>
      </c>
      <c r="P236" s="5" t="s">
        <v>504</v>
      </c>
    </row>
    <row r="237" spans="1:16" x14ac:dyDescent="0.35">
      <c r="A237" s="40" t="str">
        <f t="shared" si="7"/>
        <v>ALL 2024 H1 D90</v>
      </c>
      <c r="B237" s="8">
        <f>'ALL 2024 H2 D80'!$B$2</f>
        <v>46114</v>
      </c>
      <c r="C237" s="8">
        <f>'ALL 2024 H2 D80'!$C$2</f>
        <v>46120</v>
      </c>
      <c r="D237" s="5">
        <v>3208</v>
      </c>
      <c r="E237" s="5">
        <v>320</v>
      </c>
      <c r="F237" s="5">
        <v>1</v>
      </c>
      <c r="G237" s="5">
        <v>1</v>
      </c>
      <c r="H237" s="5">
        <v>81495</v>
      </c>
      <c r="I237" s="5" t="s">
        <v>16</v>
      </c>
      <c r="J237" s="5">
        <v>15943518</v>
      </c>
      <c r="K237" s="5" t="s">
        <v>3013</v>
      </c>
      <c r="L237" s="19" t="s">
        <v>3015</v>
      </c>
      <c r="M237" s="22">
        <v>159900</v>
      </c>
      <c r="N237" s="7">
        <v>0.9</v>
      </c>
      <c r="O237" s="6">
        <f t="shared" si="8"/>
        <v>15990</v>
      </c>
      <c r="P237" s="5" t="s">
        <v>504</v>
      </c>
    </row>
    <row r="238" spans="1:16" x14ac:dyDescent="0.35">
      <c r="A238" s="40" t="str">
        <f t="shared" si="7"/>
        <v>ALL 2024 H1 D90</v>
      </c>
      <c r="B238" s="8">
        <f>'ALL 2024 H2 D80'!$B$2</f>
        <v>46114</v>
      </c>
      <c r="C238" s="8">
        <f>'ALL 2024 H2 D80'!$C$2</f>
        <v>46120</v>
      </c>
      <c r="D238" s="5">
        <v>3208</v>
      </c>
      <c r="E238" s="5">
        <v>320</v>
      </c>
      <c r="F238" s="5">
        <v>1</v>
      </c>
      <c r="G238" s="5">
        <v>1</v>
      </c>
      <c r="H238" s="5">
        <v>81495</v>
      </c>
      <c r="I238" s="5" t="s">
        <v>16</v>
      </c>
      <c r="J238" s="5">
        <v>15943527</v>
      </c>
      <c r="K238" s="5" t="s">
        <v>3013</v>
      </c>
      <c r="L238" s="19" t="s">
        <v>3016</v>
      </c>
      <c r="M238" s="22">
        <v>159900</v>
      </c>
      <c r="N238" s="7">
        <v>0.9</v>
      </c>
      <c r="O238" s="6">
        <f t="shared" si="8"/>
        <v>15990</v>
      </c>
      <c r="P238" s="5" t="s">
        <v>504</v>
      </c>
    </row>
    <row r="239" spans="1:16" x14ac:dyDescent="0.35">
      <c r="A239" s="40" t="str">
        <f t="shared" si="7"/>
        <v>ALL 2024 H1 D90</v>
      </c>
      <c r="B239" s="8">
        <f>'ALL 2024 H2 D80'!$B$2</f>
        <v>46114</v>
      </c>
      <c r="C239" s="8">
        <f>'ALL 2024 H2 D80'!$C$2</f>
        <v>46120</v>
      </c>
      <c r="D239" s="5">
        <v>3208</v>
      </c>
      <c r="E239" s="5">
        <v>320</v>
      </c>
      <c r="F239" s="5">
        <v>1</v>
      </c>
      <c r="G239" s="5">
        <v>1</v>
      </c>
      <c r="H239" s="5">
        <v>81495</v>
      </c>
      <c r="I239" s="5" t="s">
        <v>16</v>
      </c>
      <c r="J239" s="5">
        <v>15951867</v>
      </c>
      <c r="K239" s="5" t="s">
        <v>3013</v>
      </c>
      <c r="L239" s="19" t="s">
        <v>3017</v>
      </c>
      <c r="M239" s="22">
        <v>159900</v>
      </c>
      <c r="N239" s="7">
        <v>0.9</v>
      </c>
      <c r="O239" s="6">
        <f t="shared" si="8"/>
        <v>15990</v>
      </c>
      <c r="P239" s="5" t="s">
        <v>504</v>
      </c>
    </row>
    <row r="240" spans="1:16" x14ac:dyDescent="0.35">
      <c r="A240" s="40" t="str">
        <f t="shared" si="7"/>
        <v>ALL 2024 H1 D90</v>
      </c>
      <c r="B240" s="8">
        <f>'ALL 2024 H2 D80'!$B$2</f>
        <v>46114</v>
      </c>
      <c r="C240" s="8">
        <f>'ALL 2024 H2 D80'!$C$2</f>
        <v>46120</v>
      </c>
      <c r="D240" s="5">
        <v>3208</v>
      </c>
      <c r="E240" s="5">
        <v>320</v>
      </c>
      <c r="F240" s="5">
        <v>1</v>
      </c>
      <c r="G240" s="16">
        <v>3</v>
      </c>
      <c r="H240" s="16">
        <v>81045</v>
      </c>
      <c r="I240" s="16" t="s">
        <v>16</v>
      </c>
      <c r="J240" s="16">
        <v>18737405</v>
      </c>
      <c r="K240" s="16" t="s">
        <v>3391</v>
      </c>
      <c r="L240" s="18" t="s">
        <v>3392</v>
      </c>
      <c r="M240" s="21">
        <v>299900</v>
      </c>
      <c r="N240" s="7">
        <v>0.9</v>
      </c>
      <c r="O240" s="6">
        <f t="shared" si="8"/>
        <v>29990</v>
      </c>
      <c r="P240" s="5" t="s">
        <v>504</v>
      </c>
    </row>
    <row r="241" spans="1:16" x14ac:dyDescent="0.35">
      <c r="A241" s="40" t="str">
        <f t="shared" si="7"/>
        <v>ALL 2024 H1 D90</v>
      </c>
      <c r="B241" s="8">
        <f>'ALL 2024 H2 D80'!$B$2</f>
        <v>46114</v>
      </c>
      <c r="C241" s="8">
        <f>'ALL 2024 H2 D80'!$C$2</f>
        <v>46120</v>
      </c>
      <c r="D241" s="5">
        <v>3208</v>
      </c>
      <c r="E241" s="5">
        <v>320</v>
      </c>
      <c r="F241" s="5">
        <v>1</v>
      </c>
      <c r="G241" s="16">
        <v>3</v>
      </c>
      <c r="H241" s="16">
        <v>81045</v>
      </c>
      <c r="I241" s="16" t="s">
        <v>16</v>
      </c>
      <c r="J241" s="16">
        <v>18737414</v>
      </c>
      <c r="K241" s="16" t="s">
        <v>3391</v>
      </c>
      <c r="L241" s="18" t="s">
        <v>3393</v>
      </c>
      <c r="M241" s="21">
        <v>299900</v>
      </c>
      <c r="N241" s="7">
        <v>0.9</v>
      </c>
      <c r="O241" s="6">
        <f t="shared" si="8"/>
        <v>29990</v>
      </c>
      <c r="P241" s="5" t="s">
        <v>504</v>
      </c>
    </row>
    <row r="242" spans="1:16" x14ac:dyDescent="0.35">
      <c r="A242" s="40" t="str">
        <f t="shared" si="7"/>
        <v>ALL 2024 H1 D90</v>
      </c>
      <c r="B242" s="8">
        <f>'ALL 2024 H2 D80'!$B$2</f>
        <v>46114</v>
      </c>
      <c r="C242" s="8">
        <f>'ALL 2024 H2 D80'!$C$2</f>
        <v>46120</v>
      </c>
      <c r="D242" s="5">
        <v>3208</v>
      </c>
      <c r="E242" s="5">
        <v>320</v>
      </c>
      <c r="F242" s="5">
        <v>1</v>
      </c>
      <c r="G242" s="16">
        <v>3</v>
      </c>
      <c r="H242" s="16">
        <v>81045</v>
      </c>
      <c r="I242" s="16" t="s">
        <v>16</v>
      </c>
      <c r="J242" s="16">
        <v>18737423</v>
      </c>
      <c r="K242" s="16" t="s">
        <v>3391</v>
      </c>
      <c r="L242" s="18" t="s">
        <v>3394</v>
      </c>
      <c r="M242" s="21">
        <v>299900</v>
      </c>
      <c r="N242" s="7">
        <v>0.9</v>
      </c>
      <c r="O242" s="6">
        <f t="shared" si="8"/>
        <v>29990</v>
      </c>
      <c r="P242" s="5" t="s">
        <v>504</v>
      </c>
    </row>
    <row r="243" spans="1:16" x14ac:dyDescent="0.35">
      <c r="A243" s="40" t="str">
        <f t="shared" si="7"/>
        <v>ALL 2024 H1 D90</v>
      </c>
      <c r="B243" s="8">
        <f>'ALL 2024 H2 D80'!$B$2</f>
        <v>46114</v>
      </c>
      <c r="C243" s="8">
        <f>'ALL 2024 H2 D80'!$C$2</f>
        <v>46120</v>
      </c>
      <c r="D243" s="5">
        <v>3208</v>
      </c>
      <c r="E243" s="5">
        <v>320</v>
      </c>
      <c r="F243" s="5">
        <v>1</v>
      </c>
      <c r="G243" s="16">
        <v>3</v>
      </c>
      <c r="H243" s="16">
        <v>81748</v>
      </c>
      <c r="I243" s="16" t="s">
        <v>16</v>
      </c>
      <c r="J243" s="16">
        <v>15942831</v>
      </c>
      <c r="K243" s="16" t="s">
        <v>3300</v>
      </c>
      <c r="L243" s="18" t="s">
        <v>3301</v>
      </c>
      <c r="M243" s="21">
        <v>199900</v>
      </c>
      <c r="N243" s="7">
        <v>0.9</v>
      </c>
      <c r="O243" s="6">
        <f t="shared" si="8"/>
        <v>19990</v>
      </c>
      <c r="P243" s="5" t="s">
        <v>504</v>
      </c>
    </row>
    <row r="244" spans="1:16" x14ac:dyDescent="0.35">
      <c r="A244" s="40" t="str">
        <f t="shared" si="7"/>
        <v>ALL 2024 H1 D90</v>
      </c>
      <c r="B244" s="8">
        <f>'ALL 2024 H2 D80'!$B$2</f>
        <v>46114</v>
      </c>
      <c r="C244" s="8">
        <f>'ALL 2024 H2 D80'!$C$2</f>
        <v>46120</v>
      </c>
      <c r="D244" s="5">
        <v>3208</v>
      </c>
      <c r="E244" s="5">
        <v>320</v>
      </c>
      <c r="F244" s="5">
        <v>1</v>
      </c>
      <c r="G244" s="16">
        <v>3</v>
      </c>
      <c r="H244" s="16">
        <v>81748</v>
      </c>
      <c r="I244" s="16" t="s">
        <v>16</v>
      </c>
      <c r="J244" s="16">
        <v>15942840</v>
      </c>
      <c r="K244" s="16" t="s">
        <v>3300</v>
      </c>
      <c r="L244" s="18" t="s">
        <v>3302</v>
      </c>
      <c r="M244" s="21">
        <v>199900</v>
      </c>
      <c r="N244" s="7">
        <v>0.9</v>
      </c>
      <c r="O244" s="6">
        <f t="shared" si="8"/>
        <v>19990</v>
      </c>
      <c r="P244" s="5" t="s">
        <v>504</v>
      </c>
    </row>
    <row r="245" spans="1:16" x14ac:dyDescent="0.35">
      <c r="A245" s="40" t="str">
        <f t="shared" si="7"/>
        <v>ALL 2024 H1 D90</v>
      </c>
      <c r="B245" s="8">
        <f>'ALL 2024 H2 D80'!$B$2</f>
        <v>46114</v>
      </c>
      <c r="C245" s="8">
        <f>'ALL 2024 H2 D80'!$C$2</f>
        <v>46120</v>
      </c>
      <c r="D245" s="5">
        <v>3208</v>
      </c>
      <c r="E245" s="5">
        <v>320</v>
      </c>
      <c r="F245" s="5">
        <v>1</v>
      </c>
      <c r="G245" s="16">
        <v>3</v>
      </c>
      <c r="H245" s="16">
        <v>81748</v>
      </c>
      <c r="I245" s="16" t="s">
        <v>16</v>
      </c>
      <c r="J245" s="16">
        <v>15942859</v>
      </c>
      <c r="K245" s="16" t="s">
        <v>3300</v>
      </c>
      <c r="L245" s="18" t="s">
        <v>3303</v>
      </c>
      <c r="M245" s="21">
        <v>199900</v>
      </c>
      <c r="N245" s="7">
        <v>0.9</v>
      </c>
      <c r="O245" s="6">
        <f t="shared" si="8"/>
        <v>19990</v>
      </c>
      <c r="P245" s="5" t="s">
        <v>504</v>
      </c>
    </row>
    <row r="246" spans="1:16" x14ac:dyDescent="0.35">
      <c r="A246" s="40" t="str">
        <f t="shared" si="7"/>
        <v>ALL 2024 H1 D90</v>
      </c>
      <c r="B246" s="8">
        <f>'ALL 2024 H2 D80'!$B$2</f>
        <v>46114</v>
      </c>
      <c r="C246" s="8">
        <f>'ALL 2024 H2 D80'!$C$2</f>
        <v>46120</v>
      </c>
      <c r="D246" s="5">
        <v>3208</v>
      </c>
      <c r="E246" s="5">
        <v>320</v>
      </c>
      <c r="F246" s="5">
        <v>1</v>
      </c>
      <c r="G246" s="16">
        <v>3</v>
      </c>
      <c r="H246" s="16">
        <v>81748</v>
      </c>
      <c r="I246" s="16" t="s">
        <v>16</v>
      </c>
      <c r="J246" s="16">
        <v>15942868</v>
      </c>
      <c r="K246" s="16" t="s">
        <v>3300</v>
      </c>
      <c r="L246" s="18" t="s">
        <v>3304</v>
      </c>
      <c r="M246" s="21">
        <v>199900</v>
      </c>
      <c r="N246" s="7">
        <v>0.9</v>
      </c>
      <c r="O246" s="6">
        <f t="shared" si="8"/>
        <v>19990</v>
      </c>
      <c r="P246" s="5" t="s">
        <v>504</v>
      </c>
    </row>
    <row r="247" spans="1:16" x14ac:dyDescent="0.35">
      <c r="A247" s="40" t="str">
        <f t="shared" si="7"/>
        <v>ALL 2024 H1 D90</v>
      </c>
      <c r="B247" s="8">
        <f>'ALL 2024 H2 D80'!$B$2</f>
        <v>46114</v>
      </c>
      <c r="C247" s="8">
        <f>'ALL 2024 H2 D80'!$C$2</f>
        <v>46120</v>
      </c>
      <c r="D247" s="5">
        <v>3208</v>
      </c>
      <c r="E247" s="5">
        <v>320</v>
      </c>
      <c r="F247" s="5">
        <v>1</v>
      </c>
      <c r="G247" s="16">
        <v>3</v>
      </c>
      <c r="H247" s="16">
        <v>81748</v>
      </c>
      <c r="I247" s="16" t="s">
        <v>16</v>
      </c>
      <c r="J247" s="16">
        <v>15942877</v>
      </c>
      <c r="K247" s="16" t="s">
        <v>3300</v>
      </c>
      <c r="L247" s="18" t="s">
        <v>3305</v>
      </c>
      <c r="M247" s="21">
        <v>199900</v>
      </c>
      <c r="N247" s="7">
        <v>0.9</v>
      </c>
      <c r="O247" s="6">
        <f t="shared" si="8"/>
        <v>19990</v>
      </c>
      <c r="P247" s="5" t="s">
        <v>504</v>
      </c>
    </row>
    <row r="248" spans="1:16" x14ac:dyDescent="0.35">
      <c r="A248" s="40" t="str">
        <f t="shared" si="7"/>
        <v>ALL 2024 H1 D90</v>
      </c>
      <c r="B248" s="8">
        <f>'ALL 2024 H2 D80'!$B$2</f>
        <v>46114</v>
      </c>
      <c r="C248" s="8">
        <f>'ALL 2024 H2 D80'!$C$2</f>
        <v>46120</v>
      </c>
      <c r="D248" s="5">
        <v>3208</v>
      </c>
      <c r="E248" s="5">
        <v>320</v>
      </c>
      <c r="F248" s="5">
        <v>1</v>
      </c>
      <c r="G248" s="16">
        <v>3</v>
      </c>
      <c r="H248" s="16">
        <v>81748</v>
      </c>
      <c r="I248" s="16" t="s">
        <v>16</v>
      </c>
      <c r="J248" s="16">
        <v>15942886</v>
      </c>
      <c r="K248" s="16" t="s">
        <v>3300</v>
      </c>
      <c r="L248" s="18" t="s">
        <v>3306</v>
      </c>
      <c r="M248" s="21">
        <v>199900</v>
      </c>
      <c r="N248" s="7">
        <v>0.9</v>
      </c>
      <c r="O248" s="6">
        <f t="shared" si="8"/>
        <v>19990</v>
      </c>
      <c r="P248" s="5" t="s">
        <v>504</v>
      </c>
    </row>
    <row r="249" spans="1:16" x14ac:dyDescent="0.35">
      <c r="A249" s="40" t="str">
        <f t="shared" si="7"/>
        <v>ALL 2024 H1 D90</v>
      </c>
      <c r="B249" s="8">
        <f>'ALL 2024 H2 D80'!$B$2</f>
        <v>46114</v>
      </c>
      <c r="C249" s="8">
        <f>'ALL 2024 H2 D80'!$C$2</f>
        <v>46120</v>
      </c>
      <c r="D249" s="5">
        <v>3208</v>
      </c>
      <c r="E249" s="5">
        <v>320</v>
      </c>
      <c r="F249" s="5">
        <v>1</v>
      </c>
      <c r="G249" s="16">
        <v>3</v>
      </c>
      <c r="H249" s="16">
        <v>81748</v>
      </c>
      <c r="I249" s="16" t="s">
        <v>16</v>
      </c>
      <c r="J249" s="16">
        <v>15951634</v>
      </c>
      <c r="K249" s="16" t="s">
        <v>3300</v>
      </c>
      <c r="L249" s="18" t="s">
        <v>3307</v>
      </c>
      <c r="M249" s="21">
        <v>199900</v>
      </c>
      <c r="N249" s="7">
        <v>0.9</v>
      </c>
      <c r="O249" s="6">
        <f t="shared" si="8"/>
        <v>19990</v>
      </c>
      <c r="P249" s="5" t="s">
        <v>504</v>
      </c>
    </row>
    <row r="250" spans="1:16" x14ac:dyDescent="0.35">
      <c r="A250" s="40" t="str">
        <f t="shared" si="7"/>
        <v>ALL 2024 H1 D90</v>
      </c>
      <c r="B250" s="8">
        <f>'ALL 2024 H2 D80'!$B$2</f>
        <v>46114</v>
      </c>
      <c r="C250" s="8">
        <f>'ALL 2024 H2 D80'!$C$2</f>
        <v>46120</v>
      </c>
      <c r="D250" s="5">
        <v>3208</v>
      </c>
      <c r="E250" s="5">
        <v>320</v>
      </c>
      <c r="F250" s="5">
        <v>1</v>
      </c>
      <c r="G250" s="16">
        <v>3</v>
      </c>
      <c r="H250" s="16">
        <v>81748</v>
      </c>
      <c r="I250" s="16" t="s">
        <v>16</v>
      </c>
      <c r="J250" s="16">
        <v>15951643</v>
      </c>
      <c r="K250" s="16" t="s">
        <v>3300</v>
      </c>
      <c r="L250" s="18" t="s">
        <v>3308</v>
      </c>
      <c r="M250" s="21">
        <v>199900</v>
      </c>
      <c r="N250" s="7">
        <v>0.9</v>
      </c>
      <c r="O250" s="6">
        <f t="shared" si="8"/>
        <v>19990</v>
      </c>
      <c r="P250" s="5" t="s">
        <v>504</v>
      </c>
    </row>
    <row r="251" spans="1:16" x14ac:dyDescent="0.35">
      <c r="A251" s="40" t="str">
        <f t="shared" si="7"/>
        <v>ALL 2024 H1 D90</v>
      </c>
      <c r="B251" s="8">
        <f>'ALL 2024 H2 D80'!$B$2</f>
        <v>46114</v>
      </c>
      <c r="C251" s="8">
        <f>'ALL 2024 H2 D80'!$C$2</f>
        <v>46120</v>
      </c>
      <c r="D251" s="5">
        <v>3208</v>
      </c>
      <c r="E251" s="5">
        <v>320</v>
      </c>
      <c r="F251" s="5">
        <v>1</v>
      </c>
      <c r="G251" s="16">
        <v>10</v>
      </c>
      <c r="H251" s="16">
        <v>81406</v>
      </c>
      <c r="I251" s="16" t="s">
        <v>16</v>
      </c>
      <c r="J251" s="16">
        <v>18736675</v>
      </c>
      <c r="K251" s="16" t="s">
        <v>3415</v>
      </c>
      <c r="L251" s="18" t="s">
        <v>3416</v>
      </c>
      <c r="M251" s="21">
        <v>299900</v>
      </c>
      <c r="N251" s="7">
        <v>0.9</v>
      </c>
      <c r="O251" s="6">
        <f t="shared" si="8"/>
        <v>29990</v>
      </c>
      <c r="P251" s="5" t="s">
        <v>504</v>
      </c>
    </row>
    <row r="252" spans="1:16" x14ac:dyDescent="0.35">
      <c r="A252" s="40" t="str">
        <f t="shared" si="7"/>
        <v>ALL 2024 H1 D90</v>
      </c>
      <c r="B252" s="8">
        <f>'ALL 2024 H2 D80'!$B$2</f>
        <v>46114</v>
      </c>
      <c r="C252" s="8">
        <f>'ALL 2024 H2 D80'!$C$2</f>
        <v>46120</v>
      </c>
      <c r="D252" s="5">
        <v>3208</v>
      </c>
      <c r="E252" s="5">
        <v>320</v>
      </c>
      <c r="F252" s="5">
        <v>1</v>
      </c>
      <c r="G252" s="16">
        <v>10</v>
      </c>
      <c r="H252" s="16">
        <v>81406</v>
      </c>
      <c r="I252" s="16" t="s">
        <v>16</v>
      </c>
      <c r="J252" s="16">
        <v>18736684</v>
      </c>
      <c r="K252" s="16" t="s">
        <v>3415</v>
      </c>
      <c r="L252" s="18" t="s">
        <v>3417</v>
      </c>
      <c r="M252" s="21">
        <v>299900</v>
      </c>
      <c r="N252" s="7">
        <v>0.9</v>
      </c>
      <c r="O252" s="6">
        <f t="shared" si="8"/>
        <v>29990</v>
      </c>
      <c r="P252" s="5" t="s">
        <v>504</v>
      </c>
    </row>
    <row r="253" spans="1:16" x14ac:dyDescent="0.35">
      <c r="A253" s="40" t="str">
        <f t="shared" si="7"/>
        <v>ALL 2024 H1 D90</v>
      </c>
      <c r="B253" s="8">
        <f>'ALL 2024 H2 D80'!$B$2</f>
        <v>46114</v>
      </c>
      <c r="C253" s="8">
        <f>'ALL 2024 H2 D80'!$C$2</f>
        <v>46120</v>
      </c>
      <c r="D253" s="5">
        <v>3208</v>
      </c>
      <c r="E253" s="5">
        <v>320</v>
      </c>
      <c r="F253" s="5">
        <v>1</v>
      </c>
      <c r="G253" s="16">
        <v>10</v>
      </c>
      <c r="H253" s="16">
        <v>81406</v>
      </c>
      <c r="I253" s="16" t="s">
        <v>16</v>
      </c>
      <c r="J253" s="16">
        <v>18736693</v>
      </c>
      <c r="K253" s="16" t="s">
        <v>3415</v>
      </c>
      <c r="L253" s="18" t="s">
        <v>3418</v>
      </c>
      <c r="M253" s="21">
        <v>299900</v>
      </c>
      <c r="N253" s="7">
        <v>0.9</v>
      </c>
      <c r="O253" s="6">
        <f t="shared" si="8"/>
        <v>29990</v>
      </c>
      <c r="P253" s="5" t="s">
        <v>504</v>
      </c>
    </row>
    <row r="254" spans="1:16" x14ac:dyDescent="0.35">
      <c r="A254" s="40" t="str">
        <f t="shared" si="7"/>
        <v>ALL 2024 H1 D90</v>
      </c>
      <c r="B254" s="8">
        <f>'ALL 2024 H2 D80'!$B$2</f>
        <v>46114</v>
      </c>
      <c r="C254" s="8">
        <f>'ALL 2024 H2 D80'!$C$2</f>
        <v>46120</v>
      </c>
      <c r="D254" s="5">
        <v>3208</v>
      </c>
      <c r="E254" s="5">
        <v>320</v>
      </c>
      <c r="F254" s="5">
        <v>1</v>
      </c>
      <c r="G254" s="16">
        <v>10</v>
      </c>
      <c r="H254" s="16">
        <v>81406</v>
      </c>
      <c r="I254" s="16" t="s">
        <v>16</v>
      </c>
      <c r="J254" s="16">
        <v>18736700</v>
      </c>
      <c r="K254" s="16" t="s">
        <v>3415</v>
      </c>
      <c r="L254" s="18" t="s">
        <v>3419</v>
      </c>
      <c r="M254" s="21">
        <v>299900</v>
      </c>
      <c r="N254" s="7">
        <v>0.9</v>
      </c>
      <c r="O254" s="6">
        <f t="shared" si="8"/>
        <v>29990</v>
      </c>
      <c r="P254" s="5" t="s">
        <v>504</v>
      </c>
    </row>
    <row r="255" spans="1:16" x14ac:dyDescent="0.35">
      <c r="A255" s="40" t="str">
        <f t="shared" si="7"/>
        <v>ALL 2024 H1 D90</v>
      </c>
      <c r="B255" s="8">
        <f>'ALL 2024 H2 D80'!$B$2</f>
        <v>46114</v>
      </c>
      <c r="C255" s="8">
        <f>'ALL 2024 H2 D80'!$C$2</f>
        <v>46120</v>
      </c>
      <c r="D255" s="5">
        <v>3208</v>
      </c>
      <c r="E255" s="5">
        <v>320</v>
      </c>
      <c r="F255" s="5">
        <v>1</v>
      </c>
      <c r="G255" s="16">
        <v>10</v>
      </c>
      <c r="H255" s="16">
        <v>81406</v>
      </c>
      <c r="I255" s="16" t="s">
        <v>16</v>
      </c>
      <c r="J255" s="16">
        <v>18960959</v>
      </c>
      <c r="K255" s="16" t="s">
        <v>3420</v>
      </c>
      <c r="L255" s="18" t="s">
        <v>3421</v>
      </c>
      <c r="M255" s="21">
        <v>229900</v>
      </c>
      <c r="N255" s="7">
        <v>0.9</v>
      </c>
      <c r="O255" s="6">
        <f t="shared" si="8"/>
        <v>22990</v>
      </c>
      <c r="P255" s="5" t="s">
        <v>504</v>
      </c>
    </row>
    <row r="256" spans="1:16" x14ac:dyDescent="0.35">
      <c r="A256" s="40" t="str">
        <f t="shared" si="7"/>
        <v>ALL 2024 H1 D90</v>
      </c>
      <c r="B256" s="8">
        <f>'ALL 2024 H2 D80'!$B$2</f>
        <v>46114</v>
      </c>
      <c r="C256" s="8">
        <f>'ALL 2024 H2 D80'!$C$2</f>
        <v>46120</v>
      </c>
      <c r="D256" s="5">
        <v>3208</v>
      </c>
      <c r="E256" s="5">
        <v>320</v>
      </c>
      <c r="F256" s="5">
        <v>1</v>
      </c>
      <c r="G256" s="16">
        <v>10</v>
      </c>
      <c r="H256" s="16">
        <v>81406</v>
      </c>
      <c r="I256" s="16" t="s">
        <v>16</v>
      </c>
      <c r="J256" s="16">
        <v>18961001</v>
      </c>
      <c r="K256" s="16" t="s">
        <v>3420</v>
      </c>
      <c r="L256" s="18" t="s">
        <v>3422</v>
      </c>
      <c r="M256" s="21">
        <v>229900</v>
      </c>
      <c r="N256" s="7">
        <v>0.9</v>
      </c>
      <c r="O256" s="6">
        <f t="shared" si="8"/>
        <v>22990</v>
      </c>
      <c r="P256" s="5" t="s">
        <v>504</v>
      </c>
    </row>
    <row r="257" spans="1:16" x14ac:dyDescent="0.35">
      <c r="A257" s="40" t="str">
        <f t="shared" si="7"/>
        <v>ALL 2024 H1 D90</v>
      </c>
      <c r="B257" s="8">
        <f>'ALL 2024 H2 D80'!$B$2</f>
        <v>46114</v>
      </c>
      <c r="C257" s="8">
        <f>'ALL 2024 H2 D80'!$C$2</f>
        <v>46120</v>
      </c>
      <c r="D257" s="5">
        <v>3208</v>
      </c>
      <c r="E257" s="5">
        <v>320</v>
      </c>
      <c r="F257" s="5">
        <v>1</v>
      </c>
      <c r="G257" s="16">
        <v>10</v>
      </c>
      <c r="H257" s="16">
        <v>81406</v>
      </c>
      <c r="I257" s="16" t="s">
        <v>16</v>
      </c>
      <c r="J257" s="16">
        <v>18961056</v>
      </c>
      <c r="K257" s="16" t="s">
        <v>3420</v>
      </c>
      <c r="L257" s="18" t="s">
        <v>3423</v>
      </c>
      <c r="M257" s="21">
        <v>229900</v>
      </c>
      <c r="N257" s="7">
        <v>0.9</v>
      </c>
      <c r="O257" s="6">
        <f t="shared" si="8"/>
        <v>22990</v>
      </c>
      <c r="P257" s="5" t="s">
        <v>504</v>
      </c>
    </row>
    <row r="258" spans="1:16" x14ac:dyDescent="0.35">
      <c r="A258" s="40" t="str">
        <f t="shared" si="7"/>
        <v>ALL 2024 H1 D90</v>
      </c>
      <c r="B258" s="8">
        <f>'ALL 2024 H2 D80'!$B$2</f>
        <v>46114</v>
      </c>
      <c r="C258" s="8">
        <f>'ALL 2024 H2 D80'!$C$2</f>
        <v>46120</v>
      </c>
      <c r="D258" s="5">
        <v>3208</v>
      </c>
      <c r="E258" s="5">
        <v>320</v>
      </c>
      <c r="F258" s="5">
        <v>1</v>
      </c>
      <c r="G258" s="16">
        <v>10</v>
      </c>
      <c r="H258" s="16">
        <v>81406</v>
      </c>
      <c r="I258" s="16" t="s">
        <v>16</v>
      </c>
      <c r="J258" s="16">
        <v>18961065</v>
      </c>
      <c r="K258" s="16" t="s">
        <v>3420</v>
      </c>
      <c r="L258" s="18" t="s">
        <v>3424</v>
      </c>
      <c r="M258" s="21">
        <v>229900</v>
      </c>
      <c r="N258" s="7">
        <v>0.9</v>
      </c>
      <c r="O258" s="6">
        <f t="shared" si="8"/>
        <v>22990</v>
      </c>
      <c r="P258" s="5" t="s">
        <v>504</v>
      </c>
    </row>
    <row r="259" spans="1:16" x14ac:dyDescent="0.35">
      <c r="A259" s="40" t="str">
        <f t="shared" si="7"/>
        <v>ALL 2024 H1 D90</v>
      </c>
      <c r="B259" s="8">
        <f>'ALL 2024 H2 D80'!$B$2</f>
        <v>46114</v>
      </c>
      <c r="C259" s="8">
        <f>'ALL 2024 H2 D80'!$C$2</f>
        <v>46120</v>
      </c>
      <c r="D259" s="5">
        <v>3208</v>
      </c>
      <c r="E259" s="5">
        <v>320</v>
      </c>
      <c r="F259" s="5">
        <v>1</v>
      </c>
      <c r="G259" s="16">
        <v>10</v>
      </c>
      <c r="H259" s="16">
        <v>81406</v>
      </c>
      <c r="I259" s="16" t="s">
        <v>16</v>
      </c>
      <c r="J259" s="16">
        <v>18961074</v>
      </c>
      <c r="K259" s="16" t="s">
        <v>3425</v>
      </c>
      <c r="L259" s="18" t="s">
        <v>3426</v>
      </c>
      <c r="M259" s="21">
        <v>299900</v>
      </c>
      <c r="N259" s="7">
        <v>0.9</v>
      </c>
      <c r="O259" s="6">
        <f t="shared" si="8"/>
        <v>29990</v>
      </c>
      <c r="P259" s="5" t="s">
        <v>504</v>
      </c>
    </row>
    <row r="260" spans="1:16" x14ac:dyDescent="0.35">
      <c r="A260" s="40" t="str">
        <f t="shared" si="7"/>
        <v>ALL 2024 H1 D90</v>
      </c>
      <c r="B260" s="8">
        <f>'ALL 2024 H2 D80'!$B$2</f>
        <v>46114</v>
      </c>
      <c r="C260" s="8">
        <f>'ALL 2024 H2 D80'!$C$2</f>
        <v>46120</v>
      </c>
      <c r="D260" s="5">
        <v>3208</v>
      </c>
      <c r="E260" s="5">
        <v>320</v>
      </c>
      <c r="F260" s="5">
        <v>1</v>
      </c>
      <c r="G260" s="16">
        <v>10</v>
      </c>
      <c r="H260" s="16">
        <v>81406</v>
      </c>
      <c r="I260" s="16" t="s">
        <v>16</v>
      </c>
      <c r="J260" s="16">
        <v>18961083</v>
      </c>
      <c r="K260" s="16" t="s">
        <v>3425</v>
      </c>
      <c r="L260" s="18" t="s">
        <v>3427</v>
      </c>
      <c r="M260" s="21">
        <v>299900</v>
      </c>
      <c r="N260" s="7">
        <v>0.9</v>
      </c>
      <c r="O260" s="6">
        <f t="shared" si="8"/>
        <v>29990</v>
      </c>
      <c r="P260" s="5" t="s">
        <v>504</v>
      </c>
    </row>
    <row r="261" spans="1:16" x14ac:dyDescent="0.35">
      <c r="A261" s="40" t="str">
        <f t="shared" ref="A261:A324" si="9">$A$2</f>
        <v>ALL 2024 H1 D90</v>
      </c>
      <c r="B261" s="8">
        <f>'ALL 2024 H2 D80'!$B$2</f>
        <v>46114</v>
      </c>
      <c r="C261" s="8">
        <f>'ALL 2024 H2 D80'!$C$2</f>
        <v>46120</v>
      </c>
      <c r="D261" s="5">
        <v>3208</v>
      </c>
      <c r="E261" s="5">
        <v>320</v>
      </c>
      <c r="F261" s="5">
        <v>1</v>
      </c>
      <c r="G261" s="16">
        <v>10</v>
      </c>
      <c r="H261" s="16">
        <v>81406</v>
      </c>
      <c r="I261" s="16" t="s">
        <v>16</v>
      </c>
      <c r="J261" s="16">
        <v>18961092</v>
      </c>
      <c r="K261" s="16" t="s">
        <v>3425</v>
      </c>
      <c r="L261" s="18" t="s">
        <v>3428</v>
      </c>
      <c r="M261" s="21">
        <v>299900</v>
      </c>
      <c r="N261" s="7">
        <v>0.9</v>
      </c>
      <c r="O261" s="6">
        <f t="shared" si="8"/>
        <v>29990</v>
      </c>
      <c r="P261" s="5" t="s">
        <v>504</v>
      </c>
    </row>
    <row r="262" spans="1:16" x14ac:dyDescent="0.35">
      <c r="A262" s="40" t="str">
        <f t="shared" si="9"/>
        <v>ALL 2024 H1 D90</v>
      </c>
      <c r="B262" s="8">
        <f>'ALL 2024 H2 D80'!$B$2</f>
        <v>46114</v>
      </c>
      <c r="C262" s="8">
        <f>'ALL 2024 H2 D80'!$C$2</f>
        <v>46120</v>
      </c>
      <c r="D262" s="5">
        <v>3208</v>
      </c>
      <c r="E262" s="5">
        <v>320</v>
      </c>
      <c r="F262" s="5">
        <v>1</v>
      </c>
      <c r="G262" s="16">
        <v>10</v>
      </c>
      <c r="H262" s="16">
        <v>81406</v>
      </c>
      <c r="I262" s="16" t="s">
        <v>16</v>
      </c>
      <c r="J262" s="16">
        <v>18961109</v>
      </c>
      <c r="K262" s="16" t="s">
        <v>3425</v>
      </c>
      <c r="L262" s="18" t="s">
        <v>3429</v>
      </c>
      <c r="M262" s="21">
        <v>299900</v>
      </c>
      <c r="N262" s="7">
        <v>0.9</v>
      </c>
      <c r="O262" s="6">
        <f t="shared" si="8"/>
        <v>29990</v>
      </c>
      <c r="P262" s="5" t="s">
        <v>504</v>
      </c>
    </row>
    <row r="263" spans="1:16" x14ac:dyDescent="0.35">
      <c r="A263" s="40" t="str">
        <f t="shared" si="9"/>
        <v>ALL 2024 H1 D90</v>
      </c>
      <c r="B263" s="8">
        <f>'ALL 2024 H2 D80'!$B$2</f>
        <v>46114</v>
      </c>
      <c r="C263" s="8">
        <f>'ALL 2024 H2 D80'!$C$2</f>
        <v>46120</v>
      </c>
      <c r="D263" s="5">
        <v>3208</v>
      </c>
      <c r="E263" s="5">
        <v>320</v>
      </c>
      <c r="F263" s="5">
        <v>1</v>
      </c>
      <c r="G263" s="16">
        <v>10</v>
      </c>
      <c r="H263" s="16">
        <v>81406</v>
      </c>
      <c r="I263" s="16" t="s">
        <v>16</v>
      </c>
      <c r="J263" s="16">
        <v>18961118</v>
      </c>
      <c r="K263" s="16" t="s">
        <v>3430</v>
      </c>
      <c r="L263" s="18" t="s">
        <v>3431</v>
      </c>
      <c r="M263" s="21">
        <v>249900</v>
      </c>
      <c r="N263" s="7">
        <v>0.9</v>
      </c>
      <c r="O263" s="6">
        <f t="shared" si="8"/>
        <v>24990</v>
      </c>
      <c r="P263" s="5" t="s">
        <v>504</v>
      </c>
    </row>
    <row r="264" spans="1:16" x14ac:dyDescent="0.35">
      <c r="A264" s="40" t="str">
        <f t="shared" si="9"/>
        <v>ALL 2024 H1 D90</v>
      </c>
      <c r="B264" s="8">
        <f>'ALL 2024 H2 D80'!$B$2</f>
        <v>46114</v>
      </c>
      <c r="C264" s="8">
        <f>'ALL 2024 H2 D80'!$C$2</f>
        <v>46120</v>
      </c>
      <c r="D264" s="5">
        <v>3208</v>
      </c>
      <c r="E264" s="5">
        <v>320</v>
      </c>
      <c r="F264" s="5">
        <v>1</v>
      </c>
      <c r="G264" s="16">
        <v>10</v>
      </c>
      <c r="H264" s="16">
        <v>81406</v>
      </c>
      <c r="I264" s="16" t="s">
        <v>16</v>
      </c>
      <c r="J264" s="16">
        <v>18961127</v>
      </c>
      <c r="K264" s="16" t="s">
        <v>3430</v>
      </c>
      <c r="L264" s="18" t="s">
        <v>3432</v>
      </c>
      <c r="M264" s="21">
        <v>249900</v>
      </c>
      <c r="N264" s="7">
        <v>0.9</v>
      </c>
      <c r="O264" s="6">
        <f t="shared" si="8"/>
        <v>24990</v>
      </c>
      <c r="P264" s="5" t="s">
        <v>504</v>
      </c>
    </row>
    <row r="265" spans="1:16" x14ac:dyDescent="0.35">
      <c r="A265" s="40" t="str">
        <f t="shared" si="9"/>
        <v>ALL 2024 H1 D90</v>
      </c>
      <c r="B265" s="8">
        <f>'ALL 2024 H2 D80'!$B$2</f>
        <v>46114</v>
      </c>
      <c r="C265" s="8">
        <f>'ALL 2024 H2 D80'!$C$2</f>
        <v>46120</v>
      </c>
      <c r="D265" s="5">
        <v>3208</v>
      </c>
      <c r="E265" s="5">
        <v>320</v>
      </c>
      <c r="F265" s="5">
        <v>1</v>
      </c>
      <c r="G265" s="16">
        <v>10</v>
      </c>
      <c r="H265" s="16">
        <v>81406</v>
      </c>
      <c r="I265" s="16" t="s">
        <v>16</v>
      </c>
      <c r="J265" s="16">
        <v>18961136</v>
      </c>
      <c r="K265" s="16" t="s">
        <v>3430</v>
      </c>
      <c r="L265" s="18" t="s">
        <v>3433</v>
      </c>
      <c r="M265" s="21">
        <v>249900</v>
      </c>
      <c r="N265" s="7">
        <v>0.9</v>
      </c>
      <c r="O265" s="6">
        <f t="shared" si="8"/>
        <v>24990</v>
      </c>
      <c r="P265" s="5" t="s">
        <v>504</v>
      </c>
    </row>
    <row r="266" spans="1:16" x14ac:dyDescent="0.35">
      <c r="A266" s="40" t="str">
        <f t="shared" si="9"/>
        <v>ALL 2024 H1 D90</v>
      </c>
      <c r="B266" s="8">
        <f>'ALL 2024 H2 D80'!$B$2</f>
        <v>46114</v>
      </c>
      <c r="C266" s="8">
        <f>'ALL 2024 H2 D80'!$C$2</f>
        <v>46120</v>
      </c>
      <c r="D266" s="5">
        <v>3208</v>
      </c>
      <c r="E266" s="5">
        <v>320</v>
      </c>
      <c r="F266" s="5">
        <v>1</v>
      </c>
      <c r="G266" s="16">
        <v>10</v>
      </c>
      <c r="H266" s="16">
        <v>81406</v>
      </c>
      <c r="I266" s="16" t="s">
        <v>16</v>
      </c>
      <c r="J266" s="16">
        <v>18961145</v>
      </c>
      <c r="K266" s="16" t="s">
        <v>3430</v>
      </c>
      <c r="L266" s="18" t="s">
        <v>3434</v>
      </c>
      <c r="M266" s="21">
        <v>249900</v>
      </c>
      <c r="N266" s="7">
        <v>0.9</v>
      </c>
      <c r="O266" s="6">
        <f t="shared" si="8"/>
        <v>24990</v>
      </c>
      <c r="P266" s="5" t="s">
        <v>504</v>
      </c>
    </row>
    <row r="267" spans="1:16" x14ac:dyDescent="0.35">
      <c r="A267" s="40" t="str">
        <f t="shared" si="9"/>
        <v>ALL 2024 H1 D90</v>
      </c>
      <c r="B267" s="8">
        <f>'ALL 2024 H2 D80'!$B$2</f>
        <v>46114</v>
      </c>
      <c r="C267" s="8">
        <f>'ALL 2024 H2 D80'!$C$2</f>
        <v>46120</v>
      </c>
      <c r="D267" s="5">
        <v>3208</v>
      </c>
      <c r="E267" s="5">
        <v>320</v>
      </c>
      <c r="F267" s="5">
        <v>1</v>
      </c>
      <c r="G267" s="16">
        <v>10</v>
      </c>
      <c r="H267" s="16">
        <v>81406</v>
      </c>
      <c r="I267" s="16" t="s">
        <v>16</v>
      </c>
      <c r="J267" s="16">
        <v>18961154</v>
      </c>
      <c r="K267" s="16" t="s">
        <v>3435</v>
      </c>
      <c r="L267" s="18" t="s">
        <v>3436</v>
      </c>
      <c r="M267" s="21">
        <v>249900</v>
      </c>
      <c r="N267" s="7">
        <v>0.9</v>
      </c>
      <c r="O267" s="6">
        <f t="shared" si="8"/>
        <v>24990</v>
      </c>
      <c r="P267" s="5" t="s">
        <v>504</v>
      </c>
    </row>
    <row r="268" spans="1:16" x14ac:dyDescent="0.35">
      <c r="A268" s="40" t="str">
        <f t="shared" si="9"/>
        <v>ALL 2024 H1 D90</v>
      </c>
      <c r="B268" s="8">
        <f>'ALL 2024 H2 D80'!$B$2</f>
        <v>46114</v>
      </c>
      <c r="C268" s="8">
        <f>'ALL 2024 H2 D80'!$C$2</f>
        <v>46120</v>
      </c>
      <c r="D268" s="5">
        <v>3208</v>
      </c>
      <c r="E268" s="5">
        <v>320</v>
      </c>
      <c r="F268" s="5">
        <v>1</v>
      </c>
      <c r="G268" s="16">
        <v>10</v>
      </c>
      <c r="H268" s="16">
        <v>81406</v>
      </c>
      <c r="I268" s="16" t="s">
        <v>16</v>
      </c>
      <c r="J268" s="16">
        <v>18961163</v>
      </c>
      <c r="K268" s="16" t="s">
        <v>3435</v>
      </c>
      <c r="L268" s="18" t="s">
        <v>3437</v>
      </c>
      <c r="M268" s="21">
        <v>249900</v>
      </c>
      <c r="N268" s="7">
        <v>0.9</v>
      </c>
      <c r="O268" s="6">
        <f t="shared" ref="O268:O331" si="10">M268-(M268*N268)</f>
        <v>24990</v>
      </c>
      <c r="P268" s="5" t="s">
        <v>504</v>
      </c>
    </row>
    <row r="269" spans="1:16" x14ac:dyDescent="0.35">
      <c r="A269" s="40" t="str">
        <f t="shared" si="9"/>
        <v>ALL 2024 H1 D90</v>
      </c>
      <c r="B269" s="8">
        <f>'ALL 2024 H2 D80'!$B$2</f>
        <v>46114</v>
      </c>
      <c r="C269" s="8">
        <f>'ALL 2024 H2 D80'!$C$2</f>
        <v>46120</v>
      </c>
      <c r="D269" s="5">
        <v>3208</v>
      </c>
      <c r="E269" s="5">
        <v>320</v>
      </c>
      <c r="F269" s="5">
        <v>1</v>
      </c>
      <c r="G269" s="16">
        <v>10</v>
      </c>
      <c r="H269" s="16">
        <v>81406</v>
      </c>
      <c r="I269" s="16" t="s">
        <v>16</v>
      </c>
      <c r="J269" s="16">
        <v>18961172</v>
      </c>
      <c r="K269" s="16" t="s">
        <v>3435</v>
      </c>
      <c r="L269" s="18" t="s">
        <v>3438</v>
      </c>
      <c r="M269" s="21">
        <v>249900</v>
      </c>
      <c r="N269" s="7">
        <v>0.9</v>
      </c>
      <c r="O269" s="6">
        <f t="shared" si="10"/>
        <v>24990</v>
      </c>
      <c r="P269" s="5" t="s">
        <v>504</v>
      </c>
    </row>
    <row r="270" spans="1:16" x14ac:dyDescent="0.35">
      <c r="A270" s="40" t="str">
        <f t="shared" si="9"/>
        <v>ALL 2024 H1 D90</v>
      </c>
      <c r="B270" s="8">
        <f>'ALL 2024 H2 D80'!$B$2</f>
        <v>46114</v>
      </c>
      <c r="C270" s="8">
        <f>'ALL 2024 H2 D80'!$C$2</f>
        <v>46120</v>
      </c>
      <c r="D270" s="5">
        <v>3208</v>
      </c>
      <c r="E270" s="5">
        <v>320</v>
      </c>
      <c r="F270" s="5">
        <v>1</v>
      </c>
      <c r="G270" s="16">
        <v>10</v>
      </c>
      <c r="H270" s="16">
        <v>81406</v>
      </c>
      <c r="I270" s="16" t="s">
        <v>16</v>
      </c>
      <c r="J270" s="16">
        <v>18961181</v>
      </c>
      <c r="K270" s="16" t="s">
        <v>3435</v>
      </c>
      <c r="L270" s="18" t="s">
        <v>3439</v>
      </c>
      <c r="M270" s="21">
        <v>249900</v>
      </c>
      <c r="N270" s="7">
        <v>0.9</v>
      </c>
      <c r="O270" s="6">
        <f t="shared" si="10"/>
        <v>24990</v>
      </c>
      <c r="P270" s="5" t="s">
        <v>504</v>
      </c>
    </row>
    <row r="271" spans="1:16" x14ac:dyDescent="0.35">
      <c r="A271" s="40" t="str">
        <f t="shared" si="9"/>
        <v>ALL 2024 H1 D90</v>
      </c>
      <c r="B271" s="8">
        <f>'ALL 2024 H2 D80'!$B$2</f>
        <v>46114</v>
      </c>
      <c r="C271" s="8">
        <f>'ALL 2024 H2 D80'!$C$2</f>
        <v>46120</v>
      </c>
      <c r="D271" s="5">
        <v>3208</v>
      </c>
      <c r="E271" s="5">
        <v>320</v>
      </c>
      <c r="F271" s="5">
        <v>1</v>
      </c>
      <c r="G271" s="16">
        <v>10</v>
      </c>
      <c r="H271" s="16">
        <v>81406</v>
      </c>
      <c r="I271" s="16" t="s">
        <v>16</v>
      </c>
      <c r="J271" s="16">
        <v>18962635</v>
      </c>
      <c r="K271" s="16" t="s">
        <v>3181</v>
      </c>
      <c r="L271" s="18" t="s">
        <v>3440</v>
      </c>
      <c r="M271" s="21">
        <v>299900</v>
      </c>
      <c r="N271" s="7">
        <v>0.9</v>
      </c>
      <c r="O271" s="6">
        <f t="shared" si="10"/>
        <v>29990</v>
      </c>
      <c r="P271" s="5" t="s">
        <v>504</v>
      </c>
    </row>
    <row r="272" spans="1:16" x14ac:dyDescent="0.35">
      <c r="A272" s="40" t="str">
        <f t="shared" si="9"/>
        <v>ALL 2024 H1 D90</v>
      </c>
      <c r="B272" s="8">
        <f>'ALL 2024 H2 D80'!$B$2</f>
        <v>46114</v>
      </c>
      <c r="C272" s="8">
        <f>'ALL 2024 H2 D80'!$C$2</f>
        <v>46120</v>
      </c>
      <c r="D272" s="5">
        <v>3208</v>
      </c>
      <c r="E272" s="5">
        <v>320</v>
      </c>
      <c r="F272" s="5">
        <v>1</v>
      </c>
      <c r="G272" s="16">
        <v>10</v>
      </c>
      <c r="H272" s="16">
        <v>81406</v>
      </c>
      <c r="I272" s="16" t="s">
        <v>16</v>
      </c>
      <c r="J272" s="16">
        <v>18962644</v>
      </c>
      <c r="K272" s="16" t="s">
        <v>3181</v>
      </c>
      <c r="L272" s="18" t="s">
        <v>3441</v>
      </c>
      <c r="M272" s="21">
        <v>299900</v>
      </c>
      <c r="N272" s="7">
        <v>0.9</v>
      </c>
      <c r="O272" s="6">
        <f t="shared" si="10"/>
        <v>29990</v>
      </c>
      <c r="P272" s="5" t="s">
        <v>504</v>
      </c>
    </row>
    <row r="273" spans="1:16" x14ac:dyDescent="0.35">
      <c r="A273" s="40" t="str">
        <f t="shared" si="9"/>
        <v>ALL 2024 H1 D90</v>
      </c>
      <c r="B273" s="8">
        <f>'ALL 2024 H2 D80'!$B$2</f>
        <v>46114</v>
      </c>
      <c r="C273" s="8">
        <f>'ALL 2024 H2 D80'!$C$2</f>
        <v>46120</v>
      </c>
      <c r="D273" s="5">
        <v>3208</v>
      </c>
      <c r="E273" s="5">
        <v>320</v>
      </c>
      <c r="F273" s="5">
        <v>1</v>
      </c>
      <c r="G273" s="16">
        <v>10</v>
      </c>
      <c r="H273" s="16">
        <v>81406</v>
      </c>
      <c r="I273" s="16" t="s">
        <v>16</v>
      </c>
      <c r="J273" s="16">
        <v>18962653</v>
      </c>
      <c r="K273" s="16" t="s">
        <v>3181</v>
      </c>
      <c r="L273" s="18" t="s">
        <v>3442</v>
      </c>
      <c r="M273" s="21">
        <v>299900</v>
      </c>
      <c r="N273" s="7">
        <v>0.9</v>
      </c>
      <c r="O273" s="6">
        <f t="shared" si="10"/>
        <v>29990</v>
      </c>
      <c r="P273" s="5" t="s">
        <v>504</v>
      </c>
    </row>
    <row r="274" spans="1:16" x14ac:dyDescent="0.35">
      <c r="A274" s="40" t="str">
        <f t="shared" si="9"/>
        <v>ALL 2024 H1 D90</v>
      </c>
      <c r="B274" s="8">
        <f>'ALL 2024 H2 D80'!$B$2</f>
        <v>46114</v>
      </c>
      <c r="C274" s="8">
        <f>'ALL 2024 H2 D80'!$C$2</f>
        <v>46120</v>
      </c>
      <c r="D274" s="5">
        <v>3208</v>
      </c>
      <c r="E274" s="5">
        <v>320</v>
      </c>
      <c r="F274" s="5">
        <v>1</v>
      </c>
      <c r="G274" s="16">
        <v>10</v>
      </c>
      <c r="H274" s="16">
        <v>81406</v>
      </c>
      <c r="I274" s="16" t="s">
        <v>16</v>
      </c>
      <c r="J274" s="16">
        <v>18962662</v>
      </c>
      <c r="K274" s="16" t="s">
        <v>3181</v>
      </c>
      <c r="L274" s="18" t="s">
        <v>3443</v>
      </c>
      <c r="M274" s="21">
        <v>299900</v>
      </c>
      <c r="N274" s="7">
        <v>0.9</v>
      </c>
      <c r="O274" s="6">
        <f t="shared" si="10"/>
        <v>29990</v>
      </c>
      <c r="P274" s="5" t="s">
        <v>504</v>
      </c>
    </row>
    <row r="275" spans="1:16" x14ac:dyDescent="0.35">
      <c r="A275" s="40" t="str">
        <f t="shared" si="9"/>
        <v>ALL 2024 H1 D90</v>
      </c>
      <c r="B275" s="8">
        <f>'ALL 2024 H2 D80'!$B$2</f>
        <v>46114</v>
      </c>
      <c r="C275" s="8">
        <f>'ALL 2024 H2 D80'!$C$2</f>
        <v>46120</v>
      </c>
      <c r="D275" s="5">
        <v>3208</v>
      </c>
      <c r="E275" s="5">
        <v>320</v>
      </c>
      <c r="F275" s="5">
        <v>1</v>
      </c>
      <c r="G275" s="5">
        <v>10</v>
      </c>
      <c r="H275" s="5">
        <v>81406</v>
      </c>
      <c r="I275" s="5" t="s">
        <v>16</v>
      </c>
      <c r="J275" s="5">
        <v>16811766</v>
      </c>
      <c r="K275" s="5" t="s">
        <v>3181</v>
      </c>
      <c r="L275" s="19" t="s">
        <v>3578</v>
      </c>
      <c r="M275" s="24">
        <v>299900</v>
      </c>
      <c r="N275" s="7">
        <v>0.9</v>
      </c>
      <c r="O275" s="6">
        <f t="shared" si="10"/>
        <v>29990</v>
      </c>
      <c r="P275" s="5" t="s">
        <v>504</v>
      </c>
    </row>
    <row r="276" spans="1:16" x14ac:dyDescent="0.35">
      <c r="A276" s="40" t="str">
        <f t="shared" si="9"/>
        <v>ALL 2024 H1 D90</v>
      </c>
      <c r="B276" s="8">
        <f>'ALL 2024 H2 D80'!$B$2</f>
        <v>46114</v>
      </c>
      <c r="C276" s="8">
        <f>'ALL 2024 H2 D80'!$C$2</f>
        <v>46120</v>
      </c>
      <c r="D276" s="5">
        <v>3208</v>
      </c>
      <c r="E276" s="5">
        <v>320</v>
      </c>
      <c r="F276" s="5">
        <v>1</v>
      </c>
      <c r="G276" s="5">
        <v>10</v>
      </c>
      <c r="H276" s="5">
        <v>81406</v>
      </c>
      <c r="I276" s="5" t="s">
        <v>16</v>
      </c>
      <c r="J276" s="5">
        <v>16811775</v>
      </c>
      <c r="K276" s="5" t="s">
        <v>3181</v>
      </c>
      <c r="L276" s="19" t="s">
        <v>3579</v>
      </c>
      <c r="M276" s="24">
        <v>299900</v>
      </c>
      <c r="N276" s="7">
        <v>0.9</v>
      </c>
      <c r="O276" s="6">
        <f t="shared" si="10"/>
        <v>29990</v>
      </c>
      <c r="P276" s="5" t="s">
        <v>504</v>
      </c>
    </row>
    <row r="277" spans="1:16" x14ac:dyDescent="0.35">
      <c r="A277" s="40" t="str">
        <f t="shared" si="9"/>
        <v>ALL 2024 H1 D90</v>
      </c>
      <c r="B277" s="8">
        <f>'ALL 2024 H2 D80'!$B$2</f>
        <v>46114</v>
      </c>
      <c r="C277" s="8">
        <f>'ALL 2024 H2 D80'!$C$2</f>
        <v>46120</v>
      </c>
      <c r="D277" s="5">
        <v>3208</v>
      </c>
      <c r="E277" s="5">
        <v>320</v>
      </c>
      <c r="F277" s="5">
        <v>1</v>
      </c>
      <c r="G277" s="5">
        <v>10</v>
      </c>
      <c r="H277" s="5">
        <v>81406</v>
      </c>
      <c r="I277" s="5" t="s">
        <v>16</v>
      </c>
      <c r="J277" s="5">
        <v>16811784</v>
      </c>
      <c r="K277" s="5" t="s">
        <v>3181</v>
      </c>
      <c r="L277" s="19" t="s">
        <v>3580</v>
      </c>
      <c r="M277" s="24">
        <v>299900</v>
      </c>
      <c r="N277" s="7">
        <v>0.9</v>
      </c>
      <c r="O277" s="6">
        <f t="shared" si="10"/>
        <v>29990</v>
      </c>
      <c r="P277" s="5" t="s">
        <v>504</v>
      </c>
    </row>
    <row r="278" spans="1:16" x14ac:dyDescent="0.35">
      <c r="A278" s="40" t="str">
        <f t="shared" si="9"/>
        <v>ALL 2024 H1 D90</v>
      </c>
      <c r="B278" s="8">
        <f>'ALL 2024 H2 D80'!$B$2</f>
        <v>46114</v>
      </c>
      <c r="C278" s="8">
        <f>'ALL 2024 H2 D80'!$C$2</f>
        <v>46120</v>
      </c>
      <c r="D278" s="5">
        <v>3208</v>
      </c>
      <c r="E278" s="5">
        <v>320</v>
      </c>
      <c r="F278" s="5">
        <v>1</v>
      </c>
      <c r="G278" s="5">
        <v>10</v>
      </c>
      <c r="H278" s="5">
        <v>81406</v>
      </c>
      <c r="I278" s="5" t="s">
        <v>16</v>
      </c>
      <c r="J278" s="5">
        <v>16811793</v>
      </c>
      <c r="K278" s="5" t="s">
        <v>3181</v>
      </c>
      <c r="L278" s="19" t="s">
        <v>3581</v>
      </c>
      <c r="M278" s="24">
        <v>299900</v>
      </c>
      <c r="N278" s="7">
        <v>0.9</v>
      </c>
      <c r="O278" s="6">
        <f t="shared" si="10"/>
        <v>29990</v>
      </c>
      <c r="P278" s="5" t="s">
        <v>504</v>
      </c>
    </row>
    <row r="279" spans="1:16" s="1" customFormat="1" x14ac:dyDescent="0.35">
      <c r="A279" s="40" t="str">
        <f t="shared" si="9"/>
        <v>ALL 2024 H1 D90</v>
      </c>
      <c r="B279" s="8">
        <f>'ALL 2024 H2 D80'!$B$2</f>
        <v>46114</v>
      </c>
      <c r="C279" s="8">
        <f>'ALL 2024 H2 D80'!$C$2</f>
        <v>46120</v>
      </c>
      <c r="D279" s="5">
        <v>3208</v>
      </c>
      <c r="E279" s="5">
        <v>320</v>
      </c>
      <c r="F279" s="5">
        <v>1</v>
      </c>
      <c r="G279" s="5">
        <v>10</v>
      </c>
      <c r="H279" s="5">
        <v>81406</v>
      </c>
      <c r="I279" s="5" t="s">
        <v>16</v>
      </c>
      <c r="J279" s="5">
        <v>16401100</v>
      </c>
      <c r="K279" s="5" t="s">
        <v>3176</v>
      </c>
      <c r="L279" s="19" t="s">
        <v>3177</v>
      </c>
      <c r="M279" s="24">
        <v>229900</v>
      </c>
      <c r="N279" s="7">
        <v>0.9</v>
      </c>
      <c r="O279" s="6">
        <f t="shared" si="10"/>
        <v>22990</v>
      </c>
      <c r="P279" s="5" t="s">
        <v>504</v>
      </c>
    </row>
    <row r="280" spans="1:16" s="1" customFormat="1" x14ac:dyDescent="0.35">
      <c r="A280" s="40" t="str">
        <f t="shared" si="9"/>
        <v>ALL 2024 H1 D90</v>
      </c>
      <c r="B280" s="8">
        <f>'ALL 2024 H2 D80'!$B$2</f>
        <v>46114</v>
      </c>
      <c r="C280" s="8">
        <f>'ALL 2024 H2 D80'!$C$2</f>
        <v>46120</v>
      </c>
      <c r="D280" s="5">
        <v>3208</v>
      </c>
      <c r="E280" s="5">
        <v>320</v>
      </c>
      <c r="F280" s="5">
        <v>1</v>
      </c>
      <c r="G280" s="5">
        <v>10</v>
      </c>
      <c r="H280" s="5">
        <v>81406</v>
      </c>
      <c r="I280" s="5" t="s">
        <v>16</v>
      </c>
      <c r="J280" s="5">
        <v>16401119</v>
      </c>
      <c r="K280" s="5" t="s">
        <v>3176</v>
      </c>
      <c r="L280" s="19" t="s">
        <v>3178</v>
      </c>
      <c r="M280" s="24">
        <v>229900</v>
      </c>
      <c r="N280" s="7">
        <v>0.9</v>
      </c>
      <c r="O280" s="6">
        <f t="shared" si="10"/>
        <v>22990</v>
      </c>
      <c r="P280" s="5" t="s">
        <v>504</v>
      </c>
    </row>
    <row r="281" spans="1:16" s="1" customFormat="1" x14ac:dyDescent="0.35">
      <c r="A281" s="40" t="str">
        <f t="shared" si="9"/>
        <v>ALL 2024 H1 D90</v>
      </c>
      <c r="B281" s="8">
        <f>'ALL 2024 H2 D80'!$B$2</f>
        <v>46114</v>
      </c>
      <c r="C281" s="8">
        <f>'ALL 2024 H2 D80'!$C$2</f>
        <v>46120</v>
      </c>
      <c r="D281" s="5">
        <v>3208</v>
      </c>
      <c r="E281" s="5">
        <v>320</v>
      </c>
      <c r="F281" s="5">
        <v>1</v>
      </c>
      <c r="G281" s="5">
        <v>10</v>
      </c>
      <c r="H281" s="5">
        <v>81406</v>
      </c>
      <c r="I281" s="5" t="s">
        <v>16</v>
      </c>
      <c r="J281" s="5">
        <v>16401128</v>
      </c>
      <c r="K281" s="5" t="s">
        <v>3176</v>
      </c>
      <c r="L281" s="19" t="s">
        <v>3179</v>
      </c>
      <c r="M281" s="24">
        <v>229900</v>
      </c>
      <c r="N281" s="7">
        <v>0.9</v>
      </c>
      <c r="O281" s="6">
        <f t="shared" si="10"/>
        <v>22990</v>
      </c>
      <c r="P281" s="5" t="s">
        <v>504</v>
      </c>
    </row>
    <row r="282" spans="1:16" s="1" customFormat="1" x14ac:dyDescent="0.35">
      <c r="A282" s="40" t="str">
        <f t="shared" si="9"/>
        <v>ALL 2024 H1 D90</v>
      </c>
      <c r="B282" s="8">
        <f>'ALL 2024 H2 D80'!$B$2</f>
        <v>46114</v>
      </c>
      <c r="C282" s="8">
        <f>'ALL 2024 H2 D80'!$C$2</f>
        <v>46120</v>
      </c>
      <c r="D282" s="5">
        <v>3208</v>
      </c>
      <c r="E282" s="5">
        <v>320</v>
      </c>
      <c r="F282" s="5">
        <v>1</v>
      </c>
      <c r="G282" s="5">
        <v>10</v>
      </c>
      <c r="H282" s="5">
        <v>81406</v>
      </c>
      <c r="I282" s="5" t="s">
        <v>16</v>
      </c>
      <c r="J282" s="5">
        <v>16401137</v>
      </c>
      <c r="K282" s="5" t="s">
        <v>3176</v>
      </c>
      <c r="L282" s="19" t="s">
        <v>3180</v>
      </c>
      <c r="M282" s="24">
        <v>229900</v>
      </c>
      <c r="N282" s="7">
        <v>0.9</v>
      </c>
      <c r="O282" s="6">
        <f t="shared" si="10"/>
        <v>22990</v>
      </c>
      <c r="P282" s="5" t="s">
        <v>504</v>
      </c>
    </row>
    <row r="283" spans="1:16" s="1" customFormat="1" x14ac:dyDescent="0.35">
      <c r="A283" s="40" t="str">
        <f t="shared" si="9"/>
        <v>ALL 2024 H1 D90</v>
      </c>
      <c r="B283" s="8">
        <f>'ALL 2024 H2 D80'!$B$2</f>
        <v>46114</v>
      </c>
      <c r="C283" s="8">
        <f>'ALL 2024 H2 D80'!$C$2</f>
        <v>46120</v>
      </c>
      <c r="D283" s="5">
        <v>3208</v>
      </c>
      <c r="E283" s="5">
        <v>320</v>
      </c>
      <c r="F283" s="5">
        <v>1</v>
      </c>
      <c r="G283" s="5">
        <v>2</v>
      </c>
      <c r="H283" s="5">
        <v>81736</v>
      </c>
      <c r="I283" s="5" t="s">
        <v>16</v>
      </c>
      <c r="J283" s="5">
        <v>16400987</v>
      </c>
      <c r="K283" s="5" t="s">
        <v>3077</v>
      </c>
      <c r="L283" s="19" t="s">
        <v>3078</v>
      </c>
      <c r="M283" s="24">
        <v>249900</v>
      </c>
      <c r="N283" s="7">
        <v>0.9</v>
      </c>
      <c r="O283" s="6">
        <f t="shared" si="10"/>
        <v>24990</v>
      </c>
      <c r="P283" s="5" t="s">
        <v>504</v>
      </c>
    </row>
    <row r="284" spans="1:16" s="1" customFormat="1" x14ac:dyDescent="0.35">
      <c r="A284" s="40" t="str">
        <f t="shared" si="9"/>
        <v>ALL 2024 H1 D90</v>
      </c>
      <c r="B284" s="8">
        <f>'ALL 2024 H2 D80'!$B$2</f>
        <v>46114</v>
      </c>
      <c r="C284" s="8">
        <f>'ALL 2024 H2 D80'!$C$2</f>
        <v>46120</v>
      </c>
      <c r="D284" s="5">
        <v>3208</v>
      </c>
      <c r="E284" s="5">
        <v>320</v>
      </c>
      <c r="F284" s="5">
        <v>1</v>
      </c>
      <c r="G284" s="5">
        <v>2</v>
      </c>
      <c r="H284" s="5">
        <v>81736</v>
      </c>
      <c r="I284" s="5" t="s">
        <v>16</v>
      </c>
      <c r="J284" s="5">
        <v>16400996</v>
      </c>
      <c r="K284" s="5" t="s">
        <v>3077</v>
      </c>
      <c r="L284" s="19" t="s">
        <v>3079</v>
      </c>
      <c r="M284" s="24">
        <v>249900</v>
      </c>
      <c r="N284" s="7">
        <v>0.9</v>
      </c>
      <c r="O284" s="6">
        <f t="shared" si="10"/>
        <v>24990</v>
      </c>
      <c r="P284" s="5" t="s">
        <v>504</v>
      </c>
    </row>
    <row r="285" spans="1:16" s="1" customFormat="1" x14ac:dyDescent="0.35">
      <c r="A285" s="40" t="str">
        <f t="shared" si="9"/>
        <v>ALL 2024 H1 D90</v>
      </c>
      <c r="B285" s="8">
        <f>'ALL 2024 H2 D80'!$B$2</f>
        <v>46114</v>
      </c>
      <c r="C285" s="8">
        <f>'ALL 2024 H2 D80'!$C$2</f>
        <v>46120</v>
      </c>
      <c r="D285" s="5">
        <v>3208</v>
      </c>
      <c r="E285" s="5">
        <v>320</v>
      </c>
      <c r="F285" s="5">
        <v>1</v>
      </c>
      <c r="G285" s="5">
        <v>2</v>
      </c>
      <c r="H285" s="5">
        <v>81736</v>
      </c>
      <c r="I285" s="5" t="s">
        <v>16</v>
      </c>
      <c r="J285" s="5">
        <v>16401002</v>
      </c>
      <c r="K285" s="5" t="s">
        <v>3077</v>
      </c>
      <c r="L285" s="19" t="s">
        <v>3080</v>
      </c>
      <c r="M285" s="24">
        <v>249900</v>
      </c>
      <c r="N285" s="7">
        <v>0.9</v>
      </c>
      <c r="O285" s="6">
        <f t="shared" si="10"/>
        <v>24990</v>
      </c>
      <c r="P285" s="5" t="s">
        <v>504</v>
      </c>
    </row>
    <row r="286" spans="1:16" s="1" customFormat="1" x14ac:dyDescent="0.35">
      <c r="A286" s="40" t="str">
        <f t="shared" si="9"/>
        <v>ALL 2024 H1 D90</v>
      </c>
      <c r="B286" s="8">
        <f>'ALL 2024 H2 D80'!$B$2</f>
        <v>46114</v>
      </c>
      <c r="C286" s="8">
        <f>'ALL 2024 H2 D80'!$C$2</f>
        <v>46120</v>
      </c>
      <c r="D286" s="5">
        <v>3208</v>
      </c>
      <c r="E286" s="5">
        <v>320</v>
      </c>
      <c r="F286" s="5">
        <v>1</v>
      </c>
      <c r="G286" s="5">
        <v>2</v>
      </c>
      <c r="H286" s="5">
        <v>81736</v>
      </c>
      <c r="I286" s="5" t="s">
        <v>16</v>
      </c>
      <c r="J286" s="5">
        <v>16401011</v>
      </c>
      <c r="K286" s="5" t="s">
        <v>3077</v>
      </c>
      <c r="L286" s="19" t="s">
        <v>3081</v>
      </c>
      <c r="M286" s="24">
        <v>249900</v>
      </c>
      <c r="N286" s="7">
        <v>0.9</v>
      </c>
      <c r="O286" s="6">
        <f t="shared" si="10"/>
        <v>24990</v>
      </c>
      <c r="P286" s="5" t="s">
        <v>504</v>
      </c>
    </row>
    <row r="287" spans="1:16" x14ac:dyDescent="0.35">
      <c r="A287" s="40" t="str">
        <f t="shared" si="9"/>
        <v>ALL 2024 H1 D90</v>
      </c>
      <c r="B287" s="8">
        <f>'ALL 2024 H2 D80'!$B$2</f>
        <v>46114</v>
      </c>
      <c r="C287" s="8">
        <f>'ALL 2024 H2 D80'!$C$2</f>
        <v>46120</v>
      </c>
      <c r="D287" s="5">
        <v>3208</v>
      </c>
      <c r="E287" s="5">
        <v>320</v>
      </c>
      <c r="F287" s="5">
        <v>1</v>
      </c>
      <c r="G287" s="5">
        <v>3</v>
      </c>
      <c r="H287" s="5">
        <v>81045</v>
      </c>
      <c r="I287" s="5" t="s">
        <v>16</v>
      </c>
      <c r="J287" s="5">
        <v>15942920</v>
      </c>
      <c r="K287" s="5" t="s">
        <v>3095</v>
      </c>
      <c r="L287" s="19" t="s">
        <v>3096</v>
      </c>
      <c r="M287" s="24">
        <v>199900</v>
      </c>
      <c r="N287" s="7">
        <v>0.9</v>
      </c>
      <c r="O287" s="6">
        <f t="shared" si="10"/>
        <v>19990</v>
      </c>
      <c r="P287" s="5" t="s">
        <v>504</v>
      </c>
    </row>
    <row r="288" spans="1:16" x14ac:dyDescent="0.35">
      <c r="A288" s="40" t="str">
        <f t="shared" si="9"/>
        <v>ALL 2024 H1 D90</v>
      </c>
      <c r="B288" s="8">
        <f>'ALL 2024 H2 D80'!$B$2</f>
        <v>46114</v>
      </c>
      <c r="C288" s="8">
        <f>'ALL 2024 H2 D80'!$C$2</f>
        <v>46120</v>
      </c>
      <c r="D288" s="5">
        <v>3208</v>
      </c>
      <c r="E288" s="5">
        <v>320</v>
      </c>
      <c r="F288" s="5">
        <v>1</v>
      </c>
      <c r="G288" s="5">
        <v>3</v>
      </c>
      <c r="H288" s="5">
        <v>81045</v>
      </c>
      <c r="I288" s="5" t="s">
        <v>16</v>
      </c>
      <c r="J288" s="5">
        <v>15942939</v>
      </c>
      <c r="K288" s="5" t="s">
        <v>3095</v>
      </c>
      <c r="L288" s="19" t="s">
        <v>3097</v>
      </c>
      <c r="M288" s="24">
        <v>199900</v>
      </c>
      <c r="N288" s="7">
        <v>0.9</v>
      </c>
      <c r="O288" s="6">
        <f t="shared" si="10"/>
        <v>19990</v>
      </c>
      <c r="P288" s="5" t="s">
        <v>504</v>
      </c>
    </row>
    <row r="289" spans="1:16" x14ac:dyDescent="0.35">
      <c r="A289" s="40" t="str">
        <f t="shared" si="9"/>
        <v>ALL 2024 H1 D90</v>
      </c>
      <c r="B289" s="8">
        <f>'ALL 2024 H2 D80'!$B$2</f>
        <v>46114</v>
      </c>
      <c r="C289" s="8">
        <f>'ALL 2024 H2 D80'!$C$2</f>
        <v>46120</v>
      </c>
      <c r="D289" s="5">
        <v>3208</v>
      </c>
      <c r="E289" s="5">
        <v>320</v>
      </c>
      <c r="F289" s="5">
        <v>1</v>
      </c>
      <c r="G289" s="5">
        <v>3</v>
      </c>
      <c r="H289" s="5">
        <v>81045</v>
      </c>
      <c r="I289" s="5" t="s">
        <v>16</v>
      </c>
      <c r="J289" s="5">
        <v>15942948</v>
      </c>
      <c r="K289" s="5" t="s">
        <v>3095</v>
      </c>
      <c r="L289" s="19" t="s">
        <v>3098</v>
      </c>
      <c r="M289" s="24">
        <v>199900</v>
      </c>
      <c r="N289" s="7">
        <v>0.9</v>
      </c>
      <c r="O289" s="6">
        <f t="shared" si="10"/>
        <v>19990</v>
      </c>
      <c r="P289" s="5" t="s">
        <v>504</v>
      </c>
    </row>
    <row r="290" spans="1:16" x14ac:dyDescent="0.35">
      <c r="A290" s="40" t="str">
        <f t="shared" si="9"/>
        <v>ALL 2024 H1 D90</v>
      </c>
      <c r="B290" s="8">
        <f>'ALL 2024 H2 D80'!$B$2</f>
        <v>46114</v>
      </c>
      <c r="C290" s="8">
        <f>'ALL 2024 H2 D80'!$C$2</f>
        <v>46120</v>
      </c>
      <c r="D290" s="5">
        <v>3208</v>
      </c>
      <c r="E290" s="5">
        <v>320</v>
      </c>
      <c r="F290" s="5">
        <v>1</v>
      </c>
      <c r="G290" s="5">
        <v>3</v>
      </c>
      <c r="H290" s="5">
        <v>81045</v>
      </c>
      <c r="I290" s="5" t="s">
        <v>16</v>
      </c>
      <c r="J290" s="5">
        <v>15951661</v>
      </c>
      <c r="K290" s="5" t="s">
        <v>3095</v>
      </c>
      <c r="L290" s="19" t="s">
        <v>3099</v>
      </c>
      <c r="M290" s="24">
        <v>199900</v>
      </c>
      <c r="N290" s="7">
        <v>0.9</v>
      </c>
      <c r="O290" s="6">
        <f t="shared" si="10"/>
        <v>19990</v>
      </c>
      <c r="P290" s="5" t="s">
        <v>504</v>
      </c>
    </row>
    <row r="291" spans="1:16" x14ac:dyDescent="0.35">
      <c r="A291" s="40" t="str">
        <f t="shared" si="9"/>
        <v>ALL 2024 H1 D90</v>
      </c>
      <c r="B291" s="8">
        <f>'ALL 2024 H2 D80'!$B$2</f>
        <v>46114</v>
      </c>
      <c r="C291" s="8">
        <f>'ALL 2024 H2 D80'!$C$2</f>
        <v>46120</v>
      </c>
      <c r="D291" s="5">
        <v>3208</v>
      </c>
      <c r="E291" s="5">
        <v>320</v>
      </c>
      <c r="F291" s="5">
        <v>1</v>
      </c>
      <c r="G291" s="5">
        <v>6</v>
      </c>
      <c r="H291" s="5">
        <v>81762</v>
      </c>
      <c r="I291" s="5" t="s">
        <v>16</v>
      </c>
      <c r="J291" s="5">
        <v>16400825</v>
      </c>
      <c r="K291" s="5" t="s">
        <v>3157</v>
      </c>
      <c r="L291" s="19" t="s">
        <v>3158</v>
      </c>
      <c r="M291" s="24">
        <v>179900</v>
      </c>
      <c r="N291" s="7">
        <v>0.9</v>
      </c>
      <c r="O291" s="6">
        <f t="shared" si="10"/>
        <v>17990</v>
      </c>
      <c r="P291" s="5" t="s">
        <v>504</v>
      </c>
    </row>
    <row r="292" spans="1:16" x14ac:dyDescent="0.35">
      <c r="A292" s="40" t="str">
        <f t="shared" si="9"/>
        <v>ALL 2024 H1 D90</v>
      </c>
      <c r="B292" s="8">
        <f>'ALL 2024 H2 D80'!$B$2</f>
        <v>46114</v>
      </c>
      <c r="C292" s="8">
        <f>'ALL 2024 H2 D80'!$C$2</f>
        <v>46120</v>
      </c>
      <c r="D292" s="5">
        <v>3208</v>
      </c>
      <c r="E292" s="5">
        <v>320</v>
      </c>
      <c r="F292" s="5">
        <v>1</v>
      </c>
      <c r="G292" s="5">
        <v>6</v>
      </c>
      <c r="H292" s="5">
        <v>81762</v>
      </c>
      <c r="I292" s="5" t="s">
        <v>16</v>
      </c>
      <c r="J292" s="5">
        <v>16400834</v>
      </c>
      <c r="K292" s="5" t="s">
        <v>3157</v>
      </c>
      <c r="L292" s="19" t="s">
        <v>3159</v>
      </c>
      <c r="M292" s="24">
        <v>179900</v>
      </c>
      <c r="N292" s="7">
        <v>0.9</v>
      </c>
      <c r="O292" s="6">
        <f t="shared" si="10"/>
        <v>17990</v>
      </c>
      <c r="P292" s="5" t="s">
        <v>504</v>
      </c>
    </row>
    <row r="293" spans="1:16" x14ac:dyDescent="0.35">
      <c r="A293" s="40" t="str">
        <f t="shared" si="9"/>
        <v>ALL 2024 H1 D90</v>
      </c>
      <c r="B293" s="8">
        <f>'ALL 2024 H2 D80'!$B$2</f>
        <v>46114</v>
      </c>
      <c r="C293" s="8">
        <f>'ALL 2024 H2 D80'!$C$2</f>
        <v>46120</v>
      </c>
      <c r="D293" s="5">
        <v>3208</v>
      </c>
      <c r="E293" s="5">
        <v>320</v>
      </c>
      <c r="F293" s="5">
        <v>1</v>
      </c>
      <c r="G293" s="5">
        <v>6</v>
      </c>
      <c r="H293" s="5">
        <v>81762</v>
      </c>
      <c r="I293" s="5" t="s">
        <v>16</v>
      </c>
      <c r="J293" s="5">
        <v>16400843</v>
      </c>
      <c r="K293" s="5" t="s">
        <v>3157</v>
      </c>
      <c r="L293" s="19" t="s">
        <v>3160</v>
      </c>
      <c r="M293" s="24">
        <v>179900</v>
      </c>
      <c r="N293" s="7">
        <v>0.9</v>
      </c>
      <c r="O293" s="6">
        <f t="shared" si="10"/>
        <v>17990</v>
      </c>
      <c r="P293" s="5" t="s">
        <v>504</v>
      </c>
    </row>
    <row r="294" spans="1:16" x14ac:dyDescent="0.35">
      <c r="A294" s="40" t="str">
        <f t="shared" si="9"/>
        <v>ALL 2024 H1 D90</v>
      </c>
      <c r="B294" s="8">
        <f>'ALL 2024 H2 D80'!$B$2</f>
        <v>46114</v>
      </c>
      <c r="C294" s="8">
        <f>'ALL 2024 H2 D80'!$C$2</f>
        <v>46120</v>
      </c>
      <c r="D294" s="5">
        <v>3208</v>
      </c>
      <c r="E294" s="5">
        <v>320</v>
      </c>
      <c r="F294" s="5">
        <v>1</v>
      </c>
      <c r="G294" s="5">
        <v>6</v>
      </c>
      <c r="H294" s="5">
        <v>81762</v>
      </c>
      <c r="I294" s="5" t="s">
        <v>16</v>
      </c>
      <c r="J294" s="5">
        <v>16400852</v>
      </c>
      <c r="K294" s="5" t="s">
        <v>3157</v>
      </c>
      <c r="L294" s="19" t="s">
        <v>3161</v>
      </c>
      <c r="M294" s="24">
        <v>179900</v>
      </c>
      <c r="N294" s="7">
        <v>0.9</v>
      </c>
      <c r="O294" s="6">
        <f t="shared" si="10"/>
        <v>17990</v>
      </c>
      <c r="P294" s="5" t="s">
        <v>504</v>
      </c>
    </row>
    <row r="295" spans="1:16" x14ac:dyDescent="0.35">
      <c r="A295" s="40" t="str">
        <f t="shared" si="9"/>
        <v>ALL 2024 H1 D90</v>
      </c>
      <c r="B295" s="8">
        <f>'ALL 2024 H2 D80'!$B$2</f>
        <v>46114</v>
      </c>
      <c r="C295" s="8">
        <f>'ALL 2024 H2 D80'!$C$2</f>
        <v>46120</v>
      </c>
      <c r="D295" s="5">
        <v>3208</v>
      </c>
      <c r="E295" s="5">
        <v>320</v>
      </c>
      <c r="F295" s="5">
        <v>1</v>
      </c>
      <c r="G295" s="5">
        <v>6</v>
      </c>
      <c r="H295" s="5">
        <v>81762</v>
      </c>
      <c r="I295" s="5" t="s">
        <v>16</v>
      </c>
      <c r="J295" s="5">
        <v>16400861</v>
      </c>
      <c r="K295" s="5" t="s">
        <v>3157</v>
      </c>
      <c r="L295" s="19" t="s">
        <v>3162</v>
      </c>
      <c r="M295" s="24">
        <v>179900</v>
      </c>
      <c r="N295" s="7">
        <v>0.9</v>
      </c>
      <c r="O295" s="6">
        <f t="shared" si="10"/>
        <v>17990</v>
      </c>
      <c r="P295" s="5" t="s">
        <v>504</v>
      </c>
    </row>
    <row r="296" spans="1:16" x14ac:dyDescent="0.35">
      <c r="A296" s="40" t="str">
        <f t="shared" si="9"/>
        <v>ALL 2024 H1 D90</v>
      </c>
      <c r="B296" s="8">
        <f>'ALL 2024 H2 D80'!$B$2</f>
        <v>46114</v>
      </c>
      <c r="C296" s="8">
        <f>'ALL 2024 H2 D80'!$C$2</f>
        <v>46120</v>
      </c>
      <c r="D296" s="5">
        <v>3208</v>
      </c>
      <c r="E296" s="5">
        <v>320</v>
      </c>
      <c r="F296" s="5">
        <v>1</v>
      </c>
      <c r="G296" s="5">
        <v>6</v>
      </c>
      <c r="H296" s="5">
        <v>81762</v>
      </c>
      <c r="I296" s="5" t="s">
        <v>16</v>
      </c>
      <c r="J296" s="5">
        <v>16400870</v>
      </c>
      <c r="K296" s="5" t="s">
        <v>3157</v>
      </c>
      <c r="L296" s="19" t="s">
        <v>3163</v>
      </c>
      <c r="M296" s="24">
        <v>179900</v>
      </c>
      <c r="N296" s="7">
        <v>0.9</v>
      </c>
      <c r="O296" s="6">
        <f t="shared" si="10"/>
        <v>17990</v>
      </c>
      <c r="P296" s="5" t="s">
        <v>504</v>
      </c>
    </row>
    <row r="297" spans="1:16" x14ac:dyDescent="0.35">
      <c r="A297" s="40" t="str">
        <f t="shared" si="9"/>
        <v>ALL 2024 H1 D90</v>
      </c>
      <c r="B297" s="8">
        <f>'ALL 2024 H2 D80'!$B$2</f>
        <v>46114</v>
      </c>
      <c r="C297" s="8">
        <f>'ALL 2024 H2 D80'!$C$2</f>
        <v>46120</v>
      </c>
      <c r="D297" s="5">
        <v>3208</v>
      </c>
      <c r="E297" s="5">
        <v>320</v>
      </c>
      <c r="F297" s="5">
        <v>1</v>
      </c>
      <c r="G297" s="5">
        <v>6</v>
      </c>
      <c r="H297" s="5">
        <v>81762</v>
      </c>
      <c r="I297" s="5" t="s">
        <v>16</v>
      </c>
      <c r="J297" s="5">
        <v>16400889</v>
      </c>
      <c r="K297" s="5" t="s">
        <v>3157</v>
      </c>
      <c r="L297" s="19" t="s">
        <v>3164</v>
      </c>
      <c r="M297" s="24">
        <v>179900</v>
      </c>
      <c r="N297" s="7">
        <v>0.9</v>
      </c>
      <c r="O297" s="6">
        <f t="shared" si="10"/>
        <v>17990</v>
      </c>
      <c r="P297" s="5" t="s">
        <v>504</v>
      </c>
    </row>
    <row r="298" spans="1:16" x14ac:dyDescent="0.35">
      <c r="A298" s="40" t="str">
        <f t="shared" si="9"/>
        <v>ALL 2024 H1 D90</v>
      </c>
      <c r="B298" s="8">
        <f>'ALL 2024 H2 D80'!$B$2</f>
        <v>46114</v>
      </c>
      <c r="C298" s="8">
        <f>'ALL 2024 H2 D80'!$C$2</f>
        <v>46120</v>
      </c>
      <c r="D298" s="5">
        <v>3208</v>
      </c>
      <c r="E298" s="5">
        <v>320</v>
      </c>
      <c r="F298" s="5">
        <v>1</v>
      </c>
      <c r="G298" s="5">
        <v>6</v>
      </c>
      <c r="H298" s="5">
        <v>81762</v>
      </c>
      <c r="I298" s="5" t="s">
        <v>16</v>
      </c>
      <c r="J298" s="5">
        <v>16400898</v>
      </c>
      <c r="K298" s="5" t="s">
        <v>3157</v>
      </c>
      <c r="L298" s="19" t="s">
        <v>3165</v>
      </c>
      <c r="M298" s="24">
        <v>179900</v>
      </c>
      <c r="N298" s="7">
        <v>0.9</v>
      </c>
      <c r="O298" s="6">
        <f t="shared" si="10"/>
        <v>17990</v>
      </c>
      <c r="P298" s="5" t="s">
        <v>504</v>
      </c>
    </row>
    <row r="299" spans="1:16" x14ac:dyDescent="0.35">
      <c r="A299" s="40" t="str">
        <f t="shared" si="9"/>
        <v>ALL 2024 H1 D90</v>
      </c>
      <c r="B299" s="8">
        <f>'ALL 2024 H2 D80'!$B$2</f>
        <v>46114</v>
      </c>
      <c r="C299" s="8">
        <f>'ALL 2024 H2 D80'!$C$2</f>
        <v>46120</v>
      </c>
      <c r="D299" s="5">
        <v>3208</v>
      </c>
      <c r="E299" s="5">
        <v>320</v>
      </c>
      <c r="F299" s="5">
        <v>1</v>
      </c>
      <c r="G299" s="5">
        <v>2</v>
      </c>
      <c r="H299" s="5">
        <v>81762</v>
      </c>
      <c r="I299" s="5" t="s">
        <v>16</v>
      </c>
      <c r="J299" s="5">
        <v>16400745</v>
      </c>
      <c r="K299" s="5" t="s">
        <v>3087</v>
      </c>
      <c r="L299" s="19" t="s">
        <v>3088</v>
      </c>
      <c r="M299" s="24">
        <v>149900</v>
      </c>
      <c r="N299" s="7">
        <v>0.9</v>
      </c>
      <c r="O299" s="6">
        <f t="shared" si="10"/>
        <v>14990</v>
      </c>
      <c r="P299" s="5" t="s">
        <v>504</v>
      </c>
    </row>
    <row r="300" spans="1:16" x14ac:dyDescent="0.35">
      <c r="A300" s="40" t="str">
        <f t="shared" si="9"/>
        <v>ALL 2024 H1 D90</v>
      </c>
      <c r="B300" s="8">
        <f>'ALL 2024 H2 D80'!$B$2</f>
        <v>46114</v>
      </c>
      <c r="C300" s="8">
        <f>'ALL 2024 H2 D80'!$C$2</f>
        <v>46120</v>
      </c>
      <c r="D300" s="5">
        <v>3208</v>
      </c>
      <c r="E300" s="5">
        <v>320</v>
      </c>
      <c r="F300" s="5">
        <v>1</v>
      </c>
      <c r="G300" s="5">
        <v>2</v>
      </c>
      <c r="H300" s="5">
        <v>81762</v>
      </c>
      <c r="I300" s="5" t="s">
        <v>16</v>
      </c>
      <c r="J300" s="5">
        <v>16400754</v>
      </c>
      <c r="K300" s="5" t="s">
        <v>3087</v>
      </c>
      <c r="L300" s="19" t="s">
        <v>3089</v>
      </c>
      <c r="M300" s="24">
        <v>149900</v>
      </c>
      <c r="N300" s="7">
        <v>0.9</v>
      </c>
      <c r="O300" s="6">
        <f t="shared" si="10"/>
        <v>14990</v>
      </c>
      <c r="P300" s="5" t="s">
        <v>504</v>
      </c>
    </row>
    <row r="301" spans="1:16" x14ac:dyDescent="0.35">
      <c r="A301" s="40" t="str">
        <f t="shared" si="9"/>
        <v>ALL 2024 H1 D90</v>
      </c>
      <c r="B301" s="8">
        <f>'ALL 2024 H2 D80'!$B$2</f>
        <v>46114</v>
      </c>
      <c r="C301" s="8">
        <f>'ALL 2024 H2 D80'!$C$2</f>
        <v>46120</v>
      </c>
      <c r="D301" s="5">
        <v>3208</v>
      </c>
      <c r="E301" s="5">
        <v>320</v>
      </c>
      <c r="F301" s="5">
        <v>1</v>
      </c>
      <c r="G301" s="5">
        <v>2</v>
      </c>
      <c r="H301" s="5">
        <v>81762</v>
      </c>
      <c r="I301" s="5" t="s">
        <v>16</v>
      </c>
      <c r="J301" s="5">
        <v>16400763</v>
      </c>
      <c r="K301" s="5" t="s">
        <v>3087</v>
      </c>
      <c r="L301" s="19" t="s">
        <v>3090</v>
      </c>
      <c r="M301" s="24">
        <v>149900</v>
      </c>
      <c r="N301" s="7">
        <v>0.9</v>
      </c>
      <c r="O301" s="6">
        <f t="shared" si="10"/>
        <v>14990</v>
      </c>
      <c r="P301" s="5" t="s">
        <v>504</v>
      </c>
    </row>
    <row r="302" spans="1:16" x14ac:dyDescent="0.35">
      <c r="A302" s="40" t="str">
        <f t="shared" si="9"/>
        <v>ALL 2024 H1 D90</v>
      </c>
      <c r="B302" s="8">
        <f>'ALL 2024 H2 D80'!$B$2</f>
        <v>46114</v>
      </c>
      <c r="C302" s="8">
        <f>'ALL 2024 H2 D80'!$C$2</f>
        <v>46120</v>
      </c>
      <c r="D302" s="5">
        <v>3208</v>
      </c>
      <c r="E302" s="5">
        <v>320</v>
      </c>
      <c r="F302" s="5">
        <v>1</v>
      </c>
      <c r="G302" s="5">
        <v>2</v>
      </c>
      <c r="H302" s="5">
        <v>81762</v>
      </c>
      <c r="I302" s="5" t="s">
        <v>16</v>
      </c>
      <c r="J302" s="5">
        <v>16400772</v>
      </c>
      <c r="K302" s="5" t="s">
        <v>3087</v>
      </c>
      <c r="L302" s="19" t="s">
        <v>3091</v>
      </c>
      <c r="M302" s="24">
        <v>149900</v>
      </c>
      <c r="N302" s="7">
        <v>0.9</v>
      </c>
      <c r="O302" s="6">
        <f t="shared" si="10"/>
        <v>14990</v>
      </c>
      <c r="P302" s="5" t="s">
        <v>504</v>
      </c>
    </row>
    <row r="303" spans="1:16" x14ac:dyDescent="0.35">
      <c r="A303" s="40" t="str">
        <f t="shared" si="9"/>
        <v>ALL 2024 H1 D90</v>
      </c>
      <c r="B303" s="8">
        <f>'ALL 2024 H2 D80'!$B$2</f>
        <v>46114</v>
      </c>
      <c r="C303" s="8">
        <f>'ALL 2024 H2 D80'!$C$2</f>
        <v>46120</v>
      </c>
      <c r="D303" s="5">
        <v>3208</v>
      </c>
      <c r="E303" s="5">
        <v>320</v>
      </c>
      <c r="F303" s="5">
        <v>1</v>
      </c>
      <c r="G303" s="5">
        <v>2</v>
      </c>
      <c r="H303" s="5">
        <v>81762</v>
      </c>
      <c r="I303" s="5" t="s">
        <v>16</v>
      </c>
      <c r="J303" s="5">
        <v>16400781</v>
      </c>
      <c r="K303" s="5" t="s">
        <v>3087</v>
      </c>
      <c r="L303" s="19" t="s">
        <v>3092</v>
      </c>
      <c r="M303" s="24">
        <v>149900</v>
      </c>
      <c r="N303" s="7">
        <v>0.9</v>
      </c>
      <c r="O303" s="6">
        <f t="shared" si="10"/>
        <v>14990</v>
      </c>
      <c r="P303" s="5" t="s">
        <v>504</v>
      </c>
    </row>
    <row r="304" spans="1:16" x14ac:dyDescent="0.35">
      <c r="A304" s="40" t="str">
        <f t="shared" si="9"/>
        <v>ALL 2024 H1 D90</v>
      </c>
      <c r="B304" s="8">
        <f>'ALL 2024 H2 D80'!$B$2</f>
        <v>46114</v>
      </c>
      <c r="C304" s="8">
        <f>'ALL 2024 H2 D80'!$C$2</f>
        <v>46120</v>
      </c>
      <c r="D304" s="5">
        <v>3208</v>
      </c>
      <c r="E304" s="5">
        <v>320</v>
      </c>
      <c r="F304" s="5">
        <v>1</v>
      </c>
      <c r="G304" s="5">
        <v>2</v>
      </c>
      <c r="H304" s="5">
        <v>81762</v>
      </c>
      <c r="I304" s="5" t="s">
        <v>16</v>
      </c>
      <c r="J304" s="5">
        <v>16400790</v>
      </c>
      <c r="K304" s="5" t="s">
        <v>3087</v>
      </c>
      <c r="L304" s="19" t="s">
        <v>3093</v>
      </c>
      <c r="M304" s="24">
        <v>149900</v>
      </c>
      <c r="N304" s="7">
        <v>0.9</v>
      </c>
      <c r="O304" s="6">
        <f t="shared" si="10"/>
        <v>14990</v>
      </c>
      <c r="P304" s="5" t="s">
        <v>504</v>
      </c>
    </row>
    <row r="305" spans="1:16" x14ac:dyDescent="0.35">
      <c r="A305" s="40" t="str">
        <f t="shared" si="9"/>
        <v>ALL 2024 H1 D90</v>
      </c>
      <c r="B305" s="8">
        <f>'ALL 2024 H2 D80'!$B$2</f>
        <v>46114</v>
      </c>
      <c r="C305" s="8">
        <f>'ALL 2024 H2 D80'!$C$2</f>
        <v>46120</v>
      </c>
      <c r="D305" s="5">
        <v>3208</v>
      </c>
      <c r="E305" s="5">
        <v>320</v>
      </c>
      <c r="F305" s="5">
        <v>1</v>
      </c>
      <c r="G305" s="5">
        <v>2</v>
      </c>
      <c r="H305" s="5">
        <v>81762</v>
      </c>
      <c r="I305" s="5" t="s">
        <v>16</v>
      </c>
      <c r="J305" s="5">
        <v>16400807</v>
      </c>
      <c r="K305" s="5" t="s">
        <v>3087</v>
      </c>
      <c r="L305" s="19" t="s">
        <v>3094</v>
      </c>
      <c r="M305" s="24">
        <v>149900</v>
      </c>
      <c r="N305" s="7">
        <v>0.9</v>
      </c>
      <c r="O305" s="6">
        <f t="shared" si="10"/>
        <v>14990</v>
      </c>
      <c r="P305" s="5" t="s">
        <v>504</v>
      </c>
    </row>
    <row r="306" spans="1:16" x14ac:dyDescent="0.35">
      <c r="A306" s="40" t="str">
        <f t="shared" si="9"/>
        <v>ALL 2024 H1 D90</v>
      </c>
      <c r="B306" s="8">
        <f>'ALL 2024 H2 D80'!$B$2</f>
        <v>46114</v>
      </c>
      <c r="C306" s="8">
        <f>'ALL 2024 H2 D80'!$C$2</f>
        <v>46120</v>
      </c>
      <c r="D306" s="5">
        <v>3208</v>
      </c>
      <c r="E306" s="5">
        <v>320</v>
      </c>
      <c r="F306" s="5">
        <v>1</v>
      </c>
      <c r="G306" s="5">
        <v>2</v>
      </c>
      <c r="H306" s="5">
        <v>81762</v>
      </c>
      <c r="I306" s="5" t="s">
        <v>16</v>
      </c>
      <c r="J306" s="5">
        <v>16400816</v>
      </c>
      <c r="K306" s="5" t="s">
        <v>3087</v>
      </c>
      <c r="L306" s="19" t="s">
        <v>3582</v>
      </c>
      <c r="M306" s="24">
        <v>149900</v>
      </c>
      <c r="N306" s="7">
        <v>0.9</v>
      </c>
      <c r="O306" s="6">
        <f t="shared" si="10"/>
        <v>14990</v>
      </c>
      <c r="P306" s="5" t="s">
        <v>504</v>
      </c>
    </row>
    <row r="307" spans="1:16" x14ac:dyDescent="0.35">
      <c r="A307" s="40" t="str">
        <f t="shared" si="9"/>
        <v>ALL 2024 H1 D90</v>
      </c>
      <c r="B307" s="8">
        <f>'ALL 2024 H2 D80'!$B$2</f>
        <v>46114</v>
      </c>
      <c r="C307" s="8">
        <f>'ALL 2024 H2 D80'!$C$2</f>
        <v>46120</v>
      </c>
      <c r="D307" s="5">
        <v>3208</v>
      </c>
      <c r="E307" s="5">
        <v>320</v>
      </c>
      <c r="F307" s="5">
        <v>1</v>
      </c>
      <c r="G307" s="5">
        <v>5</v>
      </c>
      <c r="H307" s="5">
        <v>81626</v>
      </c>
      <c r="I307" s="5" t="s">
        <v>16</v>
      </c>
      <c r="J307" s="5">
        <v>73366999</v>
      </c>
      <c r="K307" s="5" t="s">
        <v>70</v>
      </c>
      <c r="L307" s="19" t="s">
        <v>71</v>
      </c>
      <c r="M307" s="24">
        <v>129000</v>
      </c>
      <c r="N307" s="7">
        <v>0.9</v>
      </c>
      <c r="O307" s="6">
        <f t="shared" si="10"/>
        <v>12900</v>
      </c>
      <c r="P307" s="5" t="s">
        <v>504</v>
      </c>
    </row>
    <row r="308" spans="1:16" x14ac:dyDescent="0.35">
      <c r="A308" s="40" t="str">
        <f t="shared" si="9"/>
        <v>ALL 2024 H1 D90</v>
      </c>
      <c r="B308" s="8">
        <f>'ALL 2024 H2 D80'!$B$2</f>
        <v>46114</v>
      </c>
      <c r="C308" s="8">
        <f>'ALL 2024 H2 D80'!$C$2</f>
        <v>46120</v>
      </c>
      <c r="D308" s="5">
        <v>3208</v>
      </c>
      <c r="E308" s="5">
        <v>320</v>
      </c>
      <c r="F308" s="5">
        <v>1</v>
      </c>
      <c r="G308" s="5">
        <v>5</v>
      </c>
      <c r="H308" s="5">
        <v>81626</v>
      </c>
      <c r="I308" s="5" t="s">
        <v>16</v>
      </c>
      <c r="J308" s="5">
        <v>73367005</v>
      </c>
      <c r="K308" s="5" t="s">
        <v>70</v>
      </c>
      <c r="L308" s="19" t="s">
        <v>72</v>
      </c>
      <c r="M308" s="24">
        <v>129000</v>
      </c>
      <c r="N308" s="7">
        <v>0.9</v>
      </c>
      <c r="O308" s="6">
        <f t="shared" si="10"/>
        <v>12900</v>
      </c>
      <c r="P308" s="5" t="s">
        <v>504</v>
      </c>
    </row>
    <row r="309" spans="1:16" x14ac:dyDescent="0.35">
      <c r="A309" s="40" t="str">
        <f t="shared" si="9"/>
        <v>ALL 2024 H1 D90</v>
      </c>
      <c r="B309" s="8">
        <f>'ALL 2024 H2 D80'!$B$2</f>
        <v>46114</v>
      </c>
      <c r="C309" s="8">
        <f>'ALL 2024 H2 D80'!$C$2</f>
        <v>46120</v>
      </c>
      <c r="D309" s="5">
        <v>3208</v>
      </c>
      <c r="E309" s="5">
        <v>320</v>
      </c>
      <c r="F309" s="5">
        <v>1</v>
      </c>
      <c r="G309" s="5">
        <v>5</v>
      </c>
      <c r="H309" s="5">
        <v>81626</v>
      </c>
      <c r="I309" s="5" t="s">
        <v>16</v>
      </c>
      <c r="J309" s="5">
        <v>73367014</v>
      </c>
      <c r="K309" s="5" t="s">
        <v>70</v>
      </c>
      <c r="L309" s="19" t="s">
        <v>73</v>
      </c>
      <c r="M309" s="24">
        <v>129000</v>
      </c>
      <c r="N309" s="7">
        <v>0.9</v>
      </c>
      <c r="O309" s="6">
        <f t="shared" si="10"/>
        <v>12900</v>
      </c>
      <c r="P309" s="5" t="s">
        <v>504</v>
      </c>
    </row>
    <row r="310" spans="1:16" x14ac:dyDescent="0.35">
      <c r="A310" s="40" t="str">
        <f t="shared" si="9"/>
        <v>ALL 2024 H1 D90</v>
      </c>
      <c r="B310" s="8">
        <f>'ALL 2024 H2 D80'!$B$2</f>
        <v>46114</v>
      </c>
      <c r="C310" s="8">
        <f>'ALL 2024 H2 D80'!$C$2</f>
        <v>46120</v>
      </c>
      <c r="D310" s="5">
        <v>3208</v>
      </c>
      <c r="E310" s="5">
        <v>320</v>
      </c>
      <c r="F310" s="5">
        <v>1</v>
      </c>
      <c r="G310" s="5">
        <v>5</v>
      </c>
      <c r="H310" s="5">
        <v>81626</v>
      </c>
      <c r="I310" s="5" t="s">
        <v>16</v>
      </c>
      <c r="J310" s="5">
        <v>73367023</v>
      </c>
      <c r="K310" s="5" t="s">
        <v>70</v>
      </c>
      <c r="L310" s="19" t="s">
        <v>74</v>
      </c>
      <c r="M310" s="24">
        <v>129000</v>
      </c>
      <c r="N310" s="7">
        <v>0.9</v>
      </c>
      <c r="O310" s="6">
        <f t="shared" si="10"/>
        <v>12900</v>
      </c>
      <c r="P310" s="5" t="s">
        <v>504</v>
      </c>
    </row>
    <row r="311" spans="1:16" x14ac:dyDescent="0.35">
      <c r="A311" s="40" t="str">
        <f t="shared" si="9"/>
        <v>ALL 2024 H1 D90</v>
      </c>
      <c r="B311" s="8">
        <f>'ALL 2024 H2 D80'!$B$2</f>
        <v>46114</v>
      </c>
      <c r="C311" s="8">
        <f>'ALL 2024 H2 D80'!$C$2</f>
        <v>46120</v>
      </c>
      <c r="D311" s="5">
        <v>3208</v>
      </c>
      <c r="E311" s="5">
        <v>320</v>
      </c>
      <c r="F311" s="5">
        <v>1</v>
      </c>
      <c r="G311" s="5">
        <v>5</v>
      </c>
      <c r="H311" s="5">
        <v>81626</v>
      </c>
      <c r="I311" s="5" t="s">
        <v>16</v>
      </c>
      <c r="J311" s="5">
        <v>75733696</v>
      </c>
      <c r="K311" s="5" t="s">
        <v>75</v>
      </c>
      <c r="L311" s="19" t="s">
        <v>76</v>
      </c>
      <c r="M311" s="24">
        <v>129000</v>
      </c>
      <c r="N311" s="7">
        <v>0.9</v>
      </c>
      <c r="O311" s="6">
        <f t="shared" si="10"/>
        <v>12900</v>
      </c>
      <c r="P311" s="5" t="s">
        <v>504</v>
      </c>
    </row>
    <row r="312" spans="1:16" x14ac:dyDescent="0.35">
      <c r="A312" s="40" t="str">
        <f t="shared" si="9"/>
        <v>ALL 2024 H1 D90</v>
      </c>
      <c r="B312" s="8">
        <f>'ALL 2024 H2 D80'!$B$2</f>
        <v>46114</v>
      </c>
      <c r="C312" s="8">
        <f>'ALL 2024 H2 D80'!$C$2</f>
        <v>46120</v>
      </c>
      <c r="D312" s="5">
        <v>3208</v>
      </c>
      <c r="E312" s="5">
        <v>320</v>
      </c>
      <c r="F312" s="5">
        <v>1</v>
      </c>
      <c r="G312" s="5">
        <v>5</v>
      </c>
      <c r="H312" s="5">
        <v>81626</v>
      </c>
      <c r="I312" s="5" t="s">
        <v>16</v>
      </c>
      <c r="J312" s="5">
        <v>75733703</v>
      </c>
      <c r="K312" s="5" t="s">
        <v>75</v>
      </c>
      <c r="L312" s="19" t="s">
        <v>77</v>
      </c>
      <c r="M312" s="24">
        <v>129000</v>
      </c>
      <c r="N312" s="7">
        <v>0.9</v>
      </c>
      <c r="O312" s="6">
        <f t="shared" si="10"/>
        <v>12900</v>
      </c>
      <c r="P312" s="5" t="s">
        <v>504</v>
      </c>
    </row>
    <row r="313" spans="1:16" x14ac:dyDescent="0.35">
      <c r="A313" s="40" t="str">
        <f t="shared" si="9"/>
        <v>ALL 2024 H1 D90</v>
      </c>
      <c r="B313" s="8">
        <f>'ALL 2024 H2 D80'!$B$2</f>
        <v>46114</v>
      </c>
      <c r="C313" s="8">
        <f>'ALL 2024 H2 D80'!$C$2</f>
        <v>46120</v>
      </c>
      <c r="D313" s="5">
        <v>3208</v>
      </c>
      <c r="E313" s="5">
        <v>320</v>
      </c>
      <c r="F313" s="5">
        <v>1</v>
      </c>
      <c r="G313" s="5">
        <v>5</v>
      </c>
      <c r="H313" s="5">
        <v>81626</v>
      </c>
      <c r="I313" s="5" t="s">
        <v>16</v>
      </c>
      <c r="J313" s="5">
        <v>75733712</v>
      </c>
      <c r="K313" s="5" t="s">
        <v>75</v>
      </c>
      <c r="L313" s="19" t="s">
        <v>78</v>
      </c>
      <c r="M313" s="24">
        <v>129000</v>
      </c>
      <c r="N313" s="7">
        <v>0.9</v>
      </c>
      <c r="O313" s="6">
        <f t="shared" si="10"/>
        <v>12900</v>
      </c>
      <c r="P313" s="5" t="s">
        <v>504</v>
      </c>
    </row>
    <row r="314" spans="1:16" x14ac:dyDescent="0.35">
      <c r="A314" s="40" t="str">
        <f t="shared" si="9"/>
        <v>ALL 2024 H1 D90</v>
      </c>
      <c r="B314" s="8">
        <f>'ALL 2024 H2 D80'!$B$2</f>
        <v>46114</v>
      </c>
      <c r="C314" s="8">
        <f>'ALL 2024 H2 D80'!$C$2</f>
        <v>46120</v>
      </c>
      <c r="D314" s="5">
        <v>3208</v>
      </c>
      <c r="E314" s="5">
        <v>320</v>
      </c>
      <c r="F314" s="5">
        <v>1</v>
      </c>
      <c r="G314" s="5">
        <v>5</v>
      </c>
      <c r="H314" s="5">
        <v>81626</v>
      </c>
      <c r="I314" s="5" t="s">
        <v>16</v>
      </c>
      <c r="J314" s="5">
        <v>75733721</v>
      </c>
      <c r="K314" s="5" t="s">
        <v>75</v>
      </c>
      <c r="L314" s="19" t="s">
        <v>79</v>
      </c>
      <c r="M314" s="24">
        <v>129000</v>
      </c>
      <c r="N314" s="7">
        <v>0.9</v>
      </c>
      <c r="O314" s="6">
        <f t="shared" si="10"/>
        <v>12900</v>
      </c>
      <c r="P314" s="5" t="s">
        <v>504</v>
      </c>
    </row>
    <row r="315" spans="1:16" x14ac:dyDescent="0.35">
      <c r="A315" s="40" t="str">
        <f t="shared" si="9"/>
        <v>ALL 2024 H1 D90</v>
      </c>
      <c r="B315" s="8">
        <f>'ALL 2024 H2 D80'!$B$2</f>
        <v>46114</v>
      </c>
      <c r="C315" s="8">
        <f>'ALL 2024 H2 D80'!$C$2</f>
        <v>46120</v>
      </c>
      <c r="D315" s="5">
        <v>3208</v>
      </c>
      <c r="E315" s="5">
        <v>320</v>
      </c>
      <c r="F315" s="5">
        <v>1</v>
      </c>
      <c r="G315" s="5">
        <v>5</v>
      </c>
      <c r="H315" s="5">
        <v>81626</v>
      </c>
      <c r="I315" s="5" t="s">
        <v>16</v>
      </c>
      <c r="J315" s="5">
        <v>78416176</v>
      </c>
      <c r="K315" s="5" t="s">
        <v>80</v>
      </c>
      <c r="L315" s="19" t="s">
        <v>81</v>
      </c>
      <c r="M315" s="24">
        <v>129000</v>
      </c>
      <c r="N315" s="7">
        <v>0.9</v>
      </c>
      <c r="O315" s="6">
        <f t="shared" si="10"/>
        <v>12900</v>
      </c>
      <c r="P315" s="5" t="s">
        <v>504</v>
      </c>
    </row>
    <row r="316" spans="1:16" x14ac:dyDescent="0.35">
      <c r="A316" s="40" t="str">
        <f t="shared" si="9"/>
        <v>ALL 2024 H1 D90</v>
      </c>
      <c r="B316" s="8">
        <f>'ALL 2024 H2 D80'!$B$2</f>
        <v>46114</v>
      </c>
      <c r="C316" s="8">
        <f>'ALL 2024 H2 D80'!$C$2</f>
        <v>46120</v>
      </c>
      <c r="D316" s="5">
        <v>3208</v>
      </c>
      <c r="E316" s="5">
        <v>320</v>
      </c>
      <c r="F316" s="5">
        <v>1</v>
      </c>
      <c r="G316" s="5">
        <v>5</v>
      </c>
      <c r="H316" s="5">
        <v>81626</v>
      </c>
      <c r="I316" s="5" t="s">
        <v>16</v>
      </c>
      <c r="J316" s="5">
        <v>78416185</v>
      </c>
      <c r="K316" s="5" t="s">
        <v>80</v>
      </c>
      <c r="L316" s="19" t="s">
        <v>82</v>
      </c>
      <c r="M316" s="24">
        <v>129000</v>
      </c>
      <c r="N316" s="7">
        <v>0.9</v>
      </c>
      <c r="O316" s="6">
        <f t="shared" si="10"/>
        <v>12900</v>
      </c>
      <c r="P316" s="5" t="s">
        <v>504</v>
      </c>
    </row>
    <row r="317" spans="1:16" x14ac:dyDescent="0.35">
      <c r="A317" s="40" t="str">
        <f t="shared" si="9"/>
        <v>ALL 2024 H1 D90</v>
      </c>
      <c r="B317" s="8">
        <f>'ALL 2024 H2 D80'!$B$2</f>
        <v>46114</v>
      </c>
      <c r="C317" s="8">
        <f>'ALL 2024 H2 D80'!$C$2</f>
        <v>46120</v>
      </c>
      <c r="D317" s="5">
        <v>3208</v>
      </c>
      <c r="E317" s="5">
        <v>320</v>
      </c>
      <c r="F317" s="5">
        <v>1</v>
      </c>
      <c r="G317" s="5">
        <v>5</v>
      </c>
      <c r="H317" s="5">
        <v>81626</v>
      </c>
      <c r="I317" s="5" t="s">
        <v>16</v>
      </c>
      <c r="J317" s="5">
        <v>78416194</v>
      </c>
      <c r="K317" s="5" t="s">
        <v>80</v>
      </c>
      <c r="L317" s="19" t="s">
        <v>83</v>
      </c>
      <c r="M317" s="24">
        <v>129000</v>
      </c>
      <c r="N317" s="7">
        <v>0.9</v>
      </c>
      <c r="O317" s="6">
        <f t="shared" si="10"/>
        <v>12900</v>
      </c>
      <c r="P317" s="5" t="s">
        <v>504</v>
      </c>
    </row>
    <row r="318" spans="1:16" x14ac:dyDescent="0.35">
      <c r="A318" s="40" t="str">
        <f t="shared" si="9"/>
        <v>ALL 2024 H1 D90</v>
      </c>
      <c r="B318" s="8">
        <f>'ALL 2024 H2 D80'!$B$2</f>
        <v>46114</v>
      </c>
      <c r="C318" s="8">
        <f>'ALL 2024 H2 D80'!$C$2</f>
        <v>46120</v>
      </c>
      <c r="D318" s="5">
        <v>3208</v>
      </c>
      <c r="E318" s="5">
        <v>320</v>
      </c>
      <c r="F318" s="5">
        <v>1</v>
      </c>
      <c r="G318" s="5">
        <v>5</v>
      </c>
      <c r="H318" s="5">
        <v>81626</v>
      </c>
      <c r="I318" s="5" t="s">
        <v>16</v>
      </c>
      <c r="J318" s="5">
        <v>78416201</v>
      </c>
      <c r="K318" s="5" t="s">
        <v>80</v>
      </c>
      <c r="L318" s="19" t="s">
        <v>84</v>
      </c>
      <c r="M318" s="24">
        <v>129000</v>
      </c>
      <c r="N318" s="7">
        <v>0.9</v>
      </c>
      <c r="O318" s="6">
        <f t="shared" si="10"/>
        <v>12900</v>
      </c>
      <c r="P318" s="5" t="s">
        <v>504</v>
      </c>
    </row>
    <row r="319" spans="1:16" x14ac:dyDescent="0.35">
      <c r="A319" s="40" t="str">
        <f t="shared" si="9"/>
        <v>ALL 2024 H1 D90</v>
      </c>
      <c r="B319" s="8">
        <f>'ALL 2024 H2 D80'!$B$2</f>
        <v>46114</v>
      </c>
      <c r="C319" s="8">
        <f>'ALL 2024 H2 D80'!$C$2</f>
        <v>46120</v>
      </c>
      <c r="D319" s="5">
        <v>3208</v>
      </c>
      <c r="E319" s="5">
        <v>320</v>
      </c>
      <c r="F319" s="5">
        <v>1</v>
      </c>
      <c r="G319" s="5">
        <v>5</v>
      </c>
      <c r="H319" s="5">
        <v>81626</v>
      </c>
      <c r="I319" s="5" t="s">
        <v>16</v>
      </c>
      <c r="J319" s="5">
        <v>78416210</v>
      </c>
      <c r="K319" s="5" t="s">
        <v>80</v>
      </c>
      <c r="L319" s="19" t="s">
        <v>85</v>
      </c>
      <c r="M319" s="24">
        <v>129000</v>
      </c>
      <c r="N319" s="7">
        <v>0.9</v>
      </c>
      <c r="O319" s="6">
        <f t="shared" si="10"/>
        <v>12900</v>
      </c>
      <c r="P319" s="5" t="s">
        <v>504</v>
      </c>
    </row>
    <row r="320" spans="1:16" x14ac:dyDescent="0.35">
      <c r="A320" s="40" t="str">
        <f t="shared" si="9"/>
        <v>ALL 2024 H1 D90</v>
      </c>
      <c r="B320" s="8">
        <f>'ALL 2024 H2 D80'!$B$2</f>
        <v>46114</v>
      </c>
      <c r="C320" s="8">
        <f>'ALL 2024 H2 D80'!$C$2</f>
        <v>46120</v>
      </c>
      <c r="D320" s="5">
        <v>3208</v>
      </c>
      <c r="E320" s="5">
        <v>320</v>
      </c>
      <c r="F320" s="5">
        <v>1</v>
      </c>
      <c r="G320" s="5">
        <v>5</v>
      </c>
      <c r="H320" s="5">
        <v>81626</v>
      </c>
      <c r="I320" s="5" t="s">
        <v>16</v>
      </c>
      <c r="J320" s="5">
        <v>78416229</v>
      </c>
      <c r="K320" s="5" t="s">
        <v>80</v>
      </c>
      <c r="L320" s="19" t="s">
        <v>86</v>
      </c>
      <c r="M320" s="24">
        <v>129000</v>
      </c>
      <c r="N320" s="7">
        <v>0.9</v>
      </c>
      <c r="O320" s="6">
        <f t="shared" si="10"/>
        <v>12900</v>
      </c>
      <c r="P320" s="5" t="s">
        <v>504</v>
      </c>
    </row>
    <row r="321" spans="1:16" x14ac:dyDescent="0.35">
      <c r="A321" s="40" t="str">
        <f t="shared" si="9"/>
        <v>ALL 2024 H1 D90</v>
      </c>
      <c r="B321" s="8">
        <f>'ALL 2024 H2 D80'!$B$2</f>
        <v>46114</v>
      </c>
      <c r="C321" s="8">
        <f>'ALL 2024 H2 D80'!$C$2</f>
        <v>46120</v>
      </c>
      <c r="D321" s="5">
        <v>3208</v>
      </c>
      <c r="E321" s="5">
        <v>320</v>
      </c>
      <c r="F321" s="5">
        <v>1</v>
      </c>
      <c r="G321" s="5">
        <v>5</v>
      </c>
      <c r="H321" s="5">
        <v>81626</v>
      </c>
      <c r="I321" s="5" t="s">
        <v>16</v>
      </c>
      <c r="J321" s="5">
        <v>78416238</v>
      </c>
      <c r="K321" s="5" t="s">
        <v>80</v>
      </c>
      <c r="L321" s="19" t="s">
        <v>87</v>
      </c>
      <c r="M321" s="24">
        <v>129000</v>
      </c>
      <c r="N321" s="7">
        <v>0.9</v>
      </c>
      <c r="O321" s="6">
        <f t="shared" si="10"/>
        <v>12900</v>
      </c>
      <c r="P321" s="5" t="s">
        <v>504</v>
      </c>
    </row>
    <row r="322" spans="1:16" x14ac:dyDescent="0.35">
      <c r="A322" s="40" t="str">
        <f t="shared" si="9"/>
        <v>ALL 2024 H1 D90</v>
      </c>
      <c r="B322" s="8">
        <f>'ALL 2024 H2 D80'!$B$2</f>
        <v>46114</v>
      </c>
      <c r="C322" s="8">
        <f>'ALL 2024 H2 D80'!$C$2</f>
        <v>46120</v>
      </c>
      <c r="D322" s="5">
        <v>3208</v>
      </c>
      <c r="E322" s="5">
        <v>320</v>
      </c>
      <c r="F322" s="5">
        <v>1</v>
      </c>
      <c r="G322" s="5">
        <v>5</v>
      </c>
      <c r="H322" s="5">
        <v>81626</v>
      </c>
      <c r="I322" s="5" t="s">
        <v>16</v>
      </c>
      <c r="J322" s="5">
        <v>78416247</v>
      </c>
      <c r="K322" s="5" t="s">
        <v>80</v>
      </c>
      <c r="L322" s="19" t="s">
        <v>88</v>
      </c>
      <c r="M322" s="24">
        <v>129000</v>
      </c>
      <c r="N322" s="7">
        <v>0.9</v>
      </c>
      <c r="O322" s="6">
        <f t="shared" si="10"/>
        <v>12900</v>
      </c>
      <c r="P322" s="5" t="s">
        <v>504</v>
      </c>
    </row>
    <row r="323" spans="1:16" x14ac:dyDescent="0.35">
      <c r="A323" s="40" t="str">
        <f t="shared" si="9"/>
        <v>ALL 2024 H1 D90</v>
      </c>
      <c r="B323" s="8">
        <f>'ALL 2024 H2 D80'!$B$2</f>
        <v>46114</v>
      </c>
      <c r="C323" s="8">
        <f>'ALL 2024 H2 D80'!$C$2</f>
        <v>46120</v>
      </c>
      <c r="D323" s="5">
        <v>3208</v>
      </c>
      <c r="E323" s="5">
        <v>320</v>
      </c>
      <c r="F323" s="5">
        <v>1</v>
      </c>
      <c r="G323" s="5">
        <v>5</v>
      </c>
      <c r="H323" s="5">
        <v>81626</v>
      </c>
      <c r="I323" s="5" t="s">
        <v>16</v>
      </c>
      <c r="J323" s="5">
        <v>80908354</v>
      </c>
      <c r="K323" s="5" t="s">
        <v>89</v>
      </c>
      <c r="L323" s="19" t="s">
        <v>90</v>
      </c>
      <c r="M323" s="24">
        <v>129000</v>
      </c>
      <c r="N323" s="7">
        <v>0.9</v>
      </c>
      <c r="O323" s="6">
        <f t="shared" si="10"/>
        <v>12900</v>
      </c>
      <c r="P323" s="5" t="s">
        <v>504</v>
      </c>
    </row>
    <row r="324" spans="1:16" x14ac:dyDescent="0.35">
      <c r="A324" s="40" t="str">
        <f t="shared" si="9"/>
        <v>ALL 2024 H1 D90</v>
      </c>
      <c r="B324" s="8">
        <f>'ALL 2024 H2 D80'!$B$2</f>
        <v>46114</v>
      </c>
      <c r="C324" s="8">
        <f>'ALL 2024 H2 D80'!$C$2</f>
        <v>46120</v>
      </c>
      <c r="D324" s="5">
        <v>3208</v>
      </c>
      <c r="E324" s="5">
        <v>320</v>
      </c>
      <c r="F324" s="5">
        <v>1</v>
      </c>
      <c r="G324" s="5">
        <v>5</v>
      </c>
      <c r="H324" s="5">
        <v>81626</v>
      </c>
      <c r="I324" s="5" t="s">
        <v>16</v>
      </c>
      <c r="J324" s="5">
        <v>80908363</v>
      </c>
      <c r="K324" s="5" t="s">
        <v>89</v>
      </c>
      <c r="L324" s="19" t="s">
        <v>91</v>
      </c>
      <c r="M324" s="24">
        <v>129000</v>
      </c>
      <c r="N324" s="7">
        <v>0.9</v>
      </c>
      <c r="O324" s="6">
        <f t="shared" si="10"/>
        <v>12900</v>
      </c>
      <c r="P324" s="5" t="s">
        <v>504</v>
      </c>
    </row>
    <row r="325" spans="1:16" x14ac:dyDescent="0.35">
      <c r="A325" s="40" t="str">
        <f t="shared" ref="A325:A388" si="11">$A$2</f>
        <v>ALL 2024 H1 D90</v>
      </c>
      <c r="B325" s="8">
        <f>'ALL 2024 H2 D80'!$B$2</f>
        <v>46114</v>
      </c>
      <c r="C325" s="8">
        <f>'ALL 2024 H2 D80'!$C$2</f>
        <v>46120</v>
      </c>
      <c r="D325" s="5">
        <v>3208</v>
      </c>
      <c r="E325" s="5">
        <v>320</v>
      </c>
      <c r="F325" s="5">
        <v>1</v>
      </c>
      <c r="G325" s="5">
        <v>5</v>
      </c>
      <c r="H325" s="5">
        <v>81626</v>
      </c>
      <c r="I325" s="5" t="s">
        <v>16</v>
      </c>
      <c r="J325" s="5">
        <v>80908372</v>
      </c>
      <c r="K325" s="5" t="s">
        <v>89</v>
      </c>
      <c r="L325" s="19" t="s">
        <v>92</v>
      </c>
      <c r="M325" s="24">
        <v>129000</v>
      </c>
      <c r="N325" s="7">
        <v>0.9</v>
      </c>
      <c r="O325" s="6">
        <f t="shared" si="10"/>
        <v>12900</v>
      </c>
      <c r="P325" s="5" t="s">
        <v>504</v>
      </c>
    </row>
    <row r="326" spans="1:16" x14ac:dyDescent="0.35">
      <c r="A326" s="40" t="str">
        <f t="shared" si="11"/>
        <v>ALL 2024 H1 D90</v>
      </c>
      <c r="B326" s="8">
        <f>'ALL 2024 H2 D80'!$B$2</f>
        <v>46114</v>
      </c>
      <c r="C326" s="8">
        <f>'ALL 2024 H2 D80'!$C$2</f>
        <v>46120</v>
      </c>
      <c r="D326" s="5">
        <v>3208</v>
      </c>
      <c r="E326" s="5">
        <v>320</v>
      </c>
      <c r="F326" s="5">
        <v>1</v>
      </c>
      <c r="G326" s="5">
        <v>5</v>
      </c>
      <c r="H326" s="5">
        <v>81626</v>
      </c>
      <c r="I326" s="5" t="s">
        <v>16</v>
      </c>
      <c r="J326" s="5">
        <v>80908381</v>
      </c>
      <c r="K326" s="5" t="s">
        <v>89</v>
      </c>
      <c r="L326" s="19" t="s">
        <v>93</v>
      </c>
      <c r="M326" s="24">
        <v>129000</v>
      </c>
      <c r="N326" s="7">
        <v>0.9</v>
      </c>
      <c r="O326" s="6">
        <f t="shared" si="10"/>
        <v>12900</v>
      </c>
      <c r="P326" s="5" t="s">
        <v>504</v>
      </c>
    </row>
    <row r="327" spans="1:16" x14ac:dyDescent="0.35">
      <c r="A327" s="40" t="str">
        <f t="shared" si="11"/>
        <v>ALL 2024 H1 D90</v>
      </c>
      <c r="B327" s="8">
        <f>'ALL 2024 H2 D80'!$B$2</f>
        <v>46114</v>
      </c>
      <c r="C327" s="8">
        <f>'ALL 2024 H2 D80'!$C$2</f>
        <v>46120</v>
      </c>
      <c r="D327" s="5">
        <v>3208</v>
      </c>
      <c r="E327" s="5">
        <v>320</v>
      </c>
      <c r="F327" s="5">
        <v>1</v>
      </c>
      <c r="G327" s="5">
        <v>3</v>
      </c>
      <c r="H327" s="5">
        <v>81626</v>
      </c>
      <c r="I327" s="5" t="s">
        <v>16</v>
      </c>
      <c r="J327" s="5">
        <v>80908318</v>
      </c>
      <c r="K327" s="5" t="s">
        <v>65</v>
      </c>
      <c r="L327" s="19" t="s">
        <v>66</v>
      </c>
      <c r="M327" s="24">
        <v>129000</v>
      </c>
      <c r="N327" s="7">
        <v>0.9</v>
      </c>
      <c r="O327" s="6">
        <f t="shared" si="10"/>
        <v>12900</v>
      </c>
      <c r="P327" s="5" t="s">
        <v>504</v>
      </c>
    </row>
    <row r="328" spans="1:16" x14ac:dyDescent="0.35">
      <c r="A328" s="40" t="str">
        <f t="shared" si="11"/>
        <v>ALL 2024 H1 D90</v>
      </c>
      <c r="B328" s="8">
        <f>'ALL 2024 H2 D80'!$B$2</f>
        <v>46114</v>
      </c>
      <c r="C328" s="8">
        <f>'ALL 2024 H2 D80'!$C$2</f>
        <v>46120</v>
      </c>
      <c r="D328" s="5">
        <v>3208</v>
      </c>
      <c r="E328" s="5">
        <v>320</v>
      </c>
      <c r="F328" s="5">
        <v>1</v>
      </c>
      <c r="G328" s="5">
        <v>3</v>
      </c>
      <c r="H328" s="5">
        <v>81626</v>
      </c>
      <c r="I328" s="5" t="s">
        <v>16</v>
      </c>
      <c r="J328" s="5">
        <v>80908327</v>
      </c>
      <c r="K328" s="5" t="s">
        <v>65</v>
      </c>
      <c r="L328" s="19" t="s">
        <v>67</v>
      </c>
      <c r="M328" s="24">
        <v>129000</v>
      </c>
      <c r="N328" s="7">
        <v>0.9</v>
      </c>
      <c r="O328" s="6">
        <f t="shared" si="10"/>
        <v>12900</v>
      </c>
      <c r="P328" s="5" t="s">
        <v>504</v>
      </c>
    </row>
    <row r="329" spans="1:16" x14ac:dyDescent="0.35">
      <c r="A329" s="40" t="str">
        <f t="shared" si="11"/>
        <v>ALL 2024 H1 D90</v>
      </c>
      <c r="B329" s="8">
        <f>'ALL 2024 H2 D80'!$B$2</f>
        <v>46114</v>
      </c>
      <c r="C329" s="8">
        <f>'ALL 2024 H2 D80'!$C$2</f>
        <v>46120</v>
      </c>
      <c r="D329" s="5">
        <v>3208</v>
      </c>
      <c r="E329" s="5">
        <v>320</v>
      </c>
      <c r="F329" s="5">
        <v>1</v>
      </c>
      <c r="G329" s="5">
        <v>3</v>
      </c>
      <c r="H329" s="5">
        <v>81626</v>
      </c>
      <c r="I329" s="5" t="s">
        <v>16</v>
      </c>
      <c r="J329" s="5">
        <v>80908336</v>
      </c>
      <c r="K329" s="5" t="s">
        <v>65</v>
      </c>
      <c r="L329" s="19" t="s">
        <v>68</v>
      </c>
      <c r="M329" s="24">
        <v>129000</v>
      </c>
      <c r="N329" s="7">
        <v>0.9</v>
      </c>
      <c r="O329" s="6">
        <f t="shared" si="10"/>
        <v>12900</v>
      </c>
      <c r="P329" s="5" t="s">
        <v>504</v>
      </c>
    </row>
    <row r="330" spans="1:16" x14ac:dyDescent="0.35">
      <c r="A330" s="40" t="str">
        <f t="shared" si="11"/>
        <v>ALL 2024 H1 D90</v>
      </c>
      <c r="B330" s="8">
        <f>'ALL 2024 H2 D80'!$B$2</f>
        <v>46114</v>
      </c>
      <c r="C330" s="8">
        <f>'ALL 2024 H2 D80'!$C$2</f>
        <v>46120</v>
      </c>
      <c r="D330" s="5">
        <v>3208</v>
      </c>
      <c r="E330" s="5">
        <v>320</v>
      </c>
      <c r="F330" s="5">
        <v>1</v>
      </c>
      <c r="G330" s="5">
        <v>3</v>
      </c>
      <c r="H330" s="5">
        <v>81626</v>
      </c>
      <c r="I330" s="5" t="s">
        <v>16</v>
      </c>
      <c r="J330" s="5">
        <v>80908345</v>
      </c>
      <c r="K330" s="5" t="s">
        <v>65</v>
      </c>
      <c r="L330" s="19" t="s">
        <v>69</v>
      </c>
      <c r="M330" s="24">
        <v>129000</v>
      </c>
      <c r="N330" s="7">
        <v>0.9</v>
      </c>
      <c r="O330" s="6">
        <f t="shared" si="10"/>
        <v>12900</v>
      </c>
      <c r="P330" s="5" t="s">
        <v>504</v>
      </c>
    </row>
    <row r="331" spans="1:16" x14ac:dyDescent="0.35">
      <c r="A331" s="40" t="str">
        <f t="shared" si="11"/>
        <v>ALL 2024 H1 D90</v>
      </c>
      <c r="B331" s="8">
        <f>'ALL 2024 H2 D80'!$B$2</f>
        <v>46114</v>
      </c>
      <c r="C331" s="8">
        <f>'ALL 2024 H2 D80'!$C$2</f>
        <v>46120</v>
      </c>
      <c r="D331" s="5">
        <v>3208</v>
      </c>
      <c r="E331" s="5">
        <v>320</v>
      </c>
      <c r="F331" s="5">
        <v>1</v>
      </c>
      <c r="G331" s="5">
        <v>2</v>
      </c>
      <c r="H331" s="5">
        <v>80954</v>
      </c>
      <c r="I331" s="5" t="s">
        <v>16</v>
      </c>
      <c r="J331" s="5">
        <v>18736719</v>
      </c>
      <c r="K331" s="5" t="s">
        <v>3192</v>
      </c>
      <c r="L331" s="19" t="s">
        <v>3193</v>
      </c>
      <c r="M331" s="24">
        <v>89900</v>
      </c>
      <c r="N331" s="7">
        <v>0.9</v>
      </c>
      <c r="O331" s="6">
        <f t="shared" si="10"/>
        <v>8990</v>
      </c>
      <c r="P331" s="5" t="s">
        <v>504</v>
      </c>
    </row>
    <row r="332" spans="1:16" x14ac:dyDescent="0.35">
      <c r="A332" s="40" t="str">
        <f t="shared" si="11"/>
        <v>ALL 2024 H1 D90</v>
      </c>
      <c r="B332" s="8">
        <f>'ALL 2024 H2 D80'!$B$2</f>
        <v>46114</v>
      </c>
      <c r="C332" s="8">
        <f>'ALL 2024 H2 D80'!$C$2</f>
        <v>46120</v>
      </c>
      <c r="D332" s="5">
        <v>3208</v>
      </c>
      <c r="E332" s="5">
        <v>320</v>
      </c>
      <c r="F332" s="5">
        <v>1</v>
      </c>
      <c r="G332" s="5">
        <v>2</v>
      </c>
      <c r="H332" s="5">
        <v>80954</v>
      </c>
      <c r="I332" s="5" t="s">
        <v>16</v>
      </c>
      <c r="J332" s="5">
        <v>18736728</v>
      </c>
      <c r="K332" s="5" t="s">
        <v>3192</v>
      </c>
      <c r="L332" s="19" t="s">
        <v>3194</v>
      </c>
      <c r="M332" s="24">
        <v>89900</v>
      </c>
      <c r="N332" s="7">
        <v>0.9</v>
      </c>
      <c r="O332" s="6">
        <f t="shared" ref="O332:O395" si="12">M332-(M332*N332)</f>
        <v>8990</v>
      </c>
      <c r="P332" s="5" t="s">
        <v>504</v>
      </c>
    </row>
    <row r="333" spans="1:16" x14ac:dyDescent="0.35">
      <c r="A333" s="40" t="str">
        <f t="shared" si="11"/>
        <v>ALL 2024 H1 D90</v>
      </c>
      <c r="B333" s="8">
        <f>'ALL 2024 H2 D80'!$B$2</f>
        <v>46114</v>
      </c>
      <c r="C333" s="8">
        <f>'ALL 2024 H2 D80'!$C$2</f>
        <v>46120</v>
      </c>
      <c r="D333" s="5">
        <v>3208</v>
      </c>
      <c r="E333" s="5">
        <v>320</v>
      </c>
      <c r="F333" s="5">
        <v>1</v>
      </c>
      <c r="G333" s="5">
        <v>2</v>
      </c>
      <c r="H333" s="5">
        <v>80954</v>
      </c>
      <c r="I333" s="5" t="s">
        <v>16</v>
      </c>
      <c r="J333" s="5">
        <v>18736737</v>
      </c>
      <c r="K333" s="5" t="s">
        <v>3192</v>
      </c>
      <c r="L333" s="19" t="s">
        <v>3195</v>
      </c>
      <c r="M333" s="24">
        <v>89900</v>
      </c>
      <c r="N333" s="7">
        <v>0.9</v>
      </c>
      <c r="O333" s="6">
        <f t="shared" si="12"/>
        <v>8990</v>
      </c>
      <c r="P333" s="5" t="s">
        <v>504</v>
      </c>
    </row>
    <row r="334" spans="1:16" x14ac:dyDescent="0.35">
      <c r="A334" s="40" t="str">
        <f t="shared" si="11"/>
        <v>ALL 2024 H1 D90</v>
      </c>
      <c r="B334" s="8">
        <f>'ALL 2024 H2 D80'!$B$2</f>
        <v>46114</v>
      </c>
      <c r="C334" s="8">
        <f>'ALL 2024 H2 D80'!$C$2</f>
        <v>46120</v>
      </c>
      <c r="D334" s="5">
        <v>3208</v>
      </c>
      <c r="E334" s="5">
        <v>320</v>
      </c>
      <c r="F334" s="5">
        <v>1</v>
      </c>
      <c r="G334" s="5">
        <v>2</v>
      </c>
      <c r="H334" s="5">
        <v>80954</v>
      </c>
      <c r="I334" s="5" t="s">
        <v>16</v>
      </c>
      <c r="J334" s="5">
        <v>18736746</v>
      </c>
      <c r="K334" s="5" t="s">
        <v>3192</v>
      </c>
      <c r="L334" s="19" t="s">
        <v>3196</v>
      </c>
      <c r="M334" s="24">
        <v>89900</v>
      </c>
      <c r="N334" s="7">
        <v>0.9</v>
      </c>
      <c r="O334" s="6">
        <f t="shared" si="12"/>
        <v>8990</v>
      </c>
      <c r="P334" s="5" t="s">
        <v>504</v>
      </c>
    </row>
    <row r="335" spans="1:16" x14ac:dyDescent="0.35">
      <c r="A335" s="40" t="str">
        <f t="shared" si="11"/>
        <v>ALL 2024 H1 D90</v>
      </c>
      <c r="B335" s="8">
        <f>'ALL 2024 H2 D80'!$B$2</f>
        <v>46114</v>
      </c>
      <c r="C335" s="8">
        <f>'ALL 2024 H2 D80'!$C$2</f>
        <v>46120</v>
      </c>
      <c r="D335" s="5">
        <v>3208</v>
      </c>
      <c r="E335" s="5">
        <v>320</v>
      </c>
      <c r="F335" s="5">
        <v>1</v>
      </c>
      <c r="G335" s="5">
        <v>2</v>
      </c>
      <c r="H335" s="5">
        <v>80954</v>
      </c>
      <c r="I335" s="5" t="s">
        <v>16</v>
      </c>
      <c r="J335" s="5">
        <v>18736755</v>
      </c>
      <c r="K335" s="5" t="s">
        <v>3197</v>
      </c>
      <c r="L335" s="19" t="s">
        <v>3198</v>
      </c>
      <c r="M335" s="24">
        <v>89900</v>
      </c>
      <c r="N335" s="7">
        <v>0.9</v>
      </c>
      <c r="O335" s="6">
        <f t="shared" si="12"/>
        <v>8990</v>
      </c>
      <c r="P335" s="5" t="s">
        <v>504</v>
      </c>
    </row>
    <row r="336" spans="1:16" x14ac:dyDescent="0.35">
      <c r="A336" s="40" t="str">
        <f t="shared" si="11"/>
        <v>ALL 2024 H1 D90</v>
      </c>
      <c r="B336" s="8">
        <f>'ALL 2024 H2 D80'!$B$2</f>
        <v>46114</v>
      </c>
      <c r="C336" s="8">
        <f>'ALL 2024 H2 D80'!$C$2</f>
        <v>46120</v>
      </c>
      <c r="D336" s="5">
        <v>3208</v>
      </c>
      <c r="E336" s="5">
        <v>320</v>
      </c>
      <c r="F336" s="5">
        <v>1</v>
      </c>
      <c r="G336" s="5">
        <v>2</v>
      </c>
      <c r="H336" s="5">
        <v>80954</v>
      </c>
      <c r="I336" s="5" t="s">
        <v>16</v>
      </c>
      <c r="J336" s="5">
        <v>18736764</v>
      </c>
      <c r="K336" s="5" t="s">
        <v>3197</v>
      </c>
      <c r="L336" s="19" t="s">
        <v>3199</v>
      </c>
      <c r="M336" s="24">
        <v>89900</v>
      </c>
      <c r="N336" s="7">
        <v>0.9</v>
      </c>
      <c r="O336" s="6">
        <f t="shared" si="12"/>
        <v>8990</v>
      </c>
      <c r="P336" s="5" t="s">
        <v>504</v>
      </c>
    </row>
    <row r="337" spans="1:16" x14ac:dyDescent="0.35">
      <c r="A337" s="40" t="str">
        <f t="shared" si="11"/>
        <v>ALL 2024 H1 D90</v>
      </c>
      <c r="B337" s="8">
        <f>'ALL 2024 H2 D80'!$B$2</f>
        <v>46114</v>
      </c>
      <c r="C337" s="8">
        <f>'ALL 2024 H2 D80'!$C$2</f>
        <v>46120</v>
      </c>
      <c r="D337" s="5">
        <v>3208</v>
      </c>
      <c r="E337" s="5">
        <v>320</v>
      </c>
      <c r="F337" s="5">
        <v>1</v>
      </c>
      <c r="G337" s="5">
        <v>2</v>
      </c>
      <c r="H337" s="5">
        <v>80954</v>
      </c>
      <c r="I337" s="5" t="s">
        <v>16</v>
      </c>
      <c r="J337" s="5">
        <v>18736773</v>
      </c>
      <c r="K337" s="5" t="s">
        <v>3197</v>
      </c>
      <c r="L337" s="19" t="s">
        <v>3200</v>
      </c>
      <c r="M337" s="24">
        <v>89900</v>
      </c>
      <c r="N337" s="7">
        <v>0.9</v>
      </c>
      <c r="O337" s="6">
        <f t="shared" si="12"/>
        <v>8990</v>
      </c>
      <c r="P337" s="5" t="s">
        <v>504</v>
      </c>
    </row>
    <row r="338" spans="1:16" x14ac:dyDescent="0.35">
      <c r="A338" s="40" t="str">
        <f t="shared" si="11"/>
        <v>ALL 2024 H1 D90</v>
      </c>
      <c r="B338" s="8">
        <f>'ALL 2024 H2 D80'!$B$2</f>
        <v>46114</v>
      </c>
      <c r="C338" s="8">
        <f>'ALL 2024 H2 D80'!$C$2</f>
        <v>46120</v>
      </c>
      <c r="D338" s="5">
        <v>3208</v>
      </c>
      <c r="E338" s="5">
        <v>320</v>
      </c>
      <c r="F338" s="5">
        <v>1</v>
      </c>
      <c r="G338" s="5">
        <v>2</v>
      </c>
      <c r="H338" s="5">
        <v>80954</v>
      </c>
      <c r="I338" s="5" t="s">
        <v>16</v>
      </c>
      <c r="J338" s="5">
        <v>18736808</v>
      </c>
      <c r="K338" s="5" t="s">
        <v>3197</v>
      </c>
      <c r="L338" s="19" t="s">
        <v>3201</v>
      </c>
      <c r="M338" s="24">
        <v>89900</v>
      </c>
      <c r="N338" s="7">
        <v>0.9</v>
      </c>
      <c r="O338" s="6">
        <f t="shared" si="12"/>
        <v>8990</v>
      </c>
      <c r="P338" s="5" t="s">
        <v>504</v>
      </c>
    </row>
    <row r="339" spans="1:16" x14ac:dyDescent="0.35">
      <c r="A339" s="40" t="str">
        <f t="shared" si="11"/>
        <v>ALL 2024 H1 D90</v>
      </c>
      <c r="B339" s="8">
        <f>'ALL 2024 H2 D80'!$B$2</f>
        <v>46114</v>
      </c>
      <c r="C339" s="8">
        <f>'ALL 2024 H2 D80'!$C$2</f>
        <v>46120</v>
      </c>
      <c r="D339" s="5">
        <v>3208</v>
      </c>
      <c r="E339" s="5">
        <v>320</v>
      </c>
      <c r="F339" s="5">
        <v>1</v>
      </c>
      <c r="G339" s="5">
        <v>2</v>
      </c>
      <c r="H339" s="5">
        <v>80954</v>
      </c>
      <c r="I339" s="5" t="s">
        <v>16</v>
      </c>
      <c r="J339" s="5">
        <v>18736817</v>
      </c>
      <c r="K339" s="5" t="s">
        <v>3202</v>
      </c>
      <c r="L339" s="19" t="s">
        <v>3203</v>
      </c>
      <c r="M339" s="24">
        <v>89900</v>
      </c>
      <c r="N339" s="7">
        <v>0.9</v>
      </c>
      <c r="O339" s="6">
        <f t="shared" si="12"/>
        <v>8990</v>
      </c>
      <c r="P339" s="5" t="s">
        <v>504</v>
      </c>
    </row>
    <row r="340" spans="1:16" x14ac:dyDescent="0.35">
      <c r="A340" s="40" t="str">
        <f t="shared" si="11"/>
        <v>ALL 2024 H1 D90</v>
      </c>
      <c r="B340" s="8">
        <f>'ALL 2024 H2 D80'!$B$2</f>
        <v>46114</v>
      </c>
      <c r="C340" s="8">
        <f>'ALL 2024 H2 D80'!$C$2</f>
        <v>46120</v>
      </c>
      <c r="D340" s="5">
        <v>3208</v>
      </c>
      <c r="E340" s="5">
        <v>320</v>
      </c>
      <c r="F340" s="5">
        <v>1</v>
      </c>
      <c r="G340" s="5">
        <v>2</v>
      </c>
      <c r="H340" s="5">
        <v>80954</v>
      </c>
      <c r="I340" s="5" t="s">
        <v>16</v>
      </c>
      <c r="J340" s="5">
        <v>18736826</v>
      </c>
      <c r="K340" s="5" t="s">
        <v>3202</v>
      </c>
      <c r="L340" s="19" t="s">
        <v>3204</v>
      </c>
      <c r="M340" s="24">
        <v>89900</v>
      </c>
      <c r="N340" s="7">
        <v>0.9</v>
      </c>
      <c r="O340" s="6">
        <f t="shared" si="12"/>
        <v>8990</v>
      </c>
      <c r="P340" s="5" t="s">
        <v>504</v>
      </c>
    </row>
    <row r="341" spans="1:16" x14ac:dyDescent="0.35">
      <c r="A341" s="40" t="str">
        <f t="shared" si="11"/>
        <v>ALL 2024 H1 D90</v>
      </c>
      <c r="B341" s="8">
        <f>'ALL 2024 H2 D80'!$B$2</f>
        <v>46114</v>
      </c>
      <c r="C341" s="8">
        <f>'ALL 2024 H2 D80'!$C$2</f>
        <v>46120</v>
      </c>
      <c r="D341" s="5">
        <v>3208</v>
      </c>
      <c r="E341" s="5">
        <v>320</v>
      </c>
      <c r="F341" s="5">
        <v>1</v>
      </c>
      <c r="G341" s="5">
        <v>2</v>
      </c>
      <c r="H341" s="5">
        <v>80954</v>
      </c>
      <c r="I341" s="5" t="s">
        <v>16</v>
      </c>
      <c r="J341" s="5">
        <v>18736835</v>
      </c>
      <c r="K341" s="5" t="s">
        <v>3202</v>
      </c>
      <c r="L341" s="19" t="s">
        <v>3205</v>
      </c>
      <c r="M341" s="24">
        <v>89900</v>
      </c>
      <c r="N341" s="7">
        <v>0.9</v>
      </c>
      <c r="O341" s="6">
        <f t="shared" si="12"/>
        <v>8990</v>
      </c>
      <c r="P341" s="5" t="s">
        <v>504</v>
      </c>
    </row>
    <row r="342" spans="1:16" x14ac:dyDescent="0.35">
      <c r="A342" s="40" t="str">
        <f t="shared" si="11"/>
        <v>ALL 2024 H1 D90</v>
      </c>
      <c r="B342" s="8">
        <f>'ALL 2024 H2 D80'!$B$2</f>
        <v>46114</v>
      </c>
      <c r="C342" s="8">
        <f>'ALL 2024 H2 D80'!$C$2</f>
        <v>46120</v>
      </c>
      <c r="D342" s="5">
        <v>3208</v>
      </c>
      <c r="E342" s="5">
        <v>320</v>
      </c>
      <c r="F342" s="5">
        <v>1</v>
      </c>
      <c r="G342" s="5">
        <v>2</v>
      </c>
      <c r="H342" s="5">
        <v>80954</v>
      </c>
      <c r="I342" s="5" t="s">
        <v>16</v>
      </c>
      <c r="J342" s="5">
        <v>18736844</v>
      </c>
      <c r="K342" s="5" t="s">
        <v>3202</v>
      </c>
      <c r="L342" s="19" t="s">
        <v>3206</v>
      </c>
      <c r="M342" s="24">
        <v>89900</v>
      </c>
      <c r="N342" s="7">
        <v>0.9</v>
      </c>
      <c r="O342" s="6">
        <f t="shared" si="12"/>
        <v>8990</v>
      </c>
      <c r="P342" s="5" t="s">
        <v>504</v>
      </c>
    </row>
    <row r="343" spans="1:16" x14ac:dyDescent="0.35">
      <c r="A343" s="40" t="str">
        <f t="shared" si="11"/>
        <v>ALL 2024 H1 D90</v>
      </c>
      <c r="B343" s="8">
        <f>'ALL 2024 H2 D80'!$B$2</f>
        <v>46114</v>
      </c>
      <c r="C343" s="8">
        <f>'ALL 2024 H2 D80'!$C$2</f>
        <v>46120</v>
      </c>
      <c r="D343" s="5">
        <v>3208</v>
      </c>
      <c r="E343" s="5">
        <v>320</v>
      </c>
      <c r="F343" s="5">
        <v>1</v>
      </c>
      <c r="G343" s="5">
        <v>2</v>
      </c>
      <c r="H343" s="5">
        <v>80954</v>
      </c>
      <c r="I343" s="5" t="s">
        <v>16</v>
      </c>
      <c r="J343" s="5">
        <v>18736880</v>
      </c>
      <c r="K343" s="5" t="s">
        <v>3207</v>
      </c>
      <c r="L343" s="19" t="s">
        <v>3208</v>
      </c>
      <c r="M343" s="24">
        <v>89900</v>
      </c>
      <c r="N343" s="7">
        <v>0.9</v>
      </c>
      <c r="O343" s="6">
        <f t="shared" si="12"/>
        <v>8990</v>
      </c>
      <c r="P343" s="5" t="s">
        <v>504</v>
      </c>
    </row>
    <row r="344" spans="1:16" x14ac:dyDescent="0.35">
      <c r="A344" s="40" t="str">
        <f t="shared" si="11"/>
        <v>ALL 2024 H1 D90</v>
      </c>
      <c r="B344" s="8">
        <f>'ALL 2024 H2 D80'!$B$2</f>
        <v>46114</v>
      </c>
      <c r="C344" s="8">
        <f>'ALL 2024 H2 D80'!$C$2</f>
        <v>46120</v>
      </c>
      <c r="D344" s="5">
        <v>3208</v>
      </c>
      <c r="E344" s="5">
        <v>320</v>
      </c>
      <c r="F344" s="5">
        <v>1</v>
      </c>
      <c r="G344" s="5">
        <v>2</v>
      </c>
      <c r="H344" s="5">
        <v>80954</v>
      </c>
      <c r="I344" s="5" t="s">
        <v>16</v>
      </c>
      <c r="J344" s="5">
        <v>18736899</v>
      </c>
      <c r="K344" s="5" t="s">
        <v>3207</v>
      </c>
      <c r="L344" s="19" t="s">
        <v>3209</v>
      </c>
      <c r="M344" s="24">
        <v>89900</v>
      </c>
      <c r="N344" s="7">
        <v>0.9</v>
      </c>
      <c r="O344" s="6">
        <f t="shared" si="12"/>
        <v>8990</v>
      </c>
      <c r="P344" s="5" t="s">
        <v>504</v>
      </c>
    </row>
    <row r="345" spans="1:16" x14ac:dyDescent="0.35">
      <c r="A345" s="40" t="str">
        <f t="shared" si="11"/>
        <v>ALL 2024 H1 D90</v>
      </c>
      <c r="B345" s="8">
        <f>'ALL 2024 H2 D80'!$B$2</f>
        <v>46114</v>
      </c>
      <c r="C345" s="8">
        <f>'ALL 2024 H2 D80'!$C$2</f>
        <v>46120</v>
      </c>
      <c r="D345" s="5">
        <v>3208</v>
      </c>
      <c r="E345" s="5">
        <v>320</v>
      </c>
      <c r="F345" s="5">
        <v>1</v>
      </c>
      <c r="G345" s="5">
        <v>2</v>
      </c>
      <c r="H345" s="5">
        <v>80954</v>
      </c>
      <c r="I345" s="5" t="s">
        <v>16</v>
      </c>
      <c r="J345" s="5">
        <v>18736906</v>
      </c>
      <c r="K345" s="5" t="s">
        <v>3207</v>
      </c>
      <c r="L345" s="19" t="s">
        <v>3210</v>
      </c>
      <c r="M345" s="24">
        <v>89900</v>
      </c>
      <c r="N345" s="7">
        <v>0.9</v>
      </c>
      <c r="O345" s="6">
        <f t="shared" si="12"/>
        <v>8990</v>
      </c>
      <c r="P345" s="5" t="s">
        <v>504</v>
      </c>
    </row>
    <row r="346" spans="1:16" x14ac:dyDescent="0.35">
      <c r="A346" s="40" t="str">
        <f t="shared" si="11"/>
        <v>ALL 2024 H1 D90</v>
      </c>
      <c r="B346" s="8">
        <f>'ALL 2024 H2 D80'!$B$2</f>
        <v>46114</v>
      </c>
      <c r="C346" s="8">
        <f>'ALL 2024 H2 D80'!$C$2</f>
        <v>46120</v>
      </c>
      <c r="D346" s="5">
        <v>3208</v>
      </c>
      <c r="E346" s="5">
        <v>320</v>
      </c>
      <c r="F346" s="5">
        <v>1</v>
      </c>
      <c r="G346" s="5">
        <v>2</v>
      </c>
      <c r="H346" s="5">
        <v>80954</v>
      </c>
      <c r="I346" s="5" t="s">
        <v>16</v>
      </c>
      <c r="J346" s="5">
        <v>18736915</v>
      </c>
      <c r="K346" s="5" t="s">
        <v>3207</v>
      </c>
      <c r="L346" s="19" t="s">
        <v>3211</v>
      </c>
      <c r="M346" s="24">
        <v>89900</v>
      </c>
      <c r="N346" s="7">
        <v>0.9</v>
      </c>
      <c r="O346" s="6">
        <f t="shared" si="12"/>
        <v>8990</v>
      </c>
      <c r="P346" s="5" t="s">
        <v>504</v>
      </c>
    </row>
    <row r="347" spans="1:16" x14ac:dyDescent="0.35">
      <c r="A347" s="40" t="str">
        <f t="shared" si="11"/>
        <v>ALL 2024 H1 D90</v>
      </c>
      <c r="B347" s="8">
        <f>'ALL 2024 H2 D80'!$B$2</f>
        <v>46114</v>
      </c>
      <c r="C347" s="8">
        <f>'ALL 2024 H2 D80'!$C$2</f>
        <v>46120</v>
      </c>
      <c r="D347" s="5">
        <v>3208</v>
      </c>
      <c r="E347" s="5">
        <v>320</v>
      </c>
      <c r="F347" s="5">
        <v>1</v>
      </c>
      <c r="G347" s="5">
        <v>2</v>
      </c>
      <c r="H347" s="5">
        <v>80954</v>
      </c>
      <c r="I347" s="5" t="s">
        <v>16</v>
      </c>
      <c r="J347" s="5">
        <v>18737254</v>
      </c>
      <c r="K347" s="5" t="s">
        <v>3212</v>
      </c>
      <c r="L347" s="19" t="s">
        <v>3213</v>
      </c>
      <c r="M347" s="24">
        <v>89900</v>
      </c>
      <c r="N347" s="7">
        <v>0.9</v>
      </c>
      <c r="O347" s="6">
        <f t="shared" si="12"/>
        <v>8990</v>
      </c>
      <c r="P347" s="5" t="s">
        <v>504</v>
      </c>
    </row>
    <row r="348" spans="1:16" x14ac:dyDescent="0.35">
      <c r="A348" s="40" t="str">
        <f t="shared" si="11"/>
        <v>ALL 2024 H1 D90</v>
      </c>
      <c r="B348" s="8">
        <f>'ALL 2024 H2 D80'!$B$2</f>
        <v>46114</v>
      </c>
      <c r="C348" s="8">
        <f>'ALL 2024 H2 D80'!$C$2</f>
        <v>46120</v>
      </c>
      <c r="D348" s="5">
        <v>3208</v>
      </c>
      <c r="E348" s="5">
        <v>320</v>
      </c>
      <c r="F348" s="5">
        <v>1</v>
      </c>
      <c r="G348" s="5">
        <v>2</v>
      </c>
      <c r="H348" s="5">
        <v>80954</v>
      </c>
      <c r="I348" s="5" t="s">
        <v>16</v>
      </c>
      <c r="J348" s="5">
        <v>18737263</v>
      </c>
      <c r="K348" s="5" t="s">
        <v>3212</v>
      </c>
      <c r="L348" s="19" t="s">
        <v>3214</v>
      </c>
      <c r="M348" s="24">
        <v>89900</v>
      </c>
      <c r="N348" s="7">
        <v>0.9</v>
      </c>
      <c r="O348" s="6">
        <f t="shared" si="12"/>
        <v>8990</v>
      </c>
      <c r="P348" s="5" t="s">
        <v>504</v>
      </c>
    </row>
    <row r="349" spans="1:16" x14ac:dyDescent="0.35">
      <c r="A349" s="40" t="str">
        <f t="shared" si="11"/>
        <v>ALL 2024 H1 D90</v>
      </c>
      <c r="B349" s="8">
        <f>'ALL 2024 H2 D80'!$B$2</f>
        <v>46114</v>
      </c>
      <c r="C349" s="8">
        <f>'ALL 2024 H2 D80'!$C$2</f>
        <v>46120</v>
      </c>
      <c r="D349" s="5">
        <v>3208</v>
      </c>
      <c r="E349" s="5">
        <v>320</v>
      </c>
      <c r="F349" s="5">
        <v>1</v>
      </c>
      <c r="G349" s="5">
        <v>2</v>
      </c>
      <c r="H349" s="5">
        <v>80954</v>
      </c>
      <c r="I349" s="5" t="s">
        <v>16</v>
      </c>
      <c r="J349" s="5">
        <v>18737272</v>
      </c>
      <c r="K349" s="5" t="s">
        <v>3212</v>
      </c>
      <c r="L349" s="19" t="s">
        <v>3215</v>
      </c>
      <c r="M349" s="24">
        <v>89900</v>
      </c>
      <c r="N349" s="7">
        <v>0.9</v>
      </c>
      <c r="O349" s="6">
        <f t="shared" si="12"/>
        <v>8990</v>
      </c>
      <c r="P349" s="5" t="s">
        <v>504</v>
      </c>
    </row>
    <row r="350" spans="1:16" x14ac:dyDescent="0.35">
      <c r="A350" s="40" t="str">
        <f t="shared" si="11"/>
        <v>ALL 2024 H1 D90</v>
      </c>
      <c r="B350" s="8">
        <f>'ALL 2024 H2 D80'!$B$2</f>
        <v>46114</v>
      </c>
      <c r="C350" s="8">
        <f>'ALL 2024 H2 D80'!$C$2</f>
        <v>46120</v>
      </c>
      <c r="D350" s="5">
        <v>3208</v>
      </c>
      <c r="E350" s="5">
        <v>320</v>
      </c>
      <c r="F350" s="5">
        <v>1</v>
      </c>
      <c r="G350" s="5">
        <v>2</v>
      </c>
      <c r="H350" s="5">
        <v>80954</v>
      </c>
      <c r="I350" s="5" t="s">
        <v>16</v>
      </c>
      <c r="J350" s="5">
        <v>18737281</v>
      </c>
      <c r="K350" s="5" t="s">
        <v>3212</v>
      </c>
      <c r="L350" s="19" t="s">
        <v>3216</v>
      </c>
      <c r="M350" s="24">
        <v>89900</v>
      </c>
      <c r="N350" s="7">
        <v>0.9</v>
      </c>
      <c r="O350" s="6">
        <f t="shared" si="12"/>
        <v>8990</v>
      </c>
      <c r="P350" s="5" t="s">
        <v>504</v>
      </c>
    </row>
    <row r="351" spans="1:16" x14ac:dyDescent="0.35">
      <c r="A351" s="40" t="str">
        <f t="shared" si="11"/>
        <v>ALL 2024 H1 D90</v>
      </c>
      <c r="B351" s="8">
        <f>'ALL 2024 H2 D80'!$B$2</f>
        <v>46114</v>
      </c>
      <c r="C351" s="8">
        <f>'ALL 2024 H2 D80'!$C$2</f>
        <v>46120</v>
      </c>
      <c r="D351" s="5">
        <v>3208</v>
      </c>
      <c r="E351" s="5">
        <v>320</v>
      </c>
      <c r="F351" s="5">
        <v>1</v>
      </c>
      <c r="G351" s="5">
        <v>2</v>
      </c>
      <c r="H351" s="5">
        <v>80954</v>
      </c>
      <c r="I351" s="5" t="s">
        <v>16</v>
      </c>
      <c r="J351" s="5">
        <v>18737290</v>
      </c>
      <c r="K351" s="5" t="s">
        <v>3217</v>
      </c>
      <c r="L351" s="19" t="s">
        <v>3218</v>
      </c>
      <c r="M351" s="24">
        <v>89900</v>
      </c>
      <c r="N351" s="7">
        <v>0.9</v>
      </c>
      <c r="O351" s="6">
        <f t="shared" si="12"/>
        <v>8990</v>
      </c>
      <c r="P351" s="5" t="s">
        <v>504</v>
      </c>
    </row>
    <row r="352" spans="1:16" x14ac:dyDescent="0.35">
      <c r="A352" s="40" t="str">
        <f t="shared" si="11"/>
        <v>ALL 2024 H1 D90</v>
      </c>
      <c r="B352" s="8">
        <f>'ALL 2024 H2 D80'!$B$2</f>
        <v>46114</v>
      </c>
      <c r="C352" s="8">
        <f>'ALL 2024 H2 D80'!$C$2</f>
        <v>46120</v>
      </c>
      <c r="D352" s="5">
        <v>3208</v>
      </c>
      <c r="E352" s="5">
        <v>320</v>
      </c>
      <c r="F352" s="5">
        <v>1</v>
      </c>
      <c r="G352" s="5">
        <v>2</v>
      </c>
      <c r="H352" s="5">
        <v>80954</v>
      </c>
      <c r="I352" s="5" t="s">
        <v>16</v>
      </c>
      <c r="J352" s="5">
        <v>18737325</v>
      </c>
      <c r="K352" s="5" t="s">
        <v>3217</v>
      </c>
      <c r="L352" s="19" t="s">
        <v>3219</v>
      </c>
      <c r="M352" s="24">
        <v>89900</v>
      </c>
      <c r="N352" s="7">
        <v>0.9</v>
      </c>
      <c r="O352" s="6">
        <f t="shared" si="12"/>
        <v>8990</v>
      </c>
      <c r="P352" s="5" t="s">
        <v>504</v>
      </c>
    </row>
    <row r="353" spans="1:16" x14ac:dyDescent="0.35">
      <c r="A353" s="40" t="str">
        <f t="shared" si="11"/>
        <v>ALL 2024 H1 D90</v>
      </c>
      <c r="B353" s="8">
        <f>'ALL 2024 H2 D80'!$B$2</f>
        <v>46114</v>
      </c>
      <c r="C353" s="8">
        <f>'ALL 2024 H2 D80'!$C$2</f>
        <v>46120</v>
      </c>
      <c r="D353" s="5">
        <v>3208</v>
      </c>
      <c r="E353" s="5">
        <v>320</v>
      </c>
      <c r="F353" s="5">
        <v>1</v>
      </c>
      <c r="G353" s="5">
        <v>2</v>
      </c>
      <c r="H353" s="5">
        <v>80954</v>
      </c>
      <c r="I353" s="5" t="s">
        <v>16</v>
      </c>
      <c r="J353" s="5">
        <v>18737334</v>
      </c>
      <c r="K353" s="5" t="s">
        <v>3217</v>
      </c>
      <c r="L353" s="19" t="s">
        <v>3220</v>
      </c>
      <c r="M353" s="24">
        <v>89900</v>
      </c>
      <c r="N353" s="7">
        <v>0.9</v>
      </c>
      <c r="O353" s="6">
        <f t="shared" si="12"/>
        <v>8990</v>
      </c>
      <c r="P353" s="5" t="s">
        <v>504</v>
      </c>
    </row>
    <row r="354" spans="1:16" x14ac:dyDescent="0.35">
      <c r="A354" s="40" t="str">
        <f t="shared" si="11"/>
        <v>ALL 2024 H1 D90</v>
      </c>
      <c r="B354" s="8">
        <f>'ALL 2024 H2 D80'!$B$2</f>
        <v>46114</v>
      </c>
      <c r="C354" s="8">
        <f>'ALL 2024 H2 D80'!$C$2</f>
        <v>46120</v>
      </c>
      <c r="D354" s="5">
        <v>3208</v>
      </c>
      <c r="E354" s="5">
        <v>320</v>
      </c>
      <c r="F354" s="5">
        <v>1</v>
      </c>
      <c r="G354" s="5">
        <v>2</v>
      </c>
      <c r="H354" s="5">
        <v>80954</v>
      </c>
      <c r="I354" s="5" t="s">
        <v>16</v>
      </c>
      <c r="J354" s="5">
        <v>18737343</v>
      </c>
      <c r="K354" s="5" t="s">
        <v>3217</v>
      </c>
      <c r="L354" s="19" t="s">
        <v>3221</v>
      </c>
      <c r="M354" s="24">
        <v>89900</v>
      </c>
      <c r="N354" s="7">
        <v>0.9</v>
      </c>
      <c r="O354" s="6">
        <f t="shared" si="12"/>
        <v>8990</v>
      </c>
      <c r="P354" s="5" t="s">
        <v>504</v>
      </c>
    </row>
    <row r="355" spans="1:16" x14ac:dyDescent="0.35">
      <c r="A355" s="40" t="str">
        <f t="shared" si="11"/>
        <v>ALL 2024 H1 D90</v>
      </c>
      <c r="B355" s="8">
        <f>'ALL 2024 H2 D80'!$B$2</f>
        <v>46114</v>
      </c>
      <c r="C355" s="8">
        <f>'ALL 2024 H2 D80'!$C$2</f>
        <v>46120</v>
      </c>
      <c r="D355" s="5">
        <v>3208</v>
      </c>
      <c r="E355" s="5">
        <v>320</v>
      </c>
      <c r="F355" s="5">
        <v>1</v>
      </c>
      <c r="G355" s="5">
        <v>2</v>
      </c>
      <c r="H355" s="5">
        <v>80954</v>
      </c>
      <c r="I355" s="5" t="s">
        <v>16</v>
      </c>
      <c r="J355" s="5">
        <v>18737361</v>
      </c>
      <c r="K355" s="5" t="s">
        <v>3217</v>
      </c>
      <c r="L355" s="19" t="s">
        <v>3222</v>
      </c>
      <c r="M355" s="24">
        <v>89900</v>
      </c>
      <c r="N355" s="7">
        <v>0.9</v>
      </c>
      <c r="O355" s="6">
        <f t="shared" si="12"/>
        <v>8990</v>
      </c>
      <c r="P355" s="5" t="s">
        <v>504</v>
      </c>
    </row>
    <row r="356" spans="1:16" x14ac:dyDescent="0.35">
      <c r="A356" s="40" t="str">
        <f t="shared" si="11"/>
        <v>ALL 2024 H1 D90</v>
      </c>
      <c r="B356" s="8">
        <f>'ALL 2024 H2 D80'!$B$2</f>
        <v>46114</v>
      </c>
      <c r="C356" s="8">
        <f>'ALL 2024 H2 D80'!$C$2</f>
        <v>46120</v>
      </c>
      <c r="D356" s="5">
        <v>3208</v>
      </c>
      <c r="E356" s="5">
        <v>320</v>
      </c>
      <c r="F356" s="5">
        <v>1</v>
      </c>
      <c r="G356" s="5">
        <v>2</v>
      </c>
      <c r="H356" s="5">
        <v>80954</v>
      </c>
      <c r="I356" s="5" t="s">
        <v>16</v>
      </c>
      <c r="J356" s="5">
        <v>18737370</v>
      </c>
      <c r="K356" s="5" t="s">
        <v>3217</v>
      </c>
      <c r="L356" s="19" t="s">
        <v>3223</v>
      </c>
      <c r="M356" s="24">
        <v>89900</v>
      </c>
      <c r="N356" s="7">
        <v>0.9</v>
      </c>
      <c r="O356" s="6">
        <f t="shared" si="12"/>
        <v>8990</v>
      </c>
      <c r="P356" s="5" t="s">
        <v>504</v>
      </c>
    </row>
    <row r="357" spans="1:16" x14ac:dyDescent="0.35">
      <c r="A357" s="40" t="str">
        <f t="shared" si="11"/>
        <v>ALL 2024 H1 D90</v>
      </c>
      <c r="B357" s="8">
        <f>'ALL 2024 H2 D80'!$B$2</f>
        <v>46114</v>
      </c>
      <c r="C357" s="8">
        <f>'ALL 2024 H2 D80'!$C$2</f>
        <v>46120</v>
      </c>
      <c r="D357" s="5">
        <v>3208</v>
      </c>
      <c r="E357" s="5">
        <v>320</v>
      </c>
      <c r="F357" s="5">
        <v>1</v>
      </c>
      <c r="G357" s="5">
        <v>2</v>
      </c>
      <c r="H357" s="5">
        <v>80954</v>
      </c>
      <c r="I357" s="5" t="s">
        <v>16</v>
      </c>
      <c r="J357" s="5">
        <v>18737389</v>
      </c>
      <c r="K357" s="5" t="s">
        <v>3217</v>
      </c>
      <c r="L357" s="19" t="s">
        <v>3224</v>
      </c>
      <c r="M357" s="24">
        <v>89900</v>
      </c>
      <c r="N357" s="7">
        <v>0.9</v>
      </c>
      <c r="O357" s="6">
        <f t="shared" si="12"/>
        <v>8990</v>
      </c>
      <c r="P357" s="5" t="s">
        <v>504</v>
      </c>
    </row>
    <row r="358" spans="1:16" x14ac:dyDescent="0.35">
      <c r="A358" s="40" t="str">
        <f t="shared" si="11"/>
        <v>ALL 2024 H1 D90</v>
      </c>
      <c r="B358" s="8">
        <f>'ALL 2024 H2 D80'!$B$2</f>
        <v>46114</v>
      </c>
      <c r="C358" s="8">
        <f>'ALL 2024 H2 D80'!$C$2</f>
        <v>46120</v>
      </c>
      <c r="D358" s="5">
        <v>3208</v>
      </c>
      <c r="E358" s="5">
        <v>320</v>
      </c>
      <c r="F358" s="5">
        <v>1</v>
      </c>
      <c r="G358" s="5">
        <v>2</v>
      </c>
      <c r="H358" s="5">
        <v>80954</v>
      </c>
      <c r="I358" s="5" t="s">
        <v>16</v>
      </c>
      <c r="J358" s="5">
        <v>18737398</v>
      </c>
      <c r="K358" s="5" t="s">
        <v>3217</v>
      </c>
      <c r="L358" s="19" t="s">
        <v>3225</v>
      </c>
      <c r="M358" s="24">
        <v>89900</v>
      </c>
      <c r="N358" s="7">
        <v>0.9</v>
      </c>
      <c r="O358" s="6">
        <f t="shared" si="12"/>
        <v>8990</v>
      </c>
      <c r="P358" s="5" t="s">
        <v>504</v>
      </c>
    </row>
    <row r="359" spans="1:16" x14ac:dyDescent="0.35">
      <c r="A359" s="40" t="str">
        <f t="shared" si="11"/>
        <v>ALL 2024 H1 D90</v>
      </c>
      <c r="B359" s="8">
        <f>'ALL 2024 H2 D80'!$B$2</f>
        <v>46114</v>
      </c>
      <c r="C359" s="8">
        <f>'ALL 2024 H2 D80'!$C$2</f>
        <v>46120</v>
      </c>
      <c r="D359" s="5">
        <v>3208</v>
      </c>
      <c r="E359" s="5">
        <v>320</v>
      </c>
      <c r="F359" s="5">
        <v>1</v>
      </c>
      <c r="G359" s="5">
        <v>2</v>
      </c>
      <c r="H359" s="5">
        <v>80954</v>
      </c>
      <c r="I359" s="5" t="s">
        <v>16</v>
      </c>
      <c r="J359" s="5">
        <v>18960904</v>
      </c>
      <c r="K359" s="5" t="s">
        <v>3226</v>
      </c>
      <c r="L359" s="19" t="s">
        <v>3227</v>
      </c>
      <c r="M359" s="24">
        <v>89900</v>
      </c>
      <c r="N359" s="7">
        <v>0.9</v>
      </c>
      <c r="O359" s="6">
        <f t="shared" si="12"/>
        <v>8990</v>
      </c>
      <c r="P359" s="5" t="s">
        <v>504</v>
      </c>
    </row>
    <row r="360" spans="1:16" x14ac:dyDescent="0.35">
      <c r="A360" s="40" t="str">
        <f t="shared" si="11"/>
        <v>ALL 2024 H1 D90</v>
      </c>
      <c r="B360" s="8">
        <f>'ALL 2024 H2 D80'!$B$2</f>
        <v>46114</v>
      </c>
      <c r="C360" s="8">
        <f>'ALL 2024 H2 D80'!$C$2</f>
        <v>46120</v>
      </c>
      <c r="D360" s="5">
        <v>3208</v>
      </c>
      <c r="E360" s="5">
        <v>320</v>
      </c>
      <c r="F360" s="5">
        <v>1</v>
      </c>
      <c r="G360" s="5">
        <v>2</v>
      </c>
      <c r="H360" s="5">
        <v>80954</v>
      </c>
      <c r="I360" s="5" t="s">
        <v>16</v>
      </c>
      <c r="J360" s="5">
        <v>18960913</v>
      </c>
      <c r="K360" s="5" t="s">
        <v>3226</v>
      </c>
      <c r="L360" s="19" t="s">
        <v>3228</v>
      </c>
      <c r="M360" s="24">
        <v>89900</v>
      </c>
      <c r="N360" s="7">
        <v>0.9</v>
      </c>
      <c r="O360" s="6">
        <f t="shared" si="12"/>
        <v>8990</v>
      </c>
      <c r="P360" s="5" t="s">
        <v>504</v>
      </c>
    </row>
    <row r="361" spans="1:16" x14ac:dyDescent="0.35">
      <c r="A361" s="40" t="str">
        <f t="shared" si="11"/>
        <v>ALL 2024 H1 D90</v>
      </c>
      <c r="B361" s="8">
        <f>'ALL 2024 H2 D80'!$B$2</f>
        <v>46114</v>
      </c>
      <c r="C361" s="8">
        <f>'ALL 2024 H2 D80'!$C$2</f>
        <v>46120</v>
      </c>
      <c r="D361" s="5">
        <v>3208</v>
      </c>
      <c r="E361" s="5">
        <v>320</v>
      </c>
      <c r="F361" s="5">
        <v>1</v>
      </c>
      <c r="G361" s="5">
        <v>2</v>
      </c>
      <c r="H361" s="5">
        <v>80954</v>
      </c>
      <c r="I361" s="5" t="s">
        <v>16</v>
      </c>
      <c r="J361" s="5">
        <v>18960922</v>
      </c>
      <c r="K361" s="5" t="s">
        <v>3226</v>
      </c>
      <c r="L361" s="19" t="s">
        <v>3229</v>
      </c>
      <c r="M361" s="24">
        <v>89900</v>
      </c>
      <c r="N361" s="7">
        <v>0.9</v>
      </c>
      <c r="O361" s="6">
        <f t="shared" si="12"/>
        <v>8990</v>
      </c>
      <c r="P361" s="5" t="s">
        <v>504</v>
      </c>
    </row>
    <row r="362" spans="1:16" x14ac:dyDescent="0.35">
      <c r="A362" s="40" t="str">
        <f t="shared" si="11"/>
        <v>ALL 2024 H1 D90</v>
      </c>
      <c r="B362" s="8">
        <f>'ALL 2024 H2 D80'!$B$2</f>
        <v>46114</v>
      </c>
      <c r="C362" s="8">
        <f>'ALL 2024 H2 D80'!$C$2</f>
        <v>46120</v>
      </c>
      <c r="D362" s="5">
        <v>3208</v>
      </c>
      <c r="E362" s="5">
        <v>320</v>
      </c>
      <c r="F362" s="5">
        <v>1</v>
      </c>
      <c r="G362" s="5">
        <v>2</v>
      </c>
      <c r="H362" s="5">
        <v>80954</v>
      </c>
      <c r="I362" s="5" t="s">
        <v>16</v>
      </c>
      <c r="J362" s="5">
        <v>18960940</v>
      </c>
      <c r="K362" s="5" t="s">
        <v>3226</v>
      </c>
      <c r="L362" s="19" t="s">
        <v>3230</v>
      </c>
      <c r="M362" s="24">
        <v>89900</v>
      </c>
      <c r="N362" s="7">
        <v>0.9</v>
      </c>
      <c r="O362" s="6">
        <f t="shared" si="12"/>
        <v>8990</v>
      </c>
      <c r="P362" s="5" t="s">
        <v>504</v>
      </c>
    </row>
    <row r="363" spans="1:16" x14ac:dyDescent="0.35">
      <c r="A363" s="40" t="str">
        <f t="shared" si="11"/>
        <v>ALL 2024 H1 D90</v>
      </c>
      <c r="B363" s="8">
        <f>'ALL 2024 H2 D80'!$B$2</f>
        <v>46114</v>
      </c>
      <c r="C363" s="8">
        <f>'ALL 2024 H2 D80'!$C$2</f>
        <v>46120</v>
      </c>
      <c r="D363" s="5">
        <v>3208</v>
      </c>
      <c r="E363" s="5">
        <v>320</v>
      </c>
      <c r="F363" s="5">
        <v>1</v>
      </c>
      <c r="G363" s="5">
        <v>2</v>
      </c>
      <c r="H363" s="5">
        <v>80954</v>
      </c>
      <c r="I363" s="5" t="s">
        <v>16</v>
      </c>
      <c r="J363" s="5">
        <v>18962555</v>
      </c>
      <c r="K363" s="5" t="s">
        <v>3212</v>
      </c>
      <c r="L363" s="19" t="s">
        <v>3231</v>
      </c>
      <c r="M363" s="24">
        <v>89900</v>
      </c>
      <c r="N363" s="7">
        <v>0.9</v>
      </c>
      <c r="O363" s="6">
        <f t="shared" si="12"/>
        <v>8990</v>
      </c>
      <c r="P363" s="5" t="s">
        <v>504</v>
      </c>
    </row>
    <row r="364" spans="1:16" x14ac:dyDescent="0.35">
      <c r="A364" s="40" t="str">
        <f t="shared" si="11"/>
        <v>ALL 2024 H1 D90</v>
      </c>
      <c r="B364" s="8">
        <f>'ALL 2024 H2 D80'!$B$2</f>
        <v>46114</v>
      </c>
      <c r="C364" s="8">
        <f>'ALL 2024 H2 D80'!$C$2</f>
        <v>46120</v>
      </c>
      <c r="D364" s="5">
        <v>3208</v>
      </c>
      <c r="E364" s="5">
        <v>320</v>
      </c>
      <c r="F364" s="5">
        <v>1</v>
      </c>
      <c r="G364" s="5">
        <v>2</v>
      </c>
      <c r="H364" s="5">
        <v>80954</v>
      </c>
      <c r="I364" s="5" t="s">
        <v>16</v>
      </c>
      <c r="J364" s="5">
        <v>18962564</v>
      </c>
      <c r="K364" s="5" t="s">
        <v>3212</v>
      </c>
      <c r="L364" s="19" t="s">
        <v>3232</v>
      </c>
      <c r="M364" s="24">
        <v>89900</v>
      </c>
      <c r="N364" s="7">
        <v>0.9</v>
      </c>
      <c r="O364" s="6">
        <f t="shared" si="12"/>
        <v>8990</v>
      </c>
      <c r="P364" s="5" t="s">
        <v>504</v>
      </c>
    </row>
    <row r="365" spans="1:16" x14ac:dyDescent="0.35">
      <c r="A365" s="40" t="str">
        <f t="shared" si="11"/>
        <v>ALL 2024 H1 D90</v>
      </c>
      <c r="B365" s="8">
        <f>'ALL 2024 H2 D80'!$B$2</f>
        <v>46114</v>
      </c>
      <c r="C365" s="8">
        <f>'ALL 2024 H2 D80'!$C$2</f>
        <v>46120</v>
      </c>
      <c r="D365" s="5">
        <v>3208</v>
      </c>
      <c r="E365" s="5">
        <v>320</v>
      </c>
      <c r="F365" s="5">
        <v>1</v>
      </c>
      <c r="G365" s="5">
        <v>2</v>
      </c>
      <c r="H365" s="5">
        <v>80954</v>
      </c>
      <c r="I365" s="5" t="s">
        <v>16</v>
      </c>
      <c r="J365" s="5">
        <v>18962573</v>
      </c>
      <c r="K365" s="5" t="s">
        <v>3212</v>
      </c>
      <c r="L365" s="19" t="s">
        <v>3233</v>
      </c>
      <c r="M365" s="24">
        <v>89900</v>
      </c>
      <c r="N365" s="7">
        <v>0.9</v>
      </c>
      <c r="O365" s="6">
        <f t="shared" si="12"/>
        <v>8990</v>
      </c>
      <c r="P365" s="5" t="s">
        <v>504</v>
      </c>
    </row>
    <row r="366" spans="1:16" x14ac:dyDescent="0.35">
      <c r="A366" s="40" t="str">
        <f t="shared" si="11"/>
        <v>ALL 2024 H1 D90</v>
      </c>
      <c r="B366" s="8">
        <f>'ALL 2024 H2 D80'!$B$2</f>
        <v>46114</v>
      </c>
      <c r="C366" s="8">
        <f>'ALL 2024 H2 D80'!$C$2</f>
        <v>46120</v>
      </c>
      <c r="D366" s="5">
        <v>3208</v>
      </c>
      <c r="E366" s="5">
        <v>320</v>
      </c>
      <c r="F366" s="5">
        <v>1</v>
      </c>
      <c r="G366" s="5">
        <v>2</v>
      </c>
      <c r="H366" s="5">
        <v>80954</v>
      </c>
      <c r="I366" s="5" t="s">
        <v>16</v>
      </c>
      <c r="J366" s="5">
        <v>18962582</v>
      </c>
      <c r="K366" s="5" t="s">
        <v>3212</v>
      </c>
      <c r="L366" s="19" t="s">
        <v>3234</v>
      </c>
      <c r="M366" s="24">
        <v>89900</v>
      </c>
      <c r="N366" s="7">
        <v>0.9</v>
      </c>
      <c r="O366" s="6">
        <f t="shared" si="12"/>
        <v>8990</v>
      </c>
      <c r="P366" s="5" t="s">
        <v>504</v>
      </c>
    </row>
    <row r="367" spans="1:16" x14ac:dyDescent="0.35">
      <c r="A367" s="40" t="str">
        <f t="shared" si="11"/>
        <v>ALL 2024 H1 D90</v>
      </c>
      <c r="B367" s="8">
        <f>'ALL 2024 H2 D80'!$B$2</f>
        <v>46114</v>
      </c>
      <c r="C367" s="8">
        <f>'ALL 2024 H2 D80'!$C$2</f>
        <v>46120</v>
      </c>
      <c r="D367" s="5">
        <v>3208</v>
      </c>
      <c r="E367" s="5">
        <v>320</v>
      </c>
      <c r="F367" s="5">
        <v>1</v>
      </c>
      <c r="G367" s="5">
        <v>2</v>
      </c>
      <c r="H367" s="5">
        <v>80954</v>
      </c>
      <c r="I367" s="5" t="s">
        <v>16</v>
      </c>
      <c r="J367" s="5">
        <v>18962591</v>
      </c>
      <c r="K367" s="5" t="s">
        <v>3197</v>
      </c>
      <c r="L367" s="19" t="s">
        <v>3235</v>
      </c>
      <c r="M367" s="24">
        <v>89900</v>
      </c>
      <c r="N367" s="7">
        <v>0.9</v>
      </c>
      <c r="O367" s="6">
        <f t="shared" si="12"/>
        <v>8990</v>
      </c>
      <c r="P367" s="5" t="s">
        <v>504</v>
      </c>
    </row>
    <row r="368" spans="1:16" x14ac:dyDescent="0.35">
      <c r="A368" s="40" t="str">
        <f t="shared" si="11"/>
        <v>ALL 2024 H1 D90</v>
      </c>
      <c r="B368" s="8">
        <f>'ALL 2024 H2 D80'!$B$2</f>
        <v>46114</v>
      </c>
      <c r="C368" s="8">
        <f>'ALL 2024 H2 D80'!$C$2</f>
        <v>46120</v>
      </c>
      <c r="D368" s="5">
        <v>3208</v>
      </c>
      <c r="E368" s="5">
        <v>320</v>
      </c>
      <c r="F368" s="5">
        <v>1</v>
      </c>
      <c r="G368" s="5">
        <v>2</v>
      </c>
      <c r="H368" s="5">
        <v>80954</v>
      </c>
      <c r="I368" s="5" t="s">
        <v>16</v>
      </c>
      <c r="J368" s="5">
        <v>18962608</v>
      </c>
      <c r="K368" s="5" t="s">
        <v>3197</v>
      </c>
      <c r="L368" s="19" t="s">
        <v>3236</v>
      </c>
      <c r="M368" s="24">
        <v>89900</v>
      </c>
      <c r="N368" s="7">
        <v>0.9</v>
      </c>
      <c r="O368" s="6">
        <f t="shared" si="12"/>
        <v>8990</v>
      </c>
      <c r="P368" s="5" t="s">
        <v>504</v>
      </c>
    </row>
    <row r="369" spans="1:16" x14ac:dyDescent="0.35">
      <c r="A369" s="40" t="str">
        <f t="shared" si="11"/>
        <v>ALL 2024 H1 D90</v>
      </c>
      <c r="B369" s="8">
        <f>'ALL 2024 H2 D80'!$B$2</f>
        <v>46114</v>
      </c>
      <c r="C369" s="8">
        <f>'ALL 2024 H2 D80'!$C$2</f>
        <v>46120</v>
      </c>
      <c r="D369" s="5">
        <v>3208</v>
      </c>
      <c r="E369" s="5">
        <v>320</v>
      </c>
      <c r="F369" s="5">
        <v>1</v>
      </c>
      <c r="G369" s="5">
        <v>2</v>
      </c>
      <c r="H369" s="5">
        <v>80954</v>
      </c>
      <c r="I369" s="5" t="s">
        <v>16</v>
      </c>
      <c r="J369" s="5">
        <v>18962617</v>
      </c>
      <c r="K369" s="5" t="s">
        <v>3197</v>
      </c>
      <c r="L369" s="19" t="s">
        <v>3237</v>
      </c>
      <c r="M369" s="24">
        <v>89900</v>
      </c>
      <c r="N369" s="7">
        <v>0.9</v>
      </c>
      <c r="O369" s="6">
        <f t="shared" si="12"/>
        <v>8990</v>
      </c>
      <c r="P369" s="5" t="s">
        <v>504</v>
      </c>
    </row>
    <row r="370" spans="1:16" x14ac:dyDescent="0.35">
      <c r="A370" s="40" t="str">
        <f t="shared" si="11"/>
        <v>ALL 2024 H1 D90</v>
      </c>
      <c r="B370" s="8">
        <f>'ALL 2024 H2 D80'!$B$2</f>
        <v>46114</v>
      </c>
      <c r="C370" s="8">
        <f>'ALL 2024 H2 D80'!$C$2</f>
        <v>46120</v>
      </c>
      <c r="D370" s="5">
        <v>3208</v>
      </c>
      <c r="E370" s="5">
        <v>320</v>
      </c>
      <c r="F370" s="5">
        <v>1</v>
      </c>
      <c r="G370" s="5">
        <v>2</v>
      </c>
      <c r="H370" s="5">
        <v>80954</v>
      </c>
      <c r="I370" s="5" t="s">
        <v>16</v>
      </c>
      <c r="J370" s="5">
        <v>18962626</v>
      </c>
      <c r="K370" s="5" t="s">
        <v>3197</v>
      </c>
      <c r="L370" s="19" t="s">
        <v>3238</v>
      </c>
      <c r="M370" s="24">
        <v>89900</v>
      </c>
      <c r="N370" s="7">
        <v>0.9</v>
      </c>
      <c r="O370" s="6">
        <f t="shared" si="12"/>
        <v>8990</v>
      </c>
      <c r="P370" s="5" t="s">
        <v>504</v>
      </c>
    </row>
    <row r="371" spans="1:16" x14ac:dyDescent="0.35">
      <c r="A371" s="40" t="str">
        <f t="shared" si="11"/>
        <v>ALL 2024 H1 D90</v>
      </c>
      <c r="B371" s="8">
        <f>'ALL 2024 H2 D80'!$B$2</f>
        <v>46114</v>
      </c>
      <c r="C371" s="8">
        <f>'ALL 2024 H2 D80'!$C$2</f>
        <v>46120</v>
      </c>
      <c r="D371" s="5">
        <v>3208</v>
      </c>
      <c r="E371" s="5">
        <v>320</v>
      </c>
      <c r="F371" s="5">
        <v>1</v>
      </c>
      <c r="G371" s="5">
        <v>2</v>
      </c>
      <c r="H371" s="5">
        <v>81762</v>
      </c>
      <c r="I371" s="5" t="s">
        <v>16</v>
      </c>
      <c r="J371" s="5">
        <v>18961270</v>
      </c>
      <c r="K371" s="5" t="s">
        <v>3239</v>
      </c>
      <c r="L371" s="19" t="s">
        <v>3240</v>
      </c>
      <c r="M371" s="24">
        <v>89900</v>
      </c>
      <c r="N371" s="7">
        <v>0.9</v>
      </c>
      <c r="O371" s="6">
        <f t="shared" si="12"/>
        <v>8990</v>
      </c>
      <c r="P371" s="5" t="s">
        <v>504</v>
      </c>
    </row>
    <row r="372" spans="1:16" x14ac:dyDescent="0.35">
      <c r="A372" s="40" t="str">
        <f t="shared" si="11"/>
        <v>ALL 2024 H1 D90</v>
      </c>
      <c r="B372" s="8">
        <f>'ALL 2024 H2 D80'!$B$2</f>
        <v>46114</v>
      </c>
      <c r="C372" s="8">
        <f>'ALL 2024 H2 D80'!$C$2</f>
        <v>46120</v>
      </c>
      <c r="D372" s="5">
        <v>3208</v>
      </c>
      <c r="E372" s="5">
        <v>320</v>
      </c>
      <c r="F372" s="5">
        <v>1</v>
      </c>
      <c r="G372" s="5">
        <v>2</v>
      </c>
      <c r="H372" s="5">
        <v>81762</v>
      </c>
      <c r="I372" s="5" t="s">
        <v>16</v>
      </c>
      <c r="J372" s="5">
        <v>18961289</v>
      </c>
      <c r="K372" s="5" t="s">
        <v>3239</v>
      </c>
      <c r="L372" s="19" t="s">
        <v>3241</v>
      </c>
      <c r="M372" s="24">
        <v>89900</v>
      </c>
      <c r="N372" s="7">
        <v>0.9</v>
      </c>
      <c r="O372" s="6">
        <f t="shared" si="12"/>
        <v>8990</v>
      </c>
      <c r="P372" s="5" t="s">
        <v>504</v>
      </c>
    </row>
    <row r="373" spans="1:16" x14ac:dyDescent="0.35">
      <c r="A373" s="40" t="str">
        <f t="shared" si="11"/>
        <v>ALL 2024 H1 D90</v>
      </c>
      <c r="B373" s="8">
        <f>'ALL 2024 H2 D80'!$B$2</f>
        <v>46114</v>
      </c>
      <c r="C373" s="8">
        <f>'ALL 2024 H2 D80'!$C$2</f>
        <v>46120</v>
      </c>
      <c r="D373" s="5">
        <v>3208</v>
      </c>
      <c r="E373" s="5">
        <v>320</v>
      </c>
      <c r="F373" s="5">
        <v>1</v>
      </c>
      <c r="G373" s="5">
        <v>2</v>
      </c>
      <c r="H373" s="5">
        <v>81762</v>
      </c>
      <c r="I373" s="5" t="s">
        <v>16</v>
      </c>
      <c r="J373" s="5">
        <v>18961305</v>
      </c>
      <c r="K373" s="5" t="s">
        <v>3239</v>
      </c>
      <c r="L373" s="19" t="s">
        <v>3242</v>
      </c>
      <c r="M373" s="24">
        <v>89900</v>
      </c>
      <c r="N373" s="7">
        <v>0.9</v>
      </c>
      <c r="O373" s="6">
        <f t="shared" si="12"/>
        <v>8990</v>
      </c>
      <c r="P373" s="5" t="s">
        <v>504</v>
      </c>
    </row>
    <row r="374" spans="1:16" x14ac:dyDescent="0.35">
      <c r="A374" s="40" t="str">
        <f t="shared" si="11"/>
        <v>ALL 2024 H1 D90</v>
      </c>
      <c r="B374" s="8">
        <f>'ALL 2024 H2 D80'!$B$2</f>
        <v>46114</v>
      </c>
      <c r="C374" s="8">
        <f>'ALL 2024 H2 D80'!$C$2</f>
        <v>46120</v>
      </c>
      <c r="D374" s="5">
        <v>3208</v>
      </c>
      <c r="E374" s="5">
        <v>320</v>
      </c>
      <c r="F374" s="5">
        <v>1</v>
      </c>
      <c r="G374" s="5">
        <v>2</v>
      </c>
      <c r="H374" s="5">
        <v>81762</v>
      </c>
      <c r="I374" s="5" t="s">
        <v>16</v>
      </c>
      <c r="J374" s="5">
        <v>18961323</v>
      </c>
      <c r="K374" s="5" t="s">
        <v>3239</v>
      </c>
      <c r="L374" s="19" t="s">
        <v>3243</v>
      </c>
      <c r="M374" s="24">
        <v>89900</v>
      </c>
      <c r="N374" s="7">
        <v>0.9</v>
      </c>
      <c r="O374" s="6">
        <f t="shared" si="12"/>
        <v>8990</v>
      </c>
      <c r="P374" s="5" t="s">
        <v>504</v>
      </c>
    </row>
    <row r="375" spans="1:16" x14ac:dyDescent="0.35">
      <c r="A375" s="40" t="str">
        <f t="shared" si="11"/>
        <v>ALL 2024 H1 D90</v>
      </c>
      <c r="B375" s="8">
        <f>'ALL 2024 H2 D80'!$B$2</f>
        <v>46114</v>
      </c>
      <c r="C375" s="8">
        <f>'ALL 2024 H2 D80'!$C$2</f>
        <v>46120</v>
      </c>
      <c r="D375" s="5">
        <v>3208</v>
      </c>
      <c r="E375" s="5">
        <v>320</v>
      </c>
      <c r="F375" s="5">
        <v>1</v>
      </c>
      <c r="G375" s="5">
        <v>2</v>
      </c>
      <c r="H375" s="5">
        <v>81762</v>
      </c>
      <c r="I375" s="5" t="s">
        <v>16</v>
      </c>
      <c r="J375" s="5">
        <v>18961332</v>
      </c>
      <c r="K375" s="5" t="s">
        <v>3244</v>
      </c>
      <c r="L375" s="19" t="s">
        <v>3245</v>
      </c>
      <c r="M375" s="24">
        <v>89900</v>
      </c>
      <c r="N375" s="7">
        <v>0.9</v>
      </c>
      <c r="O375" s="6">
        <f t="shared" si="12"/>
        <v>8990</v>
      </c>
      <c r="P375" s="5" t="s">
        <v>504</v>
      </c>
    </row>
    <row r="376" spans="1:16" x14ac:dyDescent="0.35">
      <c r="A376" s="40" t="str">
        <f t="shared" si="11"/>
        <v>ALL 2024 H1 D90</v>
      </c>
      <c r="B376" s="8">
        <f>'ALL 2024 H2 D80'!$B$2</f>
        <v>46114</v>
      </c>
      <c r="C376" s="8">
        <f>'ALL 2024 H2 D80'!$C$2</f>
        <v>46120</v>
      </c>
      <c r="D376" s="5">
        <v>3208</v>
      </c>
      <c r="E376" s="5">
        <v>320</v>
      </c>
      <c r="F376" s="5">
        <v>1</v>
      </c>
      <c r="G376" s="5">
        <v>2</v>
      </c>
      <c r="H376" s="5">
        <v>81762</v>
      </c>
      <c r="I376" s="5" t="s">
        <v>16</v>
      </c>
      <c r="J376" s="5">
        <v>18961341</v>
      </c>
      <c r="K376" s="5" t="s">
        <v>3244</v>
      </c>
      <c r="L376" s="19" t="s">
        <v>3246</v>
      </c>
      <c r="M376" s="24">
        <v>89900</v>
      </c>
      <c r="N376" s="7">
        <v>0.9</v>
      </c>
      <c r="O376" s="6">
        <f t="shared" si="12"/>
        <v>8990</v>
      </c>
      <c r="P376" s="5" t="s">
        <v>504</v>
      </c>
    </row>
    <row r="377" spans="1:16" x14ac:dyDescent="0.35">
      <c r="A377" s="40" t="str">
        <f t="shared" si="11"/>
        <v>ALL 2024 H1 D90</v>
      </c>
      <c r="B377" s="8">
        <f>'ALL 2024 H2 D80'!$B$2</f>
        <v>46114</v>
      </c>
      <c r="C377" s="8">
        <f>'ALL 2024 H2 D80'!$C$2</f>
        <v>46120</v>
      </c>
      <c r="D377" s="5">
        <v>3208</v>
      </c>
      <c r="E377" s="5">
        <v>320</v>
      </c>
      <c r="F377" s="5">
        <v>1</v>
      </c>
      <c r="G377" s="5">
        <v>2</v>
      </c>
      <c r="H377" s="5">
        <v>81762</v>
      </c>
      <c r="I377" s="5" t="s">
        <v>16</v>
      </c>
      <c r="J377" s="5">
        <v>18961350</v>
      </c>
      <c r="K377" s="5" t="s">
        <v>3244</v>
      </c>
      <c r="L377" s="19" t="s">
        <v>3247</v>
      </c>
      <c r="M377" s="24">
        <v>89900</v>
      </c>
      <c r="N377" s="7">
        <v>0.9</v>
      </c>
      <c r="O377" s="6">
        <f t="shared" si="12"/>
        <v>8990</v>
      </c>
      <c r="P377" s="5" t="s">
        <v>504</v>
      </c>
    </row>
    <row r="378" spans="1:16" x14ac:dyDescent="0.35">
      <c r="A378" s="40" t="str">
        <f t="shared" si="11"/>
        <v>ALL 2024 H1 D90</v>
      </c>
      <c r="B378" s="8">
        <f>'ALL 2024 H2 D80'!$B$2</f>
        <v>46114</v>
      </c>
      <c r="C378" s="8">
        <f>'ALL 2024 H2 D80'!$C$2</f>
        <v>46120</v>
      </c>
      <c r="D378" s="5">
        <v>3208</v>
      </c>
      <c r="E378" s="5">
        <v>320</v>
      </c>
      <c r="F378" s="5">
        <v>1</v>
      </c>
      <c r="G378" s="5">
        <v>2</v>
      </c>
      <c r="H378" s="5">
        <v>81762</v>
      </c>
      <c r="I378" s="5" t="s">
        <v>16</v>
      </c>
      <c r="J378" s="5">
        <v>18961369</v>
      </c>
      <c r="K378" s="5" t="s">
        <v>3244</v>
      </c>
      <c r="L378" s="19" t="s">
        <v>3248</v>
      </c>
      <c r="M378" s="24">
        <v>89900</v>
      </c>
      <c r="N378" s="7">
        <v>0.9</v>
      </c>
      <c r="O378" s="6">
        <f t="shared" si="12"/>
        <v>8990</v>
      </c>
      <c r="P378" s="5" t="s">
        <v>504</v>
      </c>
    </row>
    <row r="379" spans="1:16" x14ac:dyDescent="0.35">
      <c r="A379" s="40" t="str">
        <f t="shared" si="11"/>
        <v>ALL 2024 H1 D90</v>
      </c>
      <c r="B379" s="8">
        <f>'ALL 2024 H2 D80'!$B$2</f>
        <v>46114</v>
      </c>
      <c r="C379" s="8">
        <f>'ALL 2024 H2 D80'!$C$2</f>
        <v>46120</v>
      </c>
      <c r="D379" s="5">
        <v>3208</v>
      </c>
      <c r="E379" s="5">
        <v>320</v>
      </c>
      <c r="F379" s="5">
        <v>1</v>
      </c>
      <c r="G379" s="5">
        <v>2</v>
      </c>
      <c r="H379" s="5">
        <v>80954</v>
      </c>
      <c r="I379" s="5" t="s">
        <v>16</v>
      </c>
      <c r="J379" s="5">
        <v>15942895</v>
      </c>
      <c r="K379" s="5" t="s">
        <v>3444</v>
      </c>
      <c r="L379" s="19" t="s">
        <v>3445</v>
      </c>
      <c r="M379" s="24">
        <v>89900</v>
      </c>
      <c r="N379" s="7">
        <v>0.9</v>
      </c>
      <c r="O379" s="6">
        <f t="shared" si="12"/>
        <v>8990</v>
      </c>
      <c r="P379" s="5" t="s">
        <v>504</v>
      </c>
    </row>
    <row r="380" spans="1:16" x14ac:dyDescent="0.35">
      <c r="A380" s="40" t="str">
        <f t="shared" si="11"/>
        <v>ALL 2024 H1 D90</v>
      </c>
      <c r="B380" s="8">
        <f>'ALL 2024 H2 D80'!$B$2</f>
        <v>46114</v>
      </c>
      <c r="C380" s="8">
        <f>'ALL 2024 H2 D80'!$C$2</f>
        <v>46120</v>
      </c>
      <c r="D380" s="5">
        <v>3208</v>
      </c>
      <c r="E380" s="5">
        <v>320</v>
      </c>
      <c r="F380" s="5">
        <v>1</v>
      </c>
      <c r="G380" s="5">
        <v>2</v>
      </c>
      <c r="H380" s="5">
        <v>80954</v>
      </c>
      <c r="I380" s="5" t="s">
        <v>16</v>
      </c>
      <c r="J380" s="5">
        <v>15942902</v>
      </c>
      <c r="K380" s="5" t="s">
        <v>3444</v>
      </c>
      <c r="L380" s="19" t="s">
        <v>3446</v>
      </c>
      <c r="M380" s="24">
        <v>89900</v>
      </c>
      <c r="N380" s="7">
        <v>0.9</v>
      </c>
      <c r="O380" s="6">
        <f t="shared" si="12"/>
        <v>8990</v>
      </c>
      <c r="P380" s="5" t="s">
        <v>504</v>
      </c>
    </row>
    <row r="381" spans="1:16" x14ac:dyDescent="0.35">
      <c r="A381" s="40" t="str">
        <f t="shared" si="11"/>
        <v>ALL 2024 H1 D90</v>
      </c>
      <c r="B381" s="8">
        <f>'ALL 2024 H2 D80'!$B$2</f>
        <v>46114</v>
      </c>
      <c r="C381" s="8">
        <f>'ALL 2024 H2 D80'!$C$2</f>
        <v>46120</v>
      </c>
      <c r="D381" s="5">
        <v>3208</v>
      </c>
      <c r="E381" s="5">
        <v>320</v>
      </c>
      <c r="F381" s="5">
        <v>1</v>
      </c>
      <c r="G381" s="5">
        <v>2</v>
      </c>
      <c r="H381" s="5">
        <v>80954</v>
      </c>
      <c r="I381" s="5" t="s">
        <v>16</v>
      </c>
      <c r="J381" s="5">
        <v>15942911</v>
      </c>
      <c r="K381" s="5" t="s">
        <v>3444</v>
      </c>
      <c r="L381" s="19" t="s">
        <v>3447</v>
      </c>
      <c r="M381" s="24">
        <v>89900</v>
      </c>
      <c r="N381" s="7">
        <v>0.9</v>
      </c>
      <c r="O381" s="6">
        <f t="shared" si="12"/>
        <v>8990</v>
      </c>
      <c r="P381" s="5" t="s">
        <v>504</v>
      </c>
    </row>
    <row r="382" spans="1:16" x14ac:dyDescent="0.35">
      <c r="A382" s="40" t="str">
        <f t="shared" si="11"/>
        <v>ALL 2024 H1 D90</v>
      </c>
      <c r="B382" s="8">
        <f>'ALL 2024 H2 D80'!$B$2</f>
        <v>46114</v>
      </c>
      <c r="C382" s="8">
        <f>'ALL 2024 H2 D80'!$C$2</f>
        <v>46120</v>
      </c>
      <c r="D382" s="5">
        <v>3208</v>
      </c>
      <c r="E382" s="5">
        <v>320</v>
      </c>
      <c r="F382" s="5">
        <v>1</v>
      </c>
      <c r="G382" s="5">
        <v>2</v>
      </c>
      <c r="H382" s="5">
        <v>80954</v>
      </c>
      <c r="I382" s="5" t="s">
        <v>16</v>
      </c>
      <c r="J382" s="5">
        <v>15942957</v>
      </c>
      <c r="K382" s="5" t="s">
        <v>3448</v>
      </c>
      <c r="L382" s="19" t="s">
        <v>3449</v>
      </c>
      <c r="M382" s="24">
        <v>89900</v>
      </c>
      <c r="N382" s="7">
        <v>0.9</v>
      </c>
      <c r="O382" s="6">
        <f t="shared" si="12"/>
        <v>8990</v>
      </c>
      <c r="P382" s="5" t="s">
        <v>504</v>
      </c>
    </row>
    <row r="383" spans="1:16" x14ac:dyDescent="0.35">
      <c r="A383" s="40" t="str">
        <f t="shared" si="11"/>
        <v>ALL 2024 H1 D90</v>
      </c>
      <c r="B383" s="8">
        <f>'ALL 2024 H2 D80'!$B$2</f>
        <v>46114</v>
      </c>
      <c r="C383" s="8">
        <f>'ALL 2024 H2 D80'!$C$2</f>
        <v>46120</v>
      </c>
      <c r="D383" s="5">
        <v>3208</v>
      </c>
      <c r="E383" s="5">
        <v>320</v>
      </c>
      <c r="F383" s="5">
        <v>1</v>
      </c>
      <c r="G383" s="5">
        <v>2</v>
      </c>
      <c r="H383" s="5">
        <v>80954</v>
      </c>
      <c r="I383" s="5" t="s">
        <v>16</v>
      </c>
      <c r="J383" s="5">
        <v>15942966</v>
      </c>
      <c r="K383" s="5" t="s">
        <v>3448</v>
      </c>
      <c r="L383" s="19" t="s">
        <v>3450</v>
      </c>
      <c r="M383" s="24">
        <v>89900</v>
      </c>
      <c r="N383" s="7">
        <v>0.9</v>
      </c>
      <c r="O383" s="6">
        <f t="shared" si="12"/>
        <v>8990</v>
      </c>
      <c r="P383" s="5" t="s">
        <v>504</v>
      </c>
    </row>
    <row r="384" spans="1:16" x14ac:dyDescent="0.35">
      <c r="A384" s="40" t="str">
        <f t="shared" si="11"/>
        <v>ALL 2024 H1 D90</v>
      </c>
      <c r="B384" s="8">
        <f>'ALL 2024 H2 D80'!$B$2</f>
        <v>46114</v>
      </c>
      <c r="C384" s="8">
        <f>'ALL 2024 H2 D80'!$C$2</f>
        <v>46120</v>
      </c>
      <c r="D384" s="5">
        <v>3208</v>
      </c>
      <c r="E384" s="5">
        <v>320</v>
      </c>
      <c r="F384" s="5">
        <v>1</v>
      </c>
      <c r="G384" s="5">
        <v>2</v>
      </c>
      <c r="H384" s="5">
        <v>80954</v>
      </c>
      <c r="I384" s="5" t="s">
        <v>16</v>
      </c>
      <c r="J384" s="5">
        <v>15942975</v>
      </c>
      <c r="K384" s="5" t="s">
        <v>3448</v>
      </c>
      <c r="L384" s="19" t="s">
        <v>3451</v>
      </c>
      <c r="M384" s="24">
        <v>89900</v>
      </c>
      <c r="N384" s="7">
        <v>0.9</v>
      </c>
      <c r="O384" s="6">
        <f t="shared" si="12"/>
        <v>8990</v>
      </c>
      <c r="P384" s="5" t="s">
        <v>504</v>
      </c>
    </row>
    <row r="385" spans="1:16" x14ac:dyDescent="0.35">
      <c r="A385" s="40" t="str">
        <f t="shared" si="11"/>
        <v>ALL 2024 H1 D90</v>
      </c>
      <c r="B385" s="8">
        <f>'ALL 2024 H2 D80'!$B$2</f>
        <v>46114</v>
      </c>
      <c r="C385" s="8">
        <f>'ALL 2024 H2 D80'!$C$2</f>
        <v>46120</v>
      </c>
      <c r="D385" s="5">
        <v>3208</v>
      </c>
      <c r="E385" s="5">
        <v>320</v>
      </c>
      <c r="F385" s="5">
        <v>1</v>
      </c>
      <c r="G385" s="5">
        <v>2</v>
      </c>
      <c r="H385" s="5">
        <v>80954</v>
      </c>
      <c r="I385" s="5" t="s">
        <v>16</v>
      </c>
      <c r="J385" s="5">
        <v>15942984</v>
      </c>
      <c r="K385" s="5" t="s">
        <v>3448</v>
      </c>
      <c r="L385" s="19" t="s">
        <v>3452</v>
      </c>
      <c r="M385" s="24">
        <v>89900</v>
      </c>
      <c r="N385" s="7">
        <v>0.9</v>
      </c>
      <c r="O385" s="6">
        <f t="shared" si="12"/>
        <v>8990</v>
      </c>
      <c r="P385" s="5" t="s">
        <v>504</v>
      </c>
    </row>
    <row r="386" spans="1:16" x14ac:dyDescent="0.35">
      <c r="A386" s="40" t="str">
        <f t="shared" si="11"/>
        <v>ALL 2024 H1 D90</v>
      </c>
      <c r="B386" s="8">
        <f>'ALL 2024 H2 D80'!$B$2</f>
        <v>46114</v>
      </c>
      <c r="C386" s="8">
        <f>'ALL 2024 H2 D80'!$C$2</f>
        <v>46120</v>
      </c>
      <c r="D386" s="5">
        <v>3208</v>
      </c>
      <c r="E386" s="5">
        <v>320</v>
      </c>
      <c r="F386" s="5">
        <v>1</v>
      </c>
      <c r="G386" s="5">
        <v>2</v>
      </c>
      <c r="H386" s="5">
        <v>80954</v>
      </c>
      <c r="I386" s="5" t="s">
        <v>16</v>
      </c>
      <c r="J386" s="5">
        <v>15942993</v>
      </c>
      <c r="K386" s="5" t="s">
        <v>3448</v>
      </c>
      <c r="L386" s="19" t="s">
        <v>3453</v>
      </c>
      <c r="M386" s="24">
        <v>89900</v>
      </c>
      <c r="N386" s="7">
        <v>0.9</v>
      </c>
      <c r="O386" s="6">
        <f t="shared" si="12"/>
        <v>8990</v>
      </c>
      <c r="P386" s="5" t="s">
        <v>504</v>
      </c>
    </row>
    <row r="387" spans="1:16" x14ac:dyDescent="0.35">
      <c r="A387" s="40" t="str">
        <f t="shared" si="11"/>
        <v>ALL 2024 H1 D90</v>
      </c>
      <c r="B387" s="8">
        <f>'ALL 2024 H2 D80'!$B$2</f>
        <v>46114</v>
      </c>
      <c r="C387" s="8">
        <f>'ALL 2024 H2 D80'!$C$2</f>
        <v>46120</v>
      </c>
      <c r="D387" s="5">
        <v>3208</v>
      </c>
      <c r="E387" s="5">
        <v>320</v>
      </c>
      <c r="F387" s="5">
        <v>1</v>
      </c>
      <c r="G387" s="5">
        <v>2</v>
      </c>
      <c r="H387" s="5">
        <v>80954</v>
      </c>
      <c r="I387" s="5" t="s">
        <v>16</v>
      </c>
      <c r="J387" s="5">
        <v>15943009</v>
      </c>
      <c r="K387" s="5" t="s">
        <v>3448</v>
      </c>
      <c r="L387" s="19" t="s">
        <v>3454</v>
      </c>
      <c r="M387" s="24">
        <v>89900</v>
      </c>
      <c r="N387" s="7">
        <v>0.9</v>
      </c>
      <c r="O387" s="6">
        <f t="shared" si="12"/>
        <v>8990</v>
      </c>
      <c r="P387" s="5" t="s">
        <v>504</v>
      </c>
    </row>
    <row r="388" spans="1:16" x14ac:dyDescent="0.35">
      <c r="A388" s="40" t="str">
        <f t="shared" si="11"/>
        <v>ALL 2024 H1 D90</v>
      </c>
      <c r="B388" s="8">
        <f>'ALL 2024 H2 D80'!$B$2</f>
        <v>46114</v>
      </c>
      <c r="C388" s="8">
        <f>'ALL 2024 H2 D80'!$C$2</f>
        <v>46120</v>
      </c>
      <c r="D388" s="5">
        <v>3208</v>
      </c>
      <c r="E388" s="5">
        <v>320</v>
      </c>
      <c r="F388" s="5">
        <v>1</v>
      </c>
      <c r="G388" s="5">
        <v>2</v>
      </c>
      <c r="H388" s="5">
        <v>80954</v>
      </c>
      <c r="I388" s="5" t="s">
        <v>16</v>
      </c>
      <c r="J388" s="5">
        <v>15943287</v>
      </c>
      <c r="K388" s="5" t="s">
        <v>3455</v>
      </c>
      <c r="L388" s="19" t="s">
        <v>3456</v>
      </c>
      <c r="M388" s="24">
        <v>89900</v>
      </c>
      <c r="N388" s="7">
        <v>0.9</v>
      </c>
      <c r="O388" s="6">
        <f t="shared" si="12"/>
        <v>8990</v>
      </c>
      <c r="P388" s="5" t="s">
        <v>504</v>
      </c>
    </row>
    <row r="389" spans="1:16" x14ac:dyDescent="0.35">
      <c r="A389" s="40" t="str">
        <f t="shared" ref="A389:A452" si="13">$A$2</f>
        <v>ALL 2024 H1 D90</v>
      </c>
      <c r="B389" s="8">
        <f>'ALL 2024 H2 D80'!$B$2</f>
        <v>46114</v>
      </c>
      <c r="C389" s="8">
        <f>'ALL 2024 H2 D80'!$C$2</f>
        <v>46120</v>
      </c>
      <c r="D389" s="5">
        <v>3208</v>
      </c>
      <c r="E389" s="5">
        <v>320</v>
      </c>
      <c r="F389" s="5">
        <v>1</v>
      </c>
      <c r="G389" s="5">
        <v>2</v>
      </c>
      <c r="H389" s="5">
        <v>80954</v>
      </c>
      <c r="I389" s="5" t="s">
        <v>16</v>
      </c>
      <c r="J389" s="5">
        <v>15943296</v>
      </c>
      <c r="K389" s="5" t="s">
        <v>3455</v>
      </c>
      <c r="L389" s="19" t="s">
        <v>3457</v>
      </c>
      <c r="M389" s="24">
        <v>89900</v>
      </c>
      <c r="N389" s="7">
        <v>0.9</v>
      </c>
      <c r="O389" s="6">
        <f t="shared" si="12"/>
        <v>8990</v>
      </c>
      <c r="P389" s="5" t="s">
        <v>504</v>
      </c>
    </row>
    <row r="390" spans="1:16" x14ac:dyDescent="0.35">
      <c r="A390" s="40" t="str">
        <f t="shared" si="13"/>
        <v>ALL 2024 H1 D90</v>
      </c>
      <c r="B390" s="8">
        <f>'ALL 2024 H2 D80'!$B$2</f>
        <v>46114</v>
      </c>
      <c r="C390" s="8">
        <f>'ALL 2024 H2 D80'!$C$2</f>
        <v>46120</v>
      </c>
      <c r="D390" s="5">
        <v>3208</v>
      </c>
      <c r="E390" s="5">
        <v>320</v>
      </c>
      <c r="F390" s="5">
        <v>1</v>
      </c>
      <c r="G390" s="5">
        <v>2</v>
      </c>
      <c r="H390" s="5">
        <v>80954</v>
      </c>
      <c r="I390" s="5" t="s">
        <v>16</v>
      </c>
      <c r="J390" s="5">
        <v>15943303</v>
      </c>
      <c r="K390" s="5" t="s">
        <v>3455</v>
      </c>
      <c r="L390" s="19" t="s">
        <v>3458</v>
      </c>
      <c r="M390" s="24">
        <v>89900</v>
      </c>
      <c r="N390" s="7">
        <v>0.9</v>
      </c>
      <c r="O390" s="6">
        <f t="shared" si="12"/>
        <v>8990</v>
      </c>
      <c r="P390" s="5" t="s">
        <v>504</v>
      </c>
    </row>
    <row r="391" spans="1:16" x14ac:dyDescent="0.35">
      <c r="A391" s="40" t="str">
        <f t="shared" si="13"/>
        <v>ALL 2024 H1 D90</v>
      </c>
      <c r="B391" s="8">
        <f>'ALL 2024 H2 D80'!$B$2</f>
        <v>46114</v>
      </c>
      <c r="C391" s="8">
        <f>'ALL 2024 H2 D80'!$C$2</f>
        <v>46120</v>
      </c>
      <c r="D391" s="5">
        <v>3208</v>
      </c>
      <c r="E391" s="5">
        <v>320</v>
      </c>
      <c r="F391" s="5">
        <v>1</v>
      </c>
      <c r="G391" s="5">
        <v>2</v>
      </c>
      <c r="H391" s="5">
        <v>80954</v>
      </c>
      <c r="I391" s="5" t="s">
        <v>16</v>
      </c>
      <c r="J391" s="5">
        <v>15943312</v>
      </c>
      <c r="K391" s="5" t="s">
        <v>3455</v>
      </c>
      <c r="L391" s="19" t="s">
        <v>3459</v>
      </c>
      <c r="M391" s="24">
        <v>89900</v>
      </c>
      <c r="N391" s="7">
        <v>0.9</v>
      </c>
      <c r="O391" s="6">
        <f t="shared" si="12"/>
        <v>8990</v>
      </c>
      <c r="P391" s="5" t="s">
        <v>504</v>
      </c>
    </row>
    <row r="392" spans="1:16" x14ac:dyDescent="0.35">
      <c r="A392" s="40" t="str">
        <f t="shared" si="13"/>
        <v>ALL 2024 H1 D90</v>
      </c>
      <c r="B392" s="8">
        <f>'ALL 2024 H2 D80'!$B$2</f>
        <v>46114</v>
      </c>
      <c r="C392" s="8">
        <f>'ALL 2024 H2 D80'!$C$2</f>
        <v>46120</v>
      </c>
      <c r="D392" s="5">
        <v>3208</v>
      </c>
      <c r="E392" s="5">
        <v>320</v>
      </c>
      <c r="F392" s="5">
        <v>1</v>
      </c>
      <c r="G392" s="5">
        <v>2</v>
      </c>
      <c r="H392" s="5">
        <v>80954</v>
      </c>
      <c r="I392" s="5" t="s">
        <v>16</v>
      </c>
      <c r="J392" s="5">
        <v>15943321</v>
      </c>
      <c r="K392" s="5" t="s">
        <v>3455</v>
      </c>
      <c r="L392" s="19" t="s">
        <v>3460</v>
      </c>
      <c r="M392" s="24">
        <v>89900</v>
      </c>
      <c r="N392" s="7">
        <v>0.9</v>
      </c>
      <c r="O392" s="6">
        <f t="shared" si="12"/>
        <v>8990</v>
      </c>
      <c r="P392" s="5" t="s">
        <v>504</v>
      </c>
    </row>
    <row r="393" spans="1:16" x14ac:dyDescent="0.35">
      <c r="A393" s="40" t="str">
        <f t="shared" si="13"/>
        <v>ALL 2024 H1 D90</v>
      </c>
      <c r="B393" s="8">
        <f>'ALL 2024 H2 D80'!$B$2</f>
        <v>46114</v>
      </c>
      <c r="C393" s="8">
        <f>'ALL 2024 H2 D80'!$C$2</f>
        <v>46120</v>
      </c>
      <c r="D393" s="5">
        <v>3208</v>
      </c>
      <c r="E393" s="5">
        <v>320</v>
      </c>
      <c r="F393" s="5">
        <v>1</v>
      </c>
      <c r="G393" s="5">
        <v>2</v>
      </c>
      <c r="H393" s="5">
        <v>80954</v>
      </c>
      <c r="I393" s="5" t="s">
        <v>16</v>
      </c>
      <c r="J393" s="5">
        <v>15943330</v>
      </c>
      <c r="K393" s="5" t="s">
        <v>3455</v>
      </c>
      <c r="L393" s="19" t="s">
        <v>3461</v>
      </c>
      <c r="M393" s="24">
        <v>89900</v>
      </c>
      <c r="N393" s="7">
        <v>0.9</v>
      </c>
      <c r="O393" s="6">
        <f t="shared" si="12"/>
        <v>8990</v>
      </c>
      <c r="P393" s="5" t="s">
        <v>504</v>
      </c>
    </row>
    <row r="394" spans="1:16" x14ac:dyDescent="0.35">
      <c r="A394" s="40" t="str">
        <f t="shared" si="13"/>
        <v>ALL 2024 H1 D90</v>
      </c>
      <c r="B394" s="8">
        <f>'ALL 2024 H2 D80'!$B$2</f>
        <v>46114</v>
      </c>
      <c r="C394" s="8">
        <f>'ALL 2024 H2 D80'!$C$2</f>
        <v>46120</v>
      </c>
      <c r="D394" s="5">
        <v>3208</v>
      </c>
      <c r="E394" s="5">
        <v>320</v>
      </c>
      <c r="F394" s="5">
        <v>1</v>
      </c>
      <c r="G394" s="5">
        <v>2</v>
      </c>
      <c r="H394" s="5">
        <v>80954</v>
      </c>
      <c r="I394" s="5" t="s">
        <v>16</v>
      </c>
      <c r="J394" s="5">
        <v>15943358</v>
      </c>
      <c r="K394" s="5" t="s">
        <v>3462</v>
      </c>
      <c r="L394" s="19" t="s">
        <v>3463</v>
      </c>
      <c r="M394" s="24">
        <v>89900</v>
      </c>
      <c r="N394" s="7">
        <v>0.9</v>
      </c>
      <c r="O394" s="6">
        <f t="shared" si="12"/>
        <v>8990</v>
      </c>
      <c r="P394" s="5" t="s">
        <v>504</v>
      </c>
    </row>
    <row r="395" spans="1:16" x14ac:dyDescent="0.35">
      <c r="A395" s="40" t="str">
        <f t="shared" si="13"/>
        <v>ALL 2024 H1 D90</v>
      </c>
      <c r="B395" s="8">
        <f>'ALL 2024 H2 D80'!$B$2</f>
        <v>46114</v>
      </c>
      <c r="C395" s="8">
        <f>'ALL 2024 H2 D80'!$C$2</f>
        <v>46120</v>
      </c>
      <c r="D395" s="5">
        <v>3208</v>
      </c>
      <c r="E395" s="5">
        <v>320</v>
      </c>
      <c r="F395" s="5">
        <v>1</v>
      </c>
      <c r="G395" s="5">
        <v>2</v>
      </c>
      <c r="H395" s="5">
        <v>80954</v>
      </c>
      <c r="I395" s="5" t="s">
        <v>16</v>
      </c>
      <c r="J395" s="5">
        <v>15943367</v>
      </c>
      <c r="K395" s="5" t="s">
        <v>3462</v>
      </c>
      <c r="L395" s="19" t="s">
        <v>3464</v>
      </c>
      <c r="M395" s="24">
        <v>89900</v>
      </c>
      <c r="N395" s="7">
        <v>0.9</v>
      </c>
      <c r="O395" s="6">
        <f t="shared" si="12"/>
        <v>8990</v>
      </c>
      <c r="P395" s="5" t="s">
        <v>504</v>
      </c>
    </row>
    <row r="396" spans="1:16" x14ac:dyDescent="0.35">
      <c r="A396" s="40" t="str">
        <f t="shared" si="13"/>
        <v>ALL 2024 H1 D90</v>
      </c>
      <c r="B396" s="8">
        <f>'ALL 2024 H2 D80'!$B$2</f>
        <v>46114</v>
      </c>
      <c r="C396" s="8">
        <f>'ALL 2024 H2 D80'!$C$2</f>
        <v>46120</v>
      </c>
      <c r="D396" s="5">
        <v>3208</v>
      </c>
      <c r="E396" s="5">
        <v>320</v>
      </c>
      <c r="F396" s="5">
        <v>1</v>
      </c>
      <c r="G396" s="5">
        <v>2</v>
      </c>
      <c r="H396" s="5">
        <v>80954</v>
      </c>
      <c r="I396" s="5" t="s">
        <v>16</v>
      </c>
      <c r="J396" s="5">
        <v>15943376</v>
      </c>
      <c r="K396" s="5" t="s">
        <v>3462</v>
      </c>
      <c r="L396" s="19" t="s">
        <v>3465</v>
      </c>
      <c r="M396" s="24">
        <v>89900</v>
      </c>
      <c r="N396" s="7">
        <v>0.9</v>
      </c>
      <c r="O396" s="6">
        <f t="shared" ref="O396:O459" si="14">M396-(M396*N396)</f>
        <v>8990</v>
      </c>
      <c r="P396" s="5" t="s">
        <v>504</v>
      </c>
    </row>
    <row r="397" spans="1:16" x14ac:dyDescent="0.35">
      <c r="A397" s="40" t="str">
        <f t="shared" si="13"/>
        <v>ALL 2024 H1 D90</v>
      </c>
      <c r="B397" s="8">
        <f>'ALL 2024 H2 D80'!$B$2</f>
        <v>46114</v>
      </c>
      <c r="C397" s="8">
        <f>'ALL 2024 H2 D80'!$C$2</f>
        <v>46120</v>
      </c>
      <c r="D397" s="5">
        <v>3208</v>
      </c>
      <c r="E397" s="5">
        <v>320</v>
      </c>
      <c r="F397" s="5">
        <v>1</v>
      </c>
      <c r="G397" s="5">
        <v>2</v>
      </c>
      <c r="H397" s="5">
        <v>80954</v>
      </c>
      <c r="I397" s="5" t="s">
        <v>16</v>
      </c>
      <c r="J397" s="5">
        <v>15943385</v>
      </c>
      <c r="K397" s="5" t="s">
        <v>3462</v>
      </c>
      <c r="L397" s="19" t="s">
        <v>3466</v>
      </c>
      <c r="M397" s="24">
        <v>89900</v>
      </c>
      <c r="N397" s="7">
        <v>0.9</v>
      </c>
      <c r="O397" s="6">
        <f t="shared" si="14"/>
        <v>8990</v>
      </c>
      <c r="P397" s="5" t="s">
        <v>504</v>
      </c>
    </row>
    <row r="398" spans="1:16" x14ac:dyDescent="0.35">
      <c r="A398" s="40" t="str">
        <f t="shared" si="13"/>
        <v>ALL 2024 H1 D90</v>
      </c>
      <c r="B398" s="8">
        <f>'ALL 2024 H2 D80'!$B$2</f>
        <v>46114</v>
      </c>
      <c r="C398" s="8">
        <f>'ALL 2024 H2 D80'!$C$2</f>
        <v>46120</v>
      </c>
      <c r="D398" s="5">
        <v>3208</v>
      </c>
      <c r="E398" s="5">
        <v>320</v>
      </c>
      <c r="F398" s="5">
        <v>1</v>
      </c>
      <c r="G398" s="5">
        <v>2</v>
      </c>
      <c r="H398" s="5">
        <v>80954</v>
      </c>
      <c r="I398" s="5" t="s">
        <v>16</v>
      </c>
      <c r="J398" s="5">
        <v>15943394</v>
      </c>
      <c r="K398" s="5" t="s">
        <v>3462</v>
      </c>
      <c r="L398" s="19" t="s">
        <v>3467</v>
      </c>
      <c r="M398" s="24">
        <v>89900</v>
      </c>
      <c r="N398" s="7">
        <v>0.9</v>
      </c>
      <c r="O398" s="6">
        <f t="shared" si="14"/>
        <v>8990</v>
      </c>
      <c r="P398" s="5" t="s">
        <v>504</v>
      </c>
    </row>
    <row r="399" spans="1:16" x14ac:dyDescent="0.35">
      <c r="A399" s="40" t="str">
        <f t="shared" si="13"/>
        <v>ALL 2024 H1 D90</v>
      </c>
      <c r="B399" s="8">
        <f>'ALL 2024 H2 D80'!$B$2</f>
        <v>46114</v>
      </c>
      <c r="C399" s="8">
        <f>'ALL 2024 H2 D80'!$C$2</f>
        <v>46120</v>
      </c>
      <c r="D399" s="5">
        <v>3208</v>
      </c>
      <c r="E399" s="5">
        <v>320</v>
      </c>
      <c r="F399" s="5">
        <v>1</v>
      </c>
      <c r="G399" s="5">
        <v>2</v>
      </c>
      <c r="H399" s="5">
        <v>80954</v>
      </c>
      <c r="I399" s="5" t="s">
        <v>16</v>
      </c>
      <c r="J399" s="5">
        <v>15943401</v>
      </c>
      <c r="K399" s="5" t="s">
        <v>3462</v>
      </c>
      <c r="L399" s="19" t="s">
        <v>3468</v>
      </c>
      <c r="M399" s="24">
        <v>89900</v>
      </c>
      <c r="N399" s="7">
        <v>0.9</v>
      </c>
      <c r="O399" s="6">
        <f t="shared" si="14"/>
        <v>8990</v>
      </c>
      <c r="P399" s="5" t="s">
        <v>504</v>
      </c>
    </row>
    <row r="400" spans="1:16" x14ac:dyDescent="0.35">
      <c r="A400" s="40" t="str">
        <f t="shared" si="13"/>
        <v>ALL 2024 H1 D90</v>
      </c>
      <c r="B400" s="8">
        <f>'ALL 2024 H2 D80'!$B$2</f>
        <v>46114</v>
      </c>
      <c r="C400" s="8">
        <f>'ALL 2024 H2 D80'!$C$2</f>
        <v>46120</v>
      </c>
      <c r="D400" s="5">
        <v>3208</v>
      </c>
      <c r="E400" s="5">
        <v>320</v>
      </c>
      <c r="F400" s="5">
        <v>1</v>
      </c>
      <c r="G400" s="5">
        <v>2</v>
      </c>
      <c r="H400" s="5">
        <v>80954</v>
      </c>
      <c r="I400" s="5" t="s">
        <v>16</v>
      </c>
      <c r="J400" s="5">
        <v>15951652</v>
      </c>
      <c r="K400" s="5" t="s">
        <v>3444</v>
      </c>
      <c r="L400" s="19" t="s">
        <v>3469</v>
      </c>
      <c r="M400" s="24">
        <v>89900</v>
      </c>
      <c r="N400" s="7">
        <v>0.9</v>
      </c>
      <c r="O400" s="6">
        <f t="shared" si="14"/>
        <v>8990</v>
      </c>
      <c r="P400" s="5" t="s">
        <v>504</v>
      </c>
    </row>
    <row r="401" spans="1:16" x14ac:dyDescent="0.35">
      <c r="A401" s="40" t="str">
        <f t="shared" si="13"/>
        <v>ALL 2024 H1 D90</v>
      </c>
      <c r="B401" s="8">
        <f>'ALL 2024 H2 D80'!$B$2</f>
        <v>46114</v>
      </c>
      <c r="C401" s="8">
        <f>'ALL 2024 H2 D80'!$C$2</f>
        <v>46120</v>
      </c>
      <c r="D401" s="5">
        <v>3208</v>
      </c>
      <c r="E401" s="5">
        <v>320</v>
      </c>
      <c r="F401" s="5">
        <v>1</v>
      </c>
      <c r="G401" s="5">
        <v>2</v>
      </c>
      <c r="H401" s="5">
        <v>80954</v>
      </c>
      <c r="I401" s="5" t="s">
        <v>16</v>
      </c>
      <c r="J401" s="5">
        <v>15951670</v>
      </c>
      <c r="K401" s="5" t="s">
        <v>3448</v>
      </c>
      <c r="L401" s="19" t="s">
        <v>3470</v>
      </c>
      <c r="M401" s="24">
        <v>89900</v>
      </c>
      <c r="N401" s="7">
        <v>0.9</v>
      </c>
      <c r="O401" s="6">
        <f t="shared" si="14"/>
        <v>8990</v>
      </c>
      <c r="P401" s="5" t="s">
        <v>504</v>
      </c>
    </row>
    <row r="402" spans="1:16" x14ac:dyDescent="0.35">
      <c r="A402" s="40" t="str">
        <f t="shared" si="13"/>
        <v>ALL 2024 H1 D90</v>
      </c>
      <c r="B402" s="8">
        <f>'ALL 2024 H2 D80'!$B$2</f>
        <v>46114</v>
      </c>
      <c r="C402" s="8">
        <f>'ALL 2024 H2 D80'!$C$2</f>
        <v>46120</v>
      </c>
      <c r="D402" s="5">
        <v>3208</v>
      </c>
      <c r="E402" s="5">
        <v>320</v>
      </c>
      <c r="F402" s="5">
        <v>1</v>
      </c>
      <c r="G402" s="5">
        <v>2</v>
      </c>
      <c r="H402" s="5">
        <v>80954</v>
      </c>
      <c r="I402" s="5" t="s">
        <v>16</v>
      </c>
      <c r="J402" s="5">
        <v>15951689</v>
      </c>
      <c r="K402" s="5" t="s">
        <v>3448</v>
      </c>
      <c r="L402" s="19" t="s">
        <v>3471</v>
      </c>
      <c r="M402" s="24">
        <v>89900</v>
      </c>
      <c r="N402" s="7">
        <v>0.9</v>
      </c>
      <c r="O402" s="6">
        <f t="shared" si="14"/>
        <v>8990</v>
      </c>
      <c r="P402" s="5" t="s">
        <v>504</v>
      </c>
    </row>
    <row r="403" spans="1:16" x14ac:dyDescent="0.35">
      <c r="A403" s="40" t="str">
        <f t="shared" si="13"/>
        <v>ALL 2024 H1 D90</v>
      </c>
      <c r="B403" s="8">
        <f>'ALL 2024 H2 D80'!$B$2</f>
        <v>46114</v>
      </c>
      <c r="C403" s="8">
        <f>'ALL 2024 H2 D80'!$C$2</f>
        <v>46120</v>
      </c>
      <c r="D403" s="5">
        <v>3208</v>
      </c>
      <c r="E403" s="5">
        <v>320</v>
      </c>
      <c r="F403" s="5">
        <v>1</v>
      </c>
      <c r="G403" s="5">
        <v>2</v>
      </c>
      <c r="H403" s="5">
        <v>80954</v>
      </c>
      <c r="I403" s="5" t="s">
        <v>16</v>
      </c>
      <c r="J403" s="5">
        <v>15951796</v>
      </c>
      <c r="K403" s="5" t="s">
        <v>3455</v>
      </c>
      <c r="L403" s="19" t="s">
        <v>3472</v>
      </c>
      <c r="M403" s="24">
        <v>89900</v>
      </c>
      <c r="N403" s="7">
        <v>0.9</v>
      </c>
      <c r="O403" s="6">
        <f t="shared" si="14"/>
        <v>8990</v>
      </c>
      <c r="P403" s="5" t="s">
        <v>504</v>
      </c>
    </row>
    <row r="404" spans="1:16" x14ac:dyDescent="0.35">
      <c r="A404" s="40" t="str">
        <f t="shared" si="13"/>
        <v>ALL 2024 H1 D90</v>
      </c>
      <c r="B404" s="8">
        <f>'ALL 2024 H2 D80'!$B$2</f>
        <v>46114</v>
      </c>
      <c r="C404" s="8">
        <f>'ALL 2024 H2 D80'!$C$2</f>
        <v>46120</v>
      </c>
      <c r="D404" s="5">
        <v>3208</v>
      </c>
      <c r="E404" s="5">
        <v>320</v>
      </c>
      <c r="F404" s="5">
        <v>1</v>
      </c>
      <c r="G404" s="5">
        <v>2</v>
      </c>
      <c r="H404" s="5">
        <v>80954</v>
      </c>
      <c r="I404" s="5" t="s">
        <v>16</v>
      </c>
      <c r="J404" s="5">
        <v>15951803</v>
      </c>
      <c r="K404" s="5" t="s">
        <v>3455</v>
      </c>
      <c r="L404" s="19" t="s">
        <v>3473</v>
      </c>
      <c r="M404" s="24">
        <v>89900</v>
      </c>
      <c r="N404" s="7">
        <v>0.9</v>
      </c>
      <c r="O404" s="6">
        <f t="shared" si="14"/>
        <v>8990</v>
      </c>
      <c r="P404" s="5" t="s">
        <v>504</v>
      </c>
    </row>
    <row r="405" spans="1:16" x14ac:dyDescent="0.35">
      <c r="A405" s="40" t="str">
        <f t="shared" si="13"/>
        <v>ALL 2024 H1 D90</v>
      </c>
      <c r="B405" s="8">
        <f>'ALL 2024 H2 D80'!$B$2</f>
        <v>46114</v>
      </c>
      <c r="C405" s="8">
        <f>'ALL 2024 H2 D80'!$C$2</f>
        <v>46120</v>
      </c>
      <c r="D405" s="5">
        <v>3208</v>
      </c>
      <c r="E405" s="5">
        <v>320</v>
      </c>
      <c r="F405" s="5">
        <v>1</v>
      </c>
      <c r="G405" s="5">
        <v>2</v>
      </c>
      <c r="H405" s="5">
        <v>80954</v>
      </c>
      <c r="I405" s="5" t="s">
        <v>16</v>
      </c>
      <c r="J405" s="5">
        <v>15951812</v>
      </c>
      <c r="K405" s="5" t="s">
        <v>3462</v>
      </c>
      <c r="L405" s="19" t="s">
        <v>3474</v>
      </c>
      <c r="M405" s="24">
        <v>89900</v>
      </c>
      <c r="N405" s="7">
        <v>0.9</v>
      </c>
      <c r="O405" s="6">
        <f t="shared" si="14"/>
        <v>8990</v>
      </c>
      <c r="P405" s="5" t="s">
        <v>504</v>
      </c>
    </row>
    <row r="406" spans="1:16" x14ac:dyDescent="0.35">
      <c r="A406" s="40" t="str">
        <f t="shared" si="13"/>
        <v>ALL 2024 H1 D90</v>
      </c>
      <c r="B406" s="8">
        <f>'ALL 2024 H2 D80'!$B$2</f>
        <v>46114</v>
      </c>
      <c r="C406" s="8">
        <f>'ALL 2024 H2 D80'!$C$2</f>
        <v>46120</v>
      </c>
      <c r="D406" s="5">
        <v>3208</v>
      </c>
      <c r="E406" s="5">
        <v>320</v>
      </c>
      <c r="F406" s="5">
        <v>1</v>
      </c>
      <c r="G406" s="5">
        <v>2</v>
      </c>
      <c r="H406" s="5">
        <v>80954</v>
      </c>
      <c r="I406" s="5" t="s">
        <v>16</v>
      </c>
      <c r="J406" s="5">
        <v>15951821</v>
      </c>
      <c r="K406" s="5" t="s">
        <v>3462</v>
      </c>
      <c r="L406" s="19" t="s">
        <v>3475</v>
      </c>
      <c r="M406" s="24">
        <v>89900</v>
      </c>
      <c r="N406" s="7">
        <v>0.9</v>
      </c>
      <c r="O406" s="6">
        <f t="shared" si="14"/>
        <v>8990</v>
      </c>
      <c r="P406" s="5" t="s">
        <v>504</v>
      </c>
    </row>
    <row r="407" spans="1:16" x14ac:dyDescent="0.35">
      <c r="A407" s="40" t="str">
        <f t="shared" si="13"/>
        <v>ALL 2024 H1 D90</v>
      </c>
      <c r="B407" s="8">
        <f>'ALL 2024 H2 D80'!$B$2</f>
        <v>46114</v>
      </c>
      <c r="C407" s="8">
        <f>'ALL 2024 H2 D80'!$C$2</f>
        <v>46120</v>
      </c>
      <c r="D407" s="5">
        <v>3208</v>
      </c>
      <c r="E407" s="5">
        <v>320</v>
      </c>
      <c r="F407" s="5">
        <v>1</v>
      </c>
      <c r="G407" s="5">
        <v>2</v>
      </c>
      <c r="H407" s="5">
        <v>80954</v>
      </c>
      <c r="I407" s="5" t="s">
        <v>16</v>
      </c>
      <c r="J407" s="5">
        <v>16400905</v>
      </c>
      <c r="K407" s="5" t="s">
        <v>3476</v>
      </c>
      <c r="L407" s="19" t="s">
        <v>3477</v>
      </c>
      <c r="M407" s="24">
        <v>89900</v>
      </c>
      <c r="N407" s="7">
        <v>0.9</v>
      </c>
      <c r="O407" s="6">
        <f t="shared" si="14"/>
        <v>8990</v>
      </c>
      <c r="P407" s="5" t="s">
        <v>504</v>
      </c>
    </row>
    <row r="408" spans="1:16" x14ac:dyDescent="0.35">
      <c r="A408" s="40" t="str">
        <f t="shared" si="13"/>
        <v>ALL 2024 H1 D90</v>
      </c>
      <c r="B408" s="8">
        <f>'ALL 2024 H2 D80'!$B$2</f>
        <v>46114</v>
      </c>
      <c r="C408" s="8">
        <f>'ALL 2024 H2 D80'!$C$2</f>
        <v>46120</v>
      </c>
      <c r="D408" s="5">
        <v>3208</v>
      </c>
      <c r="E408" s="5">
        <v>320</v>
      </c>
      <c r="F408" s="5">
        <v>1</v>
      </c>
      <c r="G408" s="5">
        <v>2</v>
      </c>
      <c r="H408" s="5">
        <v>80954</v>
      </c>
      <c r="I408" s="5" t="s">
        <v>16</v>
      </c>
      <c r="J408" s="5">
        <v>16400914</v>
      </c>
      <c r="K408" s="5" t="s">
        <v>3476</v>
      </c>
      <c r="L408" s="19" t="s">
        <v>3478</v>
      </c>
      <c r="M408" s="24">
        <v>89900</v>
      </c>
      <c r="N408" s="7">
        <v>0.9</v>
      </c>
      <c r="O408" s="6">
        <f t="shared" si="14"/>
        <v>8990</v>
      </c>
      <c r="P408" s="5" t="s">
        <v>504</v>
      </c>
    </row>
    <row r="409" spans="1:16" x14ac:dyDescent="0.35">
      <c r="A409" s="40" t="str">
        <f t="shared" si="13"/>
        <v>ALL 2024 H1 D90</v>
      </c>
      <c r="B409" s="8">
        <f>'ALL 2024 H2 D80'!$B$2</f>
        <v>46114</v>
      </c>
      <c r="C409" s="8">
        <f>'ALL 2024 H2 D80'!$C$2</f>
        <v>46120</v>
      </c>
      <c r="D409" s="5">
        <v>3208</v>
      </c>
      <c r="E409" s="5">
        <v>320</v>
      </c>
      <c r="F409" s="5">
        <v>1</v>
      </c>
      <c r="G409" s="5">
        <v>2</v>
      </c>
      <c r="H409" s="5">
        <v>80954</v>
      </c>
      <c r="I409" s="5" t="s">
        <v>16</v>
      </c>
      <c r="J409" s="5">
        <v>16400923</v>
      </c>
      <c r="K409" s="5" t="s">
        <v>3476</v>
      </c>
      <c r="L409" s="19" t="s">
        <v>3479</v>
      </c>
      <c r="M409" s="24">
        <v>89900</v>
      </c>
      <c r="N409" s="7">
        <v>0.9</v>
      </c>
      <c r="O409" s="6">
        <f t="shared" si="14"/>
        <v>8990</v>
      </c>
      <c r="P409" s="5" t="s">
        <v>504</v>
      </c>
    </row>
    <row r="410" spans="1:16" x14ac:dyDescent="0.35">
      <c r="A410" s="40" t="str">
        <f t="shared" si="13"/>
        <v>ALL 2024 H1 D90</v>
      </c>
      <c r="B410" s="8">
        <f>'ALL 2024 H2 D80'!$B$2</f>
        <v>46114</v>
      </c>
      <c r="C410" s="8">
        <f>'ALL 2024 H2 D80'!$C$2</f>
        <v>46120</v>
      </c>
      <c r="D410" s="5">
        <v>3208</v>
      </c>
      <c r="E410" s="5">
        <v>320</v>
      </c>
      <c r="F410" s="5">
        <v>1</v>
      </c>
      <c r="G410" s="5">
        <v>2</v>
      </c>
      <c r="H410" s="5">
        <v>80954</v>
      </c>
      <c r="I410" s="5" t="s">
        <v>16</v>
      </c>
      <c r="J410" s="5">
        <v>16400932</v>
      </c>
      <c r="K410" s="5" t="s">
        <v>3476</v>
      </c>
      <c r="L410" s="19" t="s">
        <v>3480</v>
      </c>
      <c r="M410" s="24">
        <v>89900</v>
      </c>
      <c r="N410" s="7">
        <v>0.9</v>
      </c>
      <c r="O410" s="6">
        <f t="shared" si="14"/>
        <v>8990</v>
      </c>
      <c r="P410" s="5" t="s">
        <v>504</v>
      </c>
    </row>
    <row r="411" spans="1:16" x14ac:dyDescent="0.35">
      <c r="A411" s="40" t="str">
        <f t="shared" si="13"/>
        <v>ALL 2024 H1 D90</v>
      </c>
      <c r="B411" s="8">
        <f>'ALL 2024 H2 D80'!$B$2</f>
        <v>46114</v>
      </c>
      <c r="C411" s="8">
        <f>'ALL 2024 H2 D80'!$C$2</f>
        <v>46120</v>
      </c>
      <c r="D411" s="5">
        <v>3208</v>
      </c>
      <c r="E411" s="5">
        <v>320</v>
      </c>
      <c r="F411" s="5">
        <v>1</v>
      </c>
      <c r="G411" s="5">
        <v>2</v>
      </c>
      <c r="H411" s="5">
        <v>80954</v>
      </c>
      <c r="I411" s="5" t="s">
        <v>16</v>
      </c>
      <c r="J411" s="5">
        <v>16400941</v>
      </c>
      <c r="K411" s="5" t="s">
        <v>3481</v>
      </c>
      <c r="L411" s="19" t="s">
        <v>3482</v>
      </c>
      <c r="M411" s="24">
        <v>89900</v>
      </c>
      <c r="N411" s="7">
        <v>0.9</v>
      </c>
      <c r="O411" s="6">
        <f t="shared" si="14"/>
        <v>8990</v>
      </c>
      <c r="P411" s="5" t="s">
        <v>504</v>
      </c>
    </row>
    <row r="412" spans="1:16" x14ac:dyDescent="0.35">
      <c r="A412" s="40" t="str">
        <f t="shared" si="13"/>
        <v>ALL 2024 H1 D90</v>
      </c>
      <c r="B412" s="8">
        <f>'ALL 2024 H2 D80'!$B$2</f>
        <v>46114</v>
      </c>
      <c r="C412" s="8">
        <f>'ALL 2024 H2 D80'!$C$2</f>
        <v>46120</v>
      </c>
      <c r="D412" s="5">
        <v>3208</v>
      </c>
      <c r="E412" s="5">
        <v>320</v>
      </c>
      <c r="F412" s="5">
        <v>1</v>
      </c>
      <c r="G412" s="5">
        <v>2</v>
      </c>
      <c r="H412" s="5">
        <v>80954</v>
      </c>
      <c r="I412" s="5" t="s">
        <v>16</v>
      </c>
      <c r="J412" s="5">
        <v>16400950</v>
      </c>
      <c r="K412" s="5" t="s">
        <v>3481</v>
      </c>
      <c r="L412" s="19" t="s">
        <v>3483</v>
      </c>
      <c r="M412" s="24">
        <v>89900</v>
      </c>
      <c r="N412" s="7">
        <v>0.9</v>
      </c>
      <c r="O412" s="6">
        <f t="shared" si="14"/>
        <v>8990</v>
      </c>
      <c r="P412" s="5" t="s">
        <v>504</v>
      </c>
    </row>
    <row r="413" spans="1:16" x14ac:dyDescent="0.35">
      <c r="A413" s="40" t="str">
        <f t="shared" si="13"/>
        <v>ALL 2024 H1 D90</v>
      </c>
      <c r="B413" s="8">
        <f>'ALL 2024 H2 D80'!$B$2</f>
        <v>46114</v>
      </c>
      <c r="C413" s="8">
        <f>'ALL 2024 H2 D80'!$C$2</f>
        <v>46120</v>
      </c>
      <c r="D413" s="5">
        <v>3208</v>
      </c>
      <c r="E413" s="5">
        <v>320</v>
      </c>
      <c r="F413" s="5">
        <v>1</v>
      </c>
      <c r="G413" s="5">
        <v>2</v>
      </c>
      <c r="H413" s="5">
        <v>80954</v>
      </c>
      <c r="I413" s="5" t="s">
        <v>16</v>
      </c>
      <c r="J413" s="5">
        <v>16400969</v>
      </c>
      <c r="K413" s="5" t="s">
        <v>3481</v>
      </c>
      <c r="L413" s="19" t="s">
        <v>3484</v>
      </c>
      <c r="M413" s="24">
        <v>89900</v>
      </c>
      <c r="N413" s="7">
        <v>0.9</v>
      </c>
      <c r="O413" s="6">
        <f t="shared" si="14"/>
        <v>8990</v>
      </c>
      <c r="P413" s="5" t="s">
        <v>504</v>
      </c>
    </row>
    <row r="414" spans="1:16" x14ac:dyDescent="0.35">
      <c r="A414" s="40" t="str">
        <f t="shared" si="13"/>
        <v>ALL 2024 H1 D90</v>
      </c>
      <c r="B414" s="8">
        <f>'ALL 2024 H2 D80'!$B$2</f>
        <v>46114</v>
      </c>
      <c r="C414" s="8">
        <f>'ALL 2024 H2 D80'!$C$2</f>
        <v>46120</v>
      </c>
      <c r="D414" s="5">
        <v>3208</v>
      </c>
      <c r="E414" s="5">
        <v>320</v>
      </c>
      <c r="F414" s="5">
        <v>1</v>
      </c>
      <c r="G414" s="5">
        <v>2</v>
      </c>
      <c r="H414" s="5">
        <v>80954</v>
      </c>
      <c r="I414" s="5" t="s">
        <v>16</v>
      </c>
      <c r="J414" s="5">
        <v>16400978</v>
      </c>
      <c r="K414" s="5" t="s">
        <v>3481</v>
      </c>
      <c r="L414" s="19" t="s">
        <v>3485</v>
      </c>
      <c r="M414" s="24">
        <v>89900</v>
      </c>
      <c r="N414" s="7">
        <v>0.9</v>
      </c>
      <c r="O414" s="6">
        <f t="shared" si="14"/>
        <v>8990</v>
      </c>
      <c r="P414" s="5" t="s">
        <v>504</v>
      </c>
    </row>
    <row r="415" spans="1:16" x14ac:dyDescent="0.35">
      <c r="A415" s="40" t="str">
        <f t="shared" si="13"/>
        <v>ALL 2024 H1 D90</v>
      </c>
      <c r="B415" s="8">
        <f>'ALL 2024 H2 D80'!$B$2</f>
        <v>46114</v>
      </c>
      <c r="C415" s="8">
        <f>'ALL 2024 H2 D80'!$C$2</f>
        <v>46120</v>
      </c>
      <c r="D415" s="5">
        <v>3208</v>
      </c>
      <c r="E415" s="5">
        <v>320</v>
      </c>
      <c r="F415" s="5">
        <v>1</v>
      </c>
      <c r="G415" s="5">
        <v>2</v>
      </c>
      <c r="H415" s="5">
        <v>80954</v>
      </c>
      <c r="I415" s="5" t="s">
        <v>16</v>
      </c>
      <c r="J415" s="5">
        <v>16417120</v>
      </c>
      <c r="K415" s="5" t="s">
        <v>3476</v>
      </c>
      <c r="L415" s="19" t="s">
        <v>3486</v>
      </c>
      <c r="M415" s="24">
        <v>89900</v>
      </c>
      <c r="N415" s="7">
        <v>0.9</v>
      </c>
      <c r="O415" s="6">
        <f t="shared" si="14"/>
        <v>8990</v>
      </c>
      <c r="P415" s="5" t="s">
        <v>504</v>
      </c>
    </row>
    <row r="416" spans="1:16" x14ac:dyDescent="0.35">
      <c r="A416" s="40" t="str">
        <f t="shared" si="13"/>
        <v>ALL 2024 H1 D90</v>
      </c>
      <c r="B416" s="8">
        <f>'ALL 2024 H2 D80'!$B$2</f>
        <v>46114</v>
      </c>
      <c r="C416" s="8">
        <f>'ALL 2024 H2 D80'!$C$2</f>
        <v>46120</v>
      </c>
      <c r="D416" s="5">
        <v>3208</v>
      </c>
      <c r="E416" s="5">
        <v>320</v>
      </c>
      <c r="F416" s="5">
        <v>1</v>
      </c>
      <c r="G416" s="5">
        <v>2</v>
      </c>
      <c r="H416" s="5">
        <v>80954</v>
      </c>
      <c r="I416" s="5" t="s">
        <v>16</v>
      </c>
      <c r="J416" s="5">
        <v>16417139</v>
      </c>
      <c r="K416" s="5" t="s">
        <v>3476</v>
      </c>
      <c r="L416" s="19" t="s">
        <v>3487</v>
      </c>
      <c r="M416" s="24">
        <v>89900</v>
      </c>
      <c r="N416" s="7">
        <v>0.9</v>
      </c>
      <c r="O416" s="6">
        <f t="shared" si="14"/>
        <v>8990</v>
      </c>
      <c r="P416" s="5" t="s">
        <v>504</v>
      </c>
    </row>
    <row r="417" spans="1:16" x14ac:dyDescent="0.35">
      <c r="A417" s="40" t="str">
        <f t="shared" si="13"/>
        <v>ALL 2024 H1 D90</v>
      </c>
      <c r="B417" s="8">
        <f>'ALL 2024 H2 D80'!$B$2</f>
        <v>46114</v>
      </c>
      <c r="C417" s="8">
        <f>'ALL 2024 H2 D80'!$C$2</f>
        <v>46120</v>
      </c>
      <c r="D417" s="5">
        <v>3208</v>
      </c>
      <c r="E417" s="5">
        <v>320</v>
      </c>
      <c r="F417" s="5">
        <v>1</v>
      </c>
      <c r="G417" s="5">
        <v>2</v>
      </c>
      <c r="H417" s="5">
        <v>80954</v>
      </c>
      <c r="I417" s="5" t="s">
        <v>16</v>
      </c>
      <c r="J417" s="5">
        <v>16417148</v>
      </c>
      <c r="K417" s="5" t="s">
        <v>3476</v>
      </c>
      <c r="L417" s="19" t="s">
        <v>3488</v>
      </c>
      <c r="M417" s="24">
        <v>89900</v>
      </c>
      <c r="N417" s="7">
        <v>0.9</v>
      </c>
      <c r="O417" s="6">
        <f t="shared" si="14"/>
        <v>8990</v>
      </c>
      <c r="P417" s="5" t="s">
        <v>504</v>
      </c>
    </row>
    <row r="418" spans="1:16" x14ac:dyDescent="0.35">
      <c r="A418" s="40" t="str">
        <f t="shared" si="13"/>
        <v>ALL 2024 H1 D90</v>
      </c>
      <c r="B418" s="8">
        <f>'ALL 2024 H2 D80'!$B$2</f>
        <v>46114</v>
      </c>
      <c r="C418" s="8">
        <f>'ALL 2024 H2 D80'!$C$2</f>
        <v>46120</v>
      </c>
      <c r="D418" s="5">
        <v>3208</v>
      </c>
      <c r="E418" s="5">
        <v>320</v>
      </c>
      <c r="F418" s="5">
        <v>1</v>
      </c>
      <c r="G418" s="5">
        <v>2</v>
      </c>
      <c r="H418" s="5">
        <v>80954</v>
      </c>
      <c r="I418" s="5" t="s">
        <v>16</v>
      </c>
      <c r="J418" s="5">
        <v>16417157</v>
      </c>
      <c r="K418" s="5" t="s">
        <v>3476</v>
      </c>
      <c r="L418" s="19" t="s">
        <v>3489</v>
      </c>
      <c r="M418" s="24">
        <v>89900</v>
      </c>
      <c r="N418" s="7">
        <v>0.9</v>
      </c>
      <c r="O418" s="6">
        <f t="shared" si="14"/>
        <v>8990</v>
      </c>
      <c r="P418" s="5" t="s">
        <v>504</v>
      </c>
    </row>
    <row r="419" spans="1:16" x14ac:dyDescent="0.35">
      <c r="A419" s="40" t="str">
        <f t="shared" si="13"/>
        <v>ALL 2024 H1 D90</v>
      </c>
      <c r="B419" s="8">
        <f>'ALL 2024 H2 D80'!$B$2</f>
        <v>46114</v>
      </c>
      <c r="C419" s="8">
        <f>'ALL 2024 H2 D80'!$C$2</f>
        <v>46120</v>
      </c>
      <c r="D419" s="5">
        <v>3208</v>
      </c>
      <c r="E419" s="5">
        <v>320</v>
      </c>
      <c r="F419" s="5">
        <v>1</v>
      </c>
      <c r="G419" s="5">
        <v>2</v>
      </c>
      <c r="H419" s="5">
        <v>80954</v>
      </c>
      <c r="I419" s="5" t="s">
        <v>16</v>
      </c>
      <c r="J419" s="5">
        <v>16417166</v>
      </c>
      <c r="K419" s="5" t="s">
        <v>3490</v>
      </c>
      <c r="L419" s="19" t="s">
        <v>3491</v>
      </c>
      <c r="M419" s="24">
        <v>89900</v>
      </c>
      <c r="N419" s="7">
        <v>0.9</v>
      </c>
      <c r="O419" s="6">
        <f t="shared" si="14"/>
        <v>8990</v>
      </c>
      <c r="P419" s="5" t="s">
        <v>504</v>
      </c>
    </row>
    <row r="420" spans="1:16" x14ac:dyDescent="0.35">
      <c r="A420" s="40" t="str">
        <f t="shared" si="13"/>
        <v>ALL 2024 H1 D90</v>
      </c>
      <c r="B420" s="8">
        <f>'ALL 2024 H2 D80'!$B$2</f>
        <v>46114</v>
      </c>
      <c r="C420" s="8">
        <f>'ALL 2024 H2 D80'!$C$2</f>
        <v>46120</v>
      </c>
      <c r="D420" s="5">
        <v>3208</v>
      </c>
      <c r="E420" s="5">
        <v>320</v>
      </c>
      <c r="F420" s="5">
        <v>1</v>
      </c>
      <c r="G420" s="5">
        <v>2</v>
      </c>
      <c r="H420" s="5">
        <v>80954</v>
      </c>
      <c r="I420" s="5" t="s">
        <v>16</v>
      </c>
      <c r="J420" s="5">
        <v>16417175</v>
      </c>
      <c r="K420" s="5" t="s">
        <v>3490</v>
      </c>
      <c r="L420" s="19" t="s">
        <v>3492</v>
      </c>
      <c r="M420" s="24">
        <v>89900</v>
      </c>
      <c r="N420" s="7">
        <v>0.9</v>
      </c>
      <c r="O420" s="6">
        <f t="shared" si="14"/>
        <v>8990</v>
      </c>
      <c r="P420" s="5" t="s">
        <v>504</v>
      </c>
    </row>
    <row r="421" spans="1:16" x14ac:dyDescent="0.35">
      <c r="A421" s="40" t="str">
        <f t="shared" si="13"/>
        <v>ALL 2024 H1 D90</v>
      </c>
      <c r="B421" s="8">
        <f>'ALL 2024 H2 D80'!$B$2</f>
        <v>46114</v>
      </c>
      <c r="C421" s="8">
        <f>'ALL 2024 H2 D80'!$C$2</f>
        <v>46120</v>
      </c>
      <c r="D421" s="5">
        <v>3208</v>
      </c>
      <c r="E421" s="5">
        <v>320</v>
      </c>
      <c r="F421" s="5">
        <v>1</v>
      </c>
      <c r="G421" s="5">
        <v>2</v>
      </c>
      <c r="H421" s="5">
        <v>80954</v>
      </c>
      <c r="I421" s="5" t="s">
        <v>16</v>
      </c>
      <c r="J421" s="5">
        <v>16417184</v>
      </c>
      <c r="K421" s="5" t="s">
        <v>3490</v>
      </c>
      <c r="L421" s="19" t="s">
        <v>3493</v>
      </c>
      <c r="M421" s="24">
        <v>89900</v>
      </c>
      <c r="N421" s="7">
        <v>0.9</v>
      </c>
      <c r="O421" s="6">
        <f t="shared" si="14"/>
        <v>8990</v>
      </c>
      <c r="P421" s="5" t="s">
        <v>504</v>
      </c>
    </row>
    <row r="422" spans="1:16" x14ac:dyDescent="0.35">
      <c r="A422" s="40" t="str">
        <f t="shared" si="13"/>
        <v>ALL 2024 H1 D90</v>
      </c>
      <c r="B422" s="8">
        <f>'ALL 2024 H2 D80'!$B$2</f>
        <v>46114</v>
      </c>
      <c r="C422" s="8">
        <f>'ALL 2024 H2 D80'!$C$2</f>
        <v>46120</v>
      </c>
      <c r="D422" s="5">
        <v>3208</v>
      </c>
      <c r="E422" s="5">
        <v>320</v>
      </c>
      <c r="F422" s="5">
        <v>1</v>
      </c>
      <c r="G422" s="5">
        <v>2</v>
      </c>
      <c r="H422" s="5">
        <v>80954</v>
      </c>
      <c r="I422" s="5" t="s">
        <v>16</v>
      </c>
      <c r="J422" s="5">
        <v>16417200</v>
      </c>
      <c r="K422" s="5" t="s">
        <v>3490</v>
      </c>
      <c r="L422" s="19" t="s">
        <v>3494</v>
      </c>
      <c r="M422" s="24">
        <v>89900</v>
      </c>
      <c r="N422" s="7">
        <v>0.9</v>
      </c>
      <c r="O422" s="6">
        <f t="shared" si="14"/>
        <v>8990</v>
      </c>
      <c r="P422" s="5" t="s">
        <v>504</v>
      </c>
    </row>
    <row r="423" spans="1:16" x14ac:dyDescent="0.35">
      <c r="A423" s="40" t="str">
        <f t="shared" si="13"/>
        <v>ALL 2024 H1 D90</v>
      </c>
      <c r="B423" s="8">
        <f>'ALL 2024 H2 D80'!$B$2</f>
        <v>46114</v>
      </c>
      <c r="C423" s="8">
        <f>'ALL 2024 H2 D80'!$C$2</f>
        <v>46120</v>
      </c>
      <c r="D423" s="5">
        <v>3208</v>
      </c>
      <c r="E423" s="5">
        <v>320</v>
      </c>
      <c r="F423" s="5">
        <v>1</v>
      </c>
      <c r="G423" s="5">
        <v>2</v>
      </c>
      <c r="H423" s="5">
        <v>80954</v>
      </c>
      <c r="I423" s="5" t="s">
        <v>16</v>
      </c>
      <c r="J423" s="5">
        <v>16417228</v>
      </c>
      <c r="K423" s="5" t="s">
        <v>3495</v>
      </c>
      <c r="L423" s="19" t="s">
        <v>3496</v>
      </c>
      <c r="M423" s="24">
        <v>89900</v>
      </c>
      <c r="N423" s="7">
        <v>0.9</v>
      </c>
      <c r="O423" s="6">
        <f t="shared" si="14"/>
        <v>8990</v>
      </c>
      <c r="P423" s="5" t="s">
        <v>504</v>
      </c>
    </row>
    <row r="424" spans="1:16" x14ac:dyDescent="0.35">
      <c r="A424" s="40" t="str">
        <f t="shared" si="13"/>
        <v>ALL 2024 H1 D90</v>
      </c>
      <c r="B424" s="8">
        <f>'ALL 2024 H2 D80'!$B$2</f>
        <v>46114</v>
      </c>
      <c r="C424" s="8">
        <f>'ALL 2024 H2 D80'!$C$2</f>
        <v>46120</v>
      </c>
      <c r="D424" s="5">
        <v>3208</v>
      </c>
      <c r="E424" s="5">
        <v>320</v>
      </c>
      <c r="F424" s="5">
        <v>1</v>
      </c>
      <c r="G424" s="5">
        <v>2</v>
      </c>
      <c r="H424" s="5">
        <v>80954</v>
      </c>
      <c r="I424" s="5" t="s">
        <v>16</v>
      </c>
      <c r="J424" s="5">
        <v>16417291</v>
      </c>
      <c r="K424" s="5" t="s">
        <v>3495</v>
      </c>
      <c r="L424" s="19" t="s">
        <v>3497</v>
      </c>
      <c r="M424" s="24">
        <v>89900</v>
      </c>
      <c r="N424" s="7">
        <v>0.9</v>
      </c>
      <c r="O424" s="6">
        <f t="shared" si="14"/>
        <v>8990</v>
      </c>
      <c r="P424" s="5" t="s">
        <v>504</v>
      </c>
    </row>
    <row r="425" spans="1:16" x14ac:dyDescent="0.35">
      <c r="A425" s="40" t="str">
        <f t="shared" si="13"/>
        <v>ALL 2024 H1 D90</v>
      </c>
      <c r="B425" s="8">
        <f>'ALL 2024 H2 D80'!$B$2</f>
        <v>46114</v>
      </c>
      <c r="C425" s="8">
        <f>'ALL 2024 H2 D80'!$C$2</f>
        <v>46120</v>
      </c>
      <c r="D425" s="5">
        <v>3208</v>
      </c>
      <c r="E425" s="5">
        <v>320</v>
      </c>
      <c r="F425" s="5">
        <v>1</v>
      </c>
      <c r="G425" s="5">
        <v>2</v>
      </c>
      <c r="H425" s="5">
        <v>80954</v>
      </c>
      <c r="I425" s="5" t="s">
        <v>16</v>
      </c>
      <c r="J425" s="5">
        <v>16417308</v>
      </c>
      <c r="K425" s="5" t="s">
        <v>3495</v>
      </c>
      <c r="L425" s="19" t="s">
        <v>3498</v>
      </c>
      <c r="M425" s="24">
        <v>89900</v>
      </c>
      <c r="N425" s="7">
        <v>0.9</v>
      </c>
      <c r="O425" s="6">
        <f t="shared" si="14"/>
        <v>8990</v>
      </c>
      <c r="P425" s="5" t="s">
        <v>504</v>
      </c>
    </row>
    <row r="426" spans="1:16" x14ac:dyDescent="0.35">
      <c r="A426" s="40" t="str">
        <f t="shared" si="13"/>
        <v>ALL 2024 H1 D90</v>
      </c>
      <c r="B426" s="8">
        <f>'ALL 2024 H2 D80'!$B$2</f>
        <v>46114</v>
      </c>
      <c r="C426" s="8">
        <f>'ALL 2024 H2 D80'!$C$2</f>
        <v>46120</v>
      </c>
      <c r="D426" s="5">
        <v>3208</v>
      </c>
      <c r="E426" s="5">
        <v>320</v>
      </c>
      <c r="F426" s="5">
        <v>1</v>
      </c>
      <c r="G426" s="5">
        <v>2</v>
      </c>
      <c r="H426" s="5">
        <v>80954</v>
      </c>
      <c r="I426" s="5" t="s">
        <v>16</v>
      </c>
      <c r="J426" s="5">
        <v>16417317</v>
      </c>
      <c r="K426" s="5" t="s">
        <v>3495</v>
      </c>
      <c r="L426" s="19" t="s">
        <v>3499</v>
      </c>
      <c r="M426" s="24">
        <v>89900</v>
      </c>
      <c r="N426" s="7">
        <v>0.9</v>
      </c>
      <c r="O426" s="6">
        <f t="shared" si="14"/>
        <v>8990</v>
      </c>
      <c r="P426" s="5" t="s">
        <v>504</v>
      </c>
    </row>
    <row r="427" spans="1:16" x14ac:dyDescent="0.35">
      <c r="A427" s="40" t="str">
        <f t="shared" si="13"/>
        <v>ALL 2024 H1 D90</v>
      </c>
      <c r="B427" s="8">
        <f>'ALL 2024 H2 D80'!$B$2</f>
        <v>46114</v>
      </c>
      <c r="C427" s="8">
        <f>'ALL 2024 H2 D80'!$C$2</f>
        <v>46120</v>
      </c>
      <c r="D427" s="5">
        <v>3208</v>
      </c>
      <c r="E427" s="5">
        <v>320</v>
      </c>
      <c r="F427" s="5">
        <v>1</v>
      </c>
      <c r="G427" s="5">
        <v>2</v>
      </c>
      <c r="H427" s="5">
        <v>80954</v>
      </c>
      <c r="I427" s="5" t="s">
        <v>16</v>
      </c>
      <c r="J427" s="5">
        <v>16811435</v>
      </c>
      <c r="K427" s="5" t="s">
        <v>3500</v>
      </c>
      <c r="L427" s="19" t="s">
        <v>3501</v>
      </c>
      <c r="M427" s="24">
        <v>89900</v>
      </c>
      <c r="N427" s="7">
        <v>0.9</v>
      </c>
      <c r="O427" s="6">
        <f t="shared" si="14"/>
        <v>8990</v>
      </c>
      <c r="P427" s="5" t="s">
        <v>504</v>
      </c>
    </row>
    <row r="428" spans="1:16" x14ac:dyDescent="0.35">
      <c r="A428" s="40" t="str">
        <f t="shared" si="13"/>
        <v>ALL 2024 H1 D90</v>
      </c>
      <c r="B428" s="8">
        <f>'ALL 2024 H2 D80'!$B$2</f>
        <v>46114</v>
      </c>
      <c r="C428" s="8">
        <f>'ALL 2024 H2 D80'!$C$2</f>
        <v>46120</v>
      </c>
      <c r="D428" s="5">
        <v>3208</v>
      </c>
      <c r="E428" s="5">
        <v>320</v>
      </c>
      <c r="F428" s="5">
        <v>1</v>
      </c>
      <c r="G428" s="5">
        <v>2</v>
      </c>
      <c r="H428" s="5">
        <v>80954</v>
      </c>
      <c r="I428" s="5" t="s">
        <v>16</v>
      </c>
      <c r="J428" s="5">
        <v>16811444</v>
      </c>
      <c r="K428" s="5" t="s">
        <v>3500</v>
      </c>
      <c r="L428" s="19" t="s">
        <v>3502</v>
      </c>
      <c r="M428" s="24">
        <v>89900</v>
      </c>
      <c r="N428" s="7">
        <v>0.9</v>
      </c>
      <c r="O428" s="6">
        <f t="shared" si="14"/>
        <v>8990</v>
      </c>
      <c r="P428" s="5" t="s">
        <v>504</v>
      </c>
    </row>
    <row r="429" spans="1:16" x14ac:dyDescent="0.35">
      <c r="A429" s="40" t="str">
        <f t="shared" si="13"/>
        <v>ALL 2024 H1 D90</v>
      </c>
      <c r="B429" s="8">
        <f>'ALL 2024 H2 D80'!$B$2</f>
        <v>46114</v>
      </c>
      <c r="C429" s="8">
        <f>'ALL 2024 H2 D80'!$C$2</f>
        <v>46120</v>
      </c>
      <c r="D429" s="5">
        <v>3208</v>
      </c>
      <c r="E429" s="5">
        <v>320</v>
      </c>
      <c r="F429" s="5">
        <v>1</v>
      </c>
      <c r="G429" s="5">
        <v>2</v>
      </c>
      <c r="H429" s="5">
        <v>80954</v>
      </c>
      <c r="I429" s="5" t="s">
        <v>16</v>
      </c>
      <c r="J429" s="5">
        <v>16811453</v>
      </c>
      <c r="K429" s="5" t="s">
        <v>3500</v>
      </c>
      <c r="L429" s="19" t="s">
        <v>3503</v>
      </c>
      <c r="M429" s="24">
        <v>89900</v>
      </c>
      <c r="N429" s="7">
        <v>0.9</v>
      </c>
      <c r="O429" s="6">
        <f t="shared" si="14"/>
        <v>8990</v>
      </c>
      <c r="P429" s="5" t="s">
        <v>504</v>
      </c>
    </row>
    <row r="430" spans="1:16" x14ac:dyDescent="0.35">
      <c r="A430" s="40" t="str">
        <f t="shared" si="13"/>
        <v>ALL 2024 H1 D90</v>
      </c>
      <c r="B430" s="8">
        <f>'ALL 2024 H2 D80'!$B$2</f>
        <v>46114</v>
      </c>
      <c r="C430" s="8">
        <f>'ALL 2024 H2 D80'!$C$2</f>
        <v>46120</v>
      </c>
      <c r="D430" s="5">
        <v>3208</v>
      </c>
      <c r="E430" s="5">
        <v>320</v>
      </c>
      <c r="F430" s="5">
        <v>1</v>
      </c>
      <c r="G430" s="5">
        <v>2</v>
      </c>
      <c r="H430" s="5">
        <v>80954</v>
      </c>
      <c r="I430" s="5" t="s">
        <v>16</v>
      </c>
      <c r="J430" s="5">
        <v>16811462</v>
      </c>
      <c r="K430" s="5" t="s">
        <v>3500</v>
      </c>
      <c r="L430" s="19" t="s">
        <v>3504</v>
      </c>
      <c r="M430" s="24">
        <v>89900</v>
      </c>
      <c r="N430" s="7">
        <v>0.9</v>
      </c>
      <c r="O430" s="6">
        <f t="shared" si="14"/>
        <v>8990</v>
      </c>
      <c r="P430" s="5" t="s">
        <v>504</v>
      </c>
    </row>
    <row r="431" spans="1:16" x14ac:dyDescent="0.35">
      <c r="A431" s="40" t="str">
        <f t="shared" si="13"/>
        <v>ALL 2024 H1 D90</v>
      </c>
      <c r="B431" s="8">
        <f>'ALL 2024 H2 D80'!$B$2</f>
        <v>46114</v>
      </c>
      <c r="C431" s="8">
        <f>'ALL 2024 H2 D80'!$C$2</f>
        <v>46120</v>
      </c>
      <c r="D431" s="5">
        <v>3208</v>
      </c>
      <c r="E431" s="5">
        <v>320</v>
      </c>
      <c r="F431" s="5">
        <v>1</v>
      </c>
      <c r="G431" s="5">
        <v>2</v>
      </c>
      <c r="H431" s="5">
        <v>80954</v>
      </c>
      <c r="I431" s="5" t="s">
        <v>16</v>
      </c>
      <c r="J431" s="5">
        <v>16811471</v>
      </c>
      <c r="K431" s="5" t="s">
        <v>3505</v>
      </c>
      <c r="L431" s="19" t="s">
        <v>3506</v>
      </c>
      <c r="M431" s="24">
        <v>89900</v>
      </c>
      <c r="N431" s="7">
        <v>0.9</v>
      </c>
      <c r="O431" s="6">
        <f t="shared" si="14"/>
        <v>8990</v>
      </c>
      <c r="P431" s="5" t="s">
        <v>504</v>
      </c>
    </row>
    <row r="432" spans="1:16" x14ac:dyDescent="0.35">
      <c r="A432" s="40" t="str">
        <f t="shared" si="13"/>
        <v>ALL 2024 H1 D90</v>
      </c>
      <c r="B432" s="8">
        <f>'ALL 2024 H2 D80'!$B$2</f>
        <v>46114</v>
      </c>
      <c r="C432" s="8">
        <f>'ALL 2024 H2 D80'!$C$2</f>
        <v>46120</v>
      </c>
      <c r="D432" s="5">
        <v>3208</v>
      </c>
      <c r="E432" s="5">
        <v>320</v>
      </c>
      <c r="F432" s="5">
        <v>1</v>
      </c>
      <c r="G432" s="5">
        <v>2</v>
      </c>
      <c r="H432" s="5">
        <v>80954</v>
      </c>
      <c r="I432" s="5" t="s">
        <v>16</v>
      </c>
      <c r="J432" s="5">
        <v>16811480</v>
      </c>
      <c r="K432" s="5" t="s">
        <v>3505</v>
      </c>
      <c r="L432" s="19" t="s">
        <v>3507</v>
      </c>
      <c r="M432" s="24">
        <v>89900</v>
      </c>
      <c r="N432" s="7">
        <v>0.9</v>
      </c>
      <c r="O432" s="6">
        <f t="shared" si="14"/>
        <v>8990</v>
      </c>
      <c r="P432" s="5" t="s">
        <v>504</v>
      </c>
    </row>
    <row r="433" spans="1:16" x14ac:dyDescent="0.35">
      <c r="A433" s="40" t="str">
        <f t="shared" si="13"/>
        <v>ALL 2024 H1 D90</v>
      </c>
      <c r="B433" s="8">
        <f>'ALL 2024 H2 D80'!$B$2</f>
        <v>46114</v>
      </c>
      <c r="C433" s="8">
        <f>'ALL 2024 H2 D80'!$C$2</f>
        <v>46120</v>
      </c>
      <c r="D433" s="5">
        <v>3208</v>
      </c>
      <c r="E433" s="5">
        <v>320</v>
      </c>
      <c r="F433" s="5">
        <v>1</v>
      </c>
      <c r="G433" s="5">
        <v>2</v>
      </c>
      <c r="H433" s="5">
        <v>80954</v>
      </c>
      <c r="I433" s="5" t="s">
        <v>16</v>
      </c>
      <c r="J433" s="5">
        <v>16811499</v>
      </c>
      <c r="K433" s="5" t="s">
        <v>3505</v>
      </c>
      <c r="L433" s="19" t="s">
        <v>3508</v>
      </c>
      <c r="M433" s="24">
        <v>89900</v>
      </c>
      <c r="N433" s="7">
        <v>0.9</v>
      </c>
      <c r="O433" s="6">
        <f t="shared" si="14"/>
        <v>8990</v>
      </c>
      <c r="P433" s="5" t="s">
        <v>504</v>
      </c>
    </row>
    <row r="434" spans="1:16" x14ac:dyDescent="0.35">
      <c r="A434" s="40" t="str">
        <f t="shared" si="13"/>
        <v>ALL 2024 H1 D90</v>
      </c>
      <c r="B434" s="8">
        <f>'ALL 2024 H2 D80'!$B$2</f>
        <v>46114</v>
      </c>
      <c r="C434" s="8">
        <f>'ALL 2024 H2 D80'!$C$2</f>
        <v>46120</v>
      </c>
      <c r="D434" s="5">
        <v>3208</v>
      </c>
      <c r="E434" s="5">
        <v>320</v>
      </c>
      <c r="F434" s="5">
        <v>1</v>
      </c>
      <c r="G434" s="5">
        <v>2</v>
      </c>
      <c r="H434" s="5">
        <v>80954</v>
      </c>
      <c r="I434" s="5" t="s">
        <v>16</v>
      </c>
      <c r="J434" s="5">
        <v>16811506</v>
      </c>
      <c r="K434" s="5" t="s">
        <v>3505</v>
      </c>
      <c r="L434" s="19" t="s">
        <v>3509</v>
      </c>
      <c r="M434" s="24">
        <v>89900</v>
      </c>
      <c r="N434" s="7">
        <v>0.9</v>
      </c>
      <c r="O434" s="6">
        <f t="shared" si="14"/>
        <v>8990</v>
      </c>
      <c r="P434" s="5" t="s">
        <v>504</v>
      </c>
    </row>
    <row r="435" spans="1:16" x14ac:dyDescent="0.35">
      <c r="A435" s="40" t="str">
        <f t="shared" si="13"/>
        <v>ALL 2024 H1 D90</v>
      </c>
      <c r="B435" s="8">
        <f>'ALL 2024 H2 D80'!$B$2</f>
        <v>46114</v>
      </c>
      <c r="C435" s="8">
        <f>'ALL 2024 H2 D80'!$C$2</f>
        <v>46120</v>
      </c>
      <c r="D435" s="5">
        <v>3208</v>
      </c>
      <c r="E435" s="5">
        <v>320</v>
      </c>
      <c r="F435" s="5">
        <v>1</v>
      </c>
      <c r="G435" s="16">
        <v>2</v>
      </c>
      <c r="H435" s="16">
        <v>80954</v>
      </c>
      <c r="I435" s="16" t="s">
        <v>16</v>
      </c>
      <c r="J435" s="16">
        <v>15943250</v>
      </c>
      <c r="K435" s="16" t="s">
        <v>3382</v>
      </c>
      <c r="L435" s="18" t="s">
        <v>3383</v>
      </c>
      <c r="M435" s="41">
        <v>99900</v>
      </c>
      <c r="N435" s="7">
        <v>0.9</v>
      </c>
      <c r="O435" s="6">
        <f t="shared" si="14"/>
        <v>9990</v>
      </c>
      <c r="P435" s="5" t="s">
        <v>504</v>
      </c>
    </row>
    <row r="436" spans="1:16" x14ac:dyDescent="0.35">
      <c r="A436" s="40" t="str">
        <f t="shared" si="13"/>
        <v>ALL 2024 H1 D90</v>
      </c>
      <c r="B436" s="8">
        <f>'ALL 2024 H2 D80'!$B$2</f>
        <v>46114</v>
      </c>
      <c r="C436" s="8">
        <f>'ALL 2024 H2 D80'!$C$2</f>
        <v>46120</v>
      </c>
      <c r="D436" s="5">
        <v>3208</v>
      </c>
      <c r="E436" s="5">
        <v>320</v>
      </c>
      <c r="F436" s="5">
        <v>1</v>
      </c>
      <c r="G436" s="16">
        <v>2</v>
      </c>
      <c r="H436" s="16">
        <v>80954</v>
      </c>
      <c r="I436" s="16" t="s">
        <v>16</v>
      </c>
      <c r="J436" s="16">
        <v>15943269</v>
      </c>
      <c r="K436" s="16" t="s">
        <v>3382</v>
      </c>
      <c r="L436" s="18" t="s">
        <v>3384</v>
      </c>
      <c r="M436" s="41">
        <v>99900</v>
      </c>
      <c r="N436" s="7">
        <v>0.9</v>
      </c>
      <c r="O436" s="6">
        <f t="shared" si="14"/>
        <v>9990</v>
      </c>
      <c r="P436" s="5" t="s">
        <v>504</v>
      </c>
    </row>
    <row r="437" spans="1:16" x14ac:dyDescent="0.35">
      <c r="A437" s="40" t="str">
        <f t="shared" si="13"/>
        <v>ALL 2024 H1 D90</v>
      </c>
      <c r="B437" s="8">
        <f>'ALL 2024 H2 D80'!$B$2</f>
        <v>46114</v>
      </c>
      <c r="C437" s="8">
        <f>'ALL 2024 H2 D80'!$C$2</f>
        <v>46120</v>
      </c>
      <c r="D437" s="5">
        <v>3208</v>
      </c>
      <c r="E437" s="5">
        <v>320</v>
      </c>
      <c r="F437" s="5">
        <v>1</v>
      </c>
      <c r="G437" s="16">
        <v>2</v>
      </c>
      <c r="H437" s="16">
        <v>80954</v>
      </c>
      <c r="I437" s="16" t="s">
        <v>16</v>
      </c>
      <c r="J437" s="16">
        <v>15943278</v>
      </c>
      <c r="K437" s="16" t="s">
        <v>3382</v>
      </c>
      <c r="L437" s="18" t="s">
        <v>3385</v>
      </c>
      <c r="M437" s="41">
        <v>99900</v>
      </c>
      <c r="N437" s="7">
        <v>0.9</v>
      </c>
      <c r="O437" s="6">
        <f t="shared" si="14"/>
        <v>9990</v>
      </c>
      <c r="P437" s="5" t="s">
        <v>504</v>
      </c>
    </row>
    <row r="438" spans="1:16" x14ac:dyDescent="0.35">
      <c r="A438" s="40" t="str">
        <f t="shared" si="13"/>
        <v>ALL 2024 H1 D90</v>
      </c>
      <c r="B438" s="8">
        <f>'ALL 2024 H2 D80'!$B$2</f>
        <v>46114</v>
      </c>
      <c r="C438" s="8">
        <f>'ALL 2024 H2 D80'!$C$2</f>
        <v>46120</v>
      </c>
      <c r="D438" s="5">
        <v>3208</v>
      </c>
      <c r="E438" s="5">
        <v>320</v>
      </c>
      <c r="F438" s="5">
        <v>1</v>
      </c>
      <c r="G438" s="16">
        <v>2</v>
      </c>
      <c r="H438" s="16">
        <v>80954</v>
      </c>
      <c r="I438" s="16" t="s">
        <v>16</v>
      </c>
      <c r="J438" s="16">
        <v>15951787</v>
      </c>
      <c r="K438" s="16" t="s">
        <v>3382</v>
      </c>
      <c r="L438" s="18" t="s">
        <v>3386</v>
      </c>
      <c r="M438" s="41">
        <v>99900</v>
      </c>
      <c r="N438" s="7">
        <v>0.9</v>
      </c>
      <c r="O438" s="6">
        <f t="shared" si="14"/>
        <v>9990</v>
      </c>
      <c r="P438" s="5" t="s">
        <v>504</v>
      </c>
    </row>
    <row r="439" spans="1:16" x14ac:dyDescent="0.35">
      <c r="A439" s="40" t="str">
        <f t="shared" si="13"/>
        <v>ALL 2024 H1 D90</v>
      </c>
      <c r="B439" s="8">
        <f>'ALL 2024 H2 D80'!$B$2</f>
        <v>46114</v>
      </c>
      <c r="C439" s="8">
        <f>'ALL 2024 H2 D80'!$C$2</f>
        <v>46120</v>
      </c>
      <c r="D439" s="5">
        <v>3208</v>
      </c>
      <c r="E439" s="5">
        <v>320</v>
      </c>
      <c r="F439" s="5">
        <v>1</v>
      </c>
      <c r="G439" s="16">
        <v>2</v>
      </c>
      <c r="H439" s="16">
        <v>80954</v>
      </c>
      <c r="I439" s="16" t="s">
        <v>16</v>
      </c>
      <c r="J439" s="16">
        <v>18962519</v>
      </c>
      <c r="K439" s="16" t="s">
        <v>3382</v>
      </c>
      <c r="L439" s="18" t="s">
        <v>3387</v>
      </c>
      <c r="M439" s="41">
        <v>99900</v>
      </c>
      <c r="N439" s="7">
        <v>0.9</v>
      </c>
      <c r="O439" s="6">
        <f t="shared" si="14"/>
        <v>9990</v>
      </c>
      <c r="P439" s="5" t="s">
        <v>504</v>
      </c>
    </row>
    <row r="440" spans="1:16" x14ac:dyDescent="0.35">
      <c r="A440" s="40" t="str">
        <f t="shared" si="13"/>
        <v>ALL 2024 H1 D90</v>
      </c>
      <c r="B440" s="8">
        <f>'ALL 2024 H2 D80'!$B$2</f>
        <v>46114</v>
      </c>
      <c r="C440" s="8">
        <f>'ALL 2024 H2 D80'!$C$2</f>
        <v>46120</v>
      </c>
      <c r="D440" s="5">
        <v>3208</v>
      </c>
      <c r="E440" s="5">
        <v>320</v>
      </c>
      <c r="F440" s="5">
        <v>1</v>
      </c>
      <c r="G440" s="16">
        <v>2</v>
      </c>
      <c r="H440" s="16">
        <v>80954</v>
      </c>
      <c r="I440" s="16" t="s">
        <v>16</v>
      </c>
      <c r="J440" s="16">
        <v>18962528</v>
      </c>
      <c r="K440" s="16" t="s">
        <v>3382</v>
      </c>
      <c r="L440" s="18" t="s">
        <v>3388</v>
      </c>
      <c r="M440" s="41">
        <v>99900</v>
      </c>
      <c r="N440" s="7">
        <v>0.9</v>
      </c>
      <c r="O440" s="6">
        <f t="shared" si="14"/>
        <v>9990</v>
      </c>
      <c r="P440" s="5" t="s">
        <v>504</v>
      </c>
    </row>
    <row r="441" spans="1:16" x14ac:dyDescent="0.35">
      <c r="A441" s="40" t="str">
        <f t="shared" si="13"/>
        <v>ALL 2024 H1 D90</v>
      </c>
      <c r="B441" s="8">
        <f>'ALL 2024 H2 D80'!$B$2</f>
        <v>46114</v>
      </c>
      <c r="C441" s="8">
        <f>'ALL 2024 H2 D80'!$C$2</f>
        <v>46120</v>
      </c>
      <c r="D441" s="5">
        <v>3208</v>
      </c>
      <c r="E441" s="5">
        <v>320</v>
      </c>
      <c r="F441" s="5">
        <v>1</v>
      </c>
      <c r="G441" s="16">
        <v>2</v>
      </c>
      <c r="H441" s="16">
        <v>80954</v>
      </c>
      <c r="I441" s="16" t="s">
        <v>16</v>
      </c>
      <c r="J441" s="16">
        <v>18962537</v>
      </c>
      <c r="K441" s="16" t="s">
        <v>3382</v>
      </c>
      <c r="L441" s="18" t="s">
        <v>3389</v>
      </c>
      <c r="M441" s="41">
        <v>99900</v>
      </c>
      <c r="N441" s="7">
        <v>0.9</v>
      </c>
      <c r="O441" s="6">
        <f t="shared" si="14"/>
        <v>9990</v>
      </c>
      <c r="P441" s="5" t="s">
        <v>504</v>
      </c>
    </row>
    <row r="442" spans="1:16" x14ac:dyDescent="0.35">
      <c r="A442" s="40" t="str">
        <f t="shared" si="13"/>
        <v>ALL 2024 H1 D90</v>
      </c>
      <c r="B442" s="8">
        <f>'ALL 2024 H2 D80'!$B$2</f>
        <v>46114</v>
      </c>
      <c r="C442" s="8">
        <f>'ALL 2024 H2 D80'!$C$2</f>
        <v>46120</v>
      </c>
      <c r="D442" s="5">
        <v>3208</v>
      </c>
      <c r="E442" s="5">
        <v>320</v>
      </c>
      <c r="F442" s="5">
        <v>1</v>
      </c>
      <c r="G442" s="16">
        <v>2</v>
      </c>
      <c r="H442" s="16">
        <v>80954</v>
      </c>
      <c r="I442" s="16" t="s">
        <v>16</v>
      </c>
      <c r="J442" s="16">
        <v>18962546</v>
      </c>
      <c r="K442" s="16" t="s">
        <v>3382</v>
      </c>
      <c r="L442" s="18" t="s">
        <v>3390</v>
      </c>
      <c r="M442" s="41">
        <v>99900</v>
      </c>
      <c r="N442" s="7">
        <v>0.9</v>
      </c>
      <c r="O442" s="6">
        <f t="shared" si="14"/>
        <v>9990</v>
      </c>
      <c r="P442" s="5" t="s">
        <v>504</v>
      </c>
    </row>
    <row r="443" spans="1:16" x14ac:dyDescent="0.35">
      <c r="A443" s="40" t="str">
        <f t="shared" si="13"/>
        <v>ALL 2024 H1 D90</v>
      </c>
      <c r="B443" s="8">
        <f>'ALL 2024 H2 D80'!$B$2</f>
        <v>46114</v>
      </c>
      <c r="C443" s="8">
        <f>'ALL 2024 H2 D80'!$C$2</f>
        <v>46120</v>
      </c>
      <c r="D443" s="5">
        <v>3208</v>
      </c>
      <c r="E443" s="5">
        <v>320</v>
      </c>
      <c r="F443" s="5">
        <v>1</v>
      </c>
      <c r="G443" s="5">
        <v>2</v>
      </c>
      <c r="H443" s="5">
        <v>81738</v>
      </c>
      <c r="I443" s="5" t="s">
        <v>16</v>
      </c>
      <c r="J443" s="5">
        <v>15943410</v>
      </c>
      <c r="K443" s="5" t="s">
        <v>3082</v>
      </c>
      <c r="L443" s="19" t="s">
        <v>3083</v>
      </c>
      <c r="M443" s="24">
        <v>99900</v>
      </c>
      <c r="N443" s="7">
        <v>0.9</v>
      </c>
      <c r="O443" s="6">
        <f t="shared" si="14"/>
        <v>9990</v>
      </c>
      <c r="P443" s="5" t="s">
        <v>504</v>
      </c>
    </row>
    <row r="444" spans="1:16" x14ac:dyDescent="0.35">
      <c r="A444" s="40" t="str">
        <f t="shared" si="13"/>
        <v>ALL 2024 H1 D90</v>
      </c>
      <c r="B444" s="8">
        <f>'ALL 2024 H2 D80'!$B$2</f>
        <v>46114</v>
      </c>
      <c r="C444" s="8">
        <f>'ALL 2024 H2 D80'!$C$2</f>
        <v>46120</v>
      </c>
      <c r="D444" s="5">
        <v>3208</v>
      </c>
      <c r="E444" s="5">
        <v>320</v>
      </c>
      <c r="F444" s="5">
        <v>1</v>
      </c>
      <c r="G444" s="5">
        <v>2</v>
      </c>
      <c r="H444" s="5">
        <v>81738</v>
      </c>
      <c r="I444" s="5" t="s">
        <v>16</v>
      </c>
      <c r="J444" s="5">
        <v>15943429</v>
      </c>
      <c r="K444" s="5" t="s">
        <v>3082</v>
      </c>
      <c r="L444" s="19" t="s">
        <v>3084</v>
      </c>
      <c r="M444" s="24">
        <v>99900</v>
      </c>
      <c r="N444" s="7">
        <v>0.9</v>
      </c>
      <c r="O444" s="6">
        <f t="shared" si="14"/>
        <v>9990</v>
      </c>
      <c r="P444" s="5" t="s">
        <v>504</v>
      </c>
    </row>
    <row r="445" spans="1:16" x14ac:dyDescent="0.35">
      <c r="A445" s="40" t="str">
        <f t="shared" si="13"/>
        <v>ALL 2024 H1 D90</v>
      </c>
      <c r="B445" s="8">
        <f>'ALL 2024 H2 D80'!$B$2</f>
        <v>46114</v>
      </c>
      <c r="C445" s="8">
        <f>'ALL 2024 H2 D80'!$C$2</f>
        <v>46120</v>
      </c>
      <c r="D445" s="5">
        <v>3208</v>
      </c>
      <c r="E445" s="5">
        <v>320</v>
      </c>
      <c r="F445" s="5">
        <v>1</v>
      </c>
      <c r="G445" s="5">
        <v>2</v>
      </c>
      <c r="H445" s="5">
        <v>81738</v>
      </c>
      <c r="I445" s="5" t="s">
        <v>16</v>
      </c>
      <c r="J445" s="5">
        <v>15943438</v>
      </c>
      <c r="K445" s="5" t="s">
        <v>3082</v>
      </c>
      <c r="L445" s="19" t="s">
        <v>3085</v>
      </c>
      <c r="M445" s="24">
        <v>99900</v>
      </c>
      <c r="N445" s="7">
        <v>0.9</v>
      </c>
      <c r="O445" s="6">
        <f t="shared" si="14"/>
        <v>9990</v>
      </c>
      <c r="P445" s="5" t="s">
        <v>504</v>
      </c>
    </row>
    <row r="446" spans="1:16" x14ac:dyDescent="0.35">
      <c r="A446" s="40" t="str">
        <f t="shared" si="13"/>
        <v>ALL 2024 H1 D90</v>
      </c>
      <c r="B446" s="8">
        <f>'ALL 2024 H2 D80'!$B$2</f>
        <v>46114</v>
      </c>
      <c r="C446" s="8">
        <f>'ALL 2024 H2 D80'!$C$2</f>
        <v>46120</v>
      </c>
      <c r="D446" s="5">
        <v>3208</v>
      </c>
      <c r="E446" s="5">
        <v>320</v>
      </c>
      <c r="F446" s="5">
        <v>1</v>
      </c>
      <c r="G446" s="5">
        <v>2</v>
      </c>
      <c r="H446" s="5">
        <v>81738</v>
      </c>
      <c r="I446" s="5" t="s">
        <v>16</v>
      </c>
      <c r="J446" s="5">
        <v>15951830</v>
      </c>
      <c r="K446" s="5" t="s">
        <v>3082</v>
      </c>
      <c r="L446" s="19" t="s">
        <v>3086</v>
      </c>
      <c r="M446" s="24">
        <v>99900</v>
      </c>
      <c r="N446" s="7">
        <v>0.9</v>
      </c>
      <c r="O446" s="6">
        <f t="shared" si="14"/>
        <v>9990</v>
      </c>
      <c r="P446" s="5" t="s">
        <v>504</v>
      </c>
    </row>
    <row r="447" spans="1:16" x14ac:dyDescent="0.35">
      <c r="A447" s="40" t="str">
        <f t="shared" si="13"/>
        <v>ALL 2024 H1 D90</v>
      </c>
      <c r="B447" s="8">
        <f>'ALL 2024 H2 D80'!$B$2</f>
        <v>46114</v>
      </c>
      <c r="C447" s="8">
        <f>'ALL 2024 H2 D80'!$C$2</f>
        <v>46120</v>
      </c>
      <c r="D447" s="5">
        <v>3208</v>
      </c>
      <c r="E447" s="5">
        <v>320</v>
      </c>
      <c r="F447" s="5">
        <v>1</v>
      </c>
      <c r="G447" s="5">
        <v>2</v>
      </c>
      <c r="H447" s="5">
        <v>81736</v>
      </c>
      <c r="I447" s="5" t="s">
        <v>16</v>
      </c>
      <c r="J447" s="5">
        <v>15943652</v>
      </c>
      <c r="K447" s="5" t="s">
        <v>17</v>
      </c>
      <c r="L447" s="19" t="s">
        <v>18</v>
      </c>
      <c r="M447" s="24">
        <v>129000</v>
      </c>
      <c r="N447" s="7">
        <v>0.9</v>
      </c>
      <c r="O447" s="6">
        <f t="shared" si="14"/>
        <v>12900</v>
      </c>
      <c r="P447" s="5" t="s">
        <v>504</v>
      </c>
    </row>
    <row r="448" spans="1:16" x14ac:dyDescent="0.35">
      <c r="A448" s="40" t="str">
        <f t="shared" si="13"/>
        <v>ALL 2024 H1 D90</v>
      </c>
      <c r="B448" s="8">
        <f>'ALL 2024 H2 D80'!$B$2</f>
        <v>46114</v>
      </c>
      <c r="C448" s="8">
        <f>'ALL 2024 H2 D80'!$C$2</f>
        <v>46120</v>
      </c>
      <c r="D448" s="5">
        <v>3208</v>
      </c>
      <c r="E448" s="5">
        <v>320</v>
      </c>
      <c r="F448" s="5">
        <v>1</v>
      </c>
      <c r="G448" s="5">
        <v>2</v>
      </c>
      <c r="H448" s="5">
        <v>81736</v>
      </c>
      <c r="I448" s="5" t="s">
        <v>16</v>
      </c>
      <c r="J448" s="5">
        <v>15943661</v>
      </c>
      <c r="K448" s="5" t="s">
        <v>17</v>
      </c>
      <c r="L448" s="19" t="s">
        <v>19</v>
      </c>
      <c r="M448" s="24">
        <v>129000</v>
      </c>
      <c r="N448" s="7">
        <v>0.9</v>
      </c>
      <c r="O448" s="6">
        <f t="shared" si="14"/>
        <v>12900</v>
      </c>
      <c r="P448" s="5" t="s">
        <v>504</v>
      </c>
    </row>
    <row r="449" spans="1:16" x14ac:dyDescent="0.35">
      <c r="A449" s="40" t="str">
        <f t="shared" si="13"/>
        <v>ALL 2024 H1 D90</v>
      </c>
      <c r="B449" s="8">
        <f>'ALL 2024 H2 D80'!$B$2</f>
        <v>46114</v>
      </c>
      <c r="C449" s="8">
        <f>'ALL 2024 H2 D80'!$C$2</f>
        <v>46120</v>
      </c>
      <c r="D449" s="5">
        <v>3208</v>
      </c>
      <c r="E449" s="5">
        <v>320</v>
      </c>
      <c r="F449" s="5">
        <v>1</v>
      </c>
      <c r="G449" s="5">
        <v>2</v>
      </c>
      <c r="H449" s="5">
        <v>81736</v>
      </c>
      <c r="I449" s="5" t="s">
        <v>16</v>
      </c>
      <c r="J449" s="5">
        <v>15943670</v>
      </c>
      <c r="K449" s="5" t="s">
        <v>17</v>
      </c>
      <c r="L449" s="19" t="s">
        <v>20</v>
      </c>
      <c r="M449" s="24">
        <v>129000</v>
      </c>
      <c r="N449" s="7">
        <v>0.9</v>
      </c>
      <c r="O449" s="6">
        <f t="shared" si="14"/>
        <v>12900</v>
      </c>
      <c r="P449" s="5" t="s">
        <v>504</v>
      </c>
    </row>
    <row r="450" spans="1:16" x14ac:dyDescent="0.35">
      <c r="A450" s="40" t="str">
        <f t="shared" si="13"/>
        <v>ALL 2024 H1 D90</v>
      </c>
      <c r="B450" s="8">
        <f>'ALL 2024 H2 D80'!$B$2</f>
        <v>46114</v>
      </c>
      <c r="C450" s="8">
        <f>'ALL 2024 H2 D80'!$C$2</f>
        <v>46120</v>
      </c>
      <c r="D450" s="5">
        <v>3208</v>
      </c>
      <c r="E450" s="5">
        <v>320</v>
      </c>
      <c r="F450" s="5">
        <v>1</v>
      </c>
      <c r="G450" s="5">
        <v>2</v>
      </c>
      <c r="H450" s="5">
        <v>81736</v>
      </c>
      <c r="I450" s="5" t="s">
        <v>16</v>
      </c>
      <c r="J450" s="5">
        <v>15943689</v>
      </c>
      <c r="K450" s="5" t="s">
        <v>21</v>
      </c>
      <c r="L450" s="19" t="s">
        <v>22</v>
      </c>
      <c r="M450" s="24">
        <v>129000</v>
      </c>
      <c r="N450" s="7">
        <v>0.9</v>
      </c>
      <c r="O450" s="6">
        <f t="shared" si="14"/>
        <v>12900</v>
      </c>
      <c r="P450" s="5" t="s">
        <v>504</v>
      </c>
    </row>
    <row r="451" spans="1:16" x14ac:dyDescent="0.35">
      <c r="A451" s="40" t="str">
        <f t="shared" si="13"/>
        <v>ALL 2024 H1 D90</v>
      </c>
      <c r="B451" s="8">
        <f>'ALL 2024 H2 D80'!$B$2</f>
        <v>46114</v>
      </c>
      <c r="C451" s="8">
        <f>'ALL 2024 H2 D80'!$C$2</f>
        <v>46120</v>
      </c>
      <c r="D451" s="5">
        <v>3208</v>
      </c>
      <c r="E451" s="5">
        <v>320</v>
      </c>
      <c r="F451" s="5">
        <v>1</v>
      </c>
      <c r="G451" s="5">
        <v>2</v>
      </c>
      <c r="H451" s="5">
        <v>81736</v>
      </c>
      <c r="I451" s="5" t="s">
        <v>16</v>
      </c>
      <c r="J451" s="5">
        <v>15943698</v>
      </c>
      <c r="K451" s="5" t="s">
        <v>21</v>
      </c>
      <c r="L451" s="19" t="s">
        <v>23</v>
      </c>
      <c r="M451" s="24">
        <v>129000</v>
      </c>
      <c r="N451" s="7">
        <v>0.9</v>
      </c>
      <c r="O451" s="6">
        <f t="shared" si="14"/>
        <v>12900</v>
      </c>
      <c r="P451" s="5" t="s">
        <v>504</v>
      </c>
    </row>
    <row r="452" spans="1:16" x14ac:dyDescent="0.35">
      <c r="A452" s="40" t="str">
        <f t="shared" si="13"/>
        <v>ALL 2024 H1 D90</v>
      </c>
      <c r="B452" s="8">
        <f>'ALL 2024 H2 D80'!$B$2</f>
        <v>46114</v>
      </c>
      <c r="C452" s="8">
        <f>'ALL 2024 H2 D80'!$C$2</f>
        <v>46120</v>
      </c>
      <c r="D452" s="5">
        <v>3208</v>
      </c>
      <c r="E452" s="5">
        <v>320</v>
      </c>
      <c r="F452" s="5">
        <v>1</v>
      </c>
      <c r="G452" s="5">
        <v>2</v>
      </c>
      <c r="H452" s="5">
        <v>81736</v>
      </c>
      <c r="I452" s="5" t="s">
        <v>16</v>
      </c>
      <c r="J452" s="5">
        <v>15943705</v>
      </c>
      <c r="K452" s="5" t="s">
        <v>21</v>
      </c>
      <c r="L452" s="19" t="s">
        <v>24</v>
      </c>
      <c r="M452" s="24">
        <v>129000</v>
      </c>
      <c r="N452" s="7">
        <v>0.9</v>
      </c>
      <c r="O452" s="6">
        <f t="shared" si="14"/>
        <v>12900</v>
      </c>
      <c r="P452" s="5" t="s">
        <v>504</v>
      </c>
    </row>
    <row r="453" spans="1:16" x14ac:dyDescent="0.35">
      <c r="A453" s="40" t="str">
        <f t="shared" ref="A453:A506" si="15">$A$2</f>
        <v>ALL 2024 H1 D90</v>
      </c>
      <c r="B453" s="8">
        <f>'ALL 2024 H2 D80'!$B$2</f>
        <v>46114</v>
      </c>
      <c r="C453" s="8">
        <f>'ALL 2024 H2 D80'!$C$2</f>
        <v>46120</v>
      </c>
      <c r="D453" s="5">
        <v>3208</v>
      </c>
      <c r="E453" s="5">
        <v>320</v>
      </c>
      <c r="F453" s="5">
        <v>1</v>
      </c>
      <c r="G453" s="5">
        <v>2</v>
      </c>
      <c r="H453" s="5">
        <v>81736</v>
      </c>
      <c r="I453" s="5" t="s">
        <v>16</v>
      </c>
      <c r="J453" s="5">
        <v>15943714</v>
      </c>
      <c r="K453" s="5" t="s">
        <v>25</v>
      </c>
      <c r="L453" s="19" t="s">
        <v>26</v>
      </c>
      <c r="M453" s="24">
        <v>129000</v>
      </c>
      <c r="N453" s="7">
        <v>0.9</v>
      </c>
      <c r="O453" s="6">
        <f t="shared" si="14"/>
        <v>12900</v>
      </c>
      <c r="P453" s="5" t="s">
        <v>504</v>
      </c>
    </row>
    <row r="454" spans="1:16" x14ac:dyDescent="0.35">
      <c r="A454" s="40" t="str">
        <f t="shared" si="15"/>
        <v>ALL 2024 H1 D90</v>
      </c>
      <c r="B454" s="8">
        <f>'ALL 2024 H2 D80'!$B$2</f>
        <v>46114</v>
      </c>
      <c r="C454" s="8">
        <f>'ALL 2024 H2 D80'!$C$2</f>
        <v>46120</v>
      </c>
      <c r="D454" s="5">
        <v>3208</v>
      </c>
      <c r="E454" s="5">
        <v>320</v>
      </c>
      <c r="F454" s="5">
        <v>1</v>
      </c>
      <c r="G454" s="5">
        <v>2</v>
      </c>
      <c r="H454" s="5">
        <v>81736</v>
      </c>
      <c r="I454" s="5" t="s">
        <v>16</v>
      </c>
      <c r="J454" s="5">
        <v>15943723</v>
      </c>
      <c r="K454" s="5" t="s">
        <v>25</v>
      </c>
      <c r="L454" s="19" t="s">
        <v>27</v>
      </c>
      <c r="M454" s="24">
        <v>129000</v>
      </c>
      <c r="N454" s="7">
        <v>0.9</v>
      </c>
      <c r="O454" s="6">
        <f t="shared" si="14"/>
        <v>12900</v>
      </c>
      <c r="P454" s="5" t="s">
        <v>504</v>
      </c>
    </row>
    <row r="455" spans="1:16" x14ac:dyDescent="0.35">
      <c r="A455" s="40" t="str">
        <f t="shared" si="15"/>
        <v>ALL 2024 H1 D90</v>
      </c>
      <c r="B455" s="8">
        <f>'ALL 2024 H2 D80'!$B$2</f>
        <v>46114</v>
      </c>
      <c r="C455" s="8">
        <f>'ALL 2024 H2 D80'!$C$2</f>
        <v>46120</v>
      </c>
      <c r="D455" s="5">
        <v>3208</v>
      </c>
      <c r="E455" s="5">
        <v>320</v>
      </c>
      <c r="F455" s="5">
        <v>1</v>
      </c>
      <c r="G455" s="5">
        <v>2</v>
      </c>
      <c r="H455" s="5">
        <v>81736</v>
      </c>
      <c r="I455" s="5" t="s">
        <v>16</v>
      </c>
      <c r="J455" s="5">
        <v>15943732</v>
      </c>
      <c r="K455" s="5" t="s">
        <v>25</v>
      </c>
      <c r="L455" s="19" t="s">
        <v>28</v>
      </c>
      <c r="M455" s="24">
        <v>129000</v>
      </c>
      <c r="N455" s="7">
        <v>0.9</v>
      </c>
      <c r="O455" s="6">
        <f t="shared" si="14"/>
        <v>12900</v>
      </c>
      <c r="P455" s="5" t="s">
        <v>504</v>
      </c>
    </row>
    <row r="456" spans="1:16" x14ac:dyDescent="0.35">
      <c r="A456" s="40" t="str">
        <f t="shared" si="15"/>
        <v>ALL 2024 H1 D90</v>
      </c>
      <c r="B456" s="8">
        <f>'ALL 2024 H2 D80'!$B$2</f>
        <v>46114</v>
      </c>
      <c r="C456" s="8">
        <f>'ALL 2024 H2 D80'!$C$2</f>
        <v>46120</v>
      </c>
      <c r="D456" s="5">
        <v>3208</v>
      </c>
      <c r="E456" s="5">
        <v>320</v>
      </c>
      <c r="F456" s="5">
        <v>1</v>
      </c>
      <c r="G456" s="5">
        <v>2</v>
      </c>
      <c r="H456" s="5">
        <v>81736</v>
      </c>
      <c r="I456" s="5" t="s">
        <v>16</v>
      </c>
      <c r="J456" s="5">
        <v>15943741</v>
      </c>
      <c r="K456" s="5" t="s">
        <v>29</v>
      </c>
      <c r="L456" s="19" t="s">
        <v>30</v>
      </c>
      <c r="M456" s="24">
        <v>129000</v>
      </c>
      <c r="N456" s="7">
        <v>0.9</v>
      </c>
      <c r="O456" s="6">
        <f t="shared" si="14"/>
        <v>12900</v>
      </c>
      <c r="P456" s="5" t="s">
        <v>504</v>
      </c>
    </row>
    <row r="457" spans="1:16" x14ac:dyDescent="0.35">
      <c r="A457" s="40" t="str">
        <f t="shared" si="15"/>
        <v>ALL 2024 H1 D90</v>
      </c>
      <c r="B457" s="8">
        <f>'ALL 2024 H2 D80'!$B$2</f>
        <v>46114</v>
      </c>
      <c r="C457" s="8">
        <f>'ALL 2024 H2 D80'!$C$2</f>
        <v>46120</v>
      </c>
      <c r="D457" s="5">
        <v>3208</v>
      </c>
      <c r="E457" s="5">
        <v>320</v>
      </c>
      <c r="F457" s="5">
        <v>1</v>
      </c>
      <c r="G457" s="5">
        <v>2</v>
      </c>
      <c r="H457" s="5">
        <v>81736</v>
      </c>
      <c r="I457" s="5" t="s">
        <v>16</v>
      </c>
      <c r="J457" s="5">
        <v>15943750</v>
      </c>
      <c r="K457" s="5" t="s">
        <v>29</v>
      </c>
      <c r="L457" s="19" t="s">
        <v>31</v>
      </c>
      <c r="M457" s="24">
        <v>129000</v>
      </c>
      <c r="N457" s="7">
        <v>0.9</v>
      </c>
      <c r="O457" s="6">
        <f t="shared" si="14"/>
        <v>12900</v>
      </c>
      <c r="P457" s="5" t="s">
        <v>504</v>
      </c>
    </row>
    <row r="458" spans="1:16" x14ac:dyDescent="0.35">
      <c r="A458" s="40" t="str">
        <f t="shared" si="15"/>
        <v>ALL 2024 H1 D90</v>
      </c>
      <c r="B458" s="8">
        <f>'ALL 2024 H2 D80'!$B$2</f>
        <v>46114</v>
      </c>
      <c r="C458" s="8">
        <f>'ALL 2024 H2 D80'!$C$2</f>
        <v>46120</v>
      </c>
      <c r="D458" s="5">
        <v>3208</v>
      </c>
      <c r="E458" s="5">
        <v>320</v>
      </c>
      <c r="F458" s="5">
        <v>1</v>
      </c>
      <c r="G458" s="5">
        <v>2</v>
      </c>
      <c r="H458" s="5">
        <v>81736</v>
      </c>
      <c r="I458" s="5" t="s">
        <v>16</v>
      </c>
      <c r="J458" s="5">
        <v>15943769</v>
      </c>
      <c r="K458" s="5" t="s">
        <v>29</v>
      </c>
      <c r="L458" s="19" t="s">
        <v>32</v>
      </c>
      <c r="M458" s="24">
        <v>129000</v>
      </c>
      <c r="N458" s="7">
        <v>0.9</v>
      </c>
      <c r="O458" s="6">
        <f t="shared" si="14"/>
        <v>12900</v>
      </c>
      <c r="P458" s="5" t="s">
        <v>504</v>
      </c>
    </row>
    <row r="459" spans="1:16" x14ac:dyDescent="0.35">
      <c r="A459" s="40" t="str">
        <f t="shared" si="15"/>
        <v>ALL 2024 H1 D90</v>
      </c>
      <c r="B459" s="8">
        <f>'ALL 2024 H2 D80'!$B$2</f>
        <v>46114</v>
      </c>
      <c r="C459" s="8">
        <f>'ALL 2024 H2 D80'!$C$2</f>
        <v>46120</v>
      </c>
      <c r="D459" s="5">
        <v>3208</v>
      </c>
      <c r="E459" s="5">
        <v>320</v>
      </c>
      <c r="F459" s="5">
        <v>1</v>
      </c>
      <c r="G459" s="5">
        <v>2</v>
      </c>
      <c r="H459" s="5">
        <v>81736</v>
      </c>
      <c r="I459" s="5" t="s">
        <v>16</v>
      </c>
      <c r="J459" s="5">
        <v>15943778</v>
      </c>
      <c r="K459" s="5" t="s">
        <v>29</v>
      </c>
      <c r="L459" s="19" t="s">
        <v>33</v>
      </c>
      <c r="M459" s="24">
        <v>129000</v>
      </c>
      <c r="N459" s="7">
        <v>0.9</v>
      </c>
      <c r="O459" s="6">
        <f t="shared" si="14"/>
        <v>12900</v>
      </c>
      <c r="P459" s="5" t="s">
        <v>504</v>
      </c>
    </row>
    <row r="460" spans="1:16" x14ac:dyDescent="0.35">
      <c r="A460" s="40" t="str">
        <f t="shared" si="15"/>
        <v>ALL 2024 H1 D90</v>
      </c>
      <c r="B460" s="8">
        <f>'ALL 2024 H2 D80'!$B$2</f>
        <v>46114</v>
      </c>
      <c r="C460" s="8">
        <f>'ALL 2024 H2 D80'!$C$2</f>
        <v>46120</v>
      </c>
      <c r="D460" s="5">
        <v>3208</v>
      </c>
      <c r="E460" s="5">
        <v>320</v>
      </c>
      <c r="F460" s="5">
        <v>1</v>
      </c>
      <c r="G460" s="5">
        <v>2</v>
      </c>
      <c r="H460" s="5">
        <v>81736</v>
      </c>
      <c r="I460" s="5" t="s">
        <v>16</v>
      </c>
      <c r="J460" s="5">
        <v>15943787</v>
      </c>
      <c r="K460" s="5" t="s">
        <v>29</v>
      </c>
      <c r="L460" s="19" t="s">
        <v>34</v>
      </c>
      <c r="M460" s="24">
        <v>129000</v>
      </c>
      <c r="N460" s="7">
        <v>0.9</v>
      </c>
      <c r="O460" s="6">
        <f t="shared" ref="O460:O506" si="16">M460-(M460*N460)</f>
        <v>12900</v>
      </c>
      <c r="P460" s="5" t="s">
        <v>504</v>
      </c>
    </row>
    <row r="461" spans="1:16" x14ac:dyDescent="0.35">
      <c r="A461" s="40" t="str">
        <f t="shared" si="15"/>
        <v>ALL 2024 H1 D90</v>
      </c>
      <c r="B461" s="8">
        <f>'ALL 2024 H2 D80'!$B$2</f>
        <v>46114</v>
      </c>
      <c r="C461" s="8">
        <f>'ALL 2024 H2 D80'!$C$2</f>
        <v>46120</v>
      </c>
      <c r="D461" s="5">
        <v>3208</v>
      </c>
      <c r="E461" s="5">
        <v>320</v>
      </c>
      <c r="F461" s="5">
        <v>1</v>
      </c>
      <c r="G461" s="5">
        <v>2</v>
      </c>
      <c r="H461" s="5">
        <v>81736</v>
      </c>
      <c r="I461" s="5" t="s">
        <v>16</v>
      </c>
      <c r="J461" s="5">
        <v>15943796</v>
      </c>
      <c r="K461" s="5" t="s">
        <v>29</v>
      </c>
      <c r="L461" s="19" t="s">
        <v>35</v>
      </c>
      <c r="M461" s="24">
        <v>129000</v>
      </c>
      <c r="N461" s="7">
        <v>0.9</v>
      </c>
      <c r="O461" s="6">
        <f t="shared" si="16"/>
        <v>12900</v>
      </c>
      <c r="P461" s="5" t="s">
        <v>504</v>
      </c>
    </row>
    <row r="462" spans="1:16" x14ac:dyDescent="0.35">
      <c r="A462" s="40" t="str">
        <f t="shared" si="15"/>
        <v>ALL 2024 H1 D90</v>
      </c>
      <c r="B462" s="8">
        <f>'ALL 2024 H2 D80'!$B$2</f>
        <v>46114</v>
      </c>
      <c r="C462" s="8">
        <f>'ALL 2024 H2 D80'!$C$2</f>
        <v>46120</v>
      </c>
      <c r="D462" s="5">
        <v>3208</v>
      </c>
      <c r="E462" s="5">
        <v>320</v>
      </c>
      <c r="F462" s="5">
        <v>1</v>
      </c>
      <c r="G462" s="5">
        <v>2</v>
      </c>
      <c r="H462" s="5">
        <v>81736</v>
      </c>
      <c r="I462" s="5" t="s">
        <v>16</v>
      </c>
      <c r="J462" s="5">
        <v>15943867</v>
      </c>
      <c r="K462" s="5" t="s">
        <v>36</v>
      </c>
      <c r="L462" s="19" t="s">
        <v>37</v>
      </c>
      <c r="M462" s="24">
        <v>129000</v>
      </c>
      <c r="N462" s="7">
        <v>0.9</v>
      </c>
      <c r="O462" s="6">
        <f t="shared" si="16"/>
        <v>12900</v>
      </c>
      <c r="P462" s="5" t="s">
        <v>504</v>
      </c>
    </row>
    <row r="463" spans="1:16" x14ac:dyDescent="0.35">
      <c r="A463" s="40" t="str">
        <f t="shared" si="15"/>
        <v>ALL 2024 H1 D90</v>
      </c>
      <c r="B463" s="8">
        <f>'ALL 2024 H2 D80'!$B$2</f>
        <v>46114</v>
      </c>
      <c r="C463" s="8">
        <f>'ALL 2024 H2 D80'!$C$2</f>
        <v>46120</v>
      </c>
      <c r="D463" s="5">
        <v>3208</v>
      </c>
      <c r="E463" s="5">
        <v>320</v>
      </c>
      <c r="F463" s="5">
        <v>1</v>
      </c>
      <c r="G463" s="5">
        <v>2</v>
      </c>
      <c r="H463" s="5">
        <v>81736</v>
      </c>
      <c r="I463" s="5" t="s">
        <v>16</v>
      </c>
      <c r="J463" s="5">
        <v>15943876</v>
      </c>
      <c r="K463" s="5" t="s">
        <v>36</v>
      </c>
      <c r="L463" s="19" t="s">
        <v>38</v>
      </c>
      <c r="M463" s="24">
        <v>129000</v>
      </c>
      <c r="N463" s="7">
        <v>0.9</v>
      </c>
      <c r="O463" s="6">
        <f t="shared" si="16"/>
        <v>12900</v>
      </c>
      <c r="P463" s="5" t="s">
        <v>504</v>
      </c>
    </row>
    <row r="464" spans="1:16" x14ac:dyDescent="0.35">
      <c r="A464" s="40" t="str">
        <f t="shared" si="15"/>
        <v>ALL 2024 H1 D90</v>
      </c>
      <c r="B464" s="8">
        <f>'ALL 2024 H2 D80'!$B$2</f>
        <v>46114</v>
      </c>
      <c r="C464" s="8">
        <f>'ALL 2024 H2 D80'!$C$2</f>
        <v>46120</v>
      </c>
      <c r="D464" s="5">
        <v>3208</v>
      </c>
      <c r="E464" s="5">
        <v>320</v>
      </c>
      <c r="F464" s="5">
        <v>1</v>
      </c>
      <c r="G464" s="5">
        <v>2</v>
      </c>
      <c r="H464" s="5">
        <v>81736</v>
      </c>
      <c r="I464" s="5" t="s">
        <v>16</v>
      </c>
      <c r="J464" s="5">
        <v>15943885</v>
      </c>
      <c r="K464" s="5" t="s">
        <v>36</v>
      </c>
      <c r="L464" s="19" t="s">
        <v>39</v>
      </c>
      <c r="M464" s="24">
        <v>129000</v>
      </c>
      <c r="N464" s="7">
        <v>0.9</v>
      </c>
      <c r="O464" s="6">
        <f t="shared" si="16"/>
        <v>12900</v>
      </c>
      <c r="P464" s="5" t="s">
        <v>504</v>
      </c>
    </row>
    <row r="465" spans="1:16" x14ac:dyDescent="0.35">
      <c r="A465" s="40" t="str">
        <f t="shared" si="15"/>
        <v>ALL 2024 H1 D90</v>
      </c>
      <c r="B465" s="8">
        <f>'ALL 2024 H2 D80'!$B$2</f>
        <v>46114</v>
      </c>
      <c r="C465" s="8">
        <f>'ALL 2024 H2 D80'!$C$2</f>
        <v>46120</v>
      </c>
      <c r="D465" s="5">
        <v>3208</v>
      </c>
      <c r="E465" s="5">
        <v>320</v>
      </c>
      <c r="F465" s="5">
        <v>1</v>
      </c>
      <c r="G465" s="5">
        <v>2</v>
      </c>
      <c r="H465" s="5">
        <v>81736</v>
      </c>
      <c r="I465" s="5" t="s">
        <v>16</v>
      </c>
      <c r="J465" s="5">
        <v>15943894</v>
      </c>
      <c r="K465" s="5" t="s">
        <v>36</v>
      </c>
      <c r="L465" s="19" t="s">
        <v>40</v>
      </c>
      <c r="M465" s="24">
        <v>129000</v>
      </c>
      <c r="N465" s="7">
        <v>0.9</v>
      </c>
      <c r="O465" s="6">
        <f t="shared" si="16"/>
        <v>12900</v>
      </c>
      <c r="P465" s="5" t="s">
        <v>504</v>
      </c>
    </row>
    <row r="466" spans="1:16" x14ac:dyDescent="0.35">
      <c r="A466" s="40" t="str">
        <f t="shared" si="15"/>
        <v>ALL 2024 H1 D90</v>
      </c>
      <c r="B466" s="8">
        <f>'ALL 2024 H2 D80'!$B$2</f>
        <v>46114</v>
      </c>
      <c r="C466" s="8">
        <f>'ALL 2024 H2 D80'!$C$2</f>
        <v>46120</v>
      </c>
      <c r="D466" s="5">
        <v>3208</v>
      </c>
      <c r="E466" s="5">
        <v>320</v>
      </c>
      <c r="F466" s="5">
        <v>1</v>
      </c>
      <c r="G466" s="5">
        <v>2</v>
      </c>
      <c r="H466" s="5">
        <v>81736</v>
      </c>
      <c r="I466" s="5" t="s">
        <v>16</v>
      </c>
      <c r="J466" s="5">
        <v>15943901</v>
      </c>
      <c r="K466" s="5" t="s">
        <v>36</v>
      </c>
      <c r="L466" s="19" t="s">
        <v>41</v>
      </c>
      <c r="M466" s="24">
        <v>129000</v>
      </c>
      <c r="N466" s="7">
        <v>0.9</v>
      </c>
      <c r="O466" s="6">
        <f t="shared" si="16"/>
        <v>12900</v>
      </c>
      <c r="P466" s="5" t="s">
        <v>504</v>
      </c>
    </row>
    <row r="467" spans="1:16" x14ac:dyDescent="0.35">
      <c r="A467" s="40" t="str">
        <f t="shared" si="15"/>
        <v>ALL 2024 H1 D90</v>
      </c>
      <c r="B467" s="8">
        <f>'ALL 2024 H2 D80'!$B$2</f>
        <v>46114</v>
      </c>
      <c r="C467" s="8">
        <f>'ALL 2024 H2 D80'!$C$2</f>
        <v>46120</v>
      </c>
      <c r="D467" s="5">
        <v>3208</v>
      </c>
      <c r="E467" s="5">
        <v>320</v>
      </c>
      <c r="F467" s="5">
        <v>1</v>
      </c>
      <c r="G467" s="5">
        <v>2</v>
      </c>
      <c r="H467" s="5">
        <v>81736</v>
      </c>
      <c r="I467" s="5" t="s">
        <v>16</v>
      </c>
      <c r="J467" s="5">
        <v>15943910</v>
      </c>
      <c r="K467" s="5" t="s">
        <v>36</v>
      </c>
      <c r="L467" s="19" t="s">
        <v>42</v>
      </c>
      <c r="M467" s="24">
        <v>129000</v>
      </c>
      <c r="N467" s="7">
        <v>0.9</v>
      </c>
      <c r="O467" s="6">
        <f t="shared" si="16"/>
        <v>12900</v>
      </c>
      <c r="P467" s="5" t="s">
        <v>504</v>
      </c>
    </row>
    <row r="468" spans="1:16" x14ac:dyDescent="0.35">
      <c r="A468" s="40" t="str">
        <f t="shared" si="15"/>
        <v>ALL 2024 H1 D90</v>
      </c>
      <c r="B468" s="8">
        <f>'ALL 2024 H2 D80'!$B$2</f>
        <v>46114</v>
      </c>
      <c r="C468" s="8">
        <f>'ALL 2024 H2 D80'!$C$2</f>
        <v>46120</v>
      </c>
      <c r="D468" s="5">
        <v>3208</v>
      </c>
      <c r="E468" s="5">
        <v>320</v>
      </c>
      <c r="F468" s="5">
        <v>1</v>
      </c>
      <c r="G468" s="5">
        <v>2</v>
      </c>
      <c r="H468" s="5">
        <v>81736</v>
      </c>
      <c r="I468" s="5" t="s">
        <v>16</v>
      </c>
      <c r="J468" s="5">
        <v>15951901</v>
      </c>
      <c r="K468" s="5" t="s">
        <v>17</v>
      </c>
      <c r="L468" s="19" t="s">
        <v>43</v>
      </c>
      <c r="M468" s="24">
        <v>129000</v>
      </c>
      <c r="N468" s="7">
        <v>0.9</v>
      </c>
      <c r="O468" s="6">
        <f t="shared" si="16"/>
        <v>12900</v>
      </c>
      <c r="P468" s="5" t="s">
        <v>504</v>
      </c>
    </row>
    <row r="469" spans="1:16" x14ac:dyDescent="0.35">
      <c r="A469" s="40" t="str">
        <f t="shared" si="15"/>
        <v>ALL 2024 H1 D90</v>
      </c>
      <c r="B469" s="8">
        <f>'ALL 2024 H2 D80'!$B$2</f>
        <v>46114</v>
      </c>
      <c r="C469" s="8">
        <f>'ALL 2024 H2 D80'!$C$2</f>
        <v>46120</v>
      </c>
      <c r="D469" s="5">
        <v>3208</v>
      </c>
      <c r="E469" s="5">
        <v>320</v>
      </c>
      <c r="F469" s="5">
        <v>1</v>
      </c>
      <c r="G469" s="5">
        <v>2</v>
      </c>
      <c r="H469" s="5">
        <v>81736</v>
      </c>
      <c r="I469" s="5" t="s">
        <v>16</v>
      </c>
      <c r="J469" s="5">
        <v>15951910</v>
      </c>
      <c r="K469" s="5" t="s">
        <v>21</v>
      </c>
      <c r="L469" s="19" t="s">
        <v>44</v>
      </c>
      <c r="M469" s="24">
        <v>129000</v>
      </c>
      <c r="N469" s="7">
        <v>0.9</v>
      </c>
      <c r="O469" s="6">
        <f t="shared" si="16"/>
        <v>12900</v>
      </c>
      <c r="P469" s="5" t="s">
        <v>504</v>
      </c>
    </row>
    <row r="470" spans="1:16" x14ac:dyDescent="0.35">
      <c r="A470" s="40" t="str">
        <f t="shared" si="15"/>
        <v>ALL 2024 H1 D90</v>
      </c>
      <c r="B470" s="8">
        <f>'ALL 2024 H2 D80'!$B$2</f>
        <v>46114</v>
      </c>
      <c r="C470" s="8">
        <f>'ALL 2024 H2 D80'!$C$2</f>
        <v>46120</v>
      </c>
      <c r="D470" s="5">
        <v>3208</v>
      </c>
      <c r="E470" s="5">
        <v>320</v>
      </c>
      <c r="F470" s="5">
        <v>1</v>
      </c>
      <c r="G470" s="5">
        <v>2</v>
      </c>
      <c r="H470" s="5">
        <v>81736</v>
      </c>
      <c r="I470" s="5" t="s">
        <v>16</v>
      </c>
      <c r="J470" s="5">
        <v>15951929</v>
      </c>
      <c r="K470" s="5" t="s">
        <v>25</v>
      </c>
      <c r="L470" s="19" t="s">
        <v>45</v>
      </c>
      <c r="M470" s="24">
        <v>129000</v>
      </c>
      <c r="N470" s="7">
        <v>0.9</v>
      </c>
      <c r="O470" s="6">
        <f t="shared" si="16"/>
        <v>12900</v>
      </c>
      <c r="P470" s="5" t="s">
        <v>504</v>
      </c>
    </row>
    <row r="471" spans="1:16" x14ac:dyDescent="0.35">
      <c r="A471" s="40" t="str">
        <f t="shared" si="15"/>
        <v>ALL 2024 H1 D90</v>
      </c>
      <c r="B471" s="8">
        <f>'ALL 2024 H2 D80'!$B$2</f>
        <v>46114</v>
      </c>
      <c r="C471" s="8">
        <f>'ALL 2024 H2 D80'!$C$2</f>
        <v>46120</v>
      </c>
      <c r="D471" s="5">
        <v>3208</v>
      </c>
      <c r="E471" s="5">
        <v>320</v>
      </c>
      <c r="F471" s="5">
        <v>1</v>
      </c>
      <c r="G471" s="5">
        <v>2</v>
      </c>
      <c r="H471" s="5">
        <v>81736</v>
      </c>
      <c r="I471" s="5" t="s">
        <v>16</v>
      </c>
      <c r="J471" s="5">
        <v>15951938</v>
      </c>
      <c r="K471" s="5" t="s">
        <v>29</v>
      </c>
      <c r="L471" s="19" t="s">
        <v>46</v>
      </c>
      <c r="M471" s="24">
        <v>129000</v>
      </c>
      <c r="N471" s="7">
        <v>0.9</v>
      </c>
      <c r="O471" s="6">
        <f t="shared" si="16"/>
        <v>12900</v>
      </c>
      <c r="P471" s="5" t="s">
        <v>504</v>
      </c>
    </row>
    <row r="472" spans="1:16" x14ac:dyDescent="0.35">
      <c r="A472" s="40" t="str">
        <f t="shared" si="15"/>
        <v>ALL 2024 H1 D90</v>
      </c>
      <c r="B472" s="8">
        <f>'ALL 2024 H2 D80'!$B$2</f>
        <v>46114</v>
      </c>
      <c r="C472" s="8">
        <f>'ALL 2024 H2 D80'!$C$2</f>
        <v>46120</v>
      </c>
      <c r="D472" s="5">
        <v>3208</v>
      </c>
      <c r="E472" s="5">
        <v>320</v>
      </c>
      <c r="F472" s="5">
        <v>1</v>
      </c>
      <c r="G472" s="5">
        <v>2</v>
      </c>
      <c r="H472" s="5">
        <v>81736</v>
      </c>
      <c r="I472" s="5" t="s">
        <v>16</v>
      </c>
      <c r="J472" s="5">
        <v>15951947</v>
      </c>
      <c r="K472" s="5" t="s">
        <v>29</v>
      </c>
      <c r="L472" s="19" t="s">
        <v>47</v>
      </c>
      <c r="M472" s="24">
        <v>129000</v>
      </c>
      <c r="N472" s="7">
        <v>0.9</v>
      </c>
      <c r="O472" s="6">
        <f t="shared" si="16"/>
        <v>12900</v>
      </c>
      <c r="P472" s="5" t="s">
        <v>504</v>
      </c>
    </row>
    <row r="473" spans="1:16" x14ac:dyDescent="0.35">
      <c r="A473" s="40" t="str">
        <f t="shared" si="15"/>
        <v>ALL 2024 H1 D90</v>
      </c>
      <c r="B473" s="8">
        <f>'ALL 2024 H2 D80'!$B$2</f>
        <v>46114</v>
      </c>
      <c r="C473" s="8">
        <f>'ALL 2024 H2 D80'!$C$2</f>
        <v>46120</v>
      </c>
      <c r="D473" s="5">
        <v>3208</v>
      </c>
      <c r="E473" s="5">
        <v>320</v>
      </c>
      <c r="F473" s="5">
        <v>1</v>
      </c>
      <c r="G473" s="5">
        <v>2</v>
      </c>
      <c r="H473" s="5">
        <v>81736</v>
      </c>
      <c r="I473" s="5" t="s">
        <v>16</v>
      </c>
      <c r="J473" s="5">
        <v>15951974</v>
      </c>
      <c r="K473" s="5" t="s">
        <v>36</v>
      </c>
      <c r="L473" s="19" t="s">
        <v>48</v>
      </c>
      <c r="M473" s="24">
        <v>129000</v>
      </c>
      <c r="N473" s="7">
        <v>0.9</v>
      </c>
      <c r="O473" s="6">
        <f t="shared" si="16"/>
        <v>12900</v>
      </c>
      <c r="P473" s="5" t="s">
        <v>504</v>
      </c>
    </row>
    <row r="474" spans="1:16" x14ac:dyDescent="0.35">
      <c r="A474" s="40" t="str">
        <f t="shared" si="15"/>
        <v>ALL 2024 H1 D90</v>
      </c>
      <c r="B474" s="8">
        <f>'ALL 2024 H2 D80'!$B$2</f>
        <v>46114</v>
      </c>
      <c r="C474" s="8">
        <f>'ALL 2024 H2 D80'!$C$2</f>
        <v>46120</v>
      </c>
      <c r="D474" s="5">
        <v>3208</v>
      </c>
      <c r="E474" s="5">
        <v>320</v>
      </c>
      <c r="F474" s="5">
        <v>1</v>
      </c>
      <c r="G474" s="5">
        <v>2</v>
      </c>
      <c r="H474" s="5">
        <v>81736</v>
      </c>
      <c r="I474" s="5" t="s">
        <v>16</v>
      </c>
      <c r="J474" s="5">
        <v>15951983</v>
      </c>
      <c r="K474" s="5" t="s">
        <v>36</v>
      </c>
      <c r="L474" s="19" t="s">
        <v>49</v>
      </c>
      <c r="M474" s="24">
        <v>129000</v>
      </c>
      <c r="N474" s="7">
        <v>0.9</v>
      </c>
      <c r="O474" s="6">
        <f t="shared" si="16"/>
        <v>12900</v>
      </c>
      <c r="P474" s="5" t="s">
        <v>504</v>
      </c>
    </row>
    <row r="475" spans="1:16" x14ac:dyDescent="0.35">
      <c r="A475" s="40" t="str">
        <f t="shared" si="15"/>
        <v>ALL 2024 H1 D90</v>
      </c>
      <c r="B475" s="8">
        <f>'ALL 2024 H2 D80'!$B$2</f>
        <v>46114</v>
      </c>
      <c r="C475" s="8">
        <f>'ALL 2024 H2 D80'!$C$2</f>
        <v>46120</v>
      </c>
      <c r="D475" s="5">
        <v>3208</v>
      </c>
      <c r="E475" s="5">
        <v>320</v>
      </c>
      <c r="F475" s="5">
        <v>1</v>
      </c>
      <c r="G475" s="5">
        <v>2</v>
      </c>
      <c r="H475" s="5">
        <v>81736</v>
      </c>
      <c r="I475" s="5" t="s">
        <v>16</v>
      </c>
      <c r="J475" s="5">
        <v>73314802</v>
      </c>
      <c r="K475" s="5" t="s">
        <v>50</v>
      </c>
      <c r="L475" s="19" t="s">
        <v>51</v>
      </c>
      <c r="M475" s="24">
        <v>129000</v>
      </c>
      <c r="N475" s="7">
        <v>0.9</v>
      </c>
      <c r="O475" s="6">
        <f t="shared" si="16"/>
        <v>12900</v>
      </c>
      <c r="P475" s="5" t="s">
        <v>504</v>
      </c>
    </row>
    <row r="476" spans="1:16" x14ac:dyDescent="0.35">
      <c r="A476" s="40" t="str">
        <f t="shared" si="15"/>
        <v>ALL 2024 H1 D90</v>
      </c>
      <c r="B476" s="8">
        <f>'ALL 2024 H2 D80'!$B$2</f>
        <v>46114</v>
      </c>
      <c r="C476" s="8">
        <f>'ALL 2024 H2 D80'!$C$2</f>
        <v>46120</v>
      </c>
      <c r="D476" s="5">
        <v>3208</v>
      </c>
      <c r="E476" s="5">
        <v>320</v>
      </c>
      <c r="F476" s="5">
        <v>1</v>
      </c>
      <c r="G476" s="5">
        <v>2</v>
      </c>
      <c r="H476" s="5">
        <v>81736</v>
      </c>
      <c r="I476" s="5" t="s">
        <v>16</v>
      </c>
      <c r="J476" s="5">
        <v>73314811</v>
      </c>
      <c r="K476" s="5" t="s">
        <v>50</v>
      </c>
      <c r="L476" s="19" t="s">
        <v>52</v>
      </c>
      <c r="M476" s="24">
        <v>129000</v>
      </c>
      <c r="N476" s="7">
        <v>0.9</v>
      </c>
      <c r="O476" s="6">
        <f t="shared" si="16"/>
        <v>12900</v>
      </c>
      <c r="P476" s="5" t="s">
        <v>504</v>
      </c>
    </row>
    <row r="477" spans="1:16" x14ac:dyDescent="0.35">
      <c r="A477" s="40" t="str">
        <f t="shared" si="15"/>
        <v>ALL 2024 H1 D90</v>
      </c>
      <c r="B477" s="8">
        <f>'ALL 2024 H2 D80'!$B$2</f>
        <v>46114</v>
      </c>
      <c r="C477" s="8">
        <f>'ALL 2024 H2 D80'!$C$2</f>
        <v>46120</v>
      </c>
      <c r="D477" s="5">
        <v>3208</v>
      </c>
      <c r="E477" s="5">
        <v>320</v>
      </c>
      <c r="F477" s="5">
        <v>1</v>
      </c>
      <c r="G477" s="5">
        <v>2</v>
      </c>
      <c r="H477" s="5">
        <v>81736</v>
      </c>
      <c r="I477" s="5" t="s">
        <v>16</v>
      </c>
      <c r="J477" s="5">
        <v>73314820</v>
      </c>
      <c r="K477" s="5" t="s">
        <v>50</v>
      </c>
      <c r="L477" s="19" t="s">
        <v>53</v>
      </c>
      <c r="M477" s="24">
        <v>129000</v>
      </c>
      <c r="N477" s="7">
        <v>0.9</v>
      </c>
      <c r="O477" s="6">
        <f t="shared" si="16"/>
        <v>12900</v>
      </c>
      <c r="P477" s="5" t="s">
        <v>504</v>
      </c>
    </row>
    <row r="478" spans="1:16" x14ac:dyDescent="0.35">
      <c r="A478" s="40" t="str">
        <f t="shared" si="15"/>
        <v>ALL 2024 H1 D90</v>
      </c>
      <c r="B478" s="8">
        <f>'ALL 2024 H2 D80'!$B$2</f>
        <v>46114</v>
      </c>
      <c r="C478" s="8">
        <f>'ALL 2024 H2 D80'!$C$2</f>
        <v>46120</v>
      </c>
      <c r="D478" s="5">
        <v>3208</v>
      </c>
      <c r="E478" s="5">
        <v>320</v>
      </c>
      <c r="F478" s="5">
        <v>1</v>
      </c>
      <c r="G478" s="5">
        <v>2</v>
      </c>
      <c r="H478" s="5">
        <v>81736</v>
      </c>
      <c r="I478" s="5" t="s">
        <v>16</v>
      </c>
      <c r="J478" s="5">
        <v>73314839</v>
      </c>
      <c r="K478" s="5" t="s">
        <v>50</v>
      </c>
      <c r="L478" s="19" t="s">
        <v>54</v>
      </c>
      <c r="M478" s="24">
        <v>129000</v>
      </c>
      <c r="N478" s="7">
        <v>0.9</v>
      </c>
      <c r="O478" s="6">
        <f t="shared" si="16"/>
        <v>12900</v>
      </c>
      <c r="P478" s="5" t="s">
        <v>504</v>
      </c>
    </row>
    <row r="479" spans="1:16" x14ac:dyDescent="0.35">
      <c r="A479" s="40" t="str">
        <f t="shared" si="15"/>
        <v>ALL 2024 H1 D90</v>
      </c>
      <c r="B479" s="8">
        <f>'ALL 2024 H2 D80'!$B$2</f>
        <v>46114</v>
      </c>
      <c r="C479" s="8">
        <f>'ALL 2024 H2 D80'!$C$2</f>
        <v>46120</v>
      </c>
      <c r="D479" s="5">
        <v>3208</v>
      </c>
      <c r="E479" s="5">
        <v>320</v>
      </c>
      <c r="F479" s="5">
        <v>1</v>
      </c>
      <c r="G479" s="5">
        <v>2</v>
      </c>
      <c r="H479" s="5">
        <v>81736</v>
      </c>
      <c r="I479" s="5" t="s">
        <v>16</v>
      </c>
      <c r="J479" s="5">
        <v>73645473</v>
      </c>
      <c r="K479" s="5" t="s">
        <v>55</v>
      </c>
      <c r="L479" s="19" t="s">
        <v>56</v>
      </c>
      <c r="M479" s="24">
        <v>129000</v>
      </c>
      <c r="N479" s="7">
        <v>0.9</v>
      </c>
      <c r="O479" s="6">
        <f t="shared" si="16"/>
        <v>12900</v>
      </c>
      <c r="P479" s="5" t="s">
        <v>504</v>
      </c>
    </row>
    <row r="480" spans="1:16" x14ac:dyDescent="0.35">
      <c r="A480" s="40" t="str">
        <f t="shared" si="15"/>
        <v>ALL 2024 H1 D90</v>
      </c>
      <c r="B480" s="8">
        <f>'ALL 2024 H2 D80'!$B$2</f>
        <v>46114</v>
      </c>
      <c r="C480" s="8">
        <f>'ALL 2024 H2 D80'!$C$2</f>
        <v>46120</v>
      </c>
      <c r="D480" s="5">
        <v>3208</v>
      </c>
      <c r="E480" s="5">
        <v>320</v>
      </c>
      <c r="F480" s="5">
        <v>1</v>
      </c>
      <c r="G480" s="5">
        <v>2</v>
      </c>
      <c r="H480" s="5">
        <v>81736</v>
      </c>
      <c r="I480" s="5" t="s">
        <v>16</v>
      </c>
      <c r="J480" s="5">
        <v>73645482</v>
      </c>
      <c r="K480" s="5" t="s">
        <v>55</v>
      </c>
      <c r="L480" s="19" t="s">
        <v>57</v>
      </c>
      <c r="M480" s="24">
        <v>129000</v>
      </c>
      <c r="N480" s="7">
        <v>0.9</v>
      </c>
      <c r="O480" s="6">
        <f t="shared" si="16"/>
        <v>12900</v>
      </c>
      <c r="P480" s="5" t="s">
        <v>504</v>
      </c>
    </row>
    <row r="481" spans="1:16" x14ac:dyDescent="0.35">
      <c r="A481" s="40" t="str">
        <f t="shared" si="15"/>
        <v>ALL 2024 H1 D90</v>
      </c>
      <c r="B481" s="8">
        <f>'ALL 2024 H2 D80'!$B$2</f>
        <v>46114</v>
      </c>
      <c r="C481" s="8">
        <f>'ALL 2024 H2 D80'!$C$2</f>
        <v>46120</v>
      </c>
      <c r="D481" s="5">
        <v>3208</v>
      </c>
      <c r="E481" s="5">
        <v>320</v>
      </c>
      <c r="F481" s="5">
        <v>1</v>
      </c>
      <c r="G481" s="5">
        <v>2</v>
      </c>
      <c r="H481" s="5">
        <v>81736</v>
      </c>
      <c r="I481" s="5" t="s">
        <v>16</v>
      </c>
      <c r="J481" s="5">
        <v>73645491</v>
      </c>
      <c r="K481" s="5" t="s">
        <v>55</v>
      </c>
      <c r="L481" s="19" t="s">
        <v>58</v>
      </c>
      <c r="M481" s="24">
        <v>129000</v>
      </c>
      <c r="N481" s="7">
        <v>0.9</v>
      </c>
      <c r="O481" s="6">
        <f t="shared" si="16"/>
        <v>12900</v>
      </c>
      <c r="P481" s="5" t="s">
        <v>504</v>
      </c>
    </row>
    <row r="482" spans="1:16" x14ac:dyDescent="0.35">
      <c r="A482" s="40" t="str">
        <f t="shared" si="15"/>
        <v>ALL 2024 H1 D90</v>
      </c>
      <c r="B482" s="8">
        <f>'ALL 2024 H2 D80'!$B$2</f>
        <v>46114</v>
      </c>
      <c r="C482" s="8">
        <f>'ALL 2024 H2 D80'!$C$2</f>
        <v>46120</v>
      </c>
      <c r="D482" s="5">
        <v>3208</v>
      </c>
      <c r="E482" s="5">
        <v>320</v>
      </c>
      <c r="F482" s="5">
        <v>1</v>
      </c>
      <c r="G482" s="5">
        <v>2</v>
      </c>
      <c r="H482" s="5">
        <v>81736</v>
      </c>
      <c r="I482" s="5" t="s">
        <v>16</v>
      </c>
      <c r="J482" s="5">
        <v>73645508</v>
      </c>
      <c r="K482" s="5" t="s">
        <v>55</v>
      </c>
      <c r="L482" s="19" t="s">
        <v>59</v>
      </c>
      <c r="M482" s="24">
        <v>129000</v>
      </c>
      <c r="N482" s="7">
        <v>0.9</v>
      </c>
      <c r="O482" s="6">
        <f t="shared" si="16"/>
        <v>12900</v>
      </c>
      <c r="P482" s="5" t="s">
        <v>504</v>
      </c>
    </row>
    <row r="483" spans="1:16" x14ac:dyDescent="0.35">
      <c r="A483" s="40" t="str">
        <f t="shared" si="15"/>
        <v>ALL 2024 H1 D90</v>
      </c>
      <c r="B483" s="8">
        <f>'ALL 2024 H2 D80'!$B$2</f>
        <v>46114</v>
      </c>
      <c r="C483" s="8">
        <f>'ALL 2024 H2 D80'!$C$2</f>
        <v>46120</v>
      </c>
      <c r="D483" s="5">
        <v>3208</v>
      </c>
      <c r="E483" s="5">
        <v>320</v>
      </c>
      <c r="F483" s="5">
        <v>1</v>
      </c>
      <c r="G483" s="5">
        <v>2</v>
      </c>
      <c r="H483" s="5">
        <v>81736</v>
      </c>
      <c r="I483" s="5" t="s">
        <v>16</v>
      </c>
      <c r="J483" s="5">
        <v>76704788</v>
      </c>
      <c r="K483" s="5" t="s">
        <v>60</v>
      </c>
      <c r="L483" s="19" t="s">
        <v>61</v>
      </c>
      <c r="M483" s="24">
        <v>129000</v>
      </c>
      <c r="N483" s="7">
        <v>0.9</v>
      </c>
      <c r="O483" s="6">
        <f t="shared" si="16"/>
        <v>12900</v>
      </c>
      <c r="P483" s="5" t="s">
        <v>504</v>
      </c>
    </row>
    <row r="484" spans="1:16" x14ac:dyDescent="0.35">
      <c r="A484" s="40" t="str">
        <f t="shared" si="15"/>
        <v>ALL 2024 H1 D90</v>
      </c>
      <c r="B484" s="8">
        <f>'ALL 2024 H2 D80'!$B$2</f>
        <v>46114</v>
      </c>
      <c r="C484" s="8">
        <f>'ALL 2024 H2 D80'!$C$2</f>
        <v>46120</v>
      </c>
      <c r="D484" s="5">
        <v>3208</v>
      </c>
      <c r="E484" s="5">
        <v>320</v>
      </c>
      <c r="F484" s="5">
        <v>1</v>
      </c>
      <c r="G484" s="5">
        <v>2</v>
      </c>
      <c r="H484" s="5">
        <v>81736</v>
      </c>
      <c r="I484" s="5" t="s">
        <v>16</v>
      </c>
      <c r="J484" s="5">
        <v>76704797</v>
      </c>
      <c r="K484" s="5" t="s">
        <v>60</v>
      </c>
      <c r="L484" s="19" t="s">
        <v>62</v>
      </c>
      <c r="M484" s="24">
        <v>129000</v>
      </c>
      <c r="N484" s="7">
        <v>0.9</v>
      </c>
      <c r="O484" s="6">
        <f t="shared" si="16"/>
        <v>12900</v>
      </c>
      <c r="P484" s="5" t="s">
        <v>504</v>
      </c>
    </row>
    <row r="485" spans="1:16" x14ac:dyDescent="0.35">
      <c r="A485" s="40" t="str">
        <f t="shared" si="15"/>
        <v>ALL 2024 H1 D90</v>
      </c>
      <c r="B485" s="8">
        <f>'ALL 2024 H2 D80'!$B$2</f>
        <v>46114</v>
      </c>
      <c r="C485" s="8">
        <f>'ALL 2024 H2 D80'!$C$2</f>
        <v>46120</v>
      </c>
      <c r="D485" s="5">
        <v>3208</v>
      </c>
      <c r="E485" s="5">
        <v>320</v>
      </c>
      <c r="F485" s="5">
        <v>1</v>
      </c>
      <c r="G485" s="5">
        <v>2</v>
      </c>
      <c r="H485" s="5">
        <v>81736</v>
      </c>
      <c r="I485" s="5" t="s">
        <v>16</v>
      </c>
      <c r="J485" s="5">
        <v>76704804</v>
      </c>
      <c r="K485" s="5" t="s">
        <v>60</v>
      </c>
      <c r="L485" s="19" t="s">
        <v>63</v>
      </c>
      <c r="M485" s="24">
        <v>129000</v>
      </c>
      <c r="N485" s="7">
        <v>0.9</v>
      </c>
      <c r="O485" s="6">
        <f t="shared" si="16"/>
        <v>12900</v>
      </c>
      <c r="P485" s="5" t="s">
        <v>504</v>
      </c>
    </row>
    <row r="486" spans="1:16" x14ac:dyDescent="0.35">
      <c r="A486" s="40" t="str">
        <f t="shared" si="15"/>
        <v>ALL 2024 H1 D90</v>
      </c>
      <c r="B486" s="8">
        <f>'ALL 2024 H2 D80'!$B$2</f>
        <v>46114</v>
      </c>
      <c r="C486" s="8">
        <f>'ALL 2024 H2 D80'!$C$2</f>
        <v>46120</v>
      </c>
      <c r="D486" s="5">
        <v>3208</v>
      </c>
      <c r="E486" s="5">
        <v>320</v>
      </c>
      <c r="F486" s="5">
        <v>1</v>
      </c>
      <c r="G486" s="5">
        <v>2</v>
      </c>
      <c r="H486" s="5">
        <v>81736</v>
      </c>
      <c r="I486" s="5" t="s">
        <v>16</v>
      </c>
      <c r="J486" s="5">
        <v>76704813</v>
      </c>
      <c r="K486" s="5" t="s">
        <v>60</v>
      </c>
      <c r="L486" s="19" t="s">
        <v>64</v>
      </c>
      <c r="M486" s="24">
        <v>129000</v>
      </c>
      <c r="N486" s="7">
        <v>0.9</v>
      </c>
      <c r="O486" s="6">
        <f t="shared" si="16"/>
        <v>12900</v>
      </c>
      <c r="P486" s="5" t="s">
        <v>504</v>
      </c>
    </row>
    <row r="487" spans="1:16" x14ac:dyDescent="0.35">
      <c r="A487" s="40" t="str">
        <f t="shared" si="15"/>
        <v>ALL 2024 H1 D90</v>
      </c>
      <c r="B487" s="8">
        <f>'ALL 2024 H2 D80'!$B$2</f>
        <v>46114</v>
      </c>
      <c r="C487" s="8">
        <f>'ALL 2024 H2 D80'!$C$2</f>
        <v>46120</v>
      </c>
      <c r="D487" s="5">
        <v>3208</v>
      </c>
      <c r="E487" s="5">
        <v>320</v>
      </c>
      <c r="F487" s="5">
        <v>1</v>
      </c>
      <c r="G487" s="5">
        <v>6</v>
      </c>
      <c r="H487" s="5">
        <v>81736</v>
      </c>
      <c r="I487" s="5" t="s">
        <v>16</v>
      </c>
      <c r="J487" s="5">
        <v>15943803</v>
      </c>
      <c r="K487" s="5" t="s">
        <v>94</v>
      </c>
      <c r="L487" s="19" t="s">
        <v>95</v>
      </c>
      <c r="M487" s="24">
        <v>149000</v>
      </c>
      <c r="N487" s="7">
        <v>0.9</v>
      </c>
      <c r="O487" s="6">
        <f t="shared" si="16"/>
        <v>14900</v>
      </c>
      <c r="P487" s="5" t="s">
        <v>504</v>
      </c>
    </row>
    <row r="488" spans="1:16" x14ac:dyDescent="0.35">
      <c r="A488" s="40" t="str">
        <f t="shared" si="15"/>
        <v>ALL 2024 H1 D90</v>
      </c>
      <c r="B488" s="8">
        <f>'ALL 2024 H2 D80'!$B$2</f>
        <v>46114</v>
      </c>
      <c r="C488" s="8">
        <f>'ALL 2024 H2 D80'!$C$2</f>
        <v>46120</v>
      </c>
      <c r="D488" s="5">
        <v>3208</v>
      </c>
      <c r="E488" s="5">
        <v>320</v>
      </c>
      <c r="F488" s="5">
        <v>1</v>
      </c>
      <c r="G488" s="5">
        <v>6</v>
      </c>
      <c r="H488" s="5">
        <v>81736</v>
      </c>
      <c r="I488" s="5" t="s">
        <v>16</v>
      </c>
      <c r="J488" s="5">
        <v>15943812</v>
      </c>
      <c r="K488" s="5" t="s">
        <v>94</v>
      </c>
      <c r="L488" s="19" t="s">
        <v>96</v>
      </c>
      <c r="M488" s="24">
        <v>149000</v>
      </c>
      <c r="N488" s="7">
        <v>0.9</v>
      </c>
      <c r="O488" s="6">
        <f t="shared" si="16"/>
        <v>14900</v>
      </c>
      <c r="P488" s="5" t="s">
        <v>504</v>
      </c>
    </row>
    <row r="489" spans="1:16" x14ac:dyDescent="0.35">
      <c r="A489" s="40" t="str">
        <f t="shared" si="15"/>
        <v>ALL 2024 H1 D90</v>
      </c>
      <c r="B489" s="8">
        <f>'ALL 2024 H2 D80'!$B$2</f>
        <v>46114</v>
      </c>
      <c r="C489" s="8">
        <f>'ALL 2024 H2 D80'!$C$2</f>
        <v>46120</v>
      </c>
      <c r="D489" s="5">
        <v>3208</v>
      </c>
      <c r="E489" s="5">
        <v>320</v>
      </c>
      <c r="F489" s="5">
        <v>1</v>
      </c>
      <c r="G489" s="5">
        <v>6</v>
      </c>
      <c r="H489" s="5">
        <v>81736</v>
      </c>
      <c r="I489" s="5" t="s">
        <v>16</v>
      </c>
      <c r="J489" s="5">
        <v>15943821</v>
      </c>
      <c r="K489" s="5" t="s">
        <v>94</v>
      </c>
      <c r="L489" s="19" t="s">
        <v>97</v>
      </c>
      <c r="M489" s="24">
        <v>149000</v>
      </c>
      <c r="N489" s="7">
        <v>0.9</v>
      </c>
      <c r="O489" s="6">
        <f t="shared" si="16"/>
        <v>14900</v>
      </c>
      <c r="P489" s="5" t="s">
        <v>504</v>
      </c>
    </row>
    <row r="490" spans="1:16" x14ac:dyDescent="0.35">
      <c r="A490" s="40" t="str">
        <f t="shared" si="15"/>
        <v>ALL 2024 H1 D90</v>
      </c>
      <c r="B490" s="8">
        <f>'ALL 2024 H2 D80'!$B$2</f>
        <v>46114</v>
      </c>
      <c r="C490" s="8">
        <f>'ALL 2024 H2 D80'!$C$2</f>
        <v>46120</v>
      </c>
      <c r="D490" s="5">
        <v>3208</v>
      </c>
      <c r="E490" s="5">
        <v>320</v>
      </c>
      <c r="F490" s="5">
        <v>1</v>
      </c>
      <c r="G490" s="5">
        <v>6</v>
      </c>
      <c r="H490" s="5">
        <v>81736</v>
      </c>
      <c r="I490" s="5" t="s">
        <v>16</v>
      </c>
      <c r="J490" s="5">
        <v>15943830</v>
      </c>
      <c r="K490" s="5" t="s">
        <v>94</v>
      </c>
      <c r="L490" s="19" t="s">
        <v>98</v>
      </c>
      <c r="M490" s="24">
        <v>149000</v>
      </c>
      <c r="N490" s="7">
        <v>0.9</v>
      </c>
      <c r="O490" s="6">
        <f t="shared" si="16"/>
        <v>14900</v>
      </c>
      <c r="P490" s="5" t="s">
        <v>504</v>
      </c>
    </row>
    <row r="491" spans="1:16" x14ac:dyDescent="0.35">
      <c r="A491" s="40" t="str">
        <f t="shared" si="15"/>
        <v>ALL 2024 H1 D90</v>
      </c>
      <c r="B491" s="8">
        <f>'ALL 2024 H2 D80'!$B$2</f>
        <v>46114</v>
      </c>
      <c r="C491" s="8">
        <f>'ALL 2024 H2 D80'!$C$2</f>
        <v>46120</v>
      </c>
      <c r="D491" s="5">
        <v>3208</v>
      </c>
      <c r="E491" s="5">
        <v>320</v>
      </c>
      <c r="F491" s="5">
        <v>1</v>
      </c>
      <c r="G491" s="5">
        <v>6</v>
      </c>
      <c r="H491" s="5">
        <v>81736</v>
      </c>
      <c r="I491" s="5" t="s">
        <v>16</v>
      </c>
      <c r="J491" s="5">
        <v>15943849</v>
      </c>
      <c r="K491" s="5" t="s">
        <v>94</v>
      </c>
      <c r="L491" s="19" t="s">
        <v>99</v>
      </c>
      <c r="M491" s="24">
        <v>149000</v>
      </c>
      <c r="N491" s="7">
        <v>0.9</v>
      </c>
      <c r="O491" s="6">
        <f t="shared" si="16"/>
        <v>14900</v>
      </c>
      <c r="P491" s="5" t="s">
        <v>504</v>
      </c>
    </row>
    <row r="492" spans="1:16" x14ac:dyDescent="0.35">
      <c r="A492" s="40" t="str">
        <f t="shared" si="15"/>
        <v>ALL 2024 H1 D90</v>
      </c>
      <c r="B492" s="8">
        <f>'ALL 2024 H2 D80'!$B$2</f>
        <v>46114</v>
      </c>
      <c r="C492" s="8">
        <f>'ALL 2024 H2 D80'!$C$2</f>
        <v>46120</v>
      </c>
      <c r="D492" s="5">
        <v>3208</v>
      </c>
      <c r="E492" s="5">
        <v>320</v>
      </c>
      <c r="F492" s="5">
        <v>1</v>
      </c>
      <c r="G492" s="5">
        <v>6</v>
      </c>
      <c r="H492" s="5">
        <v>81736</v>
      </c>
      <c r="I492" s="5" t="s">
        <v>16</v>
      </c>
      <c r="J492" s="5">
        <v>15943858</v>
      </c>
      <c r="K492" s="5" t="s">
        <v>94</v>
      </c>
      <c r="L492" s="19" t="s">
        <v>100</v>
      </c>
      <c r="M492" s="24">
        <v>149000</v>
      </c>
      <c r="N492" s="7">
        <v>0.9</v>
      </c>
      <c r="O492" s="6">
        <f t="shared" si="16"/>
        <v>14900</v>
      </c>
      <c r="P492" s="5" t="s">
        <v>504</v>
      </c>
    </row>
    <row r="493" spans="1:16" x14ac:dyDescent="0.35">
      <c r="A493" s="40" t="str">
        <f t="shared" si="15"/>
        <v>ALL 2024 H1 D90</v>
      </c>
      <c r="B493" s="8">
        <f>'ALL 2024 H2 D80'!$B$2</f>
        <v>46114</v>
      </c>
      <c r="C493" s="8">
        <f>'ALL 2024 H2 D80'!$C$2</f>
        <v>46120</v>
      </c>
      <c r="D493" s="5">
        <v>3208</v>
      </c>
      <c r="E493" s="5">
        <v>320</v>
      </c>
      <c r="F493" s="5">
        <v>1</v>
      </c>
      <c r="G493" s="5">
        <v>6</v>
      </c>
      <c r="H493" s="5">
        <v>81736</v>
      </c>
      <c r="I493" s="5" t="s">
        <v>16</v>
      </c>
      <c r="J493" s="5">
        <v>15943929</v>
      </c>
      <c r="K493" s="5" t="s">
        <v>101</v>
      </c>
      <c r="L493" s="19" t="s">
        <v>102</v>
      </c>
      <c r="M493" s="24">
        <v>149000</v>
      </c>
      <c r="N493" s="7">
        <v>0.9</v>
      </c>
      <c r="O493" s="6">
        <f t="shared" si="16"/>
        <v>14900</v>
      </c>
      <c r="P493" s="5" t="s">
        <v>504</v>
      </c>
    </row>
    <row r="494" spans="1:16" x14ac:dyDescent="0.35">
      <c r="A494" s="40" t="str">
        <f t="shared" si="15"/>
        <v>ALL 2024 H1 D90</v>
      </c>
      <c r="B494" s="8">
        <f>'ALL 2024 H2 D80'!$B$2</f>
        <v>46114</v>
      </c>
      <c r="C494" s="8">
        <f>'ALL 2024 H2 D80'!$C$2</f>
        <v>46120</v>
      </c>
      <c r="D494" s="5">
        <v>3208</v>
      </c>
      <c r="E494" s="5">
        <v>320</v>
      </c>
      <c r="F494" s="5">
        <v>1</v>
      </c>
      <c r="G494" s="5">
        <v>6</v>
      </c>
      <c r="H494" s="5">
        <v>81736</v>
      </c>
      <c r="I494" s="5" t="s">
        <v>16</v>
      </c>
      <c r="J494" s="5">
        <v>15943938</v>
      </c>
      <c r="K494" s="5" t="s">
        <v>101</v>
      </c>
      <c r="L494" s="19" t="s">
        <v>103</v>
      </c>
      <c r="M494" s="24">
        <v>149000</v>
      </c>
      <c r="N494" s="7">
        <v>0.9</v>
      </c>
      <c r="O494" s="6">
        <f t="shared" si="16"/>
        <v>14900</v>
      </c>
      <c r="P494" s="5" t="s">
        <v>504</v>
      </c>
    </row>
    <row r="495" spans="1:16" x14ac:dyDescent="0.35">
      <c r="A495" s="40" t="str">
        <f t="shared" si="15"/>
        <v>ALL 2024 H1 D90</v>
      </c>
      <c r="B495" s="8">
        <f>'ALL 2024 H2 D80'!$B$2</f>
        <v>46114</v>
      </c>
      <c r="C495" s="8">
        <f>'ALL 2024 H2 D80'!$C$2</f>
        <v>46120</v>
      </c>
      <c r="D495" s="5">
        <v>3208</v>
      </c>
      <c r="E495" s="5">
        <v>320</v>
      </c>
      <c r="F495" s="5">
        <v>1</v>
      </c>
      <c r="G495" s="5">
        <v>6</v>
      </c>
      <c r="H495" s="5">
        <v>81736</v>
      </c>
      <c r="I495" s="5" t="s">
        <v>16</v>
      </c>
      <c r="J495" s="5">
        <v>15943947</v>
      </c>
      <c r="K495" s="5" t="s">
        <v>101</v>
      </c>
      <c r="L495" s="19" t="s">
        <v>104</v>
      </c>
      <c r="M495" s="24">
        <v>149000</v>
      </c>
      <c r="N495" s="7">
        <v>0.9</v>
      </c>
      <c r="O495" s="6">
        <f t="shared" si="16"/>
        <v>14900</v>
      </c>
      <c r="P495" s="5" t="s">
        <v>504</v>
      </c>
    </row>
    <row r="496" spans="1:16" x14ac:dyDescent="0.35">
      <c r="A496" s="40" t="str">
        <f t="shared" si="15"/>
        <v>ALL 2024 H1 D90</v>
      </c>
      <c r="B496" s="8">
        <f>'ALL 2024 H2 D80'!$B$2</f>
        <v>46114</v>
      </c>
      <c r="C496" s="8">
        <f>'ALL 2024 H2 D80'!$C$2</f>
        <v>46120</v>
      </c>
      <c r="D496" s="5">
        <v>3208</v>
      </c>
      <c r="E496" s="5">
        <v>320</v>
      </c>
      <c r="F496" s="5">
        <v>1</v>
      </c>
      <c r="G496" s="5">
        <v>6</v>
      </c>
      <c r="H496" s="5">
        <v>81736</v>
      </c>
      <c r="I496" s="5" t="s">
        <v>16</v>
      </c>
      <c r="J496" s="5">
        <v>15943956</v>
      </c>
      <c r="K496" s="5" t="s">
        <v>101</v>
      </c>
      <c r="L496" s="19" t="s">
        <v>105</v>
      </c>
      <c r="M496" s="24">
        <v>149000</v>
      </c>
      <c r="N496" s="7">
        <v>0.9</v>
      </c>
      <c r="O496" s="6">
        <f t="shared" si="16"/>
        <v>14900</v>
      </c>
      <c r="P496" s="5" t="s">
        <v>504</v>
      </c>
    </row>
    <row r="497" spans="1:16" x14ac:dyDescent="0.35">
      <c r="A497" s="40" t="str">
        <f t="shared" si="15"/>
        <v>ALL 2024 H1 D90</v>
      </c>
      <c r="B497" s="8">
        <f>'ALL 2024 H2 D80'!$B$2</f>
        <v>46114</v>
      </c>
      <c r="C497" s="8">
        <f>'ALL 2024 H2 D80'!$C$2</f>
        <v>46120</v>
      </c>
      <c r="D497" s="5">
        <v>3208</v>
      </c>
      <c r="E497" s="5">
        <v>320</v>
      </c>
      <c r="F497" s="5">
        <v>1</v>
      </c>
      <c r="G497" s="5">
        <v>6</v>
      </c>
      <c r="H497" s="5">
        <v>81736</v>
      </c>
      <c r="I497" s="5" t="s">
        <v>16</v>
      </c>
      <c r="J497" s="5">
        <v>15943965</v>
      </c>
      <c r="K497" s="5" t="s">
        <v>101</v>
      </c>
      <c r="L497" s="19" t="s">
        <v>106</v>
      </c>
      <c r="M497" s="24">
        <v>149000</v>
      </c>
      <c r="N497" s="7">
        <v>0.9</v>
      </c>
      <c r="O497" s="6">
        <f t="shared" si="16"/>
        <v>14900</v>
      </c>
      <c r="P497" s="5" t="s">
        <v>504</v>
      </c>
    </row>
    <row r="498" spans="1:16" x14ac:dyDescent="0.35">
      <c r="A498" s="40" t="str">
        <f t="shared" si="15"/>
        <v>ALL 2024 H1 D90</v>
      </c>
      <c r="B498" s="8">
        <f>'ALL 2024 H2 D80'!$B$2</f>
        <v>46114</v>
      </c>
      <c r="C498" s="8">
        <f>'ALL 2024 H2 D80'!$C$2</f>
        <v>46120</v>
      </c>
      <c r="D498" s="5">
        <v>3208</v>
      </c>
      <c r="E498" s="5">
        <v>320</v>
      </c>
      <c r="F498" s="5">
        <v>1</v>
      </c>
      <c r="G498" s="5">
        <v>6</v>
      </c>
      <c r="H498" s="5">
        <v>81736</v>
      </c>
      <c r="I498" s="5" t="s">
        <v>16</v>
      </c>
      <c r="J498" s="5">
        <v>15943974</v>
      </c>
      <c r="K498" s="5" t="s">
        <v>101</v>
      </c>
      <c r="L498" s="19" t="s">
        <v>107</v>
      </c>
      <c r="M498" s="24">
        <v>149000</v>
      </c>
      <c r="N498" s="7">
        <v>0.9</v>
      </c>
      <c r="O498" s="6">
        <f t="shared" si="16"/>
        <v>14900</v>
      </c>
      <c r="P498" s="5" t="s">
        <v>504</v>
      </c>
    </row>
    <row r="499" spans="1:16" x14ac:dyDescent="0.35">
      <c r="A499" s="40" t="str">
        <f t="shared" si="15"/>
        <v>ALL 2024 H1 D90</v>
      </c>
      <c r="B499" s="8">
        <f>'ALL 2024 H2 D80'!$B$2</f>
        <v>46114</v>
      </c>
      <c r="C499" s="8">
        <f>'ALL 2024 H2 D80'!$C$2</f>
        <v>46120</v>
      </c>
      <c r="D499" s="5">
        <v>3208</v>
      </c>
      <c r="E499" s="5">
        <v>320</v>
      </c>
      <c r="F499" s="5">
        <v>1</v>
      </c>
      <c r="G499" s="5">
        <v>6</v>
      </c>
      <c r="H499" s="5">
        <v>81736</v>
      </c>
      <c r="I499" s="5" t="s">
        <v>16</v>
      </c>
      <c r="J499" s="5">
        <v>15944044</v>
      </c>
      <c r="K499" s="5" t="s">
        <v>94</v>
      </c>
      <c r="L499" s="19" t="s">
        <v>108</v>
      </c>
      <c r="M499" s="24">
        <v>149000</v>
      </c>
      <c r="N499" s="7">
        <v>0.9</v>
      </c>
      <c r="O499" s="6">
        <f t="shared" si="16"/>
        <v>14900</v>
      </c>
      <c r="P499" s="5" t="s">
        <v>504</v>
      </c>
    </row>
    <row r="500" spans="1:16" x14ac:dyDescent="0.35">
      <c r="A500" s="40" t="str">
        <f t="shared" si="15"/>
        <v>ALL 2024 H1 D90</v>
      </c>
      <c r="B500" s="8">
        <f>'ALL 2024 H2 D80'!$B$2</f>
        <v>46114</v>
      </c>
      <c r="C500" s="8">
        <f>'ALL 2024 H2 D80'!$C$2</f>
        <v>46120</v>
      </c>
      <c r="D500" s="5">
        <v>3208</v>
      </c>
      <c r="E500" s="5">
        <v>320</v>
      </c>
      <c r="F500" s="5">
        <v>1</v>
      </c>
      <c r="G500" s="5">
        <v>6</v>
      </c>
      <c r="H500" s="5">
        <v>81736</v>
      </c>
      <c r="I500" s="5" t="s">
        <v>16</v>
      </c>
      <c r="J500" s="5">
        <v>15944053</v>
      </c>
      <c r="K500" s="5" t="s">
        <v>94</v>
      </c>
      <c r="L500" s="19" t="s">
        <v>109</v>
      </c>
      <c r="M500" s="24">
        <v>149000</v>
      </c>
      <c r="N500" s="7">
        <v>0.9</v>
      </c>
      <c r="O500" s="6">
        <f t="shared" si="16"/>
        <v>14900</v>
      </c>
      <c r="P500" s="5" t="s">
        <v>504</v>
      </c>
    </row>
    <row r="501" spans="1:16" x14ac:dyDescent="0.35">
      <c r="A501" s="40" t="str">
        <f t="shared" si="15"/>
        <v>ALL 2024 H1 D90</v>
      </c>
      <c r="B501" s="8">
        <f>'ALL 2024 H2 D80'!$B$2</f>
        <v>46114</v>
      </c>
      <c r="C501" s="8">
        <f>'ALL 2024 H2 D80'!$C$2</f>
        <v>46120</v>
      </c>
      <c r="D501" s="5">
        <v>3208</v>
      </c>
      <c r="E501" s="5">
        <v>320</v>
      </c>
      <c r="F501" s="5">
        <v>1</v>
      </c>
      <c r="G501" s="5">
        <v>6</v>
      </c>
      <c r="H501" s="5">
        <v>81736</v>
      </c>
      <c r="I501" s="5" t="s">
        <v>16</v>
      </c>
      <c r="J501" s="5">
        <v>15944062</v>
      </c>
      <c r="K501" s="5" t="s">
        <v>94</v>
      </c>
      <c r="L501" s="19" t="s">
        <v>110</v>
      </c>
      <c r="M501" s="24">
        <v>149000</v>
      </c>
      <c r="N501" s="7">
        <v>0.9</v>
      </c>
      <c r="O501" s="6">
        <f t="shared" si="16"/>
        <v>14900</v>
      </c>
      <c r="P501" s="5" t="s">
        <v>504</v>
      </c>
    </row>
    <row r="502" spans="1:16" x14ac:dyDescent="0.35">
      <c r="A502" s="40" t="str">
        <f t="shared" si="15"/>
        <v>ALL 2024 H1 D90</v>
      </c>
      <c r="B502" s="8">
        <f>'ALL 2024 H2 D80'!$B$2</f>
        <v>46114</v>
      </c>
      <c r="C502" s="8">
        <f>'ALL 2024 H2 D80'!$C$2</f>
        <v>46120</v>
      </c>
      <c r="D502" s="5">
        <v>3208</v>
      </c>
      <c r="E502" s="5">
        <v>320</v>
      </c>
      <c r="F502" s="5">
        <v>1</v>
      </c>
      <c r="G502" s="5">
        <v>6</v>
      </c>
      <c r="H502" s="5">
        <v>81736</v>
      </c>
      <c r="I502" s="5" t="s">
        <v>16</v>
      </c>
      <c r="J502" s="5">
        <v>15951956</v>
      </c>
      <c r="K502" s="5" t="s">
        <v>94</v>
      </c>
      <c r="L502" s="19" t="s">
        <v>111</v>
      </c>
      <c r="M502" s="24">
        <v>149000</v>
      </c>
      <c r="N502" s="7">
        <v>0.9</v>
      </c>
      <c r="O502" s="6">
        <f t="shared" si="16"/>
        <v>14900</v>
      </c>
      <c r="P502" s="5" t="s">
        <v>504</v>
      </c>
    </row>
    <row r="503" spans="1:16" x14ac:dyDescent="0.35">
      <c r="A503" s="40" t="str">
        <f t="shared" si="15"/>
        <v>ALL 2024 H1 D90</v>
      </c>
      <c r="B503" s="8">
        <f>'ALL 2024 H2 D80'!$B$2</f>
        <v>46114</v>
      </c>
      <c r="C503" s="8">
        <f>'ALL 2024 H2 D80'!$C$2</f>
        <v>46120</v>
      </c>
      <c r="D503" s="5">
        <v>3208</v>
      </c>
      <c r="E503" s="5">
        <v>320</v>
      </c>
      <c r="F503" s="5">
        <v>1</v>
      </c>
      <c r="G503" s="5">
        <v>6</v>
      </c>
      <c r="H503" s="5">
        <v>81736</v>
      </c>
      <c r="I503" s="5" t="s">
        <v>16</v>
      </c>
      <c r="J503" s="5">
        <v>15951965</v>
      </c>
      <c r="K503" s="5" t="s">
        <v>94</v>
      </c>
      <c r="L503" s="19" t="s">
        <v>112</v>
      </c>
      <c r="M503" s="24">
        <v>149000</v>
      </c>
      <c r="N503" s="7">
        <v>0.9</v>
      </c>
      <c r="O503" s="6">
        <f t="shared" si="16"/>
        <v>14900</v>
      </c>
      <c r="P503" s="5" t="s">
        <v>504</v>
      </c>
    </row>
    <row r="504" spans="1:16" x14ac:dyDescent="0.35">
      <c r="A504" s="40" t="str">
        <f t="shared" si="15"/>
        <v>ALL 2024 H1 D90</v>
      </c>
      <c r="B504" s="8">
        <f>'ALL 2024 H2 D80'!$B$2</f>
        <v>46114</v>
      </c>
      <c r="C504" s="8">
        <f>'ALL 2024 H2 D80'!$C$2</f>
        <v>46120</v>
      </c>
      <c r="D504" s="5">
        <v>3208</v>
      </c>
      <c r="E504" s="5">
        <v>320</v>
      </c>
      <c r="F504" s="5">
        <v>1</v>
      </c>
      <c r="G504" s="5">
        <v>6</v>
      </c>
      <c r="H504" s="5">
        <v>81736</v>
      </c>
      <c r="I504" s="5" t="s">
        <v>16</v>
      </c>
      <c r="J504" s="5">
        <v>15951992</v>
      </c>
      <c r="K504" s="5" t="s">
        <v>101</v>
      </c>
      <c r="L504" s="19" t="s">
        <v>113</v>
      </c>
      <c r="M504" s="24">
        <v>149000</v>
      </c>
      <c r="N504" s="7">
        <v>0.9</v>
      </c>
      <c r="O504" s="6">
        <f t="shared" si="16"/>
        <v>14900</v>
      </c>
      <c r="P504" s="5" t="s">
        <v>504</v>
      </c>
    </row>
    <row r="505" spans="1:16" x14ac:dyDescent="0.35">
      <c r="A505" s="40" t="str">
        <f t="shared" si="15"/>
        <v>ALL 2024 H1 D90</v>
      </c>
      <c r="B505" s="8">
        <f>'ALL 2024 H2 D80'!$B$2</f>
        <v>46114</v>
      </c>
      <c r="C505" s="8">
        <f>'ALL 2024 H2 D80'!$C$2</f>
        <v>46120</v>
      </c>
      <c r="D505" s="5">
        <v>3208</v>
      </c>
      <c r="E505" s="5">
        <v>320</v>
      </c>
      <c r="F505" s="5">
        <v>1</v>
      </c>
      <c r="G505" s="5">
        <v>6</v>
      </c>
      <c r="H505" s="5">
        <v>81736</v>
      </c>
      <c r="I505" s="5" t="s">
        <v>16</v>
      </c>
      <c r="J505" s="5">
        <v>15952008</v>
      </c>
      <c r="K505" s="5" t="s">
        <v>101</v>
      </c>
      <c r="L505" s="19" t="s">
        <v>114</v>
      </c>
      <c r="M505" s="24">
        <v>149000</v>
      </c>
      <c r="N505" s="7">
        <v>0.9</v>
      </c>
      <c r="O505" s="6">
        <f t="shared" si="16"/>
        <v>14900</v>
      </c>
      <c r="P505" s="5" t="s">
        <v>504</v>
      </c>
    </row>
    <row r="506" spans="1:16" x14ac:dyDescent="0.35">
      <c r="A506" s="40" t="str">
        <f t="shared" si="15"/>
        <v>ALL 2024 H1 D90</v>
      </c>
      <c r="B506" s="8">
        <f>'ALL 2024 H2 D80'!$B$2</f>
        <v>46114</v>
      </c>
      <c r="C506" s="8">
        <f>'ALL 2024 H2 D80'!$C$2</f>
        <v>46120</v>
      </c>
      <c r="D506" s="5">
        <v>3208</v>
      </c>
      <c r="E506" s="5">
        <v>320</v>
      </c>
      <c r="F506" s="5">
        <v>1</v>
      </c>
      <c r="G506" s="5">
        <v>6</v>
      </c>
      <c r="H506" s="5">
        <v>81736</v>
      </c>
      <c r="I506" s="5" t="s">
        <v>16</v>
      </c>
      <c r="J506" s="5">
        <v>15952035</v>
      </c>
      <c r="K506" s="5" t="s">
        <v>94</v>
      </c>
      <c r="L506" s="19" t="s">
        <v>115</v>
      </c>
      <c r="M506" s="24">
        <v>149000</v>
      </c>
      <c r="N506" s="7">
        <v>0.9</v>
      </c>
      <c r="O506" s="6">
        <f t="shared" si="16"/>
        <v>14900</v>
      </c>
      <c r="P506" s="5" t="s">
        <v>504</v>
      </c>
    </row>
  </sheetData>
  <phoneticPr fontId="6" type="noConversion"/>
  <conditionalFormatting sqref="J331:J446">
    <cfRule type="duplicateValues" dxfId="9" priority="17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P17"/>
  <sheetViews>
    <sheetView zoomScaleNormal="100" workbookViewId="0">
      <pane ySplit="1" topLeftCell="A2" activePane="bottomLeft" state="frozen"/>
      <selection activeCell="C11" sqref="C11"/>
      <selection pane="bottomLeft" activeCell="A3" sqref="A3"/>
    </sheetView>
  </sheetViews>
  <sheetFormatPr defaultColWidth="8.7265625" defaultRowHeight="14.5" x14ac:dyDescent="0.35"/>
  <cols>
    <col min="1" max="1" width="27.453125" style="1" bestFit="1" customWidth="1"/>
    <col min="2" max="2" width="16.1796875" style="4" bestFit="1" customWidth="1"/>
    <col min="3" max="3" width="13.26953125" style="4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6.453125" style="1" bestFit="1" customWidth="1"/>
    <col min="10" max="10" width="9.453125" style="1" bestFit="1" customWidth="1"/>
    <col min="11" max="11" width="12.453125" style="1" bestFit="1" customWidth="1"/>
    <col min="12" max="12" width="64.54296875" style="1" customWidth="1"/>
    <col min="13" max="13" width="20.81640625" style="2" bestFit="1" customWidth="1"/>
    <col min="14" max="14" width="12.453125" style="3" bestFit="1" customWidth="1"/>
    <col min="15" max="15" width="19.81640625" style="2" bestFit="1" customWidth="1"/>
    <col min="16" max="16" width="19.81640625" style="1" bestFit="1" customWidth="1"/>
    <col min="17" max="16384" width="8.7265625" style="1"/>
  </cols>
  <sheetData>
    <row r="1" spans="1:16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9" t="s">
        <v>4</v>
      </c>
      <c r="M1" s="10" t="s">
        <v>3</v>
      </c>
      <c r="N1" s="11" t="s">
        <v>2</v>
      </c>
      <c r="O1" s="10" t="s">
        <v>1</v>
      </c>
      <c r="P1" s="9" t="s">
        <v>0</v>
      </c>
    </row>
    <row r="2" spans="1:16" x14ac:dyDescent="0.35">
      <c r="A2" s="5" t="s">
        <v>3661</v>
      </c>
      <c r="B2" s="8">
        <f>'ALL 2024 H2 D80'!$B$2</f>
        <v>46114</v>
      </c>
      <c r="C2" s="8">
        <f>'ALL 2024 H2 D80'!$C$2</f>
        <v>46120</v>
      </c>
      <c r="D2" s="5">
        <v>3208</v>
      </c>
      <c r="E2" s="5">
        <v>320</v>
      </c>
      <c r="F2" s="5">
        <v>1</v>
      </c>
      <c r="G2" s="5">
        <v>5</v>
      </c>
      <c r="H2" s="5">
        <v>81495</v>
      </c>
      <c r="I2" s="5" t="s">
        <v>16</v>
      </c>
      <c r="J2" s="5">
        <v>16255108</v>
      </c>
      <c r="K2" s="5" t="s">
        <v>2851</v>
      </c>
      <c r="L2" s="5" t="s">
        <v>2852</v>
      </c>
      <c r="M2" s="6">
        <v>249900</v>
      </c>
      <c r="N2" s="7">
        <v>0.9</v>
      </c>
      <c r="O2" s="6">
        <f t="shared" ref="O2:O9" si="0">M2-(M2*N2)</f>
        <v>24990</v>
      </c>
      <c r="P2" s="5" t="s">
        <v>504</v>
      </c>
    </row>
    <row r="3" spans="1:16" x14ac:dyDescent="0.35">
      <c r="A3" s="5" t="str">
        <f>$A$2</f>
        <v>2024 All Lebaran D90</v>
      </c>
      <c r="B3" s="8">
        <f>'ALL 2024 H2 D80'!$B$2</f>
        <v>46114</v>
      </c>
      <c r="C3" s="8">
        <f>'ALL 2024 H2 D80'!$C$2</f>
        <v>46120</v>
      </c>
      <c r="D3" s="5">
        <v>3208</v>
      </c>
      <c r="E3" s="5">
        <v>320</v>
      </c>
      <c r="F3" s="5">
        <v>1</v>
      </c>
      <c r="G3" s="5">
        <v>5</v>
      </c>
      <c r="H3" s="5">
        <v>81495</v>
      </c>
      <c r="I3" s="5" t="s">
        <v>16</v>
      </c>
      <c r="J3" s="5">
        <v>16255117</v>
      </c>
      <c r="K3" s="5" t="s">
        <v>2851</v>
      </c>
      <c r="L3" s="5" t="s">
        <v>2853</v>
      </c>
      <c r="M3" s="6">
        <v>249900</v>
      </c>
      <c r="N3" s="7">
        <v>0.9</v>
      </c>
      <c r="O3" s="6">
        <f t="shared" si="0"/>
        <v>24990</v>
      </c>
      <c r="P3" s="5" t="s">
        <v>504</v>
      </c>
    </row>
    <row r="4" spans="1:16" x14ac:dyDescent="0.35">
      <c r="A4" s="5" t="str">
        <f t="shared" ref="A4:A17" si="1">$A$2</f>
        <v>2024 All Lebaran D90</v>
      </c>
      <c r="B4" s="8">
        <f>'ALL 2024 H2 D80'!$B$2</f>
        <v>46114</v>
      </c>
      <c r="C4" s="8">
        <f>'ALL 2024 H2 D80'!$C$2</f>
        <v>46120</v>
      </c>
      <c r="D4" s="5">
        <v>3208</v>
      </c>
      <c r="E4" s="5">
        <v>320</v>
      </c>
      <c r="F4" s="5">
        <v>1</v>
      </c>
      <c r="G4" s="5">
        <v>5</v>
      </c>
      <c r="H4" s="5">
        <v>81495</v>
      </c>
      <c r="I4" s="5" t="s">
        <v>16</v>
      </c>
      <c r="J4" s="5">
        <v>16255126</v>
      </c>
      <c r="K4" s="5" t="s">
        <v>2851</v>
      </c>
      <c r="L4" s="5" t="s">
        <v>2854</v>
      </c>
      <c r="M4" s="6">
        <v>249900</v>
      </c>
      <c r="N4" s="7">
        <v>0.9</v>
      </c>
      <c r="O4" s="6">
        <f t="shared" si="0"/>
        <v>24990</v>
      </c>
      <c r="P4" s="5" t="s">
        <v>504</v>
      </c>
    </row>
    <row r="5" spans="1:16" x14ac:dyDescent="0.35">
      <c r="A5" s="5" t="str">
        <f t="shared" si="1"/>
        <v>2024 All Lebaran D90</v>
      </c>
      <c r="B5" s="8">
        <f>'ALL 2024 H2 D80'!$B$2</f>
        <v>46114</v>
      </c>
      <c r="C5" s="8">
        <f>'ALL 2024 H2 D80'!$C$2</f>
        <v>46120</v>
      </c>
      <c r="D5" s="5">
        <v>3208</v>
      </c>
      <c r="E5" s="5">
        <v>320</v>
      </c>
      <c r="F5" s="5">
        <v>1</v>
      </c>
      <c r="G5" s="5">
        <v>5</v>
      </c>
      <c r="H5" s="5">
        <v>81495</v>
      </c>
      <c r="I5" s="5" t="s">
        <v>16</v>
      </c>
      <c r="J5" s="5">
        <v>16255135</v>
      </c>
      <c r="K5" s="5" t="s">
        <v>2851</v>
      </c>
      <c r="L5" s="5" t="s">
        <v>2855</v>
      </c>
      <c r="M5" s="6">
        <v>249900</v>
      </c>
      <c r="N5" s="7">
        <v>0.9</v>
      </c>
      <c r="O5" s="6">
        <f t="shared" si="0"/>
        <v>24990</v>
      </c>
      <c r="P5" s="5" t="s">
        <v>504</v>
      </c>
    </row>
    <row r="6" spans="1:16" x14ac:dyDescent="0.35">
      <c r="A6" s="5" t="str">
        <f t="shared" si="1"/>
        <v>2024 All Lebaran D90</v>
      </c>
      <c r="B6" s="8">
        <f>'ALL 2024 H2 D80'!$B$2</f>
        <v>46114</v>
      </c>
      <c r="C6" s="8">
        <f>'ALL 2024 H2 D80'!$C$2</f>
        <v>46120</v>
      </c>
      <c r="D6" s="5">
        <v>3208</v>
      </c>
      <c r="E6" s="5">
        <v>320</v>
      </c>
      <c r="F6" s="5">
        <v>1</v>
      </c>
      <c r="G6" s="5">
        <v>5</v>
      </c>
      <c r="H6" s="5">
        <v>81495</v>
      </c>
      <c r="I6" s="5" t="s">
        <v>16</v>
      </c>
      <c r="J6" s="5">
        <v>16255144</v>
      </c>
      <c r="K6" s="5" t="s">
        <v>2851</v>
      </c>
      <c r="L6" s="5" t="s">
        <v>2856</v>
      </c>
      <c r="M6" s="6">
        <v>249900</v>
      </c>
      <c r="N6" s="7">
        <v>0.9</v>
      </c>
      <c r="O6" s="6">
        <f t="shared" si="0"/>
        <v>24990</v>
      </c>
      <c r="P6" s="5" t="s">
        <v>504</v>
      </c>
    </row>
    <row r="7" spans="1:16" x14ac:dyDescent="0.35">
      <c r="A7" s="5" t="str">
        <f t="shared" si="1"/>
        <v>2024 All Lebaran D90</v>
      </c>
      <c r="B7" s="8">
        <f>'ALL 2024 H2 D80'!$B$2</f>
        <v>46114</v>
      </c>
      <c r="C7" s="8">
        <f>'ALL 2024 H2 D80'!$C$2</f>
        <v>46120</v>
      </c>
      <c r="D7" s="5">
        <v>3208</v>
      </c>
      <c r="E7" s="5">
        <v>320</v>
      </c>
      <c r="F7" s="5">
        <v>1</v>
      </c>
      <c r="G7" s="5">
        <v>5</v>
      </c>
      <c r="H7" s="5">
        <v>81495</v>
      </c>
      <c r="I7" s="5" t="s">
        <v>16</v>
      </c>
      <c r="J7" s="5">
        <v>16255153</v>
      </c>
      <c r="K7" s="5" t="s">
        <v>2851</v>
      </c>
      <c r="L7" s="5" t="s">
        <v>2857</v>
      </c>
      <c r="M7" s="6">
        <v>249900</v>
      </c>
      <c r="N7" s="7">
        <v>0.9</v>
      </c>
      <c r="O7" s="6">
        <f t="shared" si="0"/>
        <v>24990</v>
      </c>
      <c r="P7" s="5" t="s">
        <v>504</v>
      </c>
    </row>
    <row r="8" spans="1:16" x14ac:dyDescent="0.35">
      <c r="A8" s="5" t="str">
        <f t="shared" si="1"/>
        <v>2024 All Lebaran D90</v>
      </c>
      <c r="B8" s="8">
        <f>'ALL 2024 H2 D80'!$B$2</f>
        <v>46114</v>
      </c>
      <c r="C8" s="8">
        <f>'ALL 2024 H2 D80'!$C$2</f>
        <v>46120</v>
      </c>
      <c r="D8" s="5">
        <v>3208</v>
      </c>
      <c r="E8" s="5">
        <v>320</v>
      </c>
      <c r="F8" s="5">
        <v>1</v>
      </c>
      <c r="G8" s="5">
        <v>5</v>
      </c>
      <c r="H8" s="5">
        <v>81495</v>
      </c>
      <c r="I8" s="5" t="s">
        <v>16</v>
      </c>
      <c r="J8" s="5">
        <v>16255162</v>
      </c>
      <c r="K8" s="5" t="s">
        <v>2851</v>
      </c>
      <c r="L8" s="5" t="s">
        <v>2858</v>
      </c>
      <c r="M8" s="6">
        <v>249900</v>
      </c>
      <c r="N8" s="7">
        <v>0.9</v>
      </c>
      <c r="O8" s="6">
        <f t="shared" si="0"/>
        <v>24990</v>
      </c>
      <c r="P8" s="5" t="s">
        <v>504</v>
      </c>
    </row>
    <row r="9" spans="1:16" x14ac:dyDescent="0.35">
      <c r="A9" s="5" t="str">
        <f t="shared" si="1"/>
        <v>2024 All Lebaran D90</v>
      </c>
      <c r="B9" s="8">
        <f>'ALL 2024 H2 D80'!$B$2</f>
        <v>46114</v>
      </c>
      <c r="C9" s="8">
        <f>'ALL 2024 H2 D80'!$C$2</f>
        <v>46120</v>
      </c>
      <c r="D9" s="5">
        <v>3208</v>
      </c>
      <c r="E9" s="5">
        <v>320</v>
      </c>
      <c r="F9" s="5">
        <v>1</v>
      </c>
      <c r="G9" s="5">
        <v>5</v>
      </c>
      <c r="H9" s="5">
        <v>81495</v>
      </c>
      <c r="I9" s="5" t="s">
        <v>16</v>
      </c>
      <c r="J9" s="5">
        <v>16255171</v>
      </c>
      <c r="K9" s="5" t="s">
        <v>2851</v>
      </c>
      <c r="L9" s="5" t="s">
        <v>2859</v>
      </c>
      <c r="M9" s="6">
        <v>249900</v>
      </c>
      <c r="N9" s="7">
        <v>0.9</v>
      </c>
      <c r="O9" s="6">
        <f t="shared" si="0"/>
        <v>24990</v>
      </c>
      <c r="P9" s="5" t="s">
        <v>504</v>
      </c>
    </row>
    <row r="10" spans="1:16" x14ac:dyDescent="0.35">
      <c r="A10" s="5" t="str">
        <f t="shared" si="1"/>
        <v>2024 All Lebaran D90</v>
      </c>
      <c r="B10" s="8">
        <f>'ALL 2024 H2 D80'!$B$2</f>
        <v>46114</v>
      </c>
      <c r="C10" s="8">
        <f>'ALL 2024 H2 D80'!$C$2</f>
        <v>46120</v>
      </c>
      <c r="D10" s="5">
        <v>3208</v>
      </c>
      <c r="E10" s="5">
        <v>320</v>
      </c>
      <c r="F10" s="5">
        <v>1</v>
      </c>
      <c r="G10" s="5">
        <v>3</v>
      </c>
      <c r="H10" s="5">
        <v>81495</v>
      </c>
      <c r="I10" s="5" t="s">
        <v>16</v>
      </c>
      <c r="J10" s="5">
        <v>16255028</v>
      </c>
      <c r="K10" s="5" t="s">
        <v>2860</v>
      </c>
      <c r="L10" s="5" t="s">
        <v>2861</v>
      </c>
      <c r="M10" s="6">
        <v>299900</v>
      </c>
      <c r="N10" s="7">
        <v>0.9</v>
      </c>
      <c r="O10" s="6">
        <f t="shared" ref="O10:O17" si="2">M10-(M10*N10)</f>
        <v>29990</v>
      </c>
      <c r="P10" s="5" t="s">
        <v>504</v>
      </c>
    </row>
    <row r="11" spans="1:16" x14ac:dyDescent="0.35">
      <c r="A11" s="5" t="str">
        <f t="shared" si="1"/>
        <v>2024 All Lebaran D90</v>
      </c>
      <c r="B11" s="8">
        <f>'ALL 2024 H2 D80'!$B$2</f>
        <v>46114</v>
      </c>
      <c r="C11" s="8">
        <f>'ALL 2024 H2 D80'!$C$2</f>
        <v>46120</v>
      </c>
      <c r="D11" s="5">
        <v>3208</v>
      </c>
      <c r="E11" s="5">
        <v>320</v>
      </c>
      <c r="F11" s="5">
        <v>1</v>
      </c>
      <c r="G11" s="5">
        <v>3</v>
      </c>
      <c r="H11" s="5">
        <v>81495</v>
      </c>
      <c r="I11" s="5" t="s">
        <v>16</v>
      </c>
      <c r="J11" s="5">
        <v>16255037</v>
      </c>
      <c r="K11" s="5" t="s">
        <v>2860</v>
      </c>
      <c r="L11" s="5" t="s">
        <v>2862</v>
      </c>
      <c r="M11" s="6">
        <v>299900</v>
      </c>
      <c r="N11" s="7">
        <v>0.9</v>
      </c>
      <c r="O11" s="6">
        <f t="shared" si="2"/>
        <v>29990</v>
      </c>
      <c r="P11" s="5" t="s">
        <v>504</v>
      </c>
    </row>
    <row r="12" spans="1:16" x14ac:dyDescent="0.35">
      <c r="A12" s="5" t="str">
        <f t="shared" si="1"/>
        <v>2024 All Lebaran D90</v>
      </c>
      <c r="B12" s="8">
        <f>'ALL 2024 H2 D80'!$B$2</f>
        <v>46114</v>
      </c>
      <c r="C12" s="8">
        <f>'ALL 2024 H2 D80'!$C$2</f>
        <v>46120</v>
      </c>
      <c r="D12" s="5">
        <v>3208</v>
      </c>
      <c r="E12" s="5">
        <v>320</v>
      </c>
      <c r="F12" s="5">
        <v>1</v>
      </c>
      <c r="G12" s="5">
        <v>3</v>
      </c>
      <c r="H12" s="5">
        <v>81495</v>
      </c>
      <c r="I12" s="5" t="s">
        <v>16</v>
      </c>
      <c r="J12" s="5">
        <v>16255046</v>
      </c>
      <c r="K12" s="5" t="s">
        <v>2860</v>
      </c>
      <c r="L12" s="5" t="s">
        <v>2863</v>
      </c>
      <c r="M12" s="6">
        <v>299900</v>
      </c>
      <c r="N12" s="7">
        <v>0.9</v>
      </c>
      <c r="O12" s="6">
        <f t="shared" si="2"/>
        <v>29990</v>
      </c>
      <c r="P12" s="5" t="s">
        <v>504</v>
      </c>
    </row>
    <row r="13" spans="1:16" x14ac:dyDescent="0.35">
      <c r="A13" s="5" t="str">
        <f t="shared" si="1"/>
        <v>2024 All Lebaran D90</v>
      </c>
      <c r="B13" s="8">
        <f>'ALL 2024 H2 D80'!$B$2</f>
        <v>46114</v>
      </c>
      <c r="C13" s="8">
        <f>'ALL 2024 H2 D80'!$C$2</f>
        <v>46120</v>
      </c>
      <c r="D13" s="5">
        <v>3208</v>
      </c>
      <c r="E13" s="5">
        <v>320</v>
      </c>
      <c r="F13" s="5">
        <v>1</v>
      </c>
      <c r="G13" s="5">
        <v>3</v>
      </c>
      <c r="H13" s="5">
        <v>81495</v>
      </c>
      <c r="I13" s="5" t="s">
        <v>16</v>
      </c>
      <c r="J13" s="5">
        <v>16255055</v>
      </c>
      <c r="K13" s="5" t="s">
        <v>2860</v>
      </c>
      <c r="L13" s="5" t="s">
        <v>2864</v>
      </c>
      <c r="M13" s="6">
        <v>299900</v>
      </c>
      <c r="N13" s="7">
        <v>0.9</v>
      </c>
      <c r="O13" s="6">
        <f t="shared" si="2"/>
        <v>29990</v>
      </c>
      <c r="P13" s="5" t="s">
        <v>504</v>
      </c>
    </row>
    <row r="14" spans="1:16" x14ac:dyDescent="0.35">
      <c r="A14" s="5" t="str">
        <f t="shared" si="1"/>
        <v>2024 All Lebaran D90</v>
      </c>
      <c r="B14" s="8">
        <f>'ALL 2024 H2 D80'!$B$2</f>
        <v>46114</v>
      </c>
      <c r="C14" s="8">
        <f>'ALL 2024 H2 D80'!$C$2</f>
        <v>46120</v>
      </c>
      <c r="D14" s="5">
        <v>3208</v>
      </c>
      <c r="E14" s="5">
        <v>320</v>
      </c>
      <c r="F14" s="5">
        <v>1</v>
      </c>
      <c r="G14" s="5">
        <v>3</v>
      </c>
      <c r="H14" s="5">
        <v>81495</v>
      </c>
      <c r="I14" s="5" t="s">
        <v>16</v>
      </c>
      <c r="J14" s="5">
        <v>16255064</v>
      </c>
      <c r="K14" s="5" t="s">
        <v>2860</v>
      </c>
      <c r="L14" s="5" t="s">
        <v>2865</v>
      </c>
      <c r="M14" s="6">
        <v>299900</v>
      </c>
      <c r="N14" s="7">
        <v>0.9</v>
      </c>
      <c r="O14" s="6">
        <f t="shared" si="2"/>
        <v>29990</v>
      </c>
      <c r="P14" s="5" t="s">
        <v>504</v>
      </c>
    </row>
    <row r="15" spans="1:16" x14ac:dyDescent="0.35">
      <c r="A15" s="5" t="str">
        <f t="shared" si="1"/>
        <v>2024 All Lebaran D90</v>
      </c>
      <c r="B15" s="8">
        <f>'ALL 2024 H2 D80'!$B$2</f>
        <v>46114</v>
      </c>
      <c r="C15" s="8">
        <f>'ALL 2024 H2 D80'!$C$2</f>
        <v>46120</v>
      </c>
      <c r="D15" s="5">
        <v>3208</v>
      </c>
      <c r="E15" s="5">
        <v>320</v>
      </c>
      <c r="F15" s="5">
        <v>1</v>
      </c>
      <c r="G15" s="5">
        <v>3</v>
      </c>
      <c r="H15" s="5">
        <v>81495</v>
      </c>
      <c r="I15" s="5" t="s">
        <v>16</v>
      </c>
      <c r="J15" s="5">
        <v>16255073</v>
      </c>
      <c r="K15" s="5" t="s">
        <v>2860</v>
      </c>
      <c r="L15" s="5" t="s">
        <v>2866</v>
      </c>
      <c r="M15" s="6">
        <v>299900</v>
      </c>
      <c r="N15" s="7">
        <v>0.9</v>
      </c>
      <c r="O15" s="6">
        <f t="shared" si="2"/>
        <v>29990</v>
      </c>
      <c r="P15" s="5" t="s">
        <v>504</v>
      </c>
    </row>
    <row r="16" spans="1:16" x14ac:dyDescent="0.35">
      <c r="A16" s="5" t="str">
        <f t="shared" si="1"/>
        <v>2024 All Lebaran D90</v>
      </c>
      <c r="B16" s="8">
        <f>'ALL 2024 H2 D80'!$B$2</f>
        <v>46114</v>
      </c>
      <c r="C16" s="8">
        <f>'ALL 2024 H2 D80'!$C$2</f>
        <v>46120</v>
      </c>
      <c r="D16" s="5">
        <v>3208</v>
      </c>
      <c r="E16" s="5">
        <v>320</v>
      </c>
      <c r="F16" s="5">
        <v>1</v>
      </c>
      <c r="G16" s="5">
        <v>3</v>
      </c>
      <c r="H16" s="5">
        <v>81495</v>
      </c>
      <c r="I16" s="5" t="s">
        <v>16</v>
      </c>
      <c r="J16" s="5">
        <v>16255082</v>
      </c>
      <c r="K16" s="5" t="s">
        <v>2860</v>
      </c>
      <c r="L16" s="5" t="s">
        <v>2867</v>
      </c>
      <c r="M16" s="6">
        <v>299900</v>
      </c>
      <c r="N16" s="7">
        <v>0.9</v>
      </c>
      <c r="O16" s="6">
        <f t="shared" si="2"/>
        <v>29990</v>
      </c>
      <c r="P16" s="5" t="s">
        <v>504</v>
      </c>
    </row>
    <row r="17" spans="1:16" x14ac:dyDescent="0.35">
      <c r="A17" s="5" t="str">
        <f t="shared" si="1"/>
        <v>2024 All Lebaran D90</v>
      </c>
      <c r="B17" s="8">
        <f>'ALL 2024 H2 D80'!$B$2</f>
        <v>46114</v>
      </c>
      <c r="C17" s="8">
        <f>'ALL 2024 H2 D80'!$C$2</f>
        <v>46120</v>
      </c>
      <c r="D17" s="5">
        <v>3208</v>
      </c>
      <c r="E17" s="5">
        <v>320</v>
      </c>
      <c r="F17" s="5">
        <v>1</v>
      </c>
      <c r="G17" s="5">
        <v>3</v>
      </c>
      <c r="H17" s="5">
        <v>81495</v>
      </c>
      <c r="I17" s="5" t="s">
        <v>16</v>
      </c>
      <c r="J17" s="5">
        <v>16255091</v>
      </c>
      <c r="K17" s="5" t="s">
        <v>2860</v>
      </c>
      <c r="L17" s="5" t="s">
        <v>2868</v>
      </c>
      <c r="M17" s="6">
        <v>299900</v>
      </c>
      <c r="N17" s="7">
        <v>0.9</v>
      </c>
      <c r="O17" s="6">
        <f t="shared" si="2"/>
        <v>29990</v>
      </c>
      <c r="P17" s="5" t="s">
        <v>504</v>
      </c>
    </row>
  </sheetData>
  <phoneticPr fontId="6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P378"/>
  <sheetViews>
    <sheetView zoomScale="95" zoomScaleNormal="95" workbookViewId="0">
      <pane ySplit="1" topLeftCell="A2" activePane="bottomLeft" state="frozen"/>
      <selection activeCell="C11" sqref="C11"/>
      <selection pane="bottomLeft" activeCell="A3" sqref="A3"/>
    </sheetView>
  </sheetViews>
  <sheetFormatPr defaultColWidth="8.7265625" defaultRowHeight="14.5" x14ac:dyDescent="0.35"/>
  <cols>
    <col min="1" max="1" width="29.81640625" style="1" customWidth="1"/>
    <col min="2" max="2" width="16.1796875" style="4" bestFit="1" customWidth="1"/>
    <col min="3" max="3" width="13.26953125" style="4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6.453125" style="1" bestFit="1" customWidth="1"/>
    <col min="10" max="10" width="9.453125" style="1" bestFit="1" customWidth="1"/>
    <col min="11" max="11" width="12.453125" style="1" bestFit="1" customWidth="1"/>
    <col min="12" max="12" width="64.54296875" style="1" customWidth="1"/>
    <col min="13" max="13" width="16" style="2" bestFit="1" customWidth="1"/>
    <col min="14" max="14" width="12.453125" style="3" bestFit="1" customWidth="1"/>
    <col min="15" max="15" width="15" style="2" bestFit="1" customWidth="1"/>
    <col min="16" max="16" width="19.81640625" style="1" bestFit="1" customWidth="1"/>
    <col min="17" max="16384" width="8.7265625" style="1"/>
  </cols>
  <sheetData>
    <row r="1" spans="1:16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9" t="s">
        <v>4</v>
      </c>
      <c r="M1" s="10" t="s">
        <v>3</v>
      </c>
      <c r="N1" s="11" t="s">
        <v>2</v>
      </c>
      <c r="O1" s="10" t="s">
        <v>1</v>
      </c>
      <c r="P1" s="9" t="s">
        <v>0</v>
      </c>
    </row>
    <row r="2" spans="1:16" x14ac:dyDescent="0.35">
      <c r="A2" s="5" t="s">
        <v>3662</v>
      </c>
      <c r="B2" s="8">
        <f>'ALL 2024 H2 D80'!$B$2</f>
        <v>46114</v>
      </c>
      <c r="C2" s="8">
        <f>'ALL 2024 H2 D80'!$C$2</f>
        <v>46120</v>
      </c>
      <c r="D2" s="5">
        <v>3208</v>
      </c>
      <c r="E2" s="5">
        <v>320</v>
      </c>
      <c r="F2" s="5">
        <v>1</v>
      </c>
      <c r="G2" s="5">
        <v>1</v>
      </c>
      <c r="H2" s="5">
        <v>81044</v>
      </c>
      <c r="I2" s="5" t="s">
        <v>16</v>
      </c>
      <c r="J2" s="5">
        <v>82493843</v>
      </c>
      <c r="K2" s="5" t="s">
        <v>158</v>
      </c>
      <c r="L2" s="5" t="s">
        <v>159</v>
      </c>
      <c r="M2" s="6">
        <v>299900</v>
      </c>
      <c r="N2" s="7">
        <v>0.9</v>
      </c>
      <c r="O2" s="6">
        <f t="shared" ref="O2:O5" si="0">M2-(M2*N2)</f>
        <v>29990</v>
      </c>
      <c r="P2" s="5" t="s">
        <v>504</v>
      </c>
    </row>
    <row r="3" spans="1:16" x14ac:dyDescent="0.35">
      <c r="A3" s="5" t="str">
        <f>$A$2</f>
        <v>2023 H2 All Items D90</v>
      </c>
      <c r="B3" s="8">
        <f>'ALL 2024 H2 D80'!$B$2</f>
        <v>46114</v>
      </c>
      <c r="C3" s="8">
        <f>'ALL 2024 H2 D80'!$C$2</f>
        <v>46120</v>
      </c>
      <c r="D3" s="5">
        <v>3208</v>
      </c>
      <c r="E3" s="5">
        <v>320</v>
      </c>
      <c r="F3" s="5">
        <v>1</v>
      </c>
      <c r="G3" s="5">
        <v>1</v>
      </c>
      <c r="H3" s="5">
        <v>81044</v>
      </c>
      <c r="I3" s="5" t="s">
        <v>16</v>
      </c>
      <c r="J3" s="5">
        <v>82493852</v>
      </c>
      <c r="K3" s="5" t="s">
        <v>158</v>
      </c>
      <c r="L3" s="5" t="s">
        <v>160</v>
      </c>
      <c r="M3" s="6">
        <v>299900</v>
      </c>
      <c r="N3" s="7">
        <v>0.9</v>
      </c>
      <c r="O3" s="6">
        <f t="shared" si="0"/>
        <v>29990</v>
      </c>
      <c r="P3" s="5" t="s">
        <v>504</v>
      </c>
    </row>
    <row r="4" spans="1:16" x14ac:dyDescent="0.35">
      <c r="A4" s="5" t="str">
        <f t="shared" ref="A4:A67" si="1">$A$2</f>
        <v>2023 H2 All Items D90</v>
      </c>
      <c r="B4" s="8">
        <f>'ALL 2024 H2 D80'!$B$2</f>
        <v>46114</v>
      </c>
      <c r="C4" s="8">
        <f>'ALL 2024 H2 D80'!$C$2</f>
        <v>46120</v>
      </c>
      <c r="D4" s="5">
        <v>3208</v>
      </c>
      <c r="E4" s="5">
        <v>320</v>
      </c>
      <c r="F4" s="5">
        <v>1</v>
      </c>
      <c r="G4" s="5">
        <v>1</v>
      </c>
      <c r="H4" s="5">
        <v>81044</v>
      </c>
      <c r="I4" s="5" t="s">
        <v>16</v>
      </c>
      <c r="J4" s="5">
        <v>82493861</v>
      </c>
      <c r="K4" s="5" t="s">
        <v>158</v>
      </c>
      <c r="L4" s="5" t="s">
        <v>161</v>
      </c>
      <c r="M4" s="6">
        <v>299900</v>
      </c>
      <c r="N4" s="7">
        <v>0.9</v>
      </c>
      <c r="O4" s="6">
        <f t="shared" si="0"/>
        <v>29990</v>
      </c>
      <c r="P4" s="5" t="s">
        <v>504</v>
      </c>
    </row>
    <row r="5" spans="1:16" x14ac:dyDescent="0.35">
      <c r="A5" s="5" t="str">
        <f t="shared" si="1"/>
        <v>2023 H2 All Items D90</v>
      </c>
      <c r="B5" s="8">
        <f>'ALL 2024 H2 D80'!$B$2</f>
        <v>46114</v>
      </c>
      <c r="C5" s="8">
        <f>'ALL 2024 H2 D80'!$C$2</f>
        <v>46120</v>
      </c>
      <c r="D5" s="5">
        <v>3208</v>
      </c>
      <c r="E5" s="5">
        <v>320</v>
      </c>
      <c r="F5" s="5">
        <v>1</v>
      </c>
      <c r="G5" s="5">
        <v>1</v>
      </c>
      <c r="H5" s="5">
        <v>81044</v>
      </c>
      <c r="I5" s="5" t="s">
        <v>16</v>
      </c>
      <c r="J5" s="5">
        <v>82493870</v>
      </c>
      <c r="K5" s="5" t="s">
        <v>158</v>
      </c>
      <c r="L5" s="5" t="s">
        <v>162</v>
      </c>
      <c r="M5" s="6">
        <v>299900</v>
      </c>
      <c r="N5" s="7">
        <v>0.9</v>
      </c>
      <c r="O5" s="6">
        <f t="shared" si="0"/>
        <v>29990</v>
      </c>
      <c r="P5" s="5" t="s">
        <v>504</v>
      </c>
    </row>
    <row r="6" spans="1:16" x14ac:dyDescent="0.35">
      <c r="A6" s="5" t="str">
        <f t="shared" si="1"/>
        <v>2023 H2 All Items D90</v>
      </c>
      <c r="B6" s="8">
        <f>'ALL 2024 H2 D80'!$B$2</f>
        <v>46114</v>
      </c>
      <c r="C6" s="8">
        <f>'ALL 2024 H2 D80'!$C$2</f>
        <v>46120</v>
      </c>
      <c r="D6" s="5">
        <v>3208</v>
      </c>
      <c r="E6" s="5">
        <v>320</v>
      </c>
      <c r="F6" s="5">
        <v>1</v>
      </c>
      <c r="G6" s="5">
        <v>1</v>
      </c>
      <c r="H6" s="5">
        <v>81044</v>
      </c>
      <c r="I6" s="5" t="s">
        <v>16</v>
      </c>
      <c r="J6" s="5">
        <v>82895061</v>
      </c>
      <c r="K6" s="5" t="s">
        <v>163</v>
      </c>
      <c r="L6" s="5" t="s">
        <v>164</v>
      </c>
      <c r="M6" s="6">
        <v>269900</v>
      </c>
      <c r="N6" s="7">
        <v>0.9</v>
      </c>
      <c r="O6" s="6">
        <f t="shared" ref="O6:O45" si="2">M6-(M6*N6)</f>
        <v>26990</v>
      </c>
      <c r="P6" s="5" t="s">
        <v>504</v>
      </c>
    </row>
    <row r="7" spans="1:16" x14ac:dyDescent="0.35">
      <c r="A7" s="5" t="str">
        <f t="shared" si="1"/>
        <v>2023 H2 All Items D90</v>
      </c>
      <c r="B7" s="8">
        <f>'ALL 2024 H2 D80'!$B$2</f>
        <v>46114</v>
      </c>
      <c r="C7" s="8">
        <f>'ALL 2024 H2 D80'!$C$2</f>
        <v>46120</v>
      </c>
      <c r="D7" s="5">
        <v>3208</v>
      </c>
      <c r="E7" s="5">
        <v>320</v>
      </c>
      <c r="F7" s="5">
        <v>1</v>
      </c>
      <c r="G7" s="5">
        <v>1</v>
      </c>
      <c r="H7" s="5">
        <v>81044</v>
      </c>
      <c r="I7" s="5" t="s">
        <v>16</v>
      </c>
      <c r="J7" s="5">
        <v>82895070</v>
      </c>
      <c r="K7" s="5" t="s">
        <v>163</v>
      </c>
      <c r="L7" s="5" t="s">
        <v>165</v>
      </c>
      <c r="M7" s="6">
        <v>269900</v>
      </c>
      <c r="N7" s="7">
        <v>0.9</v>
      </c>
      <c r="O7" s="6">
        <f t="shared" si="2"/>
        <v>26990</v>
      </c>
      <c r="P7" s="5" t="s">
        <v>504</v>
      </c>
    </row>
    <row r="8" spans="1:16" x14ac:dyDescent="0.35">
      <c r="A8" s="5" t="str">
        <f t="shared" si="1"/>
        <v>2023 H2 All Items D90</v>
      </c>
      <c r="B8" s="8">
        <f>'ALL 2024 H2 D80'!$B$2</f>
        <v>46114</v>
      </c>
      <c r="C8" s="8">
        <f>'ALL 2024 H2 D80'!$C$2</f>
        <v>46120</v>
      </c>
      <c r="D8" s="5">
        <v>3208</v>
      </c>
      <c r="E8" s="5">
        <v>320</v>
      </c>
      <c r="F8" s="5">
        <v>1</v>
      </c>
      <c r="G8" s="5">
        <v>1</v>
      </c>
      <c r="H8" s="5">
        <v>81044</v>
      </c>
      <c r="I8" s="5" t="s">
        <v>16</v>
      </c>
      <c r="J8" s="5">
        <v>82895089</v>
      </c>
      <c r="K8" s="5" t="s">
        <v>163</v>
      </c>
      <c r="L8" s="5" t="s">
        <v>166</v>
      </c>
      <c r="M8" s="6">
        <v>269900</v>
      </c>
      <c r="N8" s="7">
        <v>0.9</v>
      </c>
      <c r="O8" s="6">
        <f t="shared" si="2"/>
        <v>26990</v>
      </c>
      <c r="P8" s="5" t="s">
        <v>504</v>
      </c>
    </row>
    <row r="9" spans="1:16" x14ac:dyDescent="0.35">
      <c r="A9" s="5" t="str">
        <f t="shared" si="1"/>
        <v>2023 H2 All Items D90</v>
      </c>
      <c r="B9" s="8">
        <f>'ALL 2024 H2 D80'!$B$2</f>
        <v>46114</v>
      </c>
      <c r="C9" s="8">
        <f>'ALL 2024 H2 D80'!$C$2</f>
        <v>46120</v>
      </c>
      <c r="D9" s="5">
        <v>3208</v>
      </c>
      <c r="E9" s="5">
        <v>320</v>
      </c>
      <c r="F9" s="5">
        <v>1</v>
      </c>
      <c r="G9" s="5">
        <v>1</v>
      </c>
      <c r="H9" s="5">
        <v>81044</v>
      </c>
      <c r="I9" s="5" t="s">
        <v>16</v>
      </c>
      <c r="J9" s="5">
        <v>82895098</v>
      </c>
      <c r="K9" s="5" t="s">
        <v>163</v>
      </c>
      <c r="L9" s="5" t="s">
        <v>167</v>
      </c>
      <c r="M9" s="6">
        <v>269900</v>
      </c>
      <c r="N9" s="7">
        <v>0.9</v>
      </c>
      <c r="O9" s="6">
        <f t="shared" si="2"/>
        <v>26990</v>
      </c>
      <c r="P9" s="5" t="s">
        <v>504</v>
      </c>
    </row>
    <row r="10" spans="1:16" x14ac:dyDescent="0.35">
      <c r="A10" s="5" t="str">
        <f t="shared" si="1"/>
        <v>2023 H2 All Items D90</v>
      </c>
      <c r="B10" s="8">
        <f>'ALL 2024 H2 D80'!$B$2</f>
        <v>46114</v>
      </c>
      <c r="C10" s="8">
        <f>'ALL 2024 H2 D80'!$C$2</f>
        <v>46120</v>
      </c>
      <c r="D10" s="5">
        <v>3208</v>
      </c>
      <c r="E10" s="5">
        <v>320</v>
      </c>
      <c r="F10" s="5">
        <v>1</v>
      </c>
      <c r="G10" s="5">
        <v>1</v>
      </c>
      <c r="H10" s="5">
        <v>81044</v>
      </c>
      <c r="I10" s="5" t="s">
        <v>16</v>
      </c>
      <c r="J10" s="5">
        <v>82895105</v>
      </c>
      <c r="K10" s="5" t="s">
        <v>208</v>
      </c>
      <c r="L10" s="5" t="s">
        <v>209</v>
      </c>
      <c r="M10" s="6">
        <v>269900</v>
      </c>
      <c r="N10" s="7">
        <v>0.9</v>
      </c>
      <c r="O10" s="6">
        <f t="shared" si="2"/>
        <v>26990</v>
      </c>
      <c r="P10" s="5" t="s">
        <v>504</v>
      </c>
    </row>
    <row r="11" spans="1:16" x14ac:dyDescent="0.35">
      <c r="A11" s="5" t="str">
        <f t="shared" si="1"/>
        <v>2023 H2 All Items D90</v>
      </c>
      <c r="B11" s="8">
        <f>'ALL 2024 H2 D80'!$B$2</f>
        <v>46114</v>
      </c>
      <c r="C11" s="8">
        <f>'ALL 2024 H2 D80'!$C$2</f>
        <v>46120</v>
      </c>
      <c r="D11" s="5">
        <v>3208</v>
      </c>
      <c r="E11" s="5">
        <v>320</v>
      </c>
      <c r="F11" s="5">
        <v>1</v>
      </c>
      <c r="G11" s="5">
        <v>1</v>
      </c>
      <c r="H11" s="5">
        <v>81044</v>
      </c>
      <c r="I11" s="5" t="s">
        <v>16</v>
      </c>
      <c r="J11" s="5">
        <v>82895114</v>
      </c>
      <c r="K11" s="5" t="s">
        <v>208</v>
      </c>
      <c r="L11" s="5" t="s">
        <v>210</v>
      </c>
      <c r="M11" s="6">
        <v>269900</v>
      </c>
      <c r="N11" s="7">
        <v>0.9</v>
      </c>
      <c r="O11" s="6">
        <f t="shared" si="2"/>
        <v>26990</v>
      </c>
      <c r="P11" s="5" t="s">
        <v>504</v>
      </c>
    </row>
    <row r="12" spans="1:16" x14ac:dyDescent="0.35">
      <c r="A12" s="5" t="str">
        <f t="shared" si="1"/>
        <v>2023 H2 All Items D90</v>
      </c>
      <c r="B12" s="8">
        <f>'ALL 2024 H2 D80'!$B$2</f>
        <v>46114</v>
      </c>
      <c r="C12" s="8">
        <f>'ALL 2024 H2 D80'!$C$2</f>
        <v>46120</v>
      </c>
      <c r="D12" s="5">
        <v>3208</v>
      </c>
      <c r="E12" s="5">
        <v>320</v>
      </c>
      <c r="F12" s="5">
        <v>1</v>
      </c>
      <c r="G12" s="5">
        <v>1</v>
      </c>
      <c r="H12" s="5">
        <v>81044</v>
      </c>
      <c r="I12" s="5" t="s">
        <v>16</v>
      </c>
      <c r="J12" s="5">
        <v>82895123</v>
      </c>
      <c r="K12" s="5" t="s">
        <v>208</v>
      </c>
      <c r="L12" s="5" t="s">
        <v>211</v>
      </c>
      <c r="M12" s="6">
        <v>269900</v>
      </c>
      <c r="N12" s="7">
        <v>0.9</v>
      </c>
      <c r="O12" s="6">
        <f t="shared" si="2"/>
        <v>26990</v>
      </c>
      <c r="P12" s="5" t="s">
        <v>504</v>
      </c>
    </row>
    <row r="13" spans="1:16" x14ac:dyDescent="0.35">
      <c r="A13" s="5" t="str">
        <f t="shared" si="1"/>
        <v>2023 H2 All Items D90</v>
      </c>
      <c r="B13" s="8">
        <f>'ALL 2024 H2 D80'!$B$2</f>
        <v>46114</v>
      </c>
      <c r="C13" s="8">
        <f>'ALL 2024 H2 D80'!$C$2</f>
        <v>46120</v>
      </c>
      <c r="D13" s="5">
        <v>3208</v>
      </c>
      <c r="E13" s="5">
        <v>320</v>
      </c>
      <c r="F13" s="5">
        <v>1</v>
      </c>
      <c r="G13" s="5">
        <v>1</v>
      </c>
      <c r="H13" s="5">
        <v>81044</v>
      </c>
      <c r="I13" s="5" t="s">
        <v>16</v>
      </c>
      <c r="J13" s="5">
        <v>82895132</v>
      </c>
      <c r="K13" s="5" t="s">
        <v>208</v>
      </c>
      <c r="L13" s="5" t="s">
        <v>212</v>
      </c>
      <c r="M13" s="6">
        <v>269900</v>
      </c>
      <c r="N13" s="7">
        <v>0.9</v>
      </c>
      <c r="O13" s="6">
        <f t="shared" si="2"/>
        <v>26990</v>
      </c>
      <c r="P13" s="5" t="s">
        <v>504</v>
      </c>
    </row>
    <row r="14" spans="1:16" x14ac:dyDescent="0.35">
      <c r="A14" s="5" t="str">
        <f t="shared" si="1"/>
        <v>2023 H2 All Items D90</v>
      </c>
      <c r="B14" s="8">
        <f>'ALL 2024 H2 D80'!$B$2</f>
        <v>46114</v>
      </c>
      <c r="C14" s="8">
        <f>'ALL 2024 H2 D80'!$C$2</f>
        <v>46120</v>
      </c>
      <c r="D14" s="5">
        <v>3208</v>
      </c>
      <c r="E14" s="5">
        <v>320</v>
      </c>
      <c r="F14" s="5">
        <v>1</v>
      </c>
      <c r="G14" s="5">
        <v>1</v>
      </c>
      <c r="H14" s="5">
        <v>81044</v>
      </c>
      <c r="I14" s="5" t="s">
        <v>16</v>
      </c>
      <c r="J14" s="5">
        <v>82895141</v>
      </c>
      <c r="K14" s="5" t="s">
        <v>168</v>
      </c>
      <c r="L14" s="5" t="s">
        <v>169</v>
      </c>
      <c r="M14" s="6">
        <v>269900</v>
      </c>
      <c r="N14" s="7">
        <v>0.9</v>
      </c>
      <c r="O14" s="6">
        <f t="shared" si="2"/>
        <v>26990</v>
      </c>
      <c r="P14" s="5" t="s">
        <v>504</v>
      </c>
    </row>
    <row r="15" spans="1:16" x14ac:dyDescent="0.35">
      <c r="A15" s="5" t="str">
        <f t="shared" si="1"/>
        <v>2023 H2 All Items D90</v>
      </c>
      <c r="B15" s="8">
        <f>'ALL 2024 H2 D80'!$B$2</f>
        <v>46114</v>
      </c>
      <c r="C15" s="8">
        <f>'ALL 2024 H2 D80'!$C$2</f>
        <v>46120</v>
      </c>
      <c r="D15" s="5">
        <v>3208</v>
      </c>
      <c r="E15" s="5">
        <v>320</v>
      </c>
      <c r="F15" s="5">
        <v>1</v>
      </c>
      <c r="G15" s="5">
        <v>1</v>
      </c>
      <c r="H15" s="5">
        <v>81044</v>
      </c>
      <c r="I15" s="5" t="s">
        <v>16</v>
      </c>
      <c r="J15" s="5">
        <v>82895150</v>
      </c>
      <c r="K15" s="5" t="s">
        <v>168</v>
      </c>
      <c r="L15" s="5" t="s">
        <v>170</v>
      </c>
      <c r="M15" s="6">
        <v>269900</v>
      </c>
      <c r="N15" s="7">
        <v>0.9</v>
      </c>
      <c r="O15" s="6">
        <f t="shared" si="2"/>
        <v>26990</v>
      </c>
      <c r="P15" s="5" t="s">
        <v>504</v>
      </c>
    </row>
    <row r="16" spans="1:16" x14ac:dyDescent="0.35">
      <c r="A16" s="5" t="str">
        <f t="shared" si="1"/>
        <v>2023 H2 All Items D90</v>
      </c>
      <c r="B16" s="8">
        <f>'ALL 2024 H2 D80'!$B$2</f>
        <v>46114</v>
      </c>
      <c r="C16" s="8">
        <f>'ALL 2024 H2 D80'!$C$2</f>
        <v>46120</v>
      </c>
      <c r="D16" s="5">
        <v>3208</v>
      </c>
      <c r="E16" s="5">
        <v>320</v>
      </c>
      <c r="F16" s="5">
        <v>1</v>
      </c>
      <c r="G16" s="5">
        <v>1</v>
      </c>
      <c r="H16" s="5">
        <v>81044</v>
      </c>
      <c r="I16" s="5" t="s">
        <v>16</v>
      </c>
      <c r="J16" s="5">
        <v>82895169</v>
      </c>
      <c r="K16" s="5" t="s">
        <v>168</v>
      </c>
      <c r="L16" s="5" t="s">
        <v>171</v>
      </c>
      <c r="M16" s="6">
        <v>269900</v>
      </c>
      <c r="N16" s="7">
        <v>0.9</v>
      </c>
      <c r="O16" s="6">
        <f t="shared" si="2"/>
        <v>26990</v>
      </c>
      <c r="P16" s="5" t="s">
        <v>504</v>
      </c>
    </row>
    <row r="17" spans="1:16" x14ac:dyDescent="0.35">
      <c r="A17" s="5" t="str">
        <f t="shared" si="1"/>
        <v>2023 H2 All Items D90</v>
      </c>
      <c r="B17" s="8">
        <f>'ALL 2024 H2 D80'!$B$2</f>
        <v>46114</v>
      </c>
      <c r="C17" s="8">
        <f>'ALL 2024 H2 D80'!$C$2</f>
        <v>46120</v>
      </c>
      <c r="D17" s="5">
        <v>3208</v>
      </c>
      <c r="E17" s="5">
        <v>320</v>
      </c>
      <c r="F17" s="5">
        <v>1</v>
      </c>
      <c r="G17" s="5">
        <v>1</v>
      </c>
      <c r="H17" s="5">
        <v>81044</v>
      </c>
      <c r="I17" s="5" t="s">
        <v>16</v>
      </c>
      <c r="J17" s="5">
        <v>82895178</v>
      </c>
      <c r="K17" s="5" t="s">
        <v>168</v>
      </c>
      <c r="L17" s="5" t="s">
        <v>172</v>
      </c>
      <c r="M17" s="6">
        <v>269900</v>
      </c>
      <c r="N17" s="7">
        <v>0.9</v>
      </c>
      <c r="O17" s="6">
        <f t="shared" si="2"/>
        <v>26990</v>
      </c>
      <c r="P17" s="5" t="s">
        <v>504</v>
      </c>
    </row>
    <row r="18" spans="1:16" x14ac:dyDescent="0.35">
      <c r="A18" s="5" t="str">
        <f t="shared" si="1"/>
        <v>2023 H2 All Items D90</v>
      </c>
      <c r="B18" s="8">
        <f>'ALL 2024 H2 D80'!$B$2</f>
        <v>46114</v>
      </c>
      <c r="C18" s="8">
        <f>'ALL 2024 H2 D80'!$C$2</f>
        <v>46120</v>
      </c>
      <c r="D18" s="5">
        <v>3208</v>
      </c>
      <c r="E18" s="5">
        <v>320</v>
      </c>
      <c r="F18" s="5">
        <v>1</v>
      </c>
      <c r="G18" s="5">
        <v>1</v>
      </c>
      <c r="H18" s="5">
        <v>81044</v>
      </c>
      <c r="I18" s="5" t="s">
        <v>16</v>
      </c>
      <c r="J18" s="5">
        <v>87543271</v>
      </c>
      <c r="K18" s="5" t="s">
        <v>213</v>
      </c>
      <c r="L18" s="5" t="s">
        <v>214</v>
      </c>
      <c r="M18" s="6">
        <v>269900</v>
      </c>
      <c r="N18" s="7">
        <v>0.9</v>
      </c>
      <c r="O18" s="6">
        <f t="shared" si="2"/>
        <v>26990</v>
      </c>
      <c r="P18" s="5" t="s">
        <v>504</v>
      </c>
    </row>
    <row r="19" spans="1:16" x14ac:dyDescent="0.35">
      <c r="A19" s="5" t="str">
        <f t="shared" si="1"/>
        <v>2023 H2 All Items D90</v>
      </c>
      <c r="B19" s="8">
        <f>'ALL 2024 H2 D80'!$B$2</f>
        <v>46114</v>
      </c>
      <c r="C19" s="8">
        <f>'ALL 2024 H2 D80'!$C$2</f>
        <v>46120</v>
      </c>
      <c r="D19" s="5">
        <v>3208</v>
      </c>
      <c r="E19" s="5">
        <v>320</v>
      </c>
      <c r="F19" s="5">
        <v>1</v>
      </c>
      <c r="G19" s="5">
        <v>1</v>
      </c>
      <c r="H19" s="5">
        <v>81044</v>
      </c>
      <c r="I19" s="5" t="s">
        <v>16</v>
      </c>
      <c r="J19" s="5">
        <v>87543280</v>
      </c>
      <c r="K19" s="5" t="s">
        <v>213</v>
      </c>
      <c r="L19" s="5" t="s">
        <v>215</v>
      </c>
      <c r="M19" s="6">
        <v>269900</v>
      </c>
      <c r="N19" s="7">
        <v>0.9</v>
      </c>
      <c r="O19" s="6">
        <f t="shared" si="2"/>
        <v>26990</v>
      </c>
      <c r="P19" s="5" t="s">
        <v>504</v>
      </c>
    </row>
    <row r="20" spans="1:16" x14ac:dyDescent="0.35">
      <c r="A20" s="5" t="str">
        <f t="shared" si="1"/>
        <v>2023 H2 All Items D90</v>
      </c>
      <c r="B20" s="8">
        <f>'ALL 2024 H2 D80'!$B$2</f>
        <v>46114</v>
      </c>
      <c r="C20" s="8">
        <f>'ALL 2024 H2 D80'!$C$2</f>
        <v>46120</v>
      </c>
      <c r="D20" s="5">
        <v>3208</v>
      </c>
      <c r="E20" s="5">
        <v>320</v>
      </c>
      <c r="F20" s="5">
        <v>1</v>
      </c>
      <c r="G20" s="5">
        <v>1</v>
      </c>
      <c r="H20" s="5">
        <v>81044</v>
      </c>
      <c r="I20" s="5" t="s">
        <v>16</v>
      </c>
      <c r="J20" s="5">
        <v>87543299</v>
      </c>
      <c r="K20" s="5" t="s">
        <v>213</v>
      </c>
      <c r="L20" s="5" t="s">
        <v>216</v>
      </c>
      <c r="M20" s="6">
        <v>269900</v>
      </c>
      <c r="N20" s="7">
        <v>0.9</v>
      </c>
      <c r="O20" s="6">
        <f t="shared" si="2"/>
        <v>26990</v>
      </c>
      <c r="P20" s="5" t="s">
        <v>504</v>
      </c>
    </row>
    <row r="21" spans="1:16" x14ac:dyDescent="0.35">
      <c r="A21" s="5" t="str">
        <f t="shared" si="1"/>
        <v>2023 H2 All Items D90</v>
      </c>
      <c r="B21" s="8">
        <f>'ALL 2024 H2 D80'!$B$2</f>
        <v>46114</v>
      </c>
      <c r="C21" s="8">
        <f>'ALL 2024 H2 D80'!$C$2</f>
        <v>46120</v>
      </c>
      <c r="D21" s="5">
        <v>3208</v>
      </c>
      <c r="E21" s="5">
        <v>320</v>
      </c>
      <c r="F21" s="5">
        <v>1</v>
      </c>
      <c r="G21" s="5">
        <v>1</v>
      </c>
      <c r="H21" s="5">
        <v>81044</v>
      </c>
      <c r="I21" s="5" t="s">
        <v>16</v>
      </c>
      <c r="J21" s="5">
        <v>87543306</v>
      </c>
      <c r="K21" s="5" t="s">
        <v>213</v>
      </c>
      <c r="L21" s="5" t="s">
        <v>217</v>
      </c>
      <c r="M21" s="6">
        <v>269900</v>
      </c>
      <c r="N21" s="7">
        <v>0.9</v>
      </c>
      <c r="O21" s="6">
        <f t="shared" si="2"/>
        <v>26990</v>
      </c>
      <c r="P21" s="5" t="s">
        <v>504</v>
      </c>
    </row>
    <row r="22" spans="1:16" x14ac:dyDescent="0.35">
      <c r="A22" s="5" t="str">
        <f t="shared" si="1"/>
        <v>2023 H2 All Items D90</v>
      </c>
      <c r="B22" s="8">
        <f>'ALL 2024 H2 D80'!$B$2</f>
        <v>46114</v>
      </c>
      <c r="C22" s="8">
        <f>'ALL 2024 H2 D80'!$C$2</f>
        <v>46120</v>
      </c>
      <c r="D22" s="5">
        <v>3208</v>
      </c>
      <c r="E22" s="5">
        <v>320</v>
      </c>
      <c r="F22" s="5">
        <v>1</v>
      </c>
      <c r="G22" s="5">
        <v>1</v>
      </c>
      <c r="H22" s="5">
        <v>81044</v>
      </c>
      <c r="I22" s="5" t="s">
        <v>16</v>
      </c>
      <c r="J22" s="5">
        <v>87543315</v>
      </c>
      <c r="K22" s="5" t="s">
        <v>213</v>
      </c>
      <c r="L22" s="5" t="s">
        <v>218</v>
      </c>
      <c r="M22" s="6">
        <v>269900</v>
      </c>
      <c r="N22" s="7">
        <v>0.9</v>
      </c>
      <c r="O22" s="6">
        <f t="shared" si="2"/>
        <v>26990</v>
      </c>
      <c r="P22" s="5" t="s">
        <v>504</v>
      </c>
    </row>
    <row r="23" spans="1:16" x14ac:dyDescent="0.35">
      <c r="A23" s="5" t="str">
        <f t="shared" si="1"/>
        <v>2023 H2 All Items D90</v>
      </c>
      <c r="B23" s="8">
        <f>'ALL 2024 H2 D80'!$B$2</f>
        <v>46114</v>
      </c>
      <c r="C23" s="8">
        <f>'ALL 2024 H2 D80'!$C$2</f>
        <v>46120</v>
      </c>
      <c r="D23" s="5">
        <v>3208</v>
      </c>
      <c r="E23" s="5">
        <v>320</v>
      </c>
      <c r="F23" s="5">
        <v>1</v>
      </c>
      <c r="G23" s="5">
        <v>1</v>
      </c>
      <c r="H23" s="5">
        <v>81044</v>
      </c>
      <c r="I23" s="5" t="s">
        <v>16</v>
      </c>
      <c r="J23" s="5">
        <v>87543324</v>
      </c>
      <c r="K23" s="5" t="s">
        <v>213</v>
      </c>
      <c r="L23" s="5" t="s">
        <v>219</v>
      </c>
      <c r="M23" s="6">
        <v>269900</v>
      </c>
      <c r="N23" s="7">
        <v>0.9</v>
      </c>
      <c r="O23" s="6">
        <f t="shared" si="2"/>
        <v>26990</v>
      </c>
      <c r="P23" s="5" t="s">
        <v>504</v>
      </c>
    </row>
    <row r="24" spans="1:16" x14ac:dyDescent="0.35">
      <c r="A24" s="5" t="str">
        <f t="shared" si="1"/>
        <v>2023 H2 All Items D90</v>
      </c>
      <c r="B24" s="8">
        <f>'ALL 2024 H2 D80'!$B$2</f>
        <v>46114</v>
      </c>
      <c r="C24" s="8">
        <f>'ALL 2024 H2 D80'!$C$2</f>
        <v>46120</v>
      </c>
      <c r="D24" s="5">
        <v>3208</v>
      </c>
      <c r="E24" s="5">
        <v>320</v>
      </c>
      <c r="F24" s="5">
        <v>1</v>
      </c>
      <c r="G24" s="5">
        <v>1</v>
      </c>
      <c r="H24" s="5">
        <v>81044</v>
      </c>
      <c r="I24" s="5" t="s">
        <v>16</v>
      </c>
      <c r="J24" s="5">
        <v>87543333</v>
      </c>
      <c r="K24" s="5" t="s">
        <v>213</v>
      </c>
      <c r="L24" s="5" t="s">
        <v>220</v>
      </c>
      <c r="M24" s="6">
        <v>269900</v>
      </c>
      <c r="N24" s="7">
        <v>0.9</v>
      </c>
      <c r="O24" s="6">
        <f t="shared" si="2"/>
        <v>26990</v>
      </c>
      <c r="P24" s="5" t="s">
        <v>504</v>
      </c>
    </row>
    <row r="25" spans="1:16" x14ac:dyDescent="0.35">
      <c r="A25" s="5" t="str">
        <f t="shared" si="1"/>
        <v>2023 H2 All Items D90</v>
      </c>
      <c r="B25" s="8">
        <f>'ALL 2024 H2 D80'!$B$2</f>
        <v>46114</v>
      </c>
      <c r="C25" s="8">
        <f>'ALL 2024 H2 D80'!$C$2</f>
        <v>46120</v>
      </c>
      <c r="D25" s="5">
        <v>3208</v>
      </c>
      <c r="E25" s="5">
        <v>320</v>
      </c>
      <c r="F25" s="5">
        <v>1</v>
      </c>
      <c r="G25" s="5">
        <v>1</v>
      </c>
      <c r="H25" s="5">
        <v>81044</v>
      </c>
      <c r="I25" s="5" t="s">
        <v>16</v>
      </c>
      <c r="J25" s="5">
        <v>87543342</v>
      </c>
      <c r="K25" s="5" t="s">
        <v>213</v>
      </c>
      <c r="L25" s="5" t="s">
        <v>221</v>
      </c>
      <c r="M25" s="6">
        <v>269900</v>
      </c>
      <c r="N25" s="7">
        <v>0.9</v>
      </c>
      <c r="O25" s="6">
        <f t="shared" si="2"/>
        <v>26990</v>
      </c>
      <c r="P25" s="5" t="s">
        <v>504</v>
      </c>
    </row>
    <row r="26" spans="1:16" x14ac:dyDescent="0.35">
      <c r="A26" s="5" t="str">
        <f t="shared" si="1"/>
        <v>2023 H2 All Items D90</v>
      </c>
      <c r="B26" s="8">
        <f>'ALL 2024 H2 D80'!$B$2</f>
        <v>46114</v>
      </c>
      <c r="C26" s="8">
        <f>'ALL 2024 H2 D80'!$C$2</f>
        <v>46120</v>
      </c>
      <c r="D26" s="5">
        <v>3208</v>
      </c>
      <c r="E26" s="5">
        <v>320</v>
      </c>
      <c r="F26" s="5">
        <v>1</v>
      </c>
      <c r="G26" s="5">
        <v>1</v>
      </c>
      <c r="H26" s="5">
        <v>81044</v>
      </c>
      <c r="I26" s="5" t="s">
        <v>16</v>
      </c>
      <c r="J26" s="5">
        <v>87543351</v>
      </c>
      <c r="K26" s="5" t="s">
        <v>213</v>
      </c>
      <c r="L26" s="5" t="s">
        <v>222</v>
      </c>
      <c r="M26" s="6">
        <v>269900</v>
      </c>
      <c r="N26" s="7">
        <v>0.9</v>
      </c>
      <c r="O26" s="6">
        <f t="shared" si="2"/>
        <v>26990</v>
      </c>
      <c r="P26" s="5" t="s">
        <v>504</v>
      </c>
    </row>
    <row r="27" spans="1:16" x14ac:dyDescent="0.35">
      <c r="A27" s="5" t="str">
        <f t="shared" si="1"/>
        <v>2023 H2 All Items D90</v>
      </c>
      <c r="B27" s="8">
        <f>'ALL 2024 H2 D80'!$B$2</f>
        <v>46114</v>
      </c>
      <c r="C27" s="8">
        <f>'ALL 2024 H2 D80'!$C$2</f>
        <v>46120</v>
      </c>
      <c r="D27" s="5">
        <v>3208</v>
      </c>
      <c r="E27" s="5">
        <v>320</v>
      </c>
      <c r="F27" s="5">
        <v>1</v>
      </c>
      <c r="G27" s="5">
        <v>1</v>
      </c>
      <c r="H27" s="5">
        <v>81044</v>
      </c>
      <c r="I27" s="5" t="s">
        <v>16</v>
      </c>
      <c r="J27" s="5">
        <v>87543360</v>
      </c>
      <c r="K27" s="5" t="s">
        <v>213</v>
      </c>
      <c r="L27" s="5" t="s">
        <v>223</v>
      </c>
      <c r="M27" s="6">
        <v>269900</v>
      </c>
      <c r="N27" s="7">
        <v>0.9</v>
      </c>
      <c r="O27" s="6">
        <f t="shared" si="2"/>
        <v>26990</v>
      </c>
      <c r="P27" s="5" t="s">
        <v>504</v>
      </c>
    </row>
    <row r="28" spans="1:16" x14ac:dyDescent="0.35">
      <c r="A28" s="5" t="str">
        <f t="shared" si="1"/>
        <v>2023 H2 All Items D90</v>
      </c>
      <c r="B28" s="8">
        <f>'ALL 2024 H2 D80'!$B$2</f>
        <v>46114</v>
      </c>
      <c r="C28" s="8">
        <f>'ALL 2024 H2 D80'!$C$2</f>
        <v>46120</v>
      </c>
      <c r="D28" s="5">
        <v>3208</v>
      </c>
      <c r="E28" s="5">
        <v>320</v>
      </c>
      <c r="F28" s="5">
        <v>1</v>
      </c>
      <c r="G28" s="5">
        <v>1</v>
      </c>
      <c r="H28" s="5">
        <v>81044</v>
      </c>
      <c r="I28" s="5" t="s">
        <v>16</v>
      </c>
      <c r="J28" s="5">
        <v>87543379</v>
      </c>
      <c r="K28" s="5" t="s">
        <v>213</v>
      </c>
      <c r="L28" s="5" t="s">
        <v>224</v>
      </c>
      <c r="M28" s="6">
        <v>269900</v>
      </c>
      <c r="N28" s="7">
        <v>0.9</v>
      </c>
      <c r="O28" s="6">
        <f t="shared" si="2"/>
        <v>26990</v>
      </c>
      <c r="P28" s="5" t="s">
        <v>504</v>
      </c>
    </row>
    <row r="29" spans="1:16" x14ac:dyDescent="0.35">
      <c r="A29" s="5" t="str">
        <f t="shared" si="1"/>
        <v>2023 H2 All Items D90</v>
      </c>
      <c r="B29" s="8">
        <f>'ALL 2024 H2 D80'!$B$2</f>
        <v>46114</v>
      </c>
      <c r="C29" s="8">
        <f>'ALL 2024 H2 D80'!$C$2</f>
        <v>46120</v>
      </c>
      <c r="D29" s="5">
        <v>3208</v>
      </c>
      <c r="E29" s="5">
        <v>320</v>
      </c>
      <c r="F29" s="5">
        <v>1</v>
      </c>
      <c r="G29" s="5">
        <v>1</v>
      </c>
      <c r="H29" s="5">
        <v>81044</v>
      </c>
      <c r="I29" s="5" t="s">
        <v>16</v>
      </c>
      <c r="J29" s="5">
        <v>87543388</v>
      </c>
      <c r="K29" s="5" t="s">
        <v>213</v>
      </c>
      <c r="L29" s="5" t="s">
        <v>225</v>
      </c>
      <c r="M29" s="6">
        <v>269900</v>
      </c>
      <c r="N29" s="7">
        <v>0.9</v>
      </c>
      <c r="O29" s="6">
        <f t="shared" si="2"/>
        <v>26990</v>
      </c>
      <c r="P29" s="5" t="s">
        <v>504</v>
      </c>
    </row>
    <row r="30" spans="1:16" x14ac:dyDescent="0.35">
      <c r="A30" s="5" t="str">
        <f t="shared" si="1"/>
        <v>2023 H2 All Items D90</v>
      </c>
      <c r="B30" s="8">
        <f>'ALL 2024 H2 D80'!$B$2</f>
        <v>46114</v>
      </c>
      <c r="C30" s="8">
        <f>'ALL 2024 H2 D80'!$C$2</f>
        <v>46120</v>
      </c>
      <c r="D30" s="5">
        <v>3208</v>
      </c>
      <c r="E30" s="5">
        <v>320</v>
      </c>
      <c r="F30" s="5">
        <v>1</v>
      </c>
      <c r="G30" s="5">
        <v>1</v>
      </c>
      <c r="H30" s="5">
        <v>81495</v>
      </c>
      <c r="I30" s="5" t="s">
        <v>16</v>
      </c>
      <c r="J30" s="5">
        <v>73314660</v>
      </c>
      <c r="K30" s="5" t="s">
        <v>173</v>
      </c>
      <c r="L30" s="5" t="s">
        <v>239</v>
      </c>
      <c r="M30" s="6">
        <v>269900</v>
      </c>
      <c r="N30" s="7">
        <v>0.9</v>
      </c>
      <c r="O30" s="6">
        <f t="shared" si="2"/>
        <v>26990</v>
      </c>
      <c r="P30" s="5" t="s">
        <v>504</v>
      </c>
    </row>
    <row r="31" spans="1:16" x14ac:dyDescent="0.35">
      <c r="A31" s="5" t="str">
        <f t="shared" si="1"/>
        <v>2023 H2 All Items D90</v>
      </c>
      <c r="B31" s="8">
        <f>'ALL 2024 H2 D80'!$B$2</f>
        <v>46114</v>
      </c>
      <c r="C31" s="8">
        <f>'ALL 2024 H2 D80'!$C$2</f>
        <v>46120</v>
      </c>
      <c r="D31" s="5">
        <v>3208</v>
      </c>
      <c r="E31" s="5">
        <v>320</v>
      </c>
      <c r="F31" s="5">
        <v>1</v>
      </c>
      <c r="G31" s="5">
        <v>1</v>
      </c>
      <c r="H31" s="5">
        <v>81495</v>
      </c>
      <c r="I31" s="5" t="s">
        <v>16</v>
      </c>
      <c r="J31" s="5">
        <v>73314679</v>
      </c>
      <c r="K31" s="5" t="s">
        <v>173</v>
      </c>
      <c r="L31" s="5" t="s">
        <v>240</v>
      </c>
      <c r="M31" s="6">
        <v>269900</v>
      </c>
      <c r="N31" s="7">
        <v>0.9</v>
      </c>
      <c r="O31" s="6">
        <f t="shared" si="2"/>
        <v>26990</v>
      </c>
      <c r="P31" s="5" t="s">
        <v>504</v>
      </c>
    </row>
    <row r="32" spans="1:16" x14ac:dyDescent="0.35">
      <c r="A32" s="5" t="str">
        <f t="shared" si="1"/>
        <v>2023 H2 All Items D90</v>
      </c>
      <c r="B32" s="8">
        <f>'ALL 2024 H2 D80'!$B$2</f>
        <v>46114</v>
      </c>
      <c r="C32" s="8">
        <f>'ALL 2024 H2 D80'!$C$2</f>
        <v>46120</v>
      </c>
      <c r="D32" s="5">
        <v>3208</v>
      </c>
      <c r="E32" s="5">
        <v>320</v>
      </c>
      <c r="F32" s="5">
        <v>1</v>
      </c>
      <c r="G32" s="5">
        <v>1</v>
      </c>
      <c r="H32" s="5">
        <v>81495</v>
      </c>
      <c r="I32" s="5" t="s">
        <v>16</v>
      </c>
      <c r="J32" s="5">
        <v>73314688</v>
      </c>
      <c r="K32" s="5" t="s">
        <v>173</v>
      </c>
      <c r="L32" s="5" t="s">
        <v>241</v>
      </c>
      <c r="M32" s="6">
        <v>269900</v>
      </c>
      <c r="N32" s="7">
        <v>0.9</v>
      </c>
      <c r="O32" s="6">
        <f t="shared" si="2"/>
        <v>26990</v>
      </c>
      <c r="P32" s="5" t="s">
        <v>504</v>
      </c>
    </row>
    <row r="33" spans="1:16" x14ac:dyDescent="0.35">
      <c r="A33" s="5" t="str">
        <f t="shared" si="1"/>
        <v>2023 H2 All Items D90</v>
      </c>
      <c r="B33" s="8">
        <f>'ALL 2024 H2 D80'!$B$2</f>
        <v>46114</v>
      </c>
      <c r="C33" s="8">
        <f>'ALL 2024 H2 D80'!$C$2</f>
        <v>46120</v>
      </c>
      <c r="D33" s="5">
        <v>3208</v>
      </c>
      <c r="E33" s="5">
        <v>320</v>
      </c>
      <c r="F33" s="5">
        <v>1</v>
      </c>
      <c r="G33" s="5">
        <v>1</v>
      </c>
      <c r="H33" s="5">
        <v>81495</v>
      </c>
      <c r="I33" s="5" t="s">
        <v>16</v>
      </c>
      <c r="J33" s="5">
        <v>73314697</v>
      </c>
      <c r="K33" s="5" t="s">
        <v>173</v>
      </c>
      <c r="L33" s="5" t="s">
        <v>242</v>
      </c>
      <c r="M33" s="6">
        <v>269900</v>
      </c>
      <c r="N33" s="7">
        <v>0.9</v>
      </c>
      <c r="O33" s="6">
        <f t="shared" si="2"/>
        <v>26990</v>
      </c>
      <c r="P33" s="5" t="s">
        <v>504</v>
      </c>
    </row>
    <row r="34" spans="1:16" x14ac:dyDescent="0.35">
      <c r="A34" s="5" t="str">
        <f t="shared" si="1"/>
        <v>2023 H2 All Items D90</v>
      </c>
      <c r="B34" s="8">
        <f>'ALL 2024 H2 D80'!$B$2</f>
        <v>46114</v>
      </c>
      <c r="C34" s="8">
        <f>'ALL 2024 H2 D80'!$C$2</f>
        <v>46120</v>
      </c>
      <c r="D34" s="5">
        <v>3208</v>
      </c>
      <c r="E34" s="5">
        <v>320</v>
      </c>
      <c r="F34" s="5">
        <v>1</v>
      </c>
      <c r="G34" s="5">
        <v>1</v>
      </c>
      <c r="H34" s="5">
        <v>81495</v>
      </c>
      <c r="I34" s="5" t="s">
        <v>16</v>
      </c>
      <c r="J34" s="5">
        <v>81290199</v>
      </c>
      <c r="K34" s="5" t="s">
        <v>243</v>
      </c>
      <c r="L34" s="5" t="s">
        <v>244</v>
      </c>
      <c r="M34" s="6">
        <v>269900</v>
      </c>
      <c r="N34" s="7">
        <v>0.9</v>
      </c>
      <c r="O34" s="6">
        <f t="shared" si="2"/>
        <v>26990</v>
      </c>
      <c r="P34" s="5" t="s">
        <v>504</v>
      </c>
    </row>
    <row r="35" spans="1:16" x14ac:dyDescent="0.35">
      <c r="A35" s="5" t="str">
        <f t="shared" si="1"/>
        <v>2023 H2 All Items D90</v>
      </c>
      <c r="B35" s="8">
        <f>'ALL 2024 H2 D80'!$B$2</f>
        <v>46114</v>
      </c>
      <c r="C35" s="8">
        <f>'ALL 2024 H2 D80'!$C$2</f>
        <v>46120</v>
      </c>
      <c r="D35" s="5">
        <v>3208</v>
      </c>
      <c r="E35" s="5">
        <v>320</v>
      </c>
      <c r="F35" s="5">
        <v>1</v>
      </c>
      <c r="G35" s="5">
        <v>1</v>
      </c>
      <c r="H35" s="5">
        <v>81495</v>
      </c>
      <c r="I35" s="5" t="s">
        <v>16</v>
      </c>
      <c r="J35" s="5">
        <v>81290206</v>
      </c>
      <c r="K35" s="5" t="s">
        <v>243</v>
      </c>
      <c r="L35" s="5" t="s">
        <v>245</v>
      </c>
      <c r="M35" s="6">
        <v>269900</v>
      </c>
      <c r="N35" s="7">
        <v>0.9</v>
      </c>
      <c r="O35" s="6">
        <f t="shared" si="2"/>
        <v>26990</v>
      </c>
      <c r="P35" s="5" t="s">
        <v>504</v>
      </c>
    </row>
    <row r="36" spans="1:16" x14ac:dyDescent="0.35">
      <c r="A36" s="5" t="str">
        <f t="shared" si="1"/>
        <v>2023 H2 All Items D90</v>
      </c>
      <c r="B36" s="8">
        <f>'ALL 2024 H2 D80'!$B$2</f>
        <v>46114</v>
      </c>
      <c r="C36" s="8">
        <f>'ALL 2024 H2 D80'!$C$2</f>
        <v>46120</v>
      </c>
      <c r="D36" s="5">
        <v>3208</v>
      </c>
      <c r="E36" s="5">
        <v>320</v>
      </c>
      <c r="F36" s="5">
        <v>1</v>
      </c>
      <c r="G36" s="5">
        <v>1</v>
      </c>
      <c r="H36" s="5">
        <v>81495</v>
      </c>
      <c r="I36" s="5" t="s">
        <v>16</v>
      </c>
      <c r="J36" s="5">
        <v>81290215</v>
      </c>
      <c r="K36" s="5" t="s">
        <v>243</v>
      </c>
      <c r="L36" s="5" t="s">
        <v>246</v>
      </c>
      <c r="M36" s="6">
        <v>269900</v>
      </c>
      <c r="N36" s="7">
        <v>0.9</v>
      </c>
      <c r="O36" s="6">
        <f t="shared" si="2"/>
        <v>26990</v>
      </c>
      <c r="P36" s="5" t="s">
        <v>504</v>
      </c>
    </row>
    <row r="37" spans="1:16" x14ac:dyDescent="0.35">
      <c r="A37" s="5" t="str">
        <f t="shared" si="1"/>
        <v>2023 H2 All Items D90</v>
      </c>
      <c r="B37" s="8">
        <f>'ALL 2024 H2 D80'!$B$2</f>
        <v>46114</v>
      </c>
      <c r="C37" s="8">
        <f>'ALL 2024 H2 D80'!$C$2</f>
        <v>46120</v>
      </c>
      <c r="D37" s="5">
        <v>3208</v>
      </c>
      <c r="E37" s="5">
        <v>320</v>
      </c>
      <c r="F37" s="5">
        <v>1</v>
      </c>
      <c r="G37" s="5">
        <v>1</v>
      </c>
      <c r="H37" s="5">
        <v>81495</v>
      </c>
      <c r="I37" s="5" t="s">
        <v>16</v>
      </c>
      <c r="J37" s="5">
        <v>81290224</v>
      </c>
      <c r="K37" s="5" t="s">
        <v>243</v>
      </c>
      <c r="L37" s="5" t="s">
        <v>247</v>
      </c>
      <c r="M37" s="6">
        <v>269900</v>
      </c>
      <c r="N37" s="7">
        <v>0.9</v>
      </c>
      <c r="O37" s="6">
        <f t="shared" si="2"/>
        <v>26990</v>
      </c>
      <c r="P37" s="5" t="s">
        <v>504</v>
      </c>
    </row>
    <row r="38" spans="1:16" x14ac:dyDescent="0.35">
      <c r="A38" s="5" t="str">
        <f t="shared" si="1"/>
        <v>2023 H2 All Items D90</v>
      </c>
      <c r="B38" s="8">
        <f>'ALL 2024 H2 D80'!$B$2</f>
        <v>46114</v>
      </c>
      <c r="C38" s="8">
        <f>'ALL 2024 H2 D80'!$C$2</f>
        <v>46120</v>
      </c>
      <c r="D38" s="5">
        <v>3208</v>
      </c>
      <c r="E38" s="5">
        <v>320</v>
      </c>
      <c r="F38" s="5">
        <v>1</v>
      </c>
      <c r="G38" s="5">
        <v>1</v>
      </c>
      <c r="H38" s="5">
        <v>81495</v>
      </c>
      <c r="I38" s="5" t="s">
        <v>16</v>
      </c>
      <c r="J38" s="5">
        <v>83517815</v>
      </c>
      <c r="K38" s="5" t="s">
        <v>173</v>
      </c>
      <c r="L38" s="5" t="s">
        <v>174</v>
      </c>
      <c r="M38" s="6">
        <v>269900</v>
      </c>
      <c r="N38" s="7">
        <v>0.9</v>
      </c>
      <c r="O38" s="6">
        <f t="shared" si="2"/>
        <v>26990</v>
      </c>
      <c r="P38" s="5" t="s">
        <v>504</v>
      </c>
    </row>
    <row r="39" spans="1:16" x14ac:dyDescent="0.35">
      <c r="A39" s="5" t="str">
        <f t="shared" si="1"/>
        <v>2023 H2 All Items D90</v>
      </c>
      <c r="B39" s="8">
        <f>'ALL 2024 H2 D80'!$B$2</f>
        <v>46114</v>
      </c>
      <c r="C39" s="8">
        <f>'ALL 2024 H2 D80'!$C$2</f>
        <v>46120</v>
      </c>
      <c r="D39" s="5">
        <v>3208</v>
      </c>
      <c r="E39" s="5">
        <v>320</v>
      </c>
      <c r="F39" s="5">
        <v>1</v>
      </c>
      <c r="G39" s="5">
        <v>1</v>
      </c>
      <c r="H39" s="5">
        <v>81495</v>
      </c>
      <c r="I39" s="5" t="s">
        <v>16</v>
      </c>
      <c r="J39" s="5">
        <v>83517824</v>
      </c>
      <c r="K39" s="5" t="s">
        <v>173</v>
      </c>
      <c r="L39" s="5" t="s">
        <v>175</v>
      </c>
      <c r="M39" s="6">
        <v>269900</v>
      </c>
      <c r="N39" s="7">
        <v>0.9</v>
      </c>
      <c r="O39" s="6">
        <f t="shared" si="2"/>
        <v>26990</v>
      </c>
      <c r="P39" s="5" t="s">
        <v>504</v>
      </c>
    </row>
    <row r="40" spans="1:16" x14ac:dyDescent="0.35">
      <c r="A40" s="5" t="str">
        <f t="shared" si="1"/>
        <v>2023 H2 All Items D90</v>
      </c>
      <c r="B40" s="8">
        <f>'ALL 2024 H2 D80'!$B$2</f>
        <v>46114</v>
      </c>
      <c r="C40" s="8">
        <f>'ALL 2024 H2 D80'!$C$2</f>
        <v>46120</v>
      </c>
      <c r="D40" s="5">
        <v>3208</v>
      </c>
      <c r="E40" s="5">
        <v>320</v>
      </c>
      <c r="F40" s="5">
        <v>1</v>
      </c>
      <c r="G40" s="5">
        <v>1</v>
      </c>
      <c r="H40" s="5">
        <v>81495</v>
      </c>
      <c r="I40" s="5" t="s">
        <v>16</v>
      </c>
      <c r="J40" s="5">
        <v>83517833</v>
      </c>
      <c r="K40" s="5" t="s">
        <v>173</v>
      </c>
      <c r="L40" s="5" t="s">
        <v>176</v>
      </c>
      <c r="M40" s="6">
        <v>269900</v>
      </c>
      <c r="N40" s="7">
        <v>0.9</v>
      </c>
      <c r="O40" s="6">
        <f t="shared" si="2"/>
        <v>26990</v>
      </c>
      <c r="P40" s="5" t="s">
        <v>504</v>
      </c>
    </row>
    <row r="41" spans="1:16" x14ac:dyDescent="0.35">
      <c r="A41" s="5" t="str">
        <f t="shared" si="1"/>
        <v>2023 H2 All Items D90</v>
      </c>
      <c r="B41" s="8">
        <f>'ALL 2024 H2 D80'!$B$2</f>
        <v>46114</v>
      </c>
      <c r="C41" s="8">
        <f>'ALL 2024 H2 D80'!$C$2</f>
        <v>46120</v>
      </c>
      <c r="D41" s="5">
        <v>3208</v>
      </c>
      <c r="E41" s="5">
        <v>320</v>
      </c>
      <c r="F41" s="5">
        <v>1</v>
      </c>
      <c r="G41" s="5">
        <v>1</v>
      </c>
      <c r="H41" s="5">
        <v>81495</v>
      </c>
      <c r="I41" s="5" t="s">
        <v>16</v>
      </c>
      <c r="J41" s="5">
        <v>83517842</v>
      </c>
      <c r="K41" s="5" t="s">
        <v>173</v>
      </c>
      <c r="L41" s="5" t="s">
        <v>177</v>
      </c>
      <c r="M41" s="6">
        <v>269900</v>
      </c>
      <c r="N41" s="7">
        <v>0.9</v>
      </c>
      <c r="O41" s="6">
        <f t="shared" si="2"/>
        <v>26990</v>
      </c>
      <c r="P41" s="5" t="s">
        <v>504</v>
      </c>
    </row>
    <row r="42" spans="1:16" x14ac:dyDescent="0.35">
      <c r="A42" s="5" t="str">
        <f t="shared" si="1"/>
        <v>2023 H2 All Items D90</v>
      </c>
      <c r="B42" s="8">
        <f>'ALL 2024 H2 D80'!$B$2</f>
        <v>46114</v>
      </c>
      <c r="C42" s="8">
        <f>'ALL 2024 H2 D80'!$C$2</f>
        <v>46120</v>
      </c>
      <c r="D42" s="5">
        <v>3208</v>
      </c>
      <c r="E42" s="5">
        <v>320</v>
      </c>
      <c r="F42" s="5">
        <v>1</v>
      </c>
      <c r="G42" s="5">
        <v>1</v>
      </c>
      <c r="H42" s="5">
        <v>81078</v>
      </c>
      <c r="I42" s="5" t="s">
        <v>16</v>
      </c>
      <c r="J42" s="5">
        <v>14274538</v>
      </c>
      <c r="K42" s="5" t="s">
        <v>248</v>
      </c>
      <c r="L42" s="5" t="s">
        <v>249</v>
      </c>
      <c r="M42" s="6">
        <v>249900</v>
      </c>
      <c r="N42" s="7">
        <v>0.9</v>
      </c>
      <c r="O42" s="6">
        <f t="shared" si="2"/>
        <v>24990</v>
      </c>
      <c r="P42" s="5" t="s">
        <v>504</v>
      </c>
    </row>
    <row r="43" spans="1:16" x14ac:dyDescent="0.35">
      <c r="A43" s="5" t="str">
        <f t="shared" si="1"/>
        <v>2023 H2 All Items D90</v>
      </c>
      <c r="B43" s="8">
        <f>'ALL 2024 H2 D80'!$B$2</f>
        <v>46114</v>
      </c>
      <c r="C43" s="8">
        <f>'ALL 2024 H2 D80'!$C$2</f>
        <v>46120</v>
      </c>
      <c r="D43" s="5">
        <v>3208</v>
      </c>
      <c r="E43" s="5">
        <v>320</v>
      </c>
      <c r="F43" s="5">
        <v>1</v>
      </c>
      <c r="G43" s="5">
        <v>1</v>
      </c>
      <c r="H43" s="5">
        <v>81078</v>
      </c>
      <c r="I43" s="5" t="s">
        <v>16</v>
      </c>
      <c r="J43" s="5">
        <v>14274547</v>
      </c>
      <c r="K43" s="5" t="s">
        <v>248</v>
      </c>
      <c r="L43" s="5" t="s">
        <v>250</v>
      </c>
      <c r="M43" s="6">
        <v>249900</v>
      </c>
      <c r="N43" s="7">
        <v>0.9</v>
      </c>
      <c r="O43" s="6">
        <f t="shared" si="2"/>
        <v>24990</v>
      </c>
      <c r="P43" s="5" t="s">
        <v>504</v>
      </c>
    </row>
    <row r="44" spans="1:16" x14ac:dyDescent="0.35">
      <c r="A44" s="5" t="str">
        <f t="shared" si="1"/>
        <v>2023 H2 All Items D90</v>
      </c>
      <c r="B44" s="8">
        <f>'ALL 2024 H2 D80'!$B$2</f>
        <v>46114</v>
      </c>
      <c r="C44" s="8">
        <f>'ALL 2024 H2 D80'!$C$2</f>
        <v>46120</v>
      </c>
      <c r="D44" s="5">
        <v>3208</v>
      </c>
      <c r="E44" s="5">
        <v>320</v>
      </c>
      <c r="F44" s="5">
        <v>1</v>
      </c>
      <c r="G44" s="5">
        <v>1</v>
      </c>
      <c r="H44" s="5">
        <v>81078</v>
      </c>
      <c r="I44" s="5" t="s">
        <v>16</v>
      </c>
      <c r="J44" s="5">
        <v>14274556</v>
      </c>
      <c r="K44" s="5" t="s">
        <v>248</v>
      </c>
      <c r="L44" s="5" t="s">
        <v>251</v>
      </c>
      <c r="M44" s="6">
        <v>249900</v>
      </c>
      <c r="N44" s="7">
        <v>0.9</v>
      </c>
      <c r="O44" s="6">
        <f t="shared" si="2"/>
        <v>24990</v>
      </c>
      <c r="P44" s="5" t="s">
        <v>504</v>
      </c>
    </row>
    <row r="45" spans="1:16" x14ac:dyDescent="0.35">
      <c r="A45" s="5" t="str">
        <f t="shared" si="1"/>
        <v>2023 H2 All Items D90</v>
      </c>
      <c r="B45" s="8">
        <f>'ALL 2024 H2 D80'!$B$2</f>
        <v>46114</v>
      </c>
      <c r="C45" s="8">
        <f>'ALL 2024 H2 D80'!$C$2</f>
        <v>46120</v>
      </c>
      <c r="D45" s="5">
        <v>3208</v>
      </c>
      <c r="E45" s="5">
        <v>320</v>
      </c>
      <c r="F45" s="5">
        <v>1</v>
      </c>
      <c r="G45" s="5">
        <v>1</v>
      </c>
      <c r="H45" s="5">
        <v>81078</v>
      </c>
      <c r="I45" s="5" t="s">
        <v>16</v>
      </c>
      <c r="J45" s="5">
        <v>14274565</v>
      </c>
      <c r="K45" s="5" t="s">
        <v>248</v>
      </c>
      <c r="L45" s="5" t="s">
        <v>252</v>
      </c>
      <c r="M45" s="6">
        <v>249900</v>
      </c>
      <c r="N45" s="7">
        <v>0.9</v>
      </c>
      <c r="O45" s="6">
        <f t="shared" si="2"/>
        <v>24990</v>
      </c>
      <c r="P45" s="5" t="s">
        <v>504</v>
      </c>
    </row>
    <row r="46" spans="1:16" x14ac:dyDescent="0.35">
      <c r="A46" s="5" t="str">
        <f t="shared" si="1"/>
        <v>2023 H2 All Items D90</v>
      </c>
      <c r="B46" s="8">
        <f>'ALL 2024 H2 D80'!$B$2</f>
        <v>46114</v>
      </c>
      <c r="C46" s="8">
        <f>'ALL 2024 H2 D80'!$C$2</f>
        <v>46120</v>
      </c>
      <c r="D46" s="5">
        <v>3208</v>
      </c>
      <c r="E46" s="5">
        <v>320</v>
      </c>
      <c r="F46" s="5">
        <v>1</v>
      </c>
      <c r="G46" s="5">
        <v>1</v>
      </c>
      <c r="H46" s="5">
        <v>81078</v>
      </c>
      <c r="I46" s="5" t="s">
        <v>16</v>
      </c>
      <c r="J46" s="5">
        <v>14275055</v>
      </c>
      <c r="K46" s="5" t="s">
        <v>257</v>
      </c>
      <c r="L46" s="5" t="s">
        <v>258</v>
      </c>
      <c r="M46" s="6">
        <v>269900</v>
      </c>
      <c r="N46" s="7">
        <v>0.9</v>
      </c>
      <c r="O46" s="6">
        <f t="shared" ref="O46:O109" si="3">M46-(M46*N46)</f>
        <v>26990</v>
      </c>
      <c r="P46" s="5" t="s">
        <v>504</v>
      </c>
    </row>
    <row r="47" spans="1:16" x14ac:dyDescent="0.35">
      <c r="A47" s="5" t="str">
        <f t="shared" si="1"/>
        <v>2023 H2 All Items D90</v>
      </c>
      <c r="B47" s="8">
        <f>'ALL 2024 H2 D80'!$B$2</f>
        <v>46114</v>
      </c>
      <c r="C47" s="8">
        <f>'ALL 2024 H2 D80'!$C$2</f>
        <v>46120</v>
      </c>
      <c r="D47" s="5">
        <v>3208</v>
      </c>
      <c r="E47" s="5">
        <v>320</v>
      </c>
      <c r="F47" s="5">
        <v>1</v>
      </c>
      <c r="G47" s="5">
        <v>1</v>
      </c>
      <c r="H47" s="5">
        <v>81078</v>
      </c>
      <c r="I47" s="5" t="s">
        <v>16</v>
      </c>
      <c r="J47" s="5">
        <v>14275064</v>
      </c>
      <c r="K47" s="5" t="s">
        <v>257</v>
      </c>
      <c r="L47" s="5" t="s">
        <v>259</v>
      </c>
      <c r="M47" s="6">
        <v>269900</v>
      </c>
      <c r="N47" s="7">
        <v>0.9</v>
      </c>
      <c r="O47" s="6">
        <f t="shared" si="3"/>
        <v>26990</v>
      </c>
      <c r="P47" s="5" t="s">
        <v>504</v>
      </c>
    </row>
    <row r="48" spans="1:16" x14ac:dyDescent="0.35">
      <c r="A48" s="5" t="str">
        <f t="shared" si="1"/>
        <v>2023 H2 All Items D90</v>
      </c>
      <c r="B48" s="8">
        <f>'ALL 2024 H2 D80'!$B$2</f>
        <v>46114</v>
      </c>
      <c r="C48" s="8">
        <f>'ALL 2024 H2 D80'!$C$2</f>
        <v>46120</v>
      </c>
      <c r="D48" s="5">
        <v>3208</v>
      </c>
      <c r="E48" s="5">
        <v>320</v>
      </c>
      <c r="F48" s="5">
        <v>1</v>
      </c>
      <c r="G48" s="5">
        <v>1</v>
      </c>
      <c r="H48" s="5">
        <v>81078</v>
      </c>
      <c r="I48" s="5" t="s">
        <v>16</v>
      </c>
      <c r="J48" s="5">
        <v>14275073</v>
      </c>
      <c r="K48" s="5" t="s">
        <v>257</v>
      </c>
      <c r="L48" s="5" t="s">
        <v>260</v>
      </c>
      <c r="M48" s="6">
        <v>269900</v>
      </c>
      <c r="N48" s="7">
        <v>0.9</v>
      </c>
      <c r="O48" s="6">
        <f t="shared" si="3"/>
        <v>26990</v>
      </c>
      <c r="P48" s="5" t="s">
        <v>504</v>
      </c>
    </row>
    <row r="49" spans="1:16" x14ac:dyDescent="0.35">
      <c r="A49" s="5" t="str">
        <f t="shared" si="1"/>
        <v>2023 H2 All Items D90</v>
      </c>
      <c r="B49" s="8">
        <f>'ALL 2024 H2 D80'!$B$2</f>
        <v>46114</v>
      </c>
      <c r="C49" s="8">
        <f>'ALL 2024 H2 D80'!$C$2</f>
        <v>46120</v>
      </c>
      <c r="D49" s="5">
        <v>3208</v>
      </c>
      <c r="E49" s="5">
        <v>320</v>
      </c>
      <c r="F49" s="5">
        <v>1</v>
      </c>
      <c r="G49" s="5">
        <v>1</v>
      </c>
      <c r="H49" s="5">
        <v>81078</v>
      </c>
      <c r="I49" s="5" t="s">
        <v>16</v>
      </c>
      <c r="J49" s="5">
        <v>14275082</v>
      </c>
      <c r="K49" s="5" t="s">
        <v>257</v>
      </c>
      <c r="L49" s="5" t="s">
        <v>261</v>
      </c>
      <c r="M49" s="6">
        <v>269900</v>
      </c>
      <c r="N49" s="7">
        <v>0.9</v>
      </c>
      <c r="O49" s="6">
        <f t="shared" si="3"/>
        <v>26990</v>
      </c>
      <c r="P49" s="5" t="s">
        <v>504</v>
      </c>
    </row>
    <row r="50" spans="1:16" x14ac:dyDescent="0.35">
      <c r="A50" s="5" t="str">
        <f t="shared" si="1"/>
        <v>2023 H2 All Items D90</v>
      </c>
      <c r="B50" s="8">
        <f>'ALL 2024 H2 D80'!$B$2</f>
        <v>46114</v>
      </c>
      <c r="C50" s="8">
        <f>'ALL 2024 H2 D80'!$C$2</f>
        <v>46120</v>
      </c>
      <c r="D50" s="5">
        <v>3208</v>
      </c>
      <c r="E50" s="5">
        <v>320</v>
      </c>
      <c r="F50" s="5">
        <v>1</v>
      </c>
      <c r="G50" s="5">
        <v>1</v>
      </c>
      <c r="H50" s="5">
        <v>81078</v>
      </c>
      <c r="I50" s="5" t="s">
        <v>16</v>
      </c>
      <c r="J50" s="5">
        <v>14275091</v>
      </c>
      <c r="K50" s="5" t="s">
        <v>257</v>
      </c>
      <c r="L50" s="5" t="s">
        <v>262</v>
      </c>
      <c r="M50" s="6">
        <v>269900</v>
      </c>
      <c r="N50" s="7">
        <v>0.9</v>
      </c>
      <c r="O50" s="6">
        <f t="shared" si="3"/>
        <v>26990</v>
      </c>
      <c r="P50" s="5" t="s">
        <v>504</v>
      </c>
    </row>
    <row r="51" spans="1:16" x14ac:dyDescent="0.35">
      <c r="A51" s="5" t="str">
        <f t="shared" si="1"/>
        <v>2023 H2 All Items D90</v>
      </c>
      <c r="B51" s="8">
        <f>'ALL 2024 H2 D80'!$B$2</f>
        <v>46114</v>
      </c>
      <c r="C51" s="8">
        <f>'ALL 2024 H2 D80'!$C$2</f>
        <v>46120</v>
      </c>
      <c r="D51" s="5">
        <v>3208</v>
      </c>
      <c r="E51" s="5">
        <v>320</v>
      </c>
      <c r="F51" s="5">
        <v>1</v>
      </c>
      <c r="G51" s="5">
        <v>1</v>
      </c>
      <c r="H51" s="5">
        <v>81078</v>
      </c>
      <c r="I51" s="5" t="s">
        <v>16</v>
      </c>
      <c r="J51" s="5">
        <v>14275108</v>
      </c>
      <c r="K51" s="5" t="s">
        <v>257</v>
      </c>
      <c r="L51" s="5" t="s">
        <v>263</v>
      </c>
      <c r="M51" s="6">
        <v>269900</v>
      </c>
      <c r="N51" s="7">
        <v>0.9</v>
      </c>
      <c r="O51" s="6">
        <f t="shared" si="3"/>
        <v>26990</v>
      </c>
      <c r="P51" s="5" t="s">
        <v>504</v>
      </c>
    </row>
    <row r="52" spans="1:16" x14ac:dyDescent="0.35">
      <c r="A52" s="5" t="str">
        <f t="shared" si="1"/>
        <v>2023 H2 All Items D90</v>
      </c>
      <c r="B52" s="8">
        <f>'ALL 2024 H2 D80'!$B$2</f>
        <v>46114</v>
      </c>
      <c r="C52" s="8">
        <f>'ALL 2024 H2 D80'!$C$2</f>
        <v>46120</v>
      </c>
      <c r="D52" s="5">
        <v>3208</v>
      </c>
      <c r="E52" s="5">
        <v>320</v>
      </c>
      <c r="F52" s="5">
        <v>1</v>
      </c>
      <c r="G52" s="5">
        <v>1</v>
      </c>
      <c r="H52" s="5">
        <v>81078</v>
      </c>
      <c r="I52" s="5" t="s">
        <v>16</v>
      </c>
      <c r="J52" s="5">
        <v>14275117</v>
      </c>
      <c r="K52" s="5" t="s">
        <v>257</v>
      </c>
      <c r="L52" s="5" t="s">
        <v>264</v>
      </c>
      <c r="M52" s="6">
        <v>269900</v>
      </c>
      <c r="N52" s="7">
        <v>0.9</v>
      </c>
      <c r="O52" s="6">
        <f t="shared" si="3"/>
        <v>26990</v>
      </c>
      <c r="P52" s="5" t="s">
        <v>504</v>
      </c>
    </row>
    <row r="53" spans="1:16" x14ac:dyDescent="0.35">
      <c r="A53" s="5" t="str">
        <f t="shared" si="1"/>
        <v>2023 H2 All Items D90</v>
      </c>
      <c r="B53" s="8">
        <f>'ALL 2024 H2 D80'!$B$2</f>
        <v>46114</v>
      </c>
      <c r="C53" s="8">
        <f>'ALL 2024 H2 D80'!$C$2</f>
        <v>46120</v>
      </c>
      <c r="D53" s="5">
        <v>3208</v>
      </c>
      <c r="E53" s="5">
        <v>320</v>
      </c>
      <c r="F53" s="5">
        <v>1</v>
      </c>
      <c r="G53" s="5">
        <v>1</v>
      </c>
      <c r="H53" s="5">
        <v>81078</v>
      </c>
      <c r="I53" s="5" t="s">
        <v>16</v>
      </c>
      <c r="J53" s="5">
        <v>14275126</v>
      </c>
      <c r="K53" s="5" t="s">
        <v>257</v>
      </c>
      <c r="L53" s="5" t="s">
        <v>265</v>
      </c>
      <c r="M53" s="6">
        <v>269900</v>
      </c>
      <c r="N53" s="7">
        <v>0.9</v>
      </c>
      <c r="O53" s="6">
        <f t="shared" si="3"/>
        <v>26990</v>
      </c>
      <c r="P53" s="5" t="s">
        <v>504</v>
      </c>
    </row>
    <row r="54" spans="1:16" x14ac:dyDescent="0.35">
      <c r="A54" s="5" t="str">
        <f t="shared" si="1"/>
        <v>2023 H2 All Items D90</v>
      </c>
      <c r="B54" s="8">
        <f>'ALL 2024 H2 D80'!$B$2</f>
        <v>46114</v>
      </c>
      <c r="C54" s="8">
        <f>'ALL 2024 H2 D80'!$C$2</f>
        <v>46120</v>
      </c>
      <c r="D54" s="5">
        <v>3208</v>
      </c>
      <c r="E54" s="5">
        <v>320</v>
      </c>
      <c r="F54" s="5">
        <v>1</v>
      </c>
      <c r="G54" s="5">
        <v>1</v>
      </c>
      <c r="H54" s="5">
        <v>81078</v>
      </c>
      <c r="I54" s="5" t="s">
        <v>16</v>
      </c>
      <c r="J54" s="5">
        <v>80907159</v>
      </c>
      <c r="K54" s="5" t="s">
        <v>248</v>
      </c>
      <c r="L54" s="5" t="s">
        <v>253</v>
      </c>
      <c r="M54" s="6">
        <v>249900</v>
      </c>
      <c r="N54" s="7">
        <v>0.9</v>
      </c>
      <c r="O54" s="6">
        <f t="shared" si="3"/>
        <v>24990</v>
      </c>
      <c r="P54" s="5" t="s">
        <v>504</v>
      </c>
    </row>
    <row r="55" spans="1:16" x14ac:dyDescent="0.35">
      <c r="A55" s="5" t="str">
        <f t="shared" si="1"/>
        <v>2023 H2 All Items D90</v>
      </c>
      <c r="B55" s="8">
        <f>'ALL 2024 H2 D80'!$B$2</f>
        <v>46114</v>
      </c>
      <c r="C55" s="8">
        <f>'ALL 2024 H2 D80'!$C$2</f>
        <v>46120</v>
      </c>
      <c r="D55" s="5">
        <v>3208</v>
      </c>
      <c r="E55" s="5">
        <v>320</v>
      </c>
      <c r="F55" s="5">
        <v>1</v>
      </c>
      <c r="G55" s="5">
        <v>1</v>
      </c>
      <c r="H55" s="5">
        <v>81078</v>
      </c>
      <c r="I55" s="5" t="s">
        <v>16</v>
      </c>
      <c r="J55" s="5">
        <v>80907168</v>
      </c>
      <c r="K55" s="5" t="s">
        <v>248</v>
      </c>
      <c r="L55" s="5" t="s">
        <v>254</v>
      </c>
      <c r="M55" s="6">
        <v>249900</v>
      </c>
      <c r="N55" s="7">
        <v>0.9</v>
      </c>
      <c r="O55" s="6">
        <f t="shared" si="3"/>
        <v>24990</v>
      </c>
      <c r="P55" s="5" t="s">
        <v>504</v>
      </c>
    </row>
    <row r="56" spans="1:16" x14ac:dyDescent="0.35">
      <c r="A56" s="5" t="str">
        <f t="shared" si="1"/>
        <v>2023 H2 All Items D90</v>
      </c>
      <c r="B56" s="8">
        <f>'ALL 2024 H2 D80'!$B$2</f>
        <v>46114</v>
      </c>
      <c r="C56" s="8">
        <f>'ALL 2024 H2 D80'!$C$2</f>
        <v>46120</v>
      </c>
      <c r="D56" s="5">
        <v>3208</v>
      </c>
      <c r="E56" s="5">
        <v>320</v>
      </c>
      <c r="F56" s="5">
        <v>1</v>
      </c>
      <c r="G56" s="5">
        <v>1</v>
      </c>
      <c r="H56" s="5">
        <v>81078</v>
      </c>
      <c r="I56" s="5" t="s">
        <v>16</v>
      </c>
      <c r="J56" s="5">
        <v>80907177</v>
      </c>
      <c r="K56" s="5" t="s">
        <v>248</v>
      </c>
      <c r="L56" s="5" t="s">
        <v>255</v>
      </c>
      <c r="M56" s="6">
        <v>249900</v>
      </c>
      <c r="N56" s="7">
        <v>0.9</v>
      </c>
      <c r="O56" s="6">
        <f t="shared" si="3"/>
        <v>24990</v>
      </c>
      <c r="P56" s="5" t="s">
        <v>504</v>
      </c>
    </row>
    <row r="57" spans="1:16" x14ac:dyDescent="0.35">
      <c r="A57" s="5" t="str">
        <f t="shared" si="1"/>
        <v>2023 H2 All Items D90</v>
      </c>
      <c r="B57" s="8">
        <f>'ALL 2024 H2 D80'!$B$2</f>
        <v>46114</v>
      </c>
      <c r="C57" s="8">
        <f>'ALL 2024 H2 D80'!$C$2</f>
        <v>46120</v>
      </c>
      <c r="D57" s="5">
        <v>3208</v>
      </c>
      <c r="E57" s="5">
        <v>320</v>
      </c>
      <c r="F57" s="5">
        <v>1</v>
      </c>
      <c r="G57" s="5">
        <v>1</v>
      </c>
      <c r="H57" s="5">
        <v>81078</v>
      </c>
      <c r="I57" s="5" t="s">
        <v>16</v>
      </c>
      <c r="J57" s="5">
        <v>80907186</v>
      </c>
      <c r="K57" s="5" t="s">
        <v>248</v>
      </c>
      <c r="L57" s="5" t="s">
        <v>256</v>
      </c>
      <c r="M57" s="6">
        <v>249900</v>
      </c>
      <c r="N57" s="7">
        <v>0.9</v>
      </c>
      <c r="O57" s="6">
        <f t="shared" si="3"/>
        <v>24990</v>
      </c>
      <c r="P57" s="5" t="s">
        <v>504</v>
      </c>
    </row>
    <row r="58" spans="1:16" x14ac:dyDescent="0.35">
      <c r="A58" s="5" t="str">
        <f t="shared" si="1"/>
        <v>2023 H2 All Items D90</v>
      </c>
      <c r="B58" s="8">
        <f>'ALL 2024 H2 D80'!$B$2</f>
        <v>46114</v>
      </c>
      <c r="C58" s="8">
        <f>'ALL 2024 H2 D80'!$C$2</f>
        <v>46120</v>
      </c>
      <c r="D58" s="5">
        <v>3208</v>
      </c>
      <c r="E58" s="5">
        <v>320</v>
      </c>
      <c r="F58" s="5">
        <v>1</v>
      </c>
      <c r="G58" s="5">
        <v>1</v>
      </c>
      <c r="H58" s="5">
        <v>81239</v>
      </c>
      <c r="I58" s="5" t="s">
        <v>16</v>
      </c>
      <c r="J58" s="5">
        <v>82494164</v>
      </c>
      <c r="K58" s="5" t="s">
        <v>178</v>
      </c>
      <c r="L58" s="5" t="s">
        <v>179</v>
      </c>
      <c r="M58" s="6">
        <v>329900</v>
      </c>
      <c r="N58" s="7">
        <v>0.9</v>
      </c>
      <c r="O58" s="6">
        <f t="shared" si="3"/>
        <v>32990</v>
      </c>
      <c r="P58" s="5" t="s">
        <v>504</v>
      </c>
    </row>
    <row r="59" spans="1:16" x14ac:dyDescent="0.35">
      <c r="A59" s="5" t="str">
        <f t="shared" si="1"/>
        <v>2023 H2 All Items D90</v>
      </c>
      <c r="B59" s="8">
        <f>'ALL 2024 H2 D80'!$B$2</f>
        <v>46114</v>
      </c>
      <c r="C59" s="8">
        <f>'ALL 2024 H2 D80'!$C$2</f>
        <v>46120</v>
      </c>
      <c r="D59" s="5">
        <v>3208</v>
      </c>
      <c r="E59" s="5">
        <v>320</v>
      </c>
      <c r="F59" s="5">
        <v>1</v>
      </c>
      <c r="G59" s="5">
        <v>1</v>
      </c>
      <c r="H59" s="5">
        <v>81239</v>
      </c>
      <c r="I59" s="5" t="s">
        <v>16</v>
      </c>
      <c r="J59" s="5">
        <v>82494173</v>
      </c>
      <c r="K59" s="5" t="s">
        <v>178</v>
      </c>
      <c r="L59" s="5" t="s">
        <v>180</v>
      </c>
      <c r="M59" s="6">
        <v>329900</v>
      </c>
      <c r="N59" s="7">
        <v>0.9</v>
      </c>
      <c r="O59" s="6">
        <f t="shared" si="3"/>
        <v>32990</v>
      </c>
      <c r="P59" s="5" t="s">
        <v>504</v>
      </c>
    </row>
    <row r="60" spans="1:16" x14ac:dyDescent="0.35">
      <c r="A60" s="5" t="str">
        <f t="shared" si="1"/>
        <v>2023 H2 All Items D90</v>
      </c>
      <c r="B60" s="8">
        <f>'ALL 2024 H2 D80'!$B$2</f>
        <v>46114</v>
      </c>
      <c r="C60" s="8">
        <f>'ALL 2024 H2 D80'!$C$2</f>
        <v>46120</v>
      </c>
      <c r="D60" s="5">
        <v>3208</v>
      </c>
      <c r="E60" s="5">
        <v>320</v>
      </c>
      <c r="F60" s="5">
        <v>1</v>
      </c>
      <c r="G60" s="5">
        <v>1</v>
      </c>
      <c r="H60" s="5">
        <v>81239</v>
      </c>
      <c r="I60" s="5" t="s">
        <v>16</v>
      </c>
      <c r="J60" s="5">
        <v>82494182</v>
      </c>
      <c r="K60" s="5" t="s">
        <v>178</v>
      </c>
      <c r="L60" s="5" t="s">
        <v>181</v>
      </c>
      <c r="M60" s="6">
        <v>329900</v>
      </c>
      <c r="N60" s="7">
        <v>0.9</v>
      </c>
      <c r="O60" s="6">
        <f t="shared" si="3"/>
        <v>32990</v>
      </c>
      <c r="P60" s="5" t="s">
        <v>504</v>
      </c>
    </row>
    <row r="61" spans="1:16" x14ac:dyDescent="0.35">
      <c r="A61" s="5" t="str">
        <f t="shared" si="1"/>
        <v>2023 H2 All Items D90</v>
      </c>
      <c r="B61" s="8">
        <f>'ALL 2024 H2 D80'!$B$2</f>
        <v>46114</v>
      </c>
      <c r="C61" s="8">
        <f>'ALL 2024 H2 D80'!$C$2</f>
        <v>46120</v>
      </c>
      <c r="D61" s="5">
        <v>3208</v>
      </c>
      <c r="E61" s="5">
        <v>320</v>
      </c>
      <c r="F61" s="5">
        <v>1</v>
      </c>
      <c r="G61" s="5">
        <v>1</v>
      </c>
      <c r="H61" s="5">
        <v>81239</v>
      </c>
      <c r="I61" s="5" t="s">
        <v>16</v>
      </c>
      <c r="J61" s="5">
        <v>82494191</v>
      </c>
      <c r="K61" s="5" t="s">
        <v>178</v>
      </c>
      <c r="L61" s="5" t="s">
        <v>182</v>
      </c>
      <c r="M61" s="6">
        <v>329900</v>
      </c>
      <c r="N61" s="7">
        <v>0.9</v>
      </c>
      <c r="O61" s="6">
        <f t="shared" si="3"/>
        <v>32990</v>
      </c>
      <c r="P61" s="5" t="s">
        <v>504</v>
      </c>
    </row>
    <row r="62" spans="1:16" x14ac:dyDescent="0.35">
      <c r="A62" s="5" t="str">
        <f t="shared" si="1"/>
        <v>2023 H2 All Items D90</v>
      </c>
      <c r="B62" s="8">
        <f>'ALL 2024 H2 D80'!$B$2</f>
        <v>46114</v>
      </c>
      <c r="C62" s="8">
        <f>'ALL 2024 H2 D80'!$C$2</f>
        <v>46120</v>
      </c>
      <c r="D62" s="5">
        <v>3208</v>
      </c>
      <c r="E62" s="5">
        <v>320</v>
      </c>
      <c r="F62" s="5">
        <v>1</v>
      </c>
      <c r="G62" s="5">
        <v>1</v>
      </c>
      <c r="H62" s="5">
        <v>81239</v>
      </c>
      <c r="I62" s="5" t="s">
        <v>16</v>
      </c>
      <c r="J62" s="5">
        <v>87543191</v>
      </c>
      <c r="K62" s="5" t="s">
        <v>266</v>
      </c>
      <c r="L62" s="5" t="s">
        <v>267</v>
      </c>
      <c r="M62" s="6">
        <v>229900</v>
      </c>
      <c r="N62" s="7">
        <v>0.9</v>
      </c>
      <c r="O62" s="6">
        <f t="shared" si="3"/>
        <v>22990</v>
      </c>
      <c r="P62" s="5" t="s">
        <v>504</v>
      </c>
    </row>
    <row r="63" spans="1:16" x14ac:dyDescent="0.35">
      <c r="A63" s="5" t="str">
        <f t="shared" si="1"/>
        <v>2023 H2 All Items D90</v>
      </c>
      <c r="B63" s="8">
        <f>'ALL 2024 H2 D80'!$B$2</f>
        <v>46114</v>
      </c>
      <c r="C63" s="8">
        <f>'ALL 2024 H2 D80'!$C$2</f>
        <v>46120</v>
      </c>
      <c r="D63" s="5">
        <v>3208</v>
      </c>
      <c r="E63" s="5">
        <v>320</v>
      </c>
      <c r="F63" s="5">
        <v>1</v>
      </c>
      <c r="G63" s="5">
        <v>1</v>
      </c>
      <c r="H63" s="5">
        <v>81239</v>
      </c>
      <c r="I63" s="5" t="s">
        <v>16</v>
      </c>
      <c r="J63" s="5">
        <v>87543208</v>
      </c>
      <c r="K63" s="5" t="s">
        <v>266</v>
      </c>
      <c r="L63" s="5" t="s">
        <v>268</v>
      </c>
      <c r="M63" s="6">
        <v>229900</v>
      </c>
      <c r="N63" s="7">
        <v>0.9</v>
      </c>
      <c r="O63" s="6">
        <f t="shared" si="3"/>
        <v>22990</v>
      </c>
      <c r="P63" s="5" t="s">
        <v>504</v>
      </c>
    </row>
    <row r="64" spans="1:16" x14ac:dyDescent="0.35">
      <c r="A64" s="5" t="str">
        <f t="shared" si="1"/>
        <v>2023 H2 All Items D90</v>
      </c>
      <c r="B64" s="8">
        <f>'ALL 2024 H2 D80'!$B$2</f>
        <v>46114</v>
      </c>
      <c r="C64" s="8">
        <f>'ALL 2024 H2 D80'!$C$2</f>
        <v>46120</v>
      </c>
      <c r="D64" s="5">
        <v>3208</v>
      </c>
      <c r="E64" s="5">
        <v>320</v>
      </c>
      <c r="F64" s="5">
        <v>1</v>
      </c>
      <c r="G64" s="5">
        <v>1</v>
      </c>
      <c r="H64" s="5">
        <v>81239</v>
      </c>
      <c r="I64" s="5" t="s">
        <v>16</v>
      </c>
      <c r="J64" s="5">
        <v>87543217</v>
      </c>
      <c r="K64" s="5" t="s">
        <v>266</v>
      </c>
      <c r="L64" s="5" t="s">
        <v>269</v>
      </c>
      <c r="M64" s="6">
        <v>229900</v>
      </c>
      <c r="N64" s="7">
        <v>0.9</v>
      </c>
      <c r="O64" s="6">
        <f t="shared" si="3"/>
        <v>22990</v>
      </c>
      <c r="P64" s="5" t="s">
        <v>504</v>
      </c>
    </row>
    <row r="65" spans="1:16" x14ac:dyDescent="0.35">
      <c r="A65" s="5" t="str">
        <f t="shared" si="1"/>
        <v>2023 H2 All Items D90</v>
      </c>
      <c r="B65" s="8">
        <f>'ALL 2024 H2 D80'!$B$2</f>
        <v>46114</v>
      </c>
      <c r="C65" s="8">
        <f>'ALL 2024 H2 D80'!$C$2</f>
        <v>46120</v>
      </c>
      <c r="D65" s="5">
        <v>3208</v>
      </c>
      <c r="E65" s="5">
        <v>320</v>
      </c>
      <c r="F65" s="5">
        <v>1</v>
      </c>
      <c r="G65" s="5">
        <v>1</v>
      </c>
      <c r="H65" s="5">
        <v>81239</v>
      </c>
      <c r="I65" s="5" t="s">
        <v>16</v>
      </c>
      <c r="J65" s="5">
        <v>87543226</v>
      </c>
      <c r="K65" s="5" t="s">
        <v>266</v>
      </c>
      <c r="L65" s="5" t="s">
        <v>270</v>
      </c>
      <c r="M65" s="6">
        <v>229900</v>
      </c>
      <c r="N65" s="7">
        <v>0.9</v>
      </c>
      <c r="O65" s="6">
        <f t="shared" si="3"/>
        <v>22990</v>
      </c>
      <c r="P65" s="5" t="s">
        <v>504</v>
      </c>
    </row>
    <row r="66" spans="1:16" x14ac:dyDescent="0.35">
      <c r="A66" s="5" t="str">
        <f t="shared" si="1"/>
        <v>2023 H2 All Items D90</v>
      </c>
      <c r="B66" s="8">
        <f>'ALL 2024 H2 D80'!$B$2</f>
        <v>46114</v>
      </c>
      <c r="C66" s="8">
        <f>'ALL 2024 H2 D80'!$C$2</f>
        <v>46120</v>
      </c>
      <c r="D66" s="5">
        <v>3208</v>
      </c>
      <c r="E66" s="5">
        <v>320</v>
      </c>
      <c r="F66" s="5">
        <v>1</v>
      </c>
      <c r="G66" s="5">
        <v>1</v>
      </c>
      <c r="H66" s="5">
        <v>81239</v>
      </c>
      <c r="I66" s="5" t="s">
        <v>16</v>
      </c>
      <c r="J66" s="5">
        <v>87543235</v>
      </c>
      <c r="K66" s="5" t="s">
        <v>266</v>
      </c>
      <c r="L66" s="5" t="s">
        <v>271</v>
      </c>
      <c r="M66" s="6">
        <v>229900</v>
      </c>
      <c r="N66" s="7">
        <v>0.9</v>
      </c>
      <c r="O66" s="6">
        <f t="shared" si="3"/>
        <v>22990</v>
      </c>
      <c r="P66" s="5" t="s">
        <v>504</v>
      </c>
    </row>
    <row r="67" spans="1:16" x14ac:dyDescent="0.35">
      <c r="A67" s="5" t="str">
        <f t="shared" si="1"/>
        <v>2023 H2 All Items D90</v>
      </c>
      <c r="B67" s="8">
        <f>'ALL 2024 H2 D80'!$B$2</f>
        <v>46114</v>
      </c>
      <c r="C67" s="8">
        <f>'ALL 2024 H2 D80'!$C$2</f>
        <v>46120</v>
      </c>
      <c r="D67" s="5">
        <v>3208</v>
      </c>
      <c r="E67" s="5">
        <v>320</v>
      </c>
      <c r="F67" s="5">
        <v>1</v>
      </c>
      <c r="G67" s="5">
        <v>1</v>
      </c>
      <c r="H67" s="5">
        <v>81239</v>
      </c>
      <c r="I67" s="5" t="s">
        <v>16</v>
      </c>
      <c r="J67" s="5">
        <v>87543244</v>
      </c>
      <c r="K67" s="5" t="s">
        <v>266</v>
      </c>
      <c r="L67" s="5" t="s">
        <v>272</v>
      </c>
      <c r="M67" s="6">
        <v>229900</v>
      </c>
      <c r="N67" s="7">
        <v>0.9</v>
      </c>
      <c r="O67" s="6">
        <f t="shared" si="3"/>
        <v>22990</v>
      </c>
      <c r="P67" s="5" t="s">
        <v>504</v>
      </c>
    </row>
    <row r="68" spans="1:16" x14ac:dyDescent="0.35">
      <c r="A68" s="5" t="str">
        <f t="shared" ref="A68:A131" si="4">$A$2</f>
        <v>2023 H2 All Items D90</v>
      </c>
      <c r="B68" s="8">
        <f>'ALL 2024 H2 D80'!$B$2</f>
        <v>46114</v>
      </c>
      <c r="C68" s="8">
        <f>'ALL 2024 H2 D80'!$C$2</f>
        <v>46120</v>
      </c>
      <c r="D68" s="5">
        <v>3208</v>
      </c>
      <c r="E68" s="5">
        <v>320</v>
      </c>
      <c r="F68" s="5">
        <v>1</v>
      </c>
      <c r="G68" s="5">
        <v>1</v>
      </c>
      <c r="H68" s="5">
        <v>81239</v>
      </c>
      <c r="I68" s="5" t="s">
        <v>16</v>
      </c>
      <c r="J68" s="5">
        <v>87543253</v>
      </c>
      <c r="K68" s="5" t="s">
        <v>266</v>
      </c>
      <c r="L68" s="5" t="s">
        <v>273</v>
      </c>
      <c r="M68" s="6">
        <v>229900</v>
      </c>
      <c r="N68" s="7">
        <v>0.9</v>
      </c>
      <c r="O68" s="6">
        <f t="shared" si="3"/>
        <v>22990</v>
      </c>
      <c r="P68" s="5" t="s">
        <v>504</v>
      </c>
    </row>
    <row r="69" spans="1:16" x14ac:dyDescent="0.35">
      <c r="A69" s="5" t="str">
        <f t="shared" si="4"/>
        <v>2023 H2 All Items D90</v>
      </c>
      <c r="B69" s="8">
        <f>'ALL 2024 H2 D80'!$B$2</f>
        <v>46114</v>
      </c>
      <c r="C69" s="8">
        <f>'ALL 2024 H2 D80'!$C$2</f>
        <v>46120</v>
      </c>
      <c r="D69" s="5">
        <v>3208</v>
      </c>
      <c r="E69" s="5">
        <v>320</v>
      </c>
      <c r="F69" s="5">
        <v>1</v>
      </c>
      <c r="G69" s="5">
        <v>1</v>
      </c>
      <c r="H69" s="5">
        <v>81239</v>
      </c>
      <c r="I69" s="5" t="s">
        <v>16</v>
      </c>
      <c r="J69" s="5">
        <v>87543262</v>
      </c>
      <c r="K69" s="5" t="s">
        <v>266</v>
      </c>
      <c r="L69" s="5" t="s">
        <v>274</v>
      </c>
      <c r="M69" s="6">
        <v>229900</v>
      </c>
      <c r="N69" s="7">
        <v>0.9</v>
      </c>
      <c r="O69" s="6">
        <f t="shared" si="3"/>
        <v>22990</v>
      </c>
      <c r="P69" s="5" t="s">
        <v>504</v>
      </c>
    </row>
    <row r="70" spans="1:16" x14ac:dyDescent="0.35">
      <c r="A70" s="5" t="str">
        <f t="shared" si="4"/>
        <v>2023 H2 All Items D90</v>
      </c>
      <c r="B70" s="8">
        <f>'ALL 2024 H2 D80'!$B$2</f>
        <v>46114</v>
      </c>
      <c r="C70" s="8">
        <f>'ALL 2024 H2 D80'!$C$2</f>
        <v>46120</v>
      </c>
      <c r="D70" s="5">
        <v>3208</v>
      </c>
      <c r="E70" s="5">
        <v>320</v>
      </c>
      <c r="F70" s="5">
        <v>1</v>
      </c>
      <c r="G70" s="5">
        <v>1</v>
      </c>
      <c r="H70" s="5">
        <v>81045</v>
      </c>
      <c r="I70" s="5" t="s">
        <v>16</v>
      </c>
      <c r="J70" s="5">
        <v>14274850</v>
      </c>
      <c r="K70" s="5" t="s">
        <v>275</v>
      </c>
      <c r="L70" s="5" t="s">
        <v>276</v>
      </c>
      <c r="M70" s="6">
        <v>229900</v>
      </c>
      <c r="N70" s="7">
        <v>0.9</v>
      </c>
      <c r="O70" s="6">
        <f t="shared" si="3"/>
        <v>22990</v>
      </c>
      <c r="P70" s="5" t="s">
        <v>504</v>
      </c>
    </row>
    <row r="71" spans="1:16" x14ac:dyDescent="0.35">
      <c r="A71" s="5" t="str">
        <f t="shared" si="4"/>
        <v>2023 H2 All Items D90</v>
      </c>
      <c r="B71" s="8">
        <f>'ALL 2024 H2 D80'!$B$2</f>
        <v>46114</v>
      </c>
      <c r="C71" s="8">
        <f>'ALL 2024 H2 D80'!$C$2</f>
        <v>46120</v>
      </c>
      <c r="D71" s="5">
        <v>3208</v>
      </c>
      <c r="E71" s="5">
        <v>320</v>
      </c>
      <c r="F71" s="5">
        <v>1</v>
      </c>
      <c r="G71" s="5">
        <v>1</v>
      </c>
      <c r="H71" s="5">
        <v>81045</v>
      </c>
      <c r="I71" s="5" t="s">
        <v>16</v>
      </c>
      <c r="J71" s="5">
        <v>14274869</v>
      </c>
      <c r="K71" s="5" t="s">
        <v>275</v>
      </c>
      <c r="L71" s="5" t="s">
        <v>277</v>
      </c>
      <c r="M71" s="6">
        <v>229900</v>
      </c>
      <c r="N71" s="7">
        <v>0.9</v>
      </c>
      <c r="O71" s="6">
        <f t="shared" si="3"/>
        <v>22990</v>
      </c>
      <c r="P71" s="5" t="s">
        <v>504</v>
      </c>
    </row>
    <row r="72" spans="1:16" x14ac:dyDescent="0.35">
      <c r="A72" s="5" t="str">
        <f t="shared" si="4"/>
        <v>2023 H2 All Items D90</v>
      </c>
      <c r="B72" s="8">
        <f>'ALL 2024 H2 D80'!$B$2</f>
        <v>46114</v>
      </c>
      <c r="C72" s="8">
        <f>'ALL 2024 H2 D80'!$C$2</f>
        <v>46120</v>
      </c>
      <c r="D72" s="5">
        <v>3208</v>
      </c>
      <c r="E72" s="5">
        <v>320</v>
      </c>
      <c r="F72" s="5">
        <v>1</v>
      </c>
      <c r="G72" s="5">
        <v>1</v>
      </c>
      <c r="H72" s="5">
        <v>81045</v>
      </c>
      <c r="I72" s="5" t="s">
        <v>16</v>
      </c>
      <c r="J72" s="5">
        <v>14274878</v>
      </c>
      <c r="K72" s="5" t="s">
        <v>275</v>
      </c>
      <c r="L72" s="5" t="s">
        <v>278</v>
      </c>
      <c r="M72" s="6">
        <v>229900</v>
      </c>
      <c r="N72" s="7">
        <v>0.9</v>
      </c>
      <c r="O72" s="6">
        <f t="shared" si="3"/>
        <v>22990</v>
      </c>
      <c r="P72" s="5" t="s">
        <v>504</v>
      </c>
    </row>
    <row r="73" spans="1:16" x14ac:dyDescent="0.35">
      <c r="A73" s="5" t="str">
        <f t="shared" si="4"/>
        <v>2023 H2 All Items D90</v>
      </c>
      <c r="B73" s="8">
        <f>'ALL 2024 H2 D80'!$B$2</f>
        <v>46114</v>
      </c>
      <c r="C73" s="8">
        <f>'ALL 2024 H2 D80'!$C$2</f>
        <v>46120</v>
      </c>
      <c r="D73" s="5">
        <v>3208</v>
      </c>
      <c r="E73" s="5">
        <v>320</v>
      </c>
      <c r="F73" s="5">
        <v>1</v>
      </c>
      <c r="G73" s="5">
        <v>1</v>
      </c>
      <c r="H73" s="5">
        <v>81045</v>
      </c>
      <c r="I73" s="5" t="s">
        <v>16</v>
      </c>
      <c r="J73" s="5">
        <v>14274887</v>
      </c>
      <c r="K73" s="5" t="s">
        <v>275</v>
      </c>
      <c r="L73" s="5" t="s">
        <v>279</v>
      </c>
      <c r="M73" s="6">
        <v>229900</v>
      </c>
      <c r="N73" s="7">
        <v>0.9</v>
      </c>
      <c r="O73" s="6">
        <f t="shared" si="3"/>
        <v>22990</v>
      </c>
      <c r="P73" s="5" t="s">
        <v>504</v>
      </c>
    </row>
    <row r="74" spans="1:16" x14ac:dyDescent="0.35">
      <c r="A74" s="5" t="str">
        <f t="shared" si="4"/>
        <v>2023 H2 All Items D90</v>
      </c>
      <c r="B74" s="8">
        <f>'ALL 2024 H2 D80'!$B$2</f>
        <v>46114</v>
      </c>
      <c r="C74" s="8">
        <f>'ALL 2024 H2 D80'!$C$2</f>
        <v>46120</v>
      </c>
      <c r="D74" s="5">
        <v>3208</v>
      </c>
      <c r="E74" s="5">
        <v>320</v>
      </c>
      <c r="F74" s="5">
        <v>1</v>
      </c>
      <c r="G74" s="5">
        <v>1</v>
      </c>
      <c r="H74" s="5">
        <v>81045</v>
      </c>
      <c r="I74" s="5" t="s">
        <v>16</v>
      </c>
      <c r="J74" s="5">
        <v>14274896</v>
      </c>
      <c r="K74" s="5" t="s">
        <v>275</v>
      </c>
      <c r="L74" s="5" t="s">
        <v>280</v>
      </c>
      <c r="M74" s="6">
        <v>229900</v>
      </c>
      <c r="N74" s="7">
        <v>0.9</v>
      </c>
      <c r="O74" s="6">
        <f t="shared" si="3"/>
        <v>22990</v>
      </c>
      <c r="P74" s="5" t="s">
        <v>504</v>
      </c>
    </row>
    <row r="75" spans="1:16" x14ac:dyDescent="0.35">
      <c r="A75" s="5" t="str">
        <f t="shared" si="4"/>
        <v>2023 H2 All Items D90</v>
      </c>
      <c r="B75" s="8">
        <f>'ALL 2024 H2 D80'!$B$2</f>
        <v>46114</v>
      </c>
      <c r="C75" s="8">
        <f>'ALL 2024 H2 D80'!$C$2</f>
        <v>46120</v>
      </c>
      <c r="D75" s="5">
        <v>3208</v>
      </c>
      <c r="E75" s="5">
        <v>320</v>
      </c>
      <c r="F75" s="5">
        <v>1</v>
      </c>
      <c r="G75" s="5">
        <v>1</v>
      </c>
      <c r="H75" s="5">
        <v>81045</v>
      </c>
      <c r="I75" s="5" t="s">
        <v>16</v>
      </c>
      <c r="J75" s="5">
        <v>14274903</v>
      </c>
      <c r="K75" s="5" t="s">
        <v>275</v>
      </c>
      <c r="L75" s="5" t="s">
        <v>281</v>
      </c>
      <c r="M75" s="6">
        <v>229900</v>
      </c>
      <c r="N75" s="7">
        <v>0.9</v>
      </c>
      <c r="O75" s="6">
        <f t="shared" si="3"/>
        <v>22990</v>
      </c>
      <c r="P75" s="5" t="s">
        <v>504</v>
      </c>
    </row>
    <row r="76" spans="1:16" x14ac:dyDescent="0.35">
      <c r="A76" s="5" t="str">
        <f t="shared" si="4"/>
        <v>2023 H2 All Items D90</v>
      </c>
      <c r="B76" s="8">
        <f>'ALL 2024 H2 D80'!$B$2</f>
        <v>46114</v>
      </c>
      <c r="C76" s="8">
        <f>'ALL 2024 H2 D80'!$C$2</f>
        <v>46120</v>
      </c>
      <c r="D76" s="5">
        <v>3208</v>
      </c>
      <c r="E76" s="5">
        <v>320</v>
      </c>
      <c r="F76" s="5">
        <v>1</v>
      </c>
      <c r="G76" s="5">
        <v>1</v>
      </c>
      <c r="H76" s="5">
        <v>81045</v>
      </c>
      <c r="I76" s="5" t="s">
        <v>16</v>
      </c>
      <c r="J76" s="5">
        <v>14274912</v>
      </c>
      <c r="K76" s="5" t="s">
        <v>275</v>
      </c>
      <c r="L76" s="5" t="s">
        <v>282</v>
      </c>
      <c r="M76" s="6">
        <v>229900</v>
      </c>
      <c r="N76" s="7">
        <v>0.9</v>
      </c>
      <c r="O76" s="6">
        <f t="shared" si="3"/>
        <v>22990</v>
      </c>
      <c r="P76" s="5" t="s">
        <v>504</v>
      </c>
    </row>
    <row r="77" spans="1:16" x14ac:dyDescent="0.35">
      <c r="A77" s="5" t="str">
        <f t="shared" si="4"/>
        <v>2023 H2 All Items D90</v>
      </c>
      <c r="B77" s="8">
        <f>'ALL 2024 H2 D80'!$B$2</f>
        <v>46114</v>
      </c>
      <c r="C77" s="8">
        <f>'ALL 2024 H2 D80'!$C$2</f>
        <v>46120</v>
      </c>
      <c r="D77" s="5">
        <v>3208</v>
      </c>
      <c r="E77" s="5">
        <v>320</v>
      </c>
      <c r="F77" s="5">
        <v>1</v>
      </c>
      <c r="G77" s="5">
        <v>1</v>
      </c>
      <c r="H77" s="5">
        <v>81045</v>
      </c>
      <c r="I77" s="5" t="s">
        <v>16</v>
      </c>
      <c r="J77" s="5">
        <v>14274921</v>
      </c>
      <c r="K77" s="5" t="s">
        <v>275</v>
      </c>
      <c r="L77" s="5" t="s">
        <v>283</v>
      </c>
      <c r="M77" s="6">
        <v>229900</v>
      </c>
      <c r="N77" s="7">
        <v>0.9</v>
      </c>
      <c r="O77" s="6">
        <f t="shared" si="3"/>
        <v>22990</v>
      </c>
      <c r="P77" s="5" t="s">
        <v>504</v>
      </c>
    </row>
    <row r="78" spans="1:16" x14ac:dyDescent="0.35">
      <c r="A78" s="5" t="str">
        <f t="shared" si="4"/>
        <v>2023 H2 All Items D90</v>
      </c>
      <c r="B78" s="8">
        <f>'ALL 2024 H2 D80'!$B$2</f>
        <v>46114</v>
      </c>
      <c r="C78" s="8">
        <f>'ALL 2024 H2 D80'!$C$2</f>
        <v>46120</v>
      </c>
      <c r="D78" s="5">
        <v>3208</v>
      </c>
      <c r="E78" s="5">
        <v>320</v>
      </c>
      <c r="F78" s="5">
        <v>1</v>
      </c>
      <c r="G78" s="5">
        <v>1</v>
      </c>
      <c r="H78" s="5">
        <v>81045</v>
      </c>
      <c r="I78" s="5" t="s">
        <v>16</v>
      </c>
      <c r="J78" s="5">
        <v>82895187</v>
      </c>
      <c r="K78" s="5" t="s">
        <v>183</v>
      </c>
      <c r="L78" s="5" t="s">
        <v>184</v>
      </c>
      <c r="M78" s="6">
        <v>229900</v>
      </c>
      <c r="N78" s="7">
        <v>0.9</v>
      </c>
      <c r="O78" s="6">
        <f t="shared" si="3"/>
        <v>22990</v>
      </c>
      <c r="P78" s="5" t="s">
        <v>504</v>
      </c>
    </row>
    <row r="79" spans="1:16" x14ac:dyDescent="0.35">
      <c r="A79" s="5" t="str">
        <f t="shared" si="4"/>
        <v>2023 H2 All Items D90</v>
      </c>
      <c r="B79" s="8">
        <f>'ALL 2024 H2 D80'!$B$2</f>
        <v>46114</v>
      </c>
      <c r="C79" s="8">
        <f>'ALL 2024 H2 D80'!$C$2</f>
        <v>46120</v>
      </c>
      <c r="D79" s="5">
        <v>3208</v>
      </c>
      <c r="E79" s="5">
        <v>320</v>
      </c>
      <c r="F79" s="5">
        <v>1</v>
      </c>
      <c r="G79" s="5">
        <v>1</v>
      </c>
      <c r="H79" s="5">
        <v>81045</v>
      </c>
      <c r="I79" s="5" t="s">
        <v>16</v>
      </c>
      <c r="J79" s="5">
        <v>82895196</v>
      </c>
      <c r="K79" s="5" t="s">
        <v>183</v>
      </c>
      <c r="L79" s="5" t="s">
        <v>185</v>
      </c>
      <c r="M79" s="6">
        <v>229900</v>
      </c>
      <c r="N79" s="7">
        <v>0.9</v>
      </c>
      <c r="O79" s="6">
        <f t="shared" si="3"/>
        <v>22990</v>
      </c>
      <c r="P79" s="5" t="s">
        <v>504</v>
      </c>
    </row>
    <row r="80" spans="1:16" x14ac:dyDescent="0.35">
      <c r="A80" s="5" t="str">
        <f t="shared" si="4"/>
        <v>2023 H2 All Items D90</v>
      </c>
      <c r="B80" s="8">
        <f>'ALL 2024 H2 D80'!$B$2</f>
        <v>46114</v>
      </c>
      <c r="C80" s="8">
        <f>'ALL 2024 H2 D80'!$C$2</f>
        <v>46120</v>
      </c>
      <c r="D80" s="5">
        <v>3208</v>
      </c>
      <c r="E80" s="5">
        <v>320</v>
      </c>
      <c r="F80" s="5">
        <v>1</v>
      </c>
      <c r="G80" s="5">
        <v>1</v>
      </c>
      <c r="H80" s="5">
        <v>81045</v>
      </c>
      <c r="I80" s="5" t="s">
        <v>16</v>
      </c>
      <c r="J80" s="5">
        <v>82895203</v>
      </c>
      <c r="K80" s="5" t="s">
        <v>183</v>
      </c>
      <c r="L80" s="5" t="s">
        <v>186</v>
      </c>
      <c r="M80" s="6">
        <v>229900</v>
      </c>
      <c r="N80" s="7">
        <v>0.9</v>
      </c>
      <c r="O80" s="6">
        <f t="shared" si="3"/>
        <v>22990</v>
      </c>
      <c r="P80" s="5" t="s">
        <v>504</v>
      </c>
    </row>
    <row r="81" spans="1:16" x14ac:dyDescent="0.35">
      <c r="A81" s="5" t="str">
        <f t="shared" si="4"/>
        <v>2023 H2 All Items D90</v>
      </c>
      <c r="B81" s="8">
        <f>'ALL 2024 H2 D80'!$B$2</f>
        <v>46114</v>
      </c>
      <c r="C81" s="8">
        <f>'ALL 2024 H2 D80'!$C$2</f>
        <v>46120</v>
      </c>
      <c r="D81" s="5">
        <v>3208</v>
      </c>
      <c r="E81" s="5">
        <v>320</v>
      </c>
      <c r="F81" s="5">
        <v>1</v>
      </c>
      <c r="G81" s="5">
        <v>1</v>
      </c>
      <c r="H81" s="5">
        <v>81045</v>
      </c>
      <c r="I81" s="5" t="s">
        <v>16</v>
      </c>
      <c r="J81" s="5">
        <v>82895212</v>
      </c>
      <c r="K81" s="5" t="s">
        <v>183</v>
      </c>
      <c r="L81" s="5" t="s">
        <v>187</v>
      </c>
      <c r="M81" s="6">
        <v>229900</v>
      </c>
      <c r="N81" s="7">
        <v>0.9</v>
      </c>
      <c r="O81" s="6">
        <f t="shared" si="3"/>
        <v>22990</v>
      </c>
      <c r="P81" s="5" t="s">
        <v>504</v>
      </c>
    </row>
    <row r="82" spans="1:16" x14ac:dyDescent="0.35">
      <c r="A82" s="5" t="str">
        <f t="shared" si="4"/>
        <v>2023 H2 All Items D90</v>
      </c>
      <c r="B82" s="8">
        <f>'ALL 2024 H2 D80'!$B$2</f>
        <v>46114</v>
      </c>
      <c r="C82" s="8">
        <f>'ALL 2024 H2 D80'!$C$2</f>
        <v>46120</v>
      </c>
      <c r="D82" s="5">
        <v>3208</v>
      </c>
      <c r="E82" s="5">
        <v>320</v>
      </c>
      <c r="F82" s="5">
        <v>1</v>
      </c>
      <c r="G82" s="5">
        <v>1</v>
      </c>
      <c r="H82" s="5">
        <v>81045</v>
      </c>
      <c r="I82" s="5" t="s">
        <v>16</v>
      </c>
      <c r="J82" s="5">
        <v>82895221</v>
      </c>
      <c r="K82" s="5" t="s">
        <v>183</v>
      </c>
      <c r="L82" s="5" t="s">
        <v>188</v>
      </c>
      <c r="M82" s="6">
        <v>229900</v>
      </c>
      <c r="N82" s="7">
        <v>0.9</v>
      </c>
      <c r="O82" s="6">
        <f t="shared" si="3"/>
        <v>22990</v>
      </c>
      <c r="P82" s="5" t="s">
        <v>504</v>
      </c>
    </row>
    <row r="83" spans="1:16" x14ac:dyDescent="0.35">
      <c r="A83" s="5" t="str">
        <f t="shared" si="4"/>
        <v>2023 H2 All Items D90</v>
      </c>
      <c r="B83" s="8">
        <f>'ALL 2024 H2 D80'!$B$2</f>
        <v>46114</v>
      </c>
      <c r="C83" s="8">
        <f>'ALL 2024 H2 D80'!$C$2</f>
        <v>46120</v>
      </c>
      <c r="D83" s="5">
        <v>3208</v>
      </c>
      <c r="E83" s="5">
        <v>320</v>
      </c>
      <c r="F83" s="5">
        <v>1</v>
      </c>
      <c r="G83" s="5">
        <v>1</v>
      </c>
      <c r="H83" s="5">
        <v>81045</v>
      </c>
      <c r="I83" s="5" t="s">
        <v>16</v>
      </c>
      <c r="J83" s="5">
        <v>82895230</v>
      </c>
      <c r="K83" s="5" t="s">
        <v>183</v>
      </c>
      <c r="L83" s="5" t="s">
        <v>189</v>
      </c>
      <c r="M83" s="6">
        <v>229900</v>
      </c>
      <c r="N83" s="7">
        <v>0.9</v>
      </c>
      <c r="O83" s="6">
        <f t="shared" si="3"/>
        <v>22990</v>
      </c>
      <c r="P83" s="5" t="s">
        <v>504</v>
      </c>
    </row>
    <row r="84" spans="1:16" x14ac:dyDescent="0.35">
      <c r="A84" s="5" t="str">
        <f t="shared" si="4"/>
        <v>2023 H2 All Items D90</v>
      </c>
      <c r="B84" s="8">
        <f>'ALL 2024 H2 D80'!$B$2</f>
        <v>46114</v>
      </c>
      <c r="C84" s="8">
        <f>'ALL 2024 H2 D80'!$C$2</f>
        <v>46120</v>
      </c>
      <c r="D84" s="5">
        <v>3208</v>
      </c>
      <c r="E84" s="5">
        <v>320</v>
      </c>
      <c r="F84" s="5">
        <v>1</v>
      </c>
      <c r="G84" s="5">
        <v>1</v>
      </c>
      <c r="H84" s="5">
        <v>81045</v>
      </c>
      <c r="I84" s="5" t="s">
        <v>16</v>
      </c>
      <c r="J84" s="5">
        <v>82895249</v>
      </c>
      <c r="K84" s="5" t="s">
        <v>183</v>
      </c>
      <c r="L84" s="5" t="s">
        <v>190</v>
      </c>
      <c r="M84" s="6">
        <v>229900</v>
      </c>
      <c r="N84" s="7">
        <v>0.9</v>
      </c>
      <c r="O84" s="6">
        <f t="shared" si="3"/>
        <v>22990</v>
      </c>
      <c r="P84" s="5" t="s">
        <v>504</v>
      </c>
    </row>
    <row r="85" spans="1:16" x14ac:dyDescent="0.35">
      <c r="A85" s="5" t="str">
        <f t="shared" si="4"/>
        <v>2023 H2 All Items D90</v>
      </c>
      <c r="B85" s="8">
        <f>'ALL 2024 H2 D80'!$B$2</f>
        <v>46114</v>
      </c>
      <c r="C85" s="8">
        <f>'ALL 2024 H2 D80'!$C$2</f>
        <v>46120</v>
      </c>
      <c r="D85" s="5">
        <v>3208</v>
      </c>
      <c r="E85" s="5">
        <v>320</v>
      </c>
      <c r="F85" s="5">
        <v>1</v>
      </c>
      <c r="G85" s="5">
        <v>1</v>
      </c>
      <c r="H85" s="5">
        <v>81045</v>
      </c>
      <c r="I85" s="5" t="s">
        <v>16</v>
      </c>
      <c r="J85" s="5">
        <v>82895258</v>
      </c>
      <c r="K85" s="5" t="s">
        <v>183</v>
      </c>
      <c r="L85" s="5" t="s">
        <v>191</v>
      </c>
      <c r="M85" s="6">
        <v>229900</v>
      </c>
      <c r="N85" s="7">
        <v>0.9</v>
      </c>
      <c r="O85" s="6">
        <f t="shared" si="3"/>
        <v>22990</v>
      </c>
      <c r="P85" s="5" t="s">
        <v>504</v>
      </c>
    </row>
    <row r="86" spans="1:16" x14ac:dyDescent="0.35">
      <c r="A86" s="5" t="str">
        <f t="shared" si="4"/>
        <v>2023 H2 All Items D90</v>
      </c>
      <c r="B86" s="8">
        <f>'ALL 2024 H2 D80'!$B$2</f>
        <v>46114</v>
      </c>
      <c r="C86" s="8">
        <f>'ALL 2024 H2 D80'!$C$2</f>
        <v>46120</v>
      </c>
      <c r="D86" s="5">
        <v>3208</v>
      </c>
      <c r="E86" s="5">
        <v>320</v>
      </c>
      <c r="F86" s="5">
        <v>1</v>
      </c>
      <c r="G86" s="5">
        <v>1</v>
      </c>
      <c r="H86" s="5">
        <v>81045</v>
      </c>
      <c r="I86" s="5" t="s">
        <v>16</v>
      </c>
      <c r="J86" s="5">
        <v>83028577</v>
      </c>
      <c r="K86" s="5" t="s">
        <v>192</v>
      </c>
      <c r="L86" s="5" t="s">
        <v>193</v>
      </c>
      <c r="M86" s="6">
        <v>299900</v>
      </c>
      <c r="N86" s="7">
        <v>0.9</v>
      </c>
      <c r="O86" s="6">
        <f t="shared" si="3"/>
        <v>29990</v>
      </c>
      <c r="P86" s="5" t="s">
        <v>504</v>
      </c>
    </row>
    <row r="87" spans="1:16" x14ac:dyDescent="0.35">
      <c r="A87" s="5" t="str">
        <f t="shared" si="4"/>
        <v>2023 H2 All Items D90</v>
      </c>
      <c r="B87" s="8">
        <f>'ALL 2024 H2 D80'!$B$2</f>
        <v>46114</v>
      </c>
      <c r="C87" s="8">
        <f>'ALL 2024 H2 D80'!$C$2</f>
        <v>46120</v>
      </c>
      <c r="D87" s="5">
        <v>3208</v>
      </c>
      <c r="E87" s="5">
        <v>320</v>
      </c>
      <c r="F87" s="5">
        <v>1</v>
      </c>
      <c r="G87" s="5">
        <v>1</v>
      </c>
      <c r="H87" s="5">
        <v>81045</v>
      </c>
      <c r="I87" s="5" t="s">
        <v>16</v>
      </c>
      <c r="J87" s="5">
        <v>83028586</v>
      </c>
      <c r="K87" s="5" t="s">
        <v>192</v>
      </c>
      <c r="L87" s="5" t="s">
        <v>194</v>
      </c>
      <c r="M87" s="6">
        <v>299900</v>
      </c>
      <c r="N87" s="7">
        <v>0.9</v>
      </c>
      <c r="O87" s="6">
        <f t="shared" si="3"/>
        <v>29990</v>
      </c>
      <c r="P87" s="5" t="s">
        <v>504</v>
      </c>
    </row>
    <row r="88" spans="1:16" x14ac:dyDescent="0.35">
      <c r="A88" s="5" t="str">
        <f t="shared" si="4"/>
        <v>2023 H2 All Items D90</v>
      </c>
      <c r="B88" s="8">
        <f>'ALL 2024 H2 D80'!$B$2</f>
        <v>46114</v>
      </c>
      <c r="C88" s="8">
        <f>'ALL 2024 H2 D80'!$C$2</f>
        <v>46120</v>
      </c>
      <c r="D88" s="5">
        <v>3208</v>
      </c>
      <c r="E88" s="5">
        <v>320</v>
      </c>
      <c r="F88" s="5">
        <v>1</v>
      </c>
      <c r="G88" s="5">
        <v>1</v>
      </c>
      <c r="H88" s="5">
        <v>81045</v>
      </c>
      <c r="I88" s="5" t="s">
        <v>16</v>
      </c>
      <c r="J88" s="5">
        <v>83028595</v>
      </c>
      <c r="K88" s="5" t="s">
        <v>192</v>
      </c>
      <c r="L88" s="5" t="s">
        <v>195</v>
      </c>
      <c r="M88" s="6">
        <v>299900</v>
      </c>
      <c r="N88" s="7">
        <v>0.9</v>
      </c>
      <c r="O88" s="6">
        <f t="shared" si="3"/>
        <v>29990</v>
      </c>
      <c r="P88" s="5" t="s">
        <v>504</v>
      </c>
    </row>
    <row r="89" spans="1:16" x14ac:dyDescent="0.35">
      <c r="A89" s="5" t="str">
        <f t="shared" si="4"/>
        <v>2023 H2 All Items D90</v>
      </c>
      <c r="B89" s="8">
        <f>'ALL 2024 H2 D80'!$B$2</f>
        <v>46114</v>
      </c>
      <c r="C89" s="8">
        <f>'ALL 2024 H2 D80'!$C$2</f>
        <v>46120</v>
      </c>
      <c r="D89" s="5">
        <v>3208</v>
      </c>
      <c r="E89" s="5">
        <v>320</v>
      </c>
      <c r="F89" s="5">
        <v>1</v>
      </c>
      <c r="G89" s="5">
        <v>1</v>
      </c>
      <c r="H89" s="5">
        <v>81045</v>
      </c>
      <c r="I89" s="5" t="s">
        <v>16</v>
      </c>
      <c r="J89" s="5">
        <v>83028602</v>
      </c>
      <c r="K89" s="5" t="s">
        <v>192</v>
      </c>
      <c r="L89" s="5" t="s">
        <v>196</v>
      </c>
      <c r="M89" s="6">
        <v>299900</v>
      </c>
      <c r="N89" s="7">
        <v>0.9</v>
      </c>
      <c r="O89" s="6">
        <f t="shared" si="3"/>
        <v>29990</v>
      </c>
      <c r="P89" s="5" t="s">
        <v>504</v>
      </c>
    </row>
    <row r="90" spans="1:16" x14ac:dyDescent="0.35">
      <c r="A90" s="5" t="str">
        <f t="shared" si="4"/>
        <v>2023 H2 All Items D90</v>
      </c>
      <c r="B90" s="8">
        <f>'ALL 2024 H2 D80'!$B$2</f>
        <v>46114</v>
      </c>
      <c r="C90" s="8">
        <f>'ALL 2024 H2 D80'!$C$2</f>
        <v>46120</v>
      </c>
      <c r="D90" s="5">
        <v>3208</v>
      </c>
      <c r="E90" s="5">
        <v>320</v>
      </c>
      <c r="F90" s="5">
        <v>1</v>
      </c>
      <c r="G90" s="5">
        <v>1</v>
      </c>
      <c r="H90" s="5">
        <v>81045</v>
      </c>
      <c r="I90" s="5" t="s">
        <v>16</v>
      </c>
      <c r="J90" s="5">
        <v>83028611</v>
      </c>
      <c r="K90" s="5" t="s">
        <v>192</v>
      </c>
      <c r="L90" s="5" t="s">
        <v>197</v>
      </c>
      <c r="M90" s="6">
        <v>299900</v>
      </c>
      <c r="N90" s="7">
        <v>0.9</v>
      </c>
      <c r="O90" s="6">
        <f t="shared" si="3"/>
        <v>29990</v>
      </c>
      <c r="P90" s="5" t="s">
        <v>504</v>
      </c>
    </row>
    <row r="91" spans="1:16" x14ac:dyDescent="0.35">
      <c r="A91" s="5" t="str">
        <f t="shared" si="4"/>
        <v>2023 H2 All Items D90</v>
      </c>
      <c r="B91" s="8">
        <f>'ALL 2024 H2 D80'!$B$2</f>
        <v>46114</v>
      </c>
      <c r="C91" s="8">
        <f>'ALL 2024 H2 D80'!$C$2</f>
        <v>46120</v>
      </c>
      <c r="D91" s="5">
        <v>3208</v>
      </c>
      <c r="E91" s="5">
        <v>320</v>
      </c>
      <c r="F91" s="5">
        <v>1</v>
      </c>
      <c r="G91" s="5">
        <v>1</v>
      </c>
      <c r="H91" s="5">
        <v>81045</v>
      </c>
      <c r="I91" s="5" t="s">
        <v>16</v>
      </c>
      <c r="J91" s="5">
        <v>83028620</v>
      </c>
      <c r="K91" s="5" t="s">
        <v>192</v>
      </c>
      <c r="L91" s="5" t="s">
        <v>198</v>
      </c>
      <c r="M91" s="6">
        <v>299900</v>
      </c>
      <c r="N91" s="7">
        <v>0.9</v>
      </c>
      <c r="O91" s="6">
        <f t="shared" si="3"/>
        <v>29990</v>
      </c>
      <c r="P91" s="5" t="s">
        <v>504</v>
      </c>
    </row>
    <row r="92" spans="1:16" x14ac:dyDescent="0.35">
      <c r="A92" s="5" t="str">
        <f t="shared" si="4"/>
        <v>2023 H2 All Items D90</v>
      </c>
      <c r="B92" s="8">
        <f>'ALL 2024 H2 D80'!$B$2</f>
        <v>46114</v>
      </c>
      <c r="C92" s="8">
        <f>'ALL 2024 H2 D80'!$C$2</f>
        <v>46120</v>
      </c>
      <c r="D92" s="5">
        <v>3208</v>
      </c>
      <c r="E92" s="5">
        <v>320</v>
      </c>
      <c r="F92" s="5">
        <v>1</v>
      </c>
      <c r="G92" s="5">
        <v>1</v>
      </c>
      <c r="H92" s="5">
        <v>81045</v>
      </c>
      <c r="I92" s="5" t="s">
        <v>16</v>
      </c>
      <c r="J92" s="5">
        <v>83028639</v>
      </c>
      <c r="K92" s="5" t="s">
        <v>192</v>
      </c>
      <c r="L92" s="5" t="s">
        <v>199</v>
      </c>
      <c r="M92" s="6">
        <v>299900</v>
      </c>
      <c r="N92" s="7">
        <v>0.9</v>
      </c>
      <c r="O92" s="6">
        <f t="shared" si="3"/>
        <v>29990</v>
      </c>
      <c r="P92" s="5" t="s">
        <v>504</v>
      </c>
    </row>
    <row r="93" spans="1:16" x14ac:dyDescent="0.35">
      <c r="A93" s="5" t="str">
        <f t="shared" si="4"/>
        <v>2023 H2 All Items D90</v>
      </c>
      <c r="B93" s="8">
        <f>'ALL 2024 H2 D80'!$B$2</f>
        <v>46114</v>
      </c>
      <c r="C93" s="8">
        <f>'ALL 2024 H2 D80'!$C$2</f>
        <v>46120</v>
      </c>
      <c r="D93" s="5">
        <v>3208</v>
      </c>
      <c r="E93" s="5">
        <v>320</v>
      </c>
      <c r="F93" s="5">
        <v>1</v>
      </c>
      <c r="G93" s="5">
        <v>1</v>
      </c>
      <c r="H93" s="5">
        <v>81045</v>
      </c>
      <c r="I93" s="5" t="s">
        <v>16</v>
      </c>
      <c r="J93" s="5">
        <v>83028648</v>
      </c>
      <c r="K93" s="5" t="s">
        <v>192</v>
      </c>
      <c r="L93" s="5" t="s">
        <v>200</v>
      </c>
      <c r="M93" s="6">
        <v>299900</v>
      </c>
      <c r="N93" s="7">
        <v>0.9</v>
      </c>
      <c r="O93" s="6">
        <f t="shared" si="3"/>
        <v>29990</v>
      </c>
      <c r="P93" s="5" t="s">
        <v>504</v>
      </c>
    </row>
    <row r="94" spans="1:16" x14ac:dyDescent="0.35">
      <c r="A94" s="5" t="str">
        <f t="shared" si="4"/>
        <v>2023 H2 All Items D90</v>
      </c>
      <c r="B94" s="8">
        <f>'ALL 2024 H2 D80'!$B$2</f>
        <v>46114</v>
      </c>
      <c r="C94" s="8">
        <f>'ALL 2024 H2 D80'!$C$2</f>
        <v>46120</v>
      </c>
      <c r="D94" s="5">
        <v>3208</v>
      </c>
      <c r="E94" s="5">
        <v>320</v>
      </c>
      <c r="F94" s="5">
        <v>1</v>
      </c>
      <c r="G94" s="5">
        <v>1</v>
      </c>
      <c r="H94" s="5">
        <v>81490</v>
      </c>
      <c r="I94" s="5" t="s">
        <v>16</v>
      </c>
      <c r="J94" s="5">
        <v>15664276</v>
      </c>
      <c r="K94" s="5" t="s">
        <v>284</v>
      </c>
      <c r="L94" s="5" t="s">
        <v>285</v>
      </c>
      <c r="M94" s="6">
        <v>269900</v>
      </c>
      <c r="N94" s="7">
        <v>0.9</v>
      </c>
      <c r="O94" s="6">
        <f t="shared" si="3"/>
        <v>26990</v>
      </c>
      <c r="P94" s="5" t="s">
        <v>504</v>
      </c>
    </row>
    <row r="95" spans="1:16" x14ac:dyDescent="0.35">
      <c r="A95" s="5" t="str">
        <f t="shared" si="4"/>
        <v>2023 H2 All Items D90</v>
      </c>
      <c r="B95" s="8">
        <f>'ALL 2024 H2 D80'!$B$2</f>
        <v>46114</v>
      </c>
      <c r="C95" s="8">
        <f>'ALL 2024 H2 D80'!$C$2</f>
        <v>46120</v>
      </c>
      <c r="D95" s="5">
        <v>3208</v>
      </c>
      <c r="E95" s="5">
        <v>320</v>
      </c>
      <c r="F95" s="5">
        <v>1</v>
      </c>
      <c r="G95" s="5">
        <v>1</v>
      </c>
      <c r="H95" s="5">
        <v>81490</v>
      </c>
      <c r="I95" s="5" t="s">
        <v>16</v>
      </c>
      <c r="J95" s="5">
        <v>15664285</v>
      </c>
      <c r="K95" s="5" t="s">
        <v>284</v>
      </c>
      <c r="L95" s="5" t="s">
        <v>286</v>
      </c>
      <c r="M95" s="6">
        <v>269900</v>
      </c>
      <c r="N95" s="7">
        <v>0.9</v>
      </c>
      <c r="O95" s="6">
        <f t="shared" si="3"/>
        <v>26990</v>
      </c>
      <c r="P95" s="5" t="s">
        <v>504</v>
      </c>
    </row>
    <row r="96" spans="1:16" x14ac:dyDescent="0.35">
      <c r="A96" s="5" t="str">
        <f t="shared" si="4"/>
        <v>2023 H2 All Items D90</v>
      </c>
      <c r="B96" s="8">
        <f>'ALL 2024 H2 D80'!$B$2</f>
        <v>46114</v>
      </c>
      <c r="C96" s="8">
        <f>'ALL 2024 H2 D80'!$C$2</f>
        <v>46120</v>
      </c>
      <c r="D96" s="5">
        <v>3208</v>
      </c>
      <c r="E96" s="5">
        <v>320</v>
      </c>
      <c r="F96" s="5">
        <v>1</v>
      </c>
      <c r="G96" s="5">
        <v>1</v>
      </c>
      <c r="H96" s="5">
        <v>81490</v>
      </c>
      <c r="I96" s="5" t="s">
        <v>16</v>
      </c>
      <c r="J96" s="5">
        <v>15664294</v>
      </c>
      <c r="K96" s="5" t="s">
        <v>284</v>
      </c>
      <c r="L96" s="5" t="s">
        <v>287</v>
      </c>
      <c r="M96" s="6">
        <v>269900</v>
      </c>
      <c r="N96" s="7">
        <v>0.9</v>
      </c>
      <c r="O96" s="6">
        <f t="shared" si="3"/>
        <v>26990</v>
      </c>
      <c r="P96" s="5" t="s">
        <v>504</v>
      </c>
    </row>
    <row r="97" spans="1:16" x14ac:dyDescent="0.35">
      <c r="A97" s="5" t="str">
        <f t="shared" si="4"/>
        <v>2023 H2 All Items D90</v>
      </c>
      <c r="B97" s="8">
        <f>'ALL 2024 H2 D80'!$B$2</f>
        <v>46114</v>
      </c>
      <c r="C97" s="8">
        <f>'ALL 2024 H2 D80'!$C$2</f>
        <v>46120</v>
      </c>
      <c r="D97" s="5">
        <v>3208</v>
      </c>
      <c r="E97" s="5">
        <v>320</v>
      </c>
      <c r="F97" s="5">
        <v>1</v>
      </c>
      <c r="G97" s="5">
        <v>1</v>
      </c>
      <c r="H97" s="5">
        <v>81490</v>
      </c>
      <c r="I97" s="5" t="s">
        <v>16</v>
      </c>
      <c r="J97" s="5">
        <v>15664301</v>
      </c>
      <c r="K97" s="5" t="s">
        <v>284</v>
      </c>
      <c r="L97" s="5" t="s">
        <v>288</v>
      </c>
      <c r="M97" s="6">
        <v>269900</v>
      </c>
      <c r="N97" s="7">
        <v>0.9</v>
      </c>
      <c r="O97" s="6">
        <f t="shared" si="3"/>
        <v>26990</v>
      </c>
      <c r="P97" s="5" t="s">
        <v>504</v>
      </c>
    </row>
    <row r="98" spans="1:16" x14ac:dyDescent="0.35">
      <c r="A98" s="5" t="str">
        <f t="shared" si="4"/>
        <v>2023 H2 All Items D90</v>
      </c>
      <c r="B98" s="8">
        <f>'ALL 2024 H2 D80'!$B$2</f>
        <v>46114</v>
      </c>
      <c r="C98" s="8">
        <f>'ALL 2024 H2 D80'!$C$2</f>
        <v>46120</v>
      </c>
      <c r="D98" s="5">
        <v>3208</v>
      </c>
      <c r="E98" s="5">
        <v>320</v>
      </c>
      <c r="F98" s="5">
        <v>1</v>
      </c>
      <c r="G98" s="5">
        <v>1</v>
      </c>
      <c r="H98" s="5">
        <v>81490</v>
      </c>
      <c r="I98" s="5" t="s">
        <v>16</v>
      </c>
      <c r="J98" s="5">
        <v>76705385</v>
      </c>
      <c r="K98" s="5" t="s">
        <v>289</v>
      </c>
      <c r="L98" s="5" t="s">
        <v>290</v>
      </c>
      <c r="M98" s="6">
        <v>249900</v>
      </c>
      <c r="N98" s="7">
        <v>0.9</v>
      </c>
      <c r="O98" s="6">
        <f t="shared" si="3"/>
        <v>24990</v>
      </c>
      <c r="P98" s="5" t="s">
        <v>504</v>
      </c>
    </row>
    <row r="99" spans="1:16" x14ac:dyDescent="0.35">
      <c r="A99" s="5" t="str">
        <f t="shared" si="4"/>
        <v>2023 H2 All Items D90</v>
      </c>
      <c r="B99" s="8">
        <f>'ALL 2024 H2 D80'!$B$2</f>
        <v>46114</v>
      </c>
      <c r="C99" s="8">
        <f>'ALL 2024 H2 D80'!$C$2</f>
        <v>46120</v>
      </c>
      <c r="D99" s="5">
        <v>3208</v>
      </c>
      <c r="E99" s="5">
        <v>320</v>
      </c>
      <c r="F99" s="5">
        <v>1</v>
      </c>
      <c r="G99" s="5">
        <v>1</v>
      </c>
      <c r="H99" s="5">
        <v>81490</v>
      </c>
      <c r="I99" s="5" t="s">
        <v>16</v>
      </c>
      <c r="J99" s="5">
        <v>76705394</v>
      </c>
      <c r="K99" s="5" t="s">
        <v>289</v>
      </c>
      <c r="L99" s="5" t="s">
        <v>291</v>
      </c>
      <c r="M99" s="6">
        <v>249900</v>
      </c>
      <c r="N99" s="7">
        <v>0.9</v>
      </c>
      <c r="O99" s="6">
        <f t="shared" si="3"/>
        <v>24990</v>
      </c>
      <c r="P99" s="5" t="s">
        <v>504</v>
      </c>
    </row>
    <row r="100" spans="1:16" x14ac:dyDescent="0.35">
      <c r="A100" s="5" t="str">
        <f t="shared" si="4"/>
        <v>2023 H2 All Items D90</v>
      </c>
      <c r="B100" s="8">
        <f>'ALL 2024 H2 D80'!$B$2</f>
        <v>46114</v>
      </c>
      <c r="C100" s="8">
        <f>'ALL 2024 H2 D80'!$C$2</f>
        <v>46120</v>
      </c>
      <c r="D100" s="5">
        <v>3208</v>
      </c>
      <c r="E100" s="5">
        <v>320</v>
      </c>
      <c r="F100" s="5">
        <v>1</v>
      </c>
      <c r="G100" s="5">
        <v>1</v>
      </c>
      <c r="H100" s="5">
        <v>81490</v>
      </c>
      <c r="I100" s="5" t="s">
        <v>16</v>
      </c>
      <c r="J100" s="5">
        <v>76705401</v>
      </c>
      <c r="K100" s="5" t="s">
        <v>289</v>
      </c>
      <c r="L100" s="5" t="s">
        <v>292</v>
      </c>
      <c r="M100" s="6">
        <v>249900</v>
      </c>
      <c r="N100" s="7">
        <v>0.9</v>
      </c>
      <c r="O100" s="6">
        <f t="shared" si="3"/>
        <v>24990</v>
      </c>
      <c r="P100" s="5" t="s">
        <v>504</v>
      </c>
    </row>
    <row r="101" spans="1:16" x14ac:dyDescent="0.35">
      <c r="A101" s="5" t="str">
        <f t="shared" si="4"/>
        <v>2023 H2 All Items D90</v>
      </c>
      <c r="B101" s="8">
        <f>'ALL 2024 H2 D80'!$B$2</f>
        <v>46114</v>
      </c>
      <c r="C101" s="8">
        <f>'ALL 2024 H2 D80'!$C$2</f>
        <v>46120</v>
      </c>
      <c r="D101" s="5">
        <v>3208</v>
      </c>
      <c r="E101" s="5">
        <v>320</v>
      </c>
      <c r="F101" s="5">
        <v>1</v>
      </c>
      <c r="G101" s="5">
        <v>1</v>
      </c>
      <c r="H101" s="5">
        <v>81490</v>
      </c>
      <c r="I101" s="5" t="s">
        <v>16</v>
      </c>
      <c r="J101" s="5">
        <v>76705410</v>
      </c>
      <c r="K101" s="5" t="s">
        <v>289</v>
      </c>
      <c r="L101" s="5" t="s">
        <v>293</v>
      </c>
      <c r="M101" s="6">
        <v>249900</v>
      </c>
      <c r="N101" s="7">
        <v>0.9</v>
      </c>
      <c r="O101" s="6">
        <f t="shared" si="3"/>
        <v>24990</v>
      </c>
      <c r="P101" s="5" t="s">
        <v>504</v>
      </c>
    </row>
    <row r="102" spans="1:16" x14ac:dyDescent="0.35">
      <c r="A102" s="5" t="str">
        <f t="shared" si="4"/>
        <v>2023 H2 All Items D90</v>
      </c>
      <c r="B102" s="8">
        <f>'ALL 2024 H2 D80'!$B$2</f>
        <v>46114</v>
      </c>
      <c r="C102" s="8">
        <f>'ALL 2024 H2 D80'!$C$2</f>
        <v>46120</v>
      </c>
      <c r="D102" s="5">
        <v>3208</v>
      </c>
      <c r="E102" s="5">
        <v>320</v>
      </c>
      <c r="F102" s="5">
        <v>1</v>
      </c>
      <c r="G102" s="5">
        <v>1</v>
      </c>
      <c r="H102" s="5">
        <v>81490</v>
      </c>
      <c r="I102" s="5" t="s">
        <v>16</v>
      </c>
      <c r="J102" s="5">
        <v>78793438</v>
      </c>
      <c r="K102" s="5" t="s">
        <v>284</v>
      </c>
      <c r="L102" s="5" t="s">
        <v>294</v>
      </c>
      <c r="M102" s="6">
        <v>269900</v>
      </c>
      <c r="N102" s="7">
        <v>0.9</v>
      </c>
      <c r="O102" s="6">
        <f t="shared" si="3"/>
        <v>26990</v>
      </c>
      <c r="P102" s="5" t="s">
        <v>504</v>
      </c>
    </row>
    <row r="103" spans="1:16" x14ac:dyDescent="0.35">
      <c r="A103" s="5" t="str">
        <f t="shared" si="4"/>
        <v>2023 H2 All Items D90</v>
      </c>
      <c r="B103" s="8">
        <f>'ALL 2024 H2 D80'!$B$2</f>
        <v>46114</v>
      </c>
      <c r="C103" s="8">
        <f>'ALL 2024 H2 D80'!$C$2</f>
        <v>46120</v>
      </c>
      <c r="D103" s="5">
        <v>3208</v>
      </c>
      <c r="E103" s="5">
        <v>320</v>
      </c>
      <c r="F103" s="5">
        <v>1</v>
      </c>
      <c r="G103" s="5">
        <v>1</v>
      </c>
      <c r="H103" s="5">
        <v>81490</v>
      </c>
      <c r="I103" s="5" t="s">
        <v>16</v>
      </c>
      <c r="J103" s="5">
        <v>78793447</v>
      </c>
      <c r="K103" s="5" t="s">
        <v>284</v>
      </c>
      <c r="L103" s="5" t="s">
        <v>295</v>
      </c>
      <c r="M103" s="6">
        <v>269900</v>
      </c>
      <c r="N103" s="7">
        <v>0.9</v>
      </c>
      <c r="O103" s="6">
        <f t="shared" si="3"/>
        <v>26990</v>
      </c>
      <c r="P103" s="5" t="s">
        <v>504</v>
      </c>
    </row>
    <row r="104" spans="1:16" x14ac:dyDescent="0.35">
      <c r="A104" s="5" t="str">
        <f t="shared" si="4"/>
        <v>2023 H2 All Items D90</v>
      </c>
      <c r="B104" s="8">
        <f>'ALL 2024 H2 D80'!$B$2</f>
        <v>46114</v>
      </c>
      <c r="C104" s="8">
        <f>'ALL 2024 H2 D80'!$C$2</f>
        <v>46120</v>
      </c>
      <c r="D104" s="5">
        <v>3208</v>
      </c>
      <c r="E104" s="5">
        <v>320</v>
      </c>
      <c r="F104" s="5">
        <v>1</v>
      </c>
      <c r="G104" s="5">
        <v>1</v>
      </c>
      <c r="H104" s="5">
        <v>81490</v>
      </c>
      <c r="I104" s="5" t="s">
        <v>16</v>
      </c>
      <c r="J104" s="5">
        <v>78793456</v>
      </c>
      <c r="K104" s="5" t="s">
        <v>284</v>
      </c>
      <c r="L104" s="5" t="s">
        <v>296</v>
      </c>
      <c r="M104" s="6">
        <v>269900</v>
      </c>
      <c r="N104" s="7">
        <v>0.9</v>
      </c>
      <c r="O104" s="6">
        <f t="shared" si="3"/>
        <v>26990</v>
      </c>
      <c r="P104" s="5" t="s">
        <v>504</v>
      </c>
    </row>
    <row r="105" spans="1:16" x14ac:dyDescent="0.35">
      <c r="A105" s="5" t="str">
        <f t="shared" si="4"/>
        <v>2023 H2 All Items D90</v>
      </c>
      <c r="B105" s="8">
        <f>'ALL 2024 H2 D80'!$B$2</f>
        <v>46114</v>
      </c>
      <c r="C105" s="8">
        <f>'ALL 2024 H2 D80'!$C$2</f>
        <v>46120</v>
      </c>
      <c r="D105" s="5">
        <v>3208</v>
      </c>
      <c r="E105" s="5">
        <v>320</v>
      </c>
      <c r="F105" s="5">
        <v>1</v>
      </c>
      <c r="G105" s="5">
        <v>1</v>
      </c>
      <c r="H105" s="5">
        <v>81490</v>
      </c>
      <c r="I105" s="5" t="s">
        <v>16</v>
      </c>
      <c r="J105" s="5">
        <v>78793465</v>
      </c>
      <c r="K105" s="5" t="s">
        <v>284</v>
      </c>
      <c r="L105" s="5" t="s">
        <v>297</v>
      </c>
      <c r="M105" s="6">
        <v>269900</v>
      </c>
      <c r="N105" s="7">
        <v>0.9</v>
      </c>
      <c r="O105" s="6">
        <f t="shared" si="3"/>
        <v>26990</v>
      </c>
      <c r="P105" s="5" t="s">
        <v>504</v>
      </c>
    </row>
    <row r="106" spans="1:16" x14ac:dyDescent="0.35">
      <c r="A106" s="5" t="str">
        <f t="shared" si="4"/>
        <v>2023 H2 All Items D90</v>
      </c>
      <c r="B106" s="8">
        <f>'ALL 2024 H2 D80'!$B$2</f>
        <v>46114</v>
      </c>
      <c r="C106" s="8">
        <f>'ALL 2024 H2 D80'!$C$2</f>
        <v>46120</v>
      </c>
      <c r="D106" s="5">
        <v>3208</v>
      </c>
      <c r="E106" s="5">
        <v>320</v>
      </c>
      <c r="F106" s="5">
        <v>1</v>
      </c>
      <c r="G106" s="5">
        <v>1</v>
      </c>
      <c r="H106" s="5">
        <v>81490</v>
      </c>
      <c r="I106" s="5" t="s">
        <v>16</v>
      </c>
      <c r="J106" s="5">
        <v>87543557</v>
      </c>
      <c r="K106" s="5" t="s">
        <v>201</v>
      </c>
      <c r="L106" s="5" t="s">
        <v>202</v>
      </c>
      <c r="M106" s="6">
        <v>269900</v>
      </c>
      <c r="N106" s="7">
        <v>0.9</v>
      </c>
      <c r="O106" s="6">
        <f t="shared" si="3"/>
        <v>26990</v>
      </c>
      <c r="P106" s="5" t="s">
        <v>504</v>
      </c>
    </row>
    <row r="107" spans="1:16" x14ac:dyDescent="0.35">
      <c r="A107" s="5" t="str">
        <f t="shared" si="4"/>
        <v>2023 H2 All Items D90</v>
      </c>
      <c r="B107" s="8">
        <f>'ALL 2024 H2 D80'!$B$2</f>
        <v>46114</v>
      </c>
      <c r="C107" s="8">
        <f>'ALL 2024 H2 D80'!$C$2</f>
        <v>46120</v>
      </c>
      <c r="D107" s="5">
        <v>3208</v>
      </c>
      <c r="E107" s="5">
        <v>320</v>
      </c>
      <c r="F107" s="5">
        <v>1</v>
      </c>
      <c r="G107" s="5">
        <v>1</v>
      </c>
      <c r="H107" s="5">
        <v>81490</v>
      </c>
      <c r="I107" s="5" t="s">
        <v>16</v>
      </c>
      <c r="J107" s="5">
        <v>87543566</v>
      </c>
      <c r="K107" s="5" t="s">
        <v>201</v>
      </c>
      <c r="L107" s="5" t="s">
        <v>203</v>
      </c>
      <c r="M107" s="6">
        <v>269900</v>
      </c>
      <c r="N107" s="7">
        <v>0.9</v>
      </c>
      <c r="O107" s="6">
        <f t="shared" si="3"/>
        <v>26990</v>
      </c>
      <c r="P107" s="5" t="s">
        <v>504</v>
      </c>
    </row>
    <row r="108" spans="1:16" x14ac:dyDescent="0.35">
      <c r="A108" s="5" t="str">
        <f t="shared" si="4"/>
        <v>2023 H2 All Items D90</v>
      </c>
      <c r="B108" s="8">
        <f>'ALL 2024 H2 D80'!$B$2</f>
        <v>46114</v>
      </c>
      <c r="C108" s="8">
        <f>'ALL 2024 H2 D80'!$C$2</f>
        <v>46120</v>
      </c>
      <c r="D108" s="5">
        <v>3208</v>
      </c>
      <c r="E108" s="5">
        <v>320</v>
      </c>
      <c r="F108" s="5">
        <v>1</v>
      </c>
      <c r="G108" s="5">
        <v>1</v>
      </c>
      <c r="H108" s="5">
        <v>81490</v>
      </c>
      <c r="I108" s="5" t="s">
        <v>16</v>
      </c>
      <c r="J108" s="5">
        <v>87543593</v>
      </c>
      <c r="K108" s="5" t="s">
        <v>201</v>
      </c>
      <c r="L108" s="5" t="s">
        <v>204</v>
      </c>
      <c r="M108" s="6">
        <v>269900</v>
      </c>
      <c r="N108" s="7">
        <v>0.9</v>
      </c>
      <c r="O108" s="6">
        <f t="shared" si="3"/>
        <v>26990</v>
      </c>
      <c r="P108" s="5" t="s">
        <v>504</v>
      </c>
    </row>
    <row r="109" spans="1:16" x14ac:dyDescent="0.35">
      <c r="A109" s="5" t="str">
        <f t="shared" si="4"/>
        <v>2023 H2 All Items D90</v>
      </c>
      <c r="B109" s="8">
        <f>'ALL 2024 H2 D80'!$B$2</f>
        <v>46114</v>
      </c>
      <c r="C109" s="8">
        <f>'ALL 2024 H2 D80'!$C$2</f>
        <v>46120</v>
      </c>
      <c r="D109" s="5">
        <v>3208</v>
      </c>
      <c r="E109" s="5">
        <v>320</v>
      </c>
      <c r="F109" s="5">
        <v>1</v>
      </c>
      <c r="G109" s="5">
        <v>1</v>
      </c>
      <c r="H109" s="5">
        <v>81490</v>
      </c>
      <c r="I109" s="5" t="s">
        <v>16</v>
      </c>
      <c r="J109" s="5">
        <v>87543600</v>
      </c>
      <c r="K109" s="5" t="s">
        <v>201</v>
      </c>
      <c r="L109" s="5" t="s">
        <v>205</v>
      </c>
      <c r="M109" s="6">
        <v>269900</v>
      </c>
      <c r="N109" s="7">
        <v>0.9</v>
      </c>
      <c r="O109" s="6">
        <f t="shared" si="3"/>
        <v>26990</v>
      </c>
      <c r="P109" s="5" t="s">
        <v>504</v>
      </c>
    </row>
    <row r="110" spans="1:16" x14ac:dyDescent="0.35">
      <c r="A110" s="5" t="str">
        <f t="shared" si="4"/>
        <v>2023 H2 All Items D90</v>
      </c>
      <c r="B110" s="8">
        <f>'ALL 2024 H2 D80'!$B$2</f>
        <v>46114</v>
      </c>
      <c r="C110" s="8">
        <f>'ALL 2024 H2 D80'!$C$2</f>
        <v>46120</v>
      </c>
      <c r="D110" s="5">
        <v>3208</v>
      </c>
      <c r="E110" s="5">
        <v>320</v>
      </c>
      <c r="F110" s="5">
        <v>1</v>
      </c>
      <c r="G110" s="5">
        <v>1</v>
      </c>
      <c r="H110" s="5">
        <v>81490</v>
      </c>
      <c r="I110" s="5" t="s">
        <v>16</v>
      </c>
      <c r="J110" s="5">
        <v>87543637</v>
      </c>
      <c r="K110" s="5" t="s">
        <v>201</v>
      </c>
      <c r="L110" s="5" t="s">
        <v>206</v>
      </c>
      <c r="M110" s="6">
        <v>269900</v>
      </c>
      <c r="N110" s="7">
        <v>0.9</v>
      </c>
      <c r="O110" s="6">
        <f t="shared" ref="O110:O173" si="5">M110-(M110*N110)</f>
        <v>26990</v>
      </c>
      <c r="P110" s="5" t="s">
        <v>504</v>
      </c>
    </row>
    <row r="111" spans="1:16" x14ac:dyDescent="0.35">
      <c r="A111" s="5" t="str">
        <f t="shared" si="4"/>
        <v>2023 H2 All Items D90</v>
      </c>
      <c r="B111" s="8">
        <f>'ALL 2024 H2 D80'!$B$2</f>
        <v>46114</v>
      </c>
      <c r="C111" s="8">
        <f>'ALL 2024 H2 D80'!$C$2</f>
        <v>46120</v>
      </c>
      <c r="D111" s="5">
        <v>3208</v>
      </c>
      <c r="E111" s="5">
        <v>320</v>
      </c>
      <c r="F111" s="5">
        <v>1</v>
      </c>
      <c r="G111" s="5">
        <v>1</v>
      </c>
      <c r="H111" s="5">
        <v>81490</v>
      </c>
      <c r="I111" s="5" t="s">
        <v>16</v>
      </c>
      <c r="J111" s="5">
        <v>87543646</v>
      </c>
      <c r="K111" s="5" t="s">
        <v>201</v>
      </c>
      <c r="L111" s="5" t="s">
        <v>207</v>
      </c>
      <c r="M111" s="6">
        <v>269900</v>
      </c>
      <c r="N111" s="7">
        <v>0.9</v>
      </c>
      <c r="O111" s="6">
        <f t="shared" si="5"/>
        <v>26990</v>
      </c>
      <c r="P111" s="5" t="s">
        <v>504</v>
      </c>
    </row>
    <row r="112" spans="1:16" x14ac:dyDescent="0.35">
      <c r="A112" s="5" t="str">
        <f t="shared" si="4"/>
        <v>2023 H2 All Items D90</v>
      </c>
      <c r="B112" s="8">
        <f>'ALL 2024 H2 D80'!$B$2</f>
        <v>46114</v>
      </c>
      <c r="C112" s="8">
        <f>'ALL 2024 H2 D80'!$C$2</f>
        <v>46120</v>
      </c>
      <c r="D112" s="5">
        <v>3208</v>
      </c>
      <c r="E112" s="5">
        <v>320</v>
      </c>
      <c r="F112" s="5">
        <v>1</v>
      </c>
      <c r="G112" s="5">
        <v>2</v>
      </c>
      <c r="H112" s="5">
        <v>81736</v>
      </c>
      <c r="I112" s="5" t="s">
        <v>16</v>
      </c>
      <c r="J112" s="5">
        <v>14274412</v>
      </c>
      <c r="K112" s="5" t="s">
        <v>298</v>
      </c>
      <c r="L112" s="5" t="s">
        <v>299</v>
      </c>
      <c r="M112" s="6">
        <v>199900</v>
      </c>
      <c r="N112" s="7">
        <v>0.9</v>
      </c>
      <c r="O112" s="6">
        <f t="shared" si="5"/>
        <v>19990</v>
      </c>
      <c r="P112" s="5" t="s">
        <v>504</v>
      </c>
    </row>
    <row r="113" spans="1:16" x14ac:dyDescent="0.35">
      <c r="A113" s="5" t="str">
        <f t="shared" si="4"/>
        <v>2023 H2 All Items D90</v>
      </c>
      <c r="B113" s="8">
        <f>'ALL 2024 H2 D80'!$B$2</f>
        <v>46114</v>
      </c>
      <c r="C113" s="8">
        <f>'ALL 2024 H2 D80'!$C$2</f>
        <v>46120</v>
      </c>
      <c r="D113" s="5">
        <v>3208</v>
      </c>
      <c r="E113" s="5">
        <v>320</v>
      </c>
      <c r="F113" s="5">
        <v>1</v>
      </c>
      <c r="G113" s="5">
        <v>2</v>
      </c>
      <c r="H113" s="5">
        <v>81736</v>
      </c>
      <c r="I113" s="5" t="s">
        <v>16</v>
      </c>
      <c r="J113" s="5">
        <v>14274421</v>
      </c>
      <c r="K113" s="5" t="s">
        <v>298</v>
      </c>
      <c r="L113" s="5" t="s">
        <v>300</v>
      </c>
      <c r="M113" s="6">
        <v>199900</v>
      </c>
      <c r="N113" s="7">
        <v>0.9</v>
      </c>
      <c r="O113" s="6">
        <f t="shared" si="5"/>
        <v>19990</v>
      </c>
      <c r="P113" s="5" t="s">
        <v>504</v>
      </c>
    </row>
    <row r="114" spans="1:16" x14ac:dyDescent="0.35">
      <c r="A114" s="5" t="str">
        <f t="shared" si="4"/>
        <v>2023 H2 All Items D90</v>
      </c>
      <c r="B114" s="8">
        <f>'ALL 2024 H2 D80'!$B$2</f>
        <v>46114</v>
      </c>
      <c r="C114" s="8">
        <f>'ALL 2024 H2 D80'!$C$2</f>
        <v>46120</v>
      </c>
      <c r="D114" s="5">
        <v>3208</v>
      </c>
      <c r="E114" s="5">
        <v>320</v>
      </c>
      <c r="F114" s="5">
        <v>1</v>
      </c>
      <c r="G114" s="5">
        <v>2</v>
      </c>
      <c r="H114" s="5">
        <v>81736</v>
      </c>
      <c r="I114" s="5" t="s">
        <v>16</v>
      </c>
      <c r="J114" s="5">
        <v>14274430</v>
      </c>
      <c r="K114" s="5" t="s">
        <v>298</v>
      </c>
      <c r="L114" s="5" t="s">
        <v>301</v>
      </c>
      <c r="M114" s="6">
        <v>199900</v>
      </c>
      <c r="N114" s="7">
        <v>0.9</v>
      </c>
      <c r="O114" s="6">
        <f t="shared" si="5"/>
        <v>19990</v>
      </c>
      <c r="P114" s="5" t="s">
        <v>504</v>
      </c>
    </row>
    <row r="115" spans="1:16" x14ac:dyDescent="0.35">
      <c r="A115" s="5" t="str">
        <f t="shared" si="4"/>
        <v>2023 H2 All Items D90</v>
      </c>
      <c r="B115" s="8">
        <f>'ALL 2024 H2 D80'!$B$2</f>
        <v>46114</v>
      </c>
      <c r="C115" s="8">
        <f>'ALL 2024 H2 D80'!$C$2</f>
        <v>46120</v>
      </c>
      <c r="D115" s="5">
        <v>3208</v>
      </c>
      <c r="E115" s="5">
        <v>320</v>
      </c>
      <c r="F115" s="5">
        <v>1</v>
      </c>
      <c r="G115" s="5">
        <v>2</v>
      </c>
      <c r="H115" s="5">
        <v>81736</v>
      </c>
      <c r="I115" s="5" t="s">
        <v>16</v>
      </c>
      <c r="J115" s="5">
        <v>14274449</v>
      </c>
      <c r="K115" s="5" t="s">
        <v>298</v>
      </c>
      <c r="L115" s="5" t="s">
        <v>302</v>
      </c>
      <c r="M115" s="6">
        <v>199900</v>
      </c>
      <c r="N115" s="7">
        <v>0.9</v>
      </c>
      <c r="O115" s="6">
        <f t="shared" si="5"/>
        <v>19990</v>
      </c>
      <c r="P115" s="5" t="s">
        <v>504</v>
      </c>
    </row>
    <row r="116" spans="1:16" x14ac:dyDescent="0.35">
      <c r="A116" s="5" t="str">
        <f t="shared" si="4"/>
        <v>2023 H2 All Items D90</v>
      </c>
      <c r="B116" s="8">
        <f>'ALL 2024 H2 D80'!$B$2</f>
        <v>46114</v>
      </c>
      <c r="C116" s="8">
        <f>'ALL 2024 H2 D80'!$C$2</f>
        <v>46120</v>
      </c>
      <c r="D116" s="5">
        <v>3208</v>
      </c>
      <c r="E116" s="5">
        <v>320</v>
      </c>
      <c r="F116" s="5">
        <v>1</v>
      </c>
      <c r="G116" s="5">
        <v>2</v>
      </c>
      <c r="H116" s="5">
        <v>81736</v>
      </c>
      <c r="I116" s="5" t="s">
        <v>16</v>
      </c>
      <c r="J116" s="5">
        <v>14274458</v>
      </c>
      <c r="K116" s="5" t="s">
        <v>298</v>
      </c>
      <c r="L116" s="5" t="s">
        <v>303</v>
      </c>
      <c r="M116" s="6">
        <v>199900</v>
      </c>
      <c r="N116" s="7">
        <v>0.9</v>
      </c>
      <c r="O116" s="6">
        <f t="shared" si="5"/>
        <v>19990</v>
      </c>
      <c r="P116" s="5" t="s">
        <v>504</v>
      </c>
    </row>
    <row r="117" spans="1:16" x14ac:dyDescent="0.35">
      <c r="A117" s="5" t="str">
        <f t="shared" si="4"/>
        <v>2023 H2 All Items D90</v>
      </c>
      <c r="B117" s="8">
        <f>'ALL 2024 H2 D80'!$B$2</f>
        <v>46114</v>
      </c>
      <c r="C117" s="8">
        <f>'ALL 2024 H2 D80'!$C$2</f>
        <v>46120</v>
      </c>
      <c r="D117" s="5">
        <v>3208</v>
      </c>
      <c r="E117" s="5">
        <v>320</v>
      </c>
      <c r="F117" s="5">
        <v>1</v>
      </c>
      <c r="G117" s="5">
        <v>2</v>
      </c>
      <c r="H117" s="5">
        <v>81736</v>
      </c>
      <c r="I117" s="5" t="s">
        <v>16</v>
      </c>
      <c r="J117" s="5">
        <v>14274467</v>
      </c>
      <c r="K117" s="5" t="s">
        <v>298</v>
      </c>
      <c r="L117" s="5" t="s">
        <v>304</v>
      </c>
      <c r="M117" s="6">
        <v>199900</v>
      </c>
      <c r="N117" s="7">
        <v>0.9</v>
      </c>
      <c r="O117" s="6">
        <f t="shared" si="5"/>
        <v>19990</v>
      </c>
      <c r="P117" s="5" t="s">
        <v>504</v>
      </c>
    </row>
    <row r="118" spans="1:16" x14ac:dyDescent="0.35">
      <c r="A118" s="5" t="str">
        <f t="shared" si="4"/>
        <v>2023 H2 All Items D90</v>
      </c>
      <c r="B118" s="8">
        <f>'ALL 2024 H2 D80'!$B$2</f>
        <v>46114</v>
      </c>
      <c r="C118" s="8">
        <f>'ALL 2024 H2 D80'!$C$2</f>
        <v>46120</v>
      </c>
      <c r="D118" s="5">
        <v>3208</v>
      </c>
      <c r="E118" s="5">
        <v>320</v>
      </c>
      <c r="F118" s="5">
        <v>1</v>
      </c>
      <c r="G118" s="5">
        <v>2</v>
      </c>
      <c r="H118" s="5">
        <v>81736</v>
      </c>
      <c r="I118" s="5" t="s">
        <v>16</v>
      </c>
      <c r="J118" s="5">
        <v>14274476</v>
      </c>
      <c r="K118" s="5" t="s">
        <v>298</v>
      </c>
      <c r="L118" s="5" t="s">
        <v>305</v>
      </c>
      <c r="M118" s="6">
        <v>199900</v>
      </c>
      <c r="N118" s="7">
        <v>0.9</v>
      </c>
      <c r="O118" s="6">
        <f t="shared" si="5"/>
        <v>19990</v>
      </c>
      <c r="P118" s="5" t="s">
        <v>504</v>
      </c>
    </row>
    <row r="119" spans="1:16" x14ac:dyDescent="0.35">
      <c r="A119" s="5" t="str">
        <f t="shared" si="4"/>
        <v>2023 H2 All Items D90</v>
      </c>
      <c r="B119" s="8">
        <f>'ALL 2024 H2 D80'!$B$2</f>
        <v>46114</v>
      </c>
      <c r="C119" s="8">
        <f>'ALL 2024 H2 D80'!$C$2</f>
        <v>46120</v>
      </c>
      <c r="D119" s="5">
        <v>3208</v>
      </c>
      <c r="E119" s="5">
        <v>320</v>
      </c>
      <c r="F119" s="5">
        <v>1</v>
      </c>
      <c r="G119" s="5">
        <v>2</v>
      </c>
      <c r="H119" s="5">
        <v>81736</v>
      </c>
      <c r="I119" s="5" t="s">
        <v>16</v>
      </c>
      <c r="J119" s="5">
        <v>14274485</v>
      </c>
      <c r="K119" s="5" t="s">
        <v>298</v>
      </c>
      <c r="L119" s="5" t="s">
        <v>306</v>
      </c>
      <c r="M119" s="6">
        <v>199900</v>
      </c>
      <c r="N119" s="7">
        <v>0.9</v>
      </c>
      <c r="O119" s="6">
        <f t="shared" si="5"/>
        <v>19990</v>
      </c>
      <c r="P119" s="5" t="s">
        <v>504</v>
      </c>
    </row>
    <row r="120" spans="1:16" x14ac:dyDescent="0.35">
      <c r="A120" s="5" t="str">
        <f t="shared" si="4"/>
        <v>2023 H2 All Items D90</v>
      </c>
      <c r="B120" s="8">
        <f>'ALL 2024 H2 D80'!$B$2</f>
        <v>46114</v>
      </c>
      <c r="C120" s="8">
        <f>'ALL 2024 H2 D80'!$C$2</f>
        <v>46120</v>
      </c>
      <c r="D120" s="5">
        <v>3208</v>
      </c>
      <c r="E120" s="5">
        <v>320</v>
      </c>
      <c r="F120" s="5">
        <v>1</v>
      </c>
      <c r="G120" s="5">
        <v>2</v>
      </c>
      <c r="H120" s="5">
        <v>81736</v>
      </c>
      <c r="I120" s="5" t="s">
        <v>16</v>
      </c>
      <c r="J120" s="5">
        <v>14274494</v>
      </c>
      <c r="K120" s="5" t="s">
        <v>298</v>
      </c>
      <c r="L120" s="5" t="s">
        <v>307</v>
      </c>
      <c r="M120" s="6">
        <v>199900</v>
      </c>
      <c r="N120" s="7">
        <v>0.9</v>
      </c>
      <c r="O120" s="6">
        <f t="shared" si="5"/>
        <v>19990</v>
      </c>
      <c r="P120" s="5" t="s">
        <v>504</v>
      </c>
    </row>
    <row r="121" spans="1:16" x14ac:dyDescent="0.35">
      <c r="A121" s="5" t="str">
        <f t="shared" si="4"/>
        <v>2023 H2 All Items D90</v>
      </c>
      <c r="B121" s="8">
        <f>'ALL 2024 H2 D80'!$B$2</f>
        <v>46114</v>
      </c>
      <c r="C121" s="8">
        <f>'ALL 2024 H2 D80'!$C$2</f>
        <v>46120</v>
      </c>
      <c r="D121" s="5">
        <v>3208</v>
      </c>
      <c r="E121" s="5">
        <v>320</v>
      </c>
      <c r="F121" s="5">
        <v>1</v>
      </c>
      <c r="G121" s="5">
        <v>2</v>
      </c>
      <c r="H121" s="5">
        <v>81736</v>
      </c>
      <c r="I121" s="5" t="s">
        <v>16</v>
      </c>
      <c r="J121" s="5">
        <v>14274501</v>
      </c>
      <c r="K121" s="5" t="s">
        <v>298</v>
      </c>
      <c r="L121" s="5" t="s">
        <v>308</v>
      </c>
      <c r="M121" s="6">
        <v>199900</v>
      </c>
      <c r="N121" s="7">
        <v>0.9</v>
      </c>
      <c r="O121" s="6">
        <f t="shared" si="5"/>
        <v>19990</v>
      </c>
      <c r="P121" s="5" t="s">
        <v>504</v>
      </c>
    </row>
    <row r="122" spans="1:16" x14ac:dyDescent="0.35">
      <c r="A122" s="5" t="str">
        <f t="shared" si="4"/>
        <v>2023 H2 All Items D90</v>
      </c>
      <c r="B122" s="8">
        <f>'ALL 2024 H2 D80'!$B$2</f>
        <v>46114</v>
      </c>
      <c r="C122" s="8">
        <f>'ALL 2024 H2 D80'!$C$2</f>
        <v>46120</v>
      </c>
      <c r="D122" s="5">
        <v>3208</v>
      </c>
      <c r="E122" s="5">
        <v>320</v>
      </c>
      <c r="F122" s="5">
        <v>1</v>
      </c>
      <c r="G122" s="5">
        <v>2</v>
      </c>
      <c r="H122" s="5">
        <v>81736</v>
      </c>
      <c r="I122" s="5" t="s">
        <v>16</v>
      </c>
      <c r="J122" s="5">
        <v>14274510</v>
      </c>
      <c r="K122" s="5" t="s">
        <v>298</v>
      </c>
      <c r="L122" s="5" t="s">
        <v>309</v>
      </c>
      <c r="M122" s="6">
        <v>199900</v>
      </c>
      <c r="N122" s="7">
        <v>0.9</v>
      </c>
      <c r="O122" s="6">
        <f t="shared" si="5"/>
        <v>19990</v>
      </c>
      <c r="P122" s="5" t="s">
        <v>504</v>
      </c>
    </row>
    <row r="123" spans="1:16" x14ac:dyDescent="0.35">
      <c r="A123" s="5" t="str">
        <f t="shared" si="4"/>
        <v>2023 H2 All Items D90</v>
      </c>
      <c r="B123" s="8">
        <f>'ALL 2024 H2 D80'!$B$2</f>
        <v>46114</v>
      </c>
      <c r="C123" s="8">
        <f>'ALL 2024 H2 D80'!$C$2</f>
        <v>46120</v>
      </c>
      <c r="D123" s="5">
        <v>3208</v>
      </c>
      <c r="E123" s="5">
        <v>320</v>
      </c>
      <c r="F123" s="5">
        <v>1</v>
      </c>
      <c r="G123" s="5">
        <v>2</v>
      </c>
      <c r="H123" s="5">
        <v>81736</v>
      </c>
      <c r="I123" s="5" t="s">
        <v>16</v>
      </c>
      <c r="J123" s="5">
        <v>14274529</v>
      </c>
      <c r="K123" s="5" t="s">
        <v>298</v>
      </c>
      <c r="L123" s="5" t="s">
        <v>310</v>
      </c>
      <c r="M123" s="6">
        <v>199900</v>
      </c>
      <c r="N123" s="7">
        <v>0.9</v>
      </c>
      <c r="O123" s="6">
        <f t="shared" si="5"/>
        <v>19990</v>
      </c>
      <c r="P123" s="5" t="s">
        <v>504</v>
      </c>
    </row>
    <row r="124" spans="1:16" x14ac:dyDescent="0.35">
      <c r="A124" s="5" t="str">
        <f t="shared" si="4"/>
        <v>2023 H2 All Items D90</v>
      </c>
      <c r="B124" s="8">
        <f>'ALL 2024 H2 D80'!$B$2</f>
        <v>46114</v>
      </c>
      <c r="C124" s="8">
        <f>'ALL 2024 H2 D80'!$C$2</f>
        <v>46120</v>
      </c>
      <c r="D124" s="5">
        <v>3208</v>
      </c>
      <c r="E124" s="5">
        <v>320</v>
      </c>
      <c r="F124" s="5">
        <v>1</v>
      </c>
      <c r="G124" s="5">
        <v>2</v>
      </c>
      <c r="H124" s="5">
        <v>81736</v>
      </c>
      <c r="I124" s="5" t="s">
        <v>16</v>
      </c>
      <c r="J124" s="5">
        <v>14827575</v>
      </c>
      <c r="K124" s="5" t="s">
        <v>311</v>
      </c>
      <c r="L124" s="5" t="s">
        <v>312</v>
      </c>
      <c r="M124" s="6">
        <v>229900</v>
      </c>
      <c r="N124" s="7">
        <v>0.9</v>
      </c>
      <c r="O124" s="6">
        <f t="shared" si="5"/>
        <v>22990</v>
      </c>
      <c r="P124" s="5" t="s">
        <v>504</v>
      </c>
    </row>
    <row r="125" spans="1:16" x14ac:dyDescent="0.35">
      <c r="A125" s="5" t="str">
        <f t="shared" si="4"/>
        <v>2023 H2 All Items D90</v>
      </c>
      <c r="B125" s="8">
        <f>'ALL 2024 H2 D80'!$B$2</f>
        <v>46114</v>
      </c>
      <c r="C125" s="8">
        <f>'ALL 2024 H2 D80'!$C$2</f>
        <v>46120</v>
      </c>
      <c r="D125" s="5">
        <v>3208</v>
      </c>
      <c r="E125" s="5">
        <v>320</v>
      </c>
      <c r="F125" s="5">
        <v>1</v>
      </c>
      <c r="G125" s="5">
        <v>2</v>
      </c>
      <c r="H125" s="5">
        <v>81736</v>
      </c>
      <c r="I125" s="5" t="s">
        <v>16</v>
      </c>
      <c r="J125" s="5">
        <v>14827584</v>
      </c>
      <c r="K125" s="5" t="s">
        <v>311</v>
      </c>
      <c r="L125" s="5" t="s">
        <v>313</v>
      </c>
      <c r="M125" s="6">
        <v>229900</v>
      </c>
      <c r="N125" s="7">
        <v>0.9</v>
      </c>
      <c r="O125" s="6">
        <f t="shared" si="5"/>
        <v>22990</v>
      </c>
      <c r="P125" s="5" t="s">
        <v>504</v>
      </c>
    </row>
    <row r="126" spans="1:16" x14ac:dyDescent="0.35">
      <c r="A126" s="5" t="str">
        <f t="shared" si="4"/>
        <v>2023 H2 All Items D90</v>
      </c>
      <c r="B126" s="8">
        <f>'ALL 2024 H2 D80'!$B$2</f>
        <v>46114</v>
      </c>
      <c r="C126" s="8">
        <f>'ALL 2024 H2 D80'!$C$2</f>
        <v>46120</v>
      </c>
      <c r="D126" s="5">
        <v>3208</v>
      </c>
      <c r="E126" s="5">
        <v>320</v>
      </c>
      <c r="F126" s="5">
        <v>1</v>
      </c>
      <c r="G126" s="5">
        <v>2</v>
      </c>
      <c r="H126" s="5">
        <v>81736</v>
      </c>
      <c r="I126" s="5" t="s">
        <v>16</v>
      </c>
      <c r="J126" s="5">
        <v>14827593</v>
      </c>
      <c r="K126" s="5" t="s">
        <v>311</v>
      </c>
      <c r="L126" s="5" t="s">
        <v>314</v>
      </c>
      <c r="M126" s="6">
        <v>229900</v>
      </c>
      <c r="N126" s="7">
        <v>0.9</v>
      </c>
      <c r="O126" s="6">
        <f t="shared" si="5"/>
        <v>22990</v>
      </c>
      <c r="P126" s="5" t="s">
        <v>504</v>
      </c>
    </row>
    <row r="127" spans="1:16" x14ac:dyDescent="0.35">
      <c r="A127" s="5" t="str">
        <f t="shared" si="4"/>
        <v>2023 H2 All Items D90</v>
      </c>
      <c r="B127" s="8">
        <f>'ALL 2024 H2 D80'!$B$2</f>
        <v>46114</v>
      </c>
      <c r="C127" s="8">
        <f>'ALL 2024 H2 D80'!$C$2</f>
        <v>46120</v>
      </c>
      <c r="D127" s="5">
        <v>3208</v>
      </c>
      <c r="E127" s="5">
        <v>320</v>
      </c>
      <c r="F127" s="5">
        <v>1</v>
      </c>
      <c r="G127" s="5">
        <v>2</v>
      </c>
      <c r="H127" s="5">
        <v>81736</v>
      </c>
      <c r="I127" s="5" t="s">
        <v>16</v>
      </c>
      <c r="J127" s="5">
        <v>14827600</v>
      </c>
      <c r="K127" s="5" t="s">
        <v>311</v>
      </c>
      <c r="L127" s="5" t="s">
        <v>315</v>
      </c>
      <c r="M127" s="6">
        <v>229900</v>
      </c>
      <c r="N127" s="7">
        <v>0.9</v>
      </c>
      <c r="O127" s="6">
        <f t="shared" si="5"/>
        <v>22990</v>
      </c>
      <c r="P127" s="5" t="s">
        <v>504</v>
      </c>
    </row>
    <row r="128" spans="1:16" x14ac:dyDescent="0.35">
      <c r="A128" s="5" t="str">
        <f t="shared" si="4"/>
        <v>2023 H2 All Items D90</v>
      </c>
      <c r="B128" s="8">
        <f>'ALL 2024 H2 D80'!$B$2</f>
        <v>46114</v>
      </c>
      <c r="C128" s="8">
        <f>'ALL 2024 H2 D80'!$C$2</f>
        <v>46120</v>
      </c>
      <c r="D128" s="5">
        <v>3208</v>
      </c>
      <c r="E128" s="5">
        <v>320</v>
      </c>
      <c r="F128" s="5">
        <v>1</v>
      </c>
      <c r="G128" s="5">
        <v>2</v>
      </c>
      <c r="H128" s="5">
        <v>81736</v>
      </c>
      <c r="I128" s="5" t="s">
        <v>16</v>
      </c>
      <c r="J128" s="5">
        <v>14827619</v>
      </c>
      <c r="K128" s="5" t="s">
        <v>311</v>
      </c>
      <c r="L128" s="5" t="s">
        <v>316</v>
      </c>
      <c r="M128" s="6">
        <v>229900</v>
      </c>
      <c r="N128" s="7">
        <v>0.9</v>
      </c>
      <c r="O128" s="6">
        <f t="shared" si="5"/>
        <v>22990</v>
      </c>
      <c r="P128" s="5" t="s">
        <v>504</v>
      </c>
    </row>
    <row r="129" spans="1:16" x14ac:dyDescent="0.35">
      <c r="A129" s="5" t="str">
        <f t="shared" si="4"/>
        <v>2023 H2 All Items D90</v>
      </c>
      <c r="B129" s="8">
        <f>'ALL 2024 H2 D80'!$B$2</f>
        <v>46114</v>
      </c>
      <c r="C129" s="8">
        <f>'ALL 2024 H2 D80'!$C$2</f>
        <v>46120</v>
      </c>
      <c r="D129" s="5">
        <v>3208</v>
      </c>
      <c r="E129" s="5">
        <v>320</v>
      </c>
      <c r="F129" s="5">
        <v>1</v>
      </c>
      <c r="G129" s="5">
        <v>2</v>
      </c>
      <c r="H129" s="5">
        <v>81736</v>
      </c>
      <c r="I129" s="5" t="s">
        <v>16</v>
      </c>
      <c r="J129" s="5">
        <v>14827628</v>
      </c>
      <c r="K129" s="5" t="s">
        <v>311</v>
      </c>
      <c r="L129" s="5" t="s">
        <v>317</v>
      </c>
      <c r="M129" s="6">
        <v>229900</v>
      </c>
      <c r="N129" s="7">
        <v>0.9</v>
      </c>
      <c r="O129" s="6">
        <f t="shared" si="5"/>
        <v>22990</v>
      </c>
      <c r="P129" s="5" t="s">
        <v>504</v>
      </c>
    </row>
    <row r="130" spans="1:16" x14ac:dyDescent="0.35">
      <c r="A130" s="5" t="str">
        <f t="shared" si="4"/>
        <v>2023 H2 All Items D90</v>
      </c>
      <c r="B130" s="8">
        <f>'ALL 2024 H2 D80'!$B$2</f>
        <v>46114</v>
      </c>
      <c r="C130" s="8">
        <f>'ALL 2024 H2 D80'!$C$2</f>
        <v>46120</v>
      </c>
      <c r="D130" s="5">
        <v>3208</v>
      </c>
      <c r="E130" s="5">
        <v>320</v>
      </c>
      <c r="F130" s="5">
        <v>1</v>
      </c>
      <c r="G130" s="5">
        <v>2</v>
      </c>
      <c r="H130" s="5">
        <v>81736</v>
      </c>
      <c r="I130" s="5" t="s">
        <v>16</v>
      </c>
      <c r="J130" s="5">
        <v>14827637</v>
      </c>
      <c r="K130" s="5" t="s">
        <v>311</v>
      </c>
      <c r="L130" s="5" t="s">
        <v>318</v>
      </c>
      <c r="M130" s="6">
        <v>229900</v>
      </c>
      <c r="N130" s="7">
        <v>0.9</v>
      </c>
      <c r="O130" s="6">
        <f t="shared" si="5"/>
        <v>22990</v>
      </c>
      <c r="P130" s="5" t="s">
        <v>504</v>
      </c>
    </row>
    <row r="131" spans="1:16" x14ac:dyDescent="0.35">
      <c r="A131" s="5" t="str">
        <f t="shared" si="4"/>
        <v>2023 H2 All Items D90</v>
      </c>
      <c r="B131" s="8">
        <f>'ALL 2024 H2 D80'!$B$2</f>
        <v>46114</v>
      </c>
      <c r="C131" s="8">
        <f>'ALL 2024 H2 D80'!$C$2</f>
        <v>46120</v>
      </c>
      <c r="D131" s="5">
        <v>3208</v>
      </c>
      <c r="E131" s="5">
        <v>320</v>
      </c>
      <c r="F131" s="5">
        <v>1</v>
      </c>
      <c r="G131" s="5">
        <v>2</v>
      </c>
      <c r="H131" s="5">
        <v>81736</v>
      </c>
      <c r="I131" s="5" t="s">
        <v>16</v>
      </c>
      <c r="J131" s="5">
        <v>14827646</v>
      </c>
      <c r="K131" s="5" t="s">
        <v>311</v>
      </c>
      <c r="L131" s="5" t="s">
        <v>319</v>
      </c>
      <c r="M131" s="6">
        <v>229900</v>
      </c>
      <c r="N131" s="7">
        <v>0.9</v>
      </c>
      <c r="O131" s="6">
        <f t="shared" si="5"/>
        <v>22990</v>
      </c>
      <c r="P131" s="5" t="s">
        <v>504</v>
      </c>
    </row>
    <row r="132" spans="1:16" x14ac:dyDescent="0.35">
      <c r="A132" s="5" t="str">
        <f t="shared" ref="A132:A195" si="6">$A$2</f>
        <v>2023 H2 All Items D90</v>
      </c>
      <c r="B132" s="8">
        <f>'ALL 2024 H2 D80'!$B$2</f>
        <v>46114</v>
      </c>
      <c r="C132" s="8">
        <f>'ALL 2024 H2 D80'!$C$2</f>
        <v>46120</v>
      </c>
      <c r="D132" s="5">
        <v>3208</v>
      </c>
      <c r="E132" s="5">
        <v>320</v>
      </c>
      <c r="F132" s="5">
        <v>1</v>
      </c>
      <c r="G132" s="5">
        <v>2</v>
      </c>
      <c r="H132" s="5">
        <v>81736</v>
      </c>
      <c r="I132" s="5" t="s">
        <v>16</v>
      </c>
      <c r="J132" s="5">
        <v>14827655</v>
      </c>
      <c r="K132" s="5" t="s">
        <v>311</v>
      </c>
      <c r="L132" s="5" t="s">
        <v>320</v>
      </c>
      <c r="M132" s="6">
        <v>229900</v>
      </c>
      <c r="N132" s="7">
        <v>0.9</v>
      </c>
      <c r="O132" s="6">
        <f t="shared" si="5"/>
        <v>22990</v>
      </c>
      <c r="P132" s="5" t="s">
        <v>504</v>
      </c>
    </row>
    <row r="133" spans="1:16" x14ac:dyDescent="0.35">
      <c r="A133" s="5" t="str">
        <f t="shared" si="6"/>
        <v>2023 H2 All Items D90</v>
      </c>
      <c r="B133" s="8">
        <f>'ALL 2024 H2 D80'!$B$2</f>
        <v>46114</v>
      </c>
      <c r="C133" s="8">
        <f>'ALL 2024 H2 D80'!$C$2</f>
        <v>46120</v>
      </c>
      <c r="D133" s="5">
        <v>3208</v>
      </c>
      <c r="E133" s="5">
        <v>320</v>
      </c>
      <c r="F133" s="5">
        <v>1</v>
      </c>
      <c r="G133" s="5">
        <v>2</v>
      </c>
      <c r="H133" s="5">
        <v>81736</v>
      </c>
      <c r="I133" s="5" t="s">
        <v>16</v>
      </c>
      <c r="J133" s="5">
        <v>14827664</v>
      </c>
      <c r="K133" s="5" t="s">
        <v>311</v>
      </c>
      <c r="L133" s="5" t="s">
        <v>321</v>
      </c>
      <c r="M133" s="6">
        <v>229900</v>
      </c>
      <c r="N133" s="7">
        <v>0.9</v>
      </c>
      <c r="O133" s="6">
        <f t="shared" si="5"/>
        <v>22990</v>
      </c>
      <c r="P133" s="5" t="s">
        <v>504</v>
      </c>
    </row>
    <row r="134" spans="1:16" x14ac:dyDescent="0.35">
      <c r="A134" s="5" t="str">
        <f t="shared" si="6"/>
        <v>2023 H2 All Items D90</v>
      </c>
      <c r="B134" s="8">
        <f>'ALL 2024 H2 D80'!$B$2</f>
        <v>46114</v>
      </c>
      <c r="C134" s="8">
        <f>'ALL 2024 H2 D80'!$C$2</f>
        <v>46120</v>
      </c>
      <c r="D134" s="5">
        <v>3208</v>
      </c>
      <c r="E134" s="5">
        <v>320</v>
      </c>
      <c r="F134" s="5">
        <v>1</v>
      </c>
      <c r="G134" s="5">
        <v>2</v>
      </c>
      <c r="H134" s="5">
        <v>81736</v>
      </c>
      <c r="I134" s="5" t="s">
        <v>16</v>
      </c>
      <c r="J134" s="5">
        <v>14827673</v>
      </c>
      <c r="K134" s="5" t="s">
        <v>311</v>
      </c>
      <c r="L134" s="5" t="s">
        <v>322</v>
      </c>
      <c r="M134" s="6">
        <v>229900</v>
      </c>
      <c r="N134" s="7">
        <v>0.9</v>
      </c>
      <c r="O134" s="6">
        <f t="shared" si="5"/>
        <v>22990</v>
      </c>
      <c r="P134" s="5" t="s">
        <v>504</v>
      </c>
    </row>
    <row r="135" spans="1:16" x14ac:dyDescent="0.35">
      <c r="A135" s="5" t="str">
        <f t="shared" si="6"/>
        <v>2023 H2 All Items D90</v>
      </c>
      <c r="B135" s="8">
        <f>'ALL 2024 H2 D80'!$B$2</f>
        <v>46114</v>
      </c>
      <c r="C135" s="8">
        <f>'ALL 2024 H2 D80'!$C$2</f>
        <v>46120</v>
      </c>
      <c r="D135" s="5">
        <v>3208</v>
      </c>
      <c r="E135" s="5">
        <v>320</v>
      </c>
      <c r="F135" s="5">
        <v>1</v>
      </c>
      <c r="G135" s="5">
        <v>2</v>
      </c>
      <c r="H135" s="5">
        <v>81736</v>
      </c>
      <c r="I135" s="5" t="s">
        <v>16</v>
      </c>
      <c r="J135" s="5">
        <v>14827682</v>
      </c>
      <c r="K135" s="5" t="s">
        <v>311</v>
      </c>
      <c r="L135" s="5" t="s">
        <v>323</v>
      </c>
      <c r="M135" s="6">
        <v>229900</v>
      </c>
      <c r="N135" s="7">
        <v>0.9</v>
      </c>
      <c r="O135" s="6">
        <f t="shared" si="5"/>
        <v>22990</v>
      </c>
      <c r="P135" s="5" t="s">
        <v>504</v>
      </c>
    </row>
    <row r="136" spans="1:16" x14ac:dyDescent="0.35">
      <c r="A136" s="5" t="str">
        <f t="shared" si="6"/>
        <v>2023 H2 All Items D90</v>
      </c>
      <c r="B136" s="8">
        <f>'ALL 2024 H2 D80'!$B$2</f>
        <v>46114</v>
      </c>
      <c r="C136" s="8">
        <f>'ALL 2024 H2 D80'!$C$2</f>
        <v>46120</v>
      </c>
      <c r="D136" s="5">
        <v>3208</v>
      </c>
      <c r="E136" s="5">
        <v>320</v>
      </c>
      <c r="F136" s="5">
        <v>1</v>
      </c>
      <c r="G136" s="5">
        <v>2</v>
      </c>
      <c r="H136" s="5">
        <v>81736</v>
      </c>
      <c r="I136" s="5" t="s">
        <v>16</v>
      </c>
      <c r="J136" s="5">
        <v>82238137</v>
      </c>
      <c r="K136" s="5" t="s">
        <v>324</v>
      </c>
      <c r="L136" s="5" t="s">
        <v>325</v>
      </c>
      <c r="M136" s="6">
        <v>199900</v>
      </c>
      <c r="N136" s="7">
        <v>0.9</v>
      </c>
      <c r="O136" s="6">
        <f t="shared" si="5"/>
        <v>19990</v>
      </c>
      <c r="P136" s="5" t="s">
        <v>504</v>
      </c>
    </row>
    <row r="137" spans="1:16" x14ac:dyDescent="0.35">
      <c r="A137" s="5" t="str">
        <f t="shared" si="6"/>
        <v>2023 H2 All Items D90</v>
      </c>
      <c r="B137" s="8">
        <f>'ALL 2024 H2 D80'!$B$2</f>
        <v>46114</v>
      </c>
      <c r="C137" s="8">
        <f>'ALL 2024 H2 D80'!$C$2</f>
        <v>46120</v>
      </c>
      <c r="D137" s="5">
        <v>3208</v>
      </c>
      <c r="E137" s="5">
        <v>320</v>
      </c>
      <c r="F137" s="5">
        <v>1</v>
      </c>
      <c r="G137" s="5">
        <v>2</v>
      </c>
      <c r="H137" s="5">
        <v>81736</v>
      </c>
      <c r="I137" s="5" t="s">
        <v>16</v>
      </c>
      <c r="J137" s="5">
        <v>82238146</v>
      </c>
      <c r="K137" s="5" t="s">
        <v>324</v>
      </c>
      <c r="L137" s="5" t="s">
        <v>326</v>
      </c>
      <c r="M137" s="6">
        <v>199900</v>
      </c>
      <c r="N137" s="7">
        <v>0.9</v>
      </c>
      <c r="O137" s="6">
        <f t="shared" si="5"/>
        <v>19990</v>
      </c>
      <c r="P137" s="5" t="s">
        <v>504</v>
      </c>
    </row>
    <row r="138" spans="1:16" x14ac:dyDescent="0.35">
      <c r="A138" s="5" t="str">
        <f t="shared" si="6"/>
        <v>2023 H2 All Items D90</v>
      </c>
      <c r="B138" s="8">
        <f>'ALL 2024 H2 D80'!$B$2</f>
        <v>46114</v>
      </c>
      <c r="C138" s="8">
        <f>'ALL 2024 H2 D80'!$C$2</f>
        <v>46120</v>
      </c>
      <c r="D138" s="5">
        <v>3208</v>
      </c>
      <c r="E138" s="5">
        <v>320</v>
      </c>
      <c r="F138" s="5">
        <v>1</v>
      </c>
      <c r="G138" s="5">
        <v>2</v>
      </c>
      <c r="H138" s="5">
        <v>81736</v>
      </c>
      <c r="I138" s="5" t="s">
        <v>16</v>
      </c>
      <c r="J138" s="5">
        <v>82238155</v>
      </c>
      <c r="K138" s="5" t="s">
        <v>324</v>
      </c>
      <c r="L138" s="5" t="s">
        <v>327</v>
      </c>
      <c r="M138" s="6">
        <v>199900</v>
      </c>
      <c r="N138" s="7">
        <v>0.9</v>
      </c>
      <c r="O138" s="6">
        <f t="shared" si="5"/>
        <v>19990</v>
      </c>
      <c r="P138" s="5" t="s">
        <v>504</v>
      </c>
    </row>
    <row r="139" spans="1:16" x14ac:dyDescent="0.35">
      <c r="A139" s="5" t="str">
        <f t="shared" si="6"/>
        <v>2023 H2 All Items D90</v>
      </c>
      <c r="B139" s="8">
        <f>'ALL 2024 H2 D80'!$B$2</f>
        <v>46114</v>
      </c>
      <c r="C139" s="8">
        <f>'ALL 2024 H2 D80'!$C$2</f>
        <v>46120</v>
      </c>
      <c r="D139" s="5">
        <v>3208</v>
      </c>
      <c r="E139" s="5">
        <v>320</v>
      </c>
      <c r="F139" s="5">
        <v>1</v>
      </c>
      <c r="G139" s="5">
        <v>2</v>
      </c>
      <c r="H139" s="5">
        <v>81736</v>
      </c>
      <c r="I139" s="5" t="s">
        <v>16</v>
      </c>
      <c r="J139" s="5">
        <v>82238164</v>
      </c>
      <c r="K139" s="5" t="s">
        <v>324</v>
      </c>
      <c r="L139" s="5" t="s">
        <v>328</v>
      </c>
      <c r="M139" s="6">
        <v>199900</v>
      </c>
      <c r="N139" s="7">
        <v>0.9</v>
      </c>
      <c r="O139" s="6">
        <f t="shared" si="5"/>
        <v>19990</v>
      </c>
      <c r="P139" s="5" t="s">
        <v>504</v>
      </c>
    </row>
    <row r="140" spans="1:16" x14ac:dyDescent="0.35">
      <c r="A140" s="5" t="str">
        <f t="shared" si="6"/>
        <v>2023 H2 All Items D90</v>
      </c>
      <c r="B140" s="8">
        <f>'ALL 2024 H2 D80'!$B$2</f>
        <v>46114</v>
      </c>
      <c r="C140" s="8">
        <f>'ALL 2024 H2 D80'!$C$2</f>
        <v>46120</v>
      </c>
      <c r="D140" s="5">
        <v>3208</v>
      </c>
      <c r="E140" s="5">
        <v>320</v>
      </c>
      <c r="F140" s="5">
        <v>1</v>
      </c>
      <c r="G140" s="5">
        <v>2</v>
      </c>
      <c r="H140" s="5">
        <v>81736</v>
      </c>
      <c r="I140" s="5" t="s">
        <v>16</v>
      </c>
      <c r="J140" s="5">
        <v>82238173</v>
      </c>
      <c r="K140" s="5" t="s">
        <v>324</v>
      </c>
      <c r="L140" s="5" t="s">
        <v>329</v>
      </c>
      <c r="M140" s="6">
        <v>199900</v>
      </c>
      <c r="N140" s="7">
        <v>0.9</v>
      </c>
      <c r="O140" s="6">
        <f t="shared" si="5"/>
        <v>19990</v>
      </c>
      <c r="P140" s="5" t="s">
        <v>504</v>
      </c>
    </row>
    <row r="141" spans="1:16" x14ac:dyDescent="0.35">
      <c r="A141" s="5" t="str">
        <f t="shared" si="6"/>
        <v>2023 H2 All Items D90</v>
      </c>
      <c r="B141" s="8">
        <f>'ALL 2024 H2 D80'!$B$2</f>
        <v>46114</v>
      </c>
      <c r="C141" s="8">
        <f>'ALL 2024 H2 D80'!$C$2</f>
        <v>46120</v>
      </c>
      <c r="D141" s="5">
        <v>3208</v>
      </c>
      <c r="E141" s="5">
        <v>320</v>
      </c>
      <c r="F141" s="5">
        <v>1</v>
      </c>
      <c r="G141" s="5">
        <v>2</v>
      </c>
      <c r="H141" s="5">
        <v>81736</v>
      </c>
      <c r="I141" s="5" t="s">
        <v>16</v>
      </c>
      <c r="J141" s="5">
        <v>82238182</v>
      </c>
      <c r="K141" s="5" t="s">
        <v>324</v>
      </c>
      <c r="L141" s="5" t="s">
        <v>330</v>
      </c>
      <c r="M141" s="6">
        <v>199900</v>
      </c>
      <c r="N141" s="7">
        <v>0.9</v>
      </c>
      <c r="O141" s="6">
        <f t="shared" si="5"/>
        <v>19990</v>
      </c>
      <c r="P141" s="5" t="s">
        <v>504</v>
      </c>
    </row>
    <row r="142" spans="1:16" x14ac:dyDescent="0.35">
      <c r="A142" s="5" t="str">
        <f t="shared" si="6"/>
        <v>2023 H2 All Items D90</v>
      </c>
      <c r="B142" s="8">
        <f>'ALL 2024 H2 D80'!$B$2</f>
        <v>46114</v>
      </c>
      <c r="C142" s="8">
        <f>'ALL 2024 H2 D80'!$C$2</f>
        <v>46120</v>
      </c>
      <c r="D142" s="5">
        <v>3208</v>
      </c>
      <c r="E142" s="5">
        <v>320</v>
      </c>
      <c r="F142" s="5">
        <v>1</v>
      </c>
      <c r="G142" s="5">
        <v>2</v>
      </c>
      <c r="H142" s="5">
        <v>81736</v>
      </c>
      <c r="I142" s="5" t="s">
        <v>16</v>
      </c>
      <c r="J142" s="5">
        <v>82238191</v>
      </c>
      <c r="K142" s="5" t="s">
        <v>324</v>
      </c>
      <c r="L142" s="5" t="s">
        <v>331</v>
      </c>
      <c r="M142" s="6">
        <v>199900</v>
      </c>
      <c r="N142" s="7">
        <v>0.9</v>
      </c>
      <c r="O142" s="6">
        <f t="shared" si="5"/>
        <v>19990</v>
      </c>
      <c r="P142" s="5" t="s">
        <v>504</v>
      </c>
    </row>
    <row r="143" spans="1:16" x14ac:dyDescent="0.35">
      <c r="A143" s="5" t="str">
        <f t="shared" si="6"/>
        <v>2023 H2 All Items D90</v>
      </c>
      <c r="B143" s="8">
        <f>'ALL 2024 H2 D80'!$B$2</f>
        <v>46114</v>
      </c>
      <c r="C143" s="8">
        <f>'ALL 2024 H2 D80'!$C$2</f>
        <v>46120</v>
      </c>
      <c r="D143" s="5">
        <v>3208</v>
      </c>
      <c r="E143" s="5">
        <v>320</v>
      </c>
      <c r="F143" s="5">
        <v>1</v>
      </c>
      <c r="G143" s="5">
        <v>2</v>
      </c>
      <c r="H143" s="5">
        <v>81736</v>
      </c>
      <c r="I143" s="5" t="s">
        <v>16</v>
      </c>
      <c r="J143" s="5">
        <v>82238208</v>
      </c>
      <c r="K143" s="5" t="s">
        <v>324</v>
      </c>
      <c r="L143" s="5" t="s">
        <v>332</v>
      </c>
      <c r="M143" s="6">
        <v>199900</v>
      </c>
      <c r="N143" s="7">
        <v>0.9</v>
      </c>
      <c r="O143" s="6">
        <f t="shared" si="5"/>
        <v>19990</v>
      </c>
      <c r="P143" s="5" t="s">
        <v>504</v>
      </c>
    </row>
    <row r="144" spans="1:16" x14ac:dyDescent="0.35">
      <c r="A144" s="5" t="str">
        <f t="shared" si="6"/>
        <v>2023 H2 All Items D90</v>
      </c>
      <c r="B144" s="8">
        <f>'ALL 2024 H2 D80'!$B$2</f>
        <v>46114</v>
      </c>
      <c r="C144" s="8">
        <f>'ALL 2024 H2 D80'!$C$2</f>
        <v>46120</v>
      </c>
      <c r="D144" s="5">
        <v>3208</v>
      </c>
      <c r="E144" s="5">
        <v>320</v>
      </c>
      <c r="F144" s="5">
        <v>1</v>
      </c>
      <c r="G144" s="5">
        <v>2</v>
      </c>
      <c r="H144" s="5">
        <v>81736</v>
      </c>
      <c r="I144" s="5" t="s">
        <v>16</v>
      </c>
      <c r="J144" s="5">
        <v>83517459</v>
      </c>
      <c r="K144" s="5" t="s">
        <v>333</v>
      </c>
      <c r="L144" s="5" t="s">
        <v>334</v>
      </c>
      <c r="M144" s="6">
        <v>229900</v>
      </c>
      <c r="N144" s="7">
        <v>0.9</v>
      </c>
      <c r="O144" s="6">
        <f t="shared" si="5"/>
        <v>22990</v>
      </c>
      <c r="P144" s="5" t="s">
        <v>504</v>
      </c>
    </row>
    <row r="145" spans="1:16" x14ac:dyDescent="0.35">
      <c r="A145" s="5" t="str">
        <f t="shared" si="6"/>
        <v>2023 H2 All Items D90</v>
      </c>
      <c r="B145" s="8">
        <f>'ALL 2024 H2 D80'!$B$2</f>
        <v>46114</v>
      </c>
      <c r="C145" s="8">
        <f>'ALL 2024 H2 D80'!$C$2</f>
        <v>46120</v>
      </c>
      <c r="D145" s="5">
        <v>3208</v>
      </c>
      <c r="E145" s="5">
        <v>320</v>
      </c>
      <c r="F145" s="5">
        <v>1</v>
      </c>
      <c r="G145" s="5">
        <v>2</v>
      </c>
      <c r="H145" s="5">
        <v>81736</v>
      </c>
      <c r="I145" s="5" t="s">
        <v>16</v>
      </c>
      <c r="J145" s="5">
        <v>83517468</v>
      </c>
      <c r="K145" s="5" t="s">
        <v>333</v>
      </c>
      <c r="L145" s="5" t="s">
        <v>335</v>
      </c>
      <c r="M145" s="6">
        <v>229900</v>
      </c>
      <c r="N145" s="7">
        <v>0.9</v>
      </c>
      <c r="O145" s="6">
        <f t="shared" si="5"/>
        <v>22990</v>
      </c>
      <c r="P145" s="5" t="s">
        <v>504</v>
      </c>
    </row>
    <row r="146" spans="1:16" x14ac:dyDescent="0.35">
      <c r="A146" s="5" t="str">
        <f t="shared" si="6"/>
        <v>2023 H2 All Items D90</v>
      </c>
      <c r="B146" s="8">
        <f>'ALL 2024 H2 D80'!$B$2</f>
        <v>46114</v>
      </c>
      <c r="C146" s="8">
        <f>'ALL 2024 H2 D80'!$C$2</f>
        <v>46120</v>
      </c>
      <c r="D146" s="5">
        <v>3208</v>
      </c>
      <c r="E146" s="5">
        <v>320</v>
      </c>
      <c r="F146" s="5">
        <v>1</v>
      </c>
      <c r="G146" s="5">
        <v>2</v>
      </c>
      <c r="H146" s="5">
        <v>81736</v>
      </c>
      <c r="I146" s="5" t="s">
        <v>16</v>
      </c>
      <c r="J146" s="5">
        <v>83517477</v>
      </c>
      <c r="K146" s="5" t="s">
        <v>333</v>
      </c>
      <c r="L146" s="5" t="s">
        <v>336</v>
      </c>
      <c r="M146" s="6">
        <v>229900</v>
      </c>
      <c r="N146" s="7">
        <v>0.9</v>
      </c>
      <c r="O146" s="6">
        <f t="shared" si="5"/>
        <v>22990</v>
      </c>
      <c r="P146" s="5" t="s">
        <v>504</v>
      </c>
    </row>
    <row r="147" spans="1:16" x14ac:dyDescent="0.35">
      <c r="A147" s="5" t="str">
        <f t="shared" si="6"/>
        <v>2023 H2 All Items D90</v>
      </c>
      <c r="B147" s="8">
        <f>'ALL 2024 H2 D80'!$B$2</f>
        <v>46114</v>
      </c>
      <c r="C147" s="8">
        <f>'ALL 2024 H2 D80'!$C$2</f>
        <v>46120</v>
      </c>
      <c r="D147" s="5">
        <v>3208</v>
      </c>
      <c r="E147" s="5">
        <v>320</v>
      </c>
      <c r="F147" s="5">
        <v>1</v>
      </c>
      <c r="G147" s="5">
        <v>2</v>
      </c>
      <c r="H147" s="5">
        <v>81736</v>
      </c>
      <c r="I147" s="5" t="s">
        <v>16</v>
      </c>
      <c r="J147" s="5">
        <v>83517486</v>
      </c>
      <c r="K147" s="5" t="s">
        <v>333</v>
      </c>
      <c r="L147" s="5" t="s">
        <v>337</v>
      </c>
      <c r="M147" s="6">
        <v>229900</v>
      </c>
      <c r="N147" s="7">
        <v>0.9</v>
      </c>
      <c r="O147" s="6">
        <f t="shared" si="5"/>
        <v>22990</v>
      </c>
      <c r="P147" s="5" t="s">
        <v>504</v>
      </c>
    </row>
    <row r="148" spans="1:16" x14ac:dyDescent="0.35">
      <c r="A148" s="5" t="str">
        <f t="shared" si="6"/>
        <v>2023 H2 All Items D90</v>
      </c>
      <c r="B148" s="8">
        <f>'ALL 2024 H2 D80'!$B$2</f>
        <v>46114</v>
      </c>
      <c r="C148" s="8">
        <f>'ALL 2024 H2 D80'!$C$2</f>
        <v>46120</v>
      </c>
      <c r="D148" s="5">
        <v>3208</v>
      </c>
      <c r="E148" s="5">
        <v>320</v>
      </c>
      <c r="F148" s="5">
        <v>1</v>
      </c>
      <c r="G148" s="5">
        <v>2</v>
      </c>
      <c r="H148" s="5">
        <v>81736</v>
      </c>
      <c r="I148" s="5" t="s">
        <v>16</v>
      </c>
      <c r="J148" s="5">
        <v>83517495</v>
      </c>
      <c r="K148" s="5" t="s">
        <v>333</v>
      </c>
      <c r="L148" s="5" t="s">
        <v>338</v>
      </c>
      <c r="M148" s="6">
        <v>229900</v>
      </c>
      <c r="N148" s="7">
        <v>0.9</v>
      </c>
      <c r="O148" s="6">
        <f t="shared" si="5"/>
        <v>22990</v>
      </c>
      <c r="P148" s="5" t="s">
        <v>504</v>
      </c>
    </row>
    <row r="149" spans="1:16" x14ac:dyDescent="0.35">
      <c r="A149" s="5" t="str">
        <f t="shared" si="6"/>
        <v>2023 H2 All Items D90</v>
      </c>
      <c r="B149" s="8">
        <f>'ALL 2024 H2 D80'!$B$2</f>
        <v>46114</v>
      </c>
      <c r="C149" s="8">
        <f>'ALL 2024 H2 D80'!$C$2</f>
        <v>46120</v>
      </c>
      <c r="D149" s="5">
        <v>3208</v>
      </c>
      <c r="E149" s="5">
        <v>320</v>
      </c>
      <c r="F149" s="5">
        <v>1</v>
      </c>
      <c r="G149" s="5">
        <v>2</v>
      </c>
      <c r="H149" s="5">
        <v>81736</v>
      </c>
      <c r="I149" s="5" t="s">
        <v>16</v>
      </c>
      <c r="J149" s="5">
        <v>83517502</v>
      </c>
      <c r="K149" s="5" t="s">
        <v>333</v>
      </c>
      <c r="L149" s="5" t="s">
        <v>339</v>
      </c>
      <c r="M149" s="6">
        <v>229900</v>
      </c>
      <c r="N149" s="7">
        <v>0.9</v>
      </c>
      <c r="O149" s="6">
        <f t="shared" si="5"/>
        <v>22990</v>
      </c>
      <c r="P149" s="5" t="s">
        <v>504</v>
      </c>
    </row>
    <row r="150" spans="1:16" x14ac:dyDescent="0.35">
      <c r="A150" s="5" t="str">
        <f t="shared" si="6"/>
        <v>2023 H2 All Items D90</v>
      </c>
      <c r="B150" s="8">
        <f>'ALL 2024 H2 D80'!$B$2</f>
        <v>46114</v>
      </c>
      <c r="C150" s="8">
        <f>'ALL 2024 H2 D80'!$C$2</f>
        <v>46120</v>
      </c>
      <c r="D150" s="5">
        <v>3208</v>
      </c>
      <c r="E150" s="5">
        <v>320</v>
      </c>
      <c r="F150" s="5">
        <v>1</v>
      </c>
      <c r="G150" s="5">
        <v>2</v>
      </c>
      <c r="H150" s="5">
        <v>81736</v>
      </c>
      <c r="I150" s="5" t="s">
        <v>16</v>
      </c>
      <c r="J150" s="5">
        <v>83517511</v>
      </c>
      <c r="K150" s="5" t="s">
        <v>333</v>
      </c>
      <c r="L150" s="5" t="s">
        <v>340</v>
      </c>
      <c r="M150" s="6">
        <v>229900</v>
      </c>
      <c r="N150" s="7">
        <v>0.9</v>
      </c>
      <c r="O150" s="6">
        <f t="shared" si="5"/>
        <v>22990</v>
      </c>
      <c r="P150" s="5" t="s">
        <v>504</v>
      </c>
    </row>
    <row r="151" spans="1:16" x14ac:dyDescent="0.35">
      <c r="A151" s="5" t="str">
        <f t="shared" si="6"/>
        <v>2023 H2 All Items D90</v>
      </c>
      <c r="B151" s="8">
        <f>'ALL 2024 H2 D80'!$B$2</f>
        <v>46114</v>
      </c>
      <c r="C151" s="8">
        <f>'ALL 2024 H2 D80'!$C$2</f>
        <v>46120</v>
      </c>
      <c r="D151" s="5">
        <v>3208</v>
      </c>
      <c r="E151" s="5">
        <v>320</v>
      </c>
      <c r="F151" s="5">
        <v>1</v>
      </c>
      <c r="G151" s="5">
        <v>2</v>
      </c>
      <c r="H151" s="5">
        <v>81736</v>
      </c>
      <c r="I151" s="5" t="s">
        <v>16</v>
      </c>
      <c r="J151" s="5">
        <v>83517520</v>
      </c>
      <c r="K151" s="5" t="s">
        <v>333</v>
      </c>
      <c r="L151" s="5" t="s">
        <v>341</v>
      </c>
      <c r="M151" s="6">
        <v>229900</v>
      </c>
      <c r="N151" s="7">
        <v>0.9</v>
      </c>
      <c r="O151" s="6">
        <f t="shared" si="5"/>
        <v>22990</v>
      </c>
      <c r="P151" s="5" t="s">
        <v>504</v>
      </c>
    </row>
    <row r="152" spans="1:16" x14ac:dyDescent="0.35">
      <c r="A152" s="5" t="str">
        <f t="shared" si="6"/>
        <v>2023 H2 All Items D90</v>
      </c>
      <c r="B152" s="8">
        <f>'ALL 2024 H2 D80'!$B$2</f>
        <v>46114</v>
      </c>
      <c r="C152" s="8">
        <f>'ALL 2024 H2 D80'!$C$2</f>
        <v>46120</v>
      </c>
      <c r="D152" s="5">
        <v>3208</v>
      </c>
      <c r="E152" s="5">
        <v>320</v>
      </c>
      <c r="F152" s="5">
        <v>1</v>
      </c>
      <c r="G152" s="5">
        <v>2</v>
      </c>
      <c r="H152" s="5">
        <v>81602</v>
      </c>
      <c r="I152" s="5" t="s">
        <v>16</v>
      </c>
      <c r="J152" s="5">
        <v>81335775</v>
      </c>
      <c r="K152" s="5" t="s">
        <v>141</v>
      </c>
      <c r="L152" s="5" t="s">
        <v>142</v>
      </c>
      <c r="M152" s="6">
        <v>89900</v>
      </c>
      <c r="N152" s="7">
        <v>0.9</v>
      </c>
      <c r="O152" s="6">
        <f t="shared" si="5"/>
        <v>8990</v>
      </c>
      <c r="P152" s="5" t="s">
        <v>504</v>
      </c>
    </row>
    <row r="153" spans="1:16" x14ac:dyDescent="0.35">
      <c r="A153" s="5" t="str">
        <f t="shared" si="6"/>
        <v>2023 H2 All Items D90</v>
      </c>
      <c r="B153" s="8">
        <f>'ALL 2024 H2 D80'!$B$2</f>
        <v>46114</v>
      </c>
      <c r="C153" s="8">
        <f>'ALL 2024 H2 D80'!$C$2</f>
        <v>46120</v>
      </c>
      <c r="D153" s="5">
        <v>3208</v>
      </c>
      <c r="E153" s="5">
        <v>320</v>
      </c>
      <c r="F153" s="5">
        <v>1</v>
      </c>
      <c r="G153" s="5">
        <v>2</v>
      </c>
      <c r="H153" s="5">
        <v>81602</v>
      </c>
      <c r="I153" s="5" t="s">
        <v>16</v>
      </c>
      <c r="J153" s="5">
        <v>81335784</v>
      </c>
      <c r="K153" s="5" t="s">
        <v>141</v>
      </c>
      <c r="L153" s="5" t="s">
        <v>143</v>
      </c>
      <c r="M153" s="6">
        <v>89900</v>
      </c>
      <c r="N153" s="7">
        <v>0.9</v>
      </c>
      <c r="O153" s="6">
        <f t="shared" si="5"/>
        <v>8990</v>
      </c>
      <c r="P153" s="5" t="s">
        <v>504</v>
      </c>
    </row>
    <row r="154" spans="1:16" x14ac:dyDescent="0.35">
      <c r="A154" s="5" t="str">
        <f t="shared" si="6"/>
        <v>2023 H2 All Items D90</v>
      </c>
      <c r="B154" s="8">
        <f>'ALL 2024 H2 D80'!$B$2</f>
        <v>46114</v>
      </c>
      <c r="C154" s="8">
        <f>'ALL 2024 H2 D80'!$C$2</f>
        <v>46120</v>
      </c>
      <c r="D154" s="5">
        <v>3208</v>
      </c>
      <c r="E154" s="5">
        <v>320</v>
      </c>
      <c r="F154" s="5">
        <v>1</v>
      </c>
      <c r="G154" s="5">
        <v>2</v>
      </c>
      <c r="H154" s="5">
        <v>81602</v>
      </c>
      <c r="I154" s="5" t="s">
        <v>16</v>
      </c>
      <c r="J154" s="5">
        <v>81335793</v>
      </c>
      <c r="K154" s="5" t="s">
        <v>141</v>
      </c>
      <c r="L154" s="5" t="s">
        <v>144</v>
      </c>
      <c r="M154" s="6">
        <v>89900</v>
      </c>
      <c r="N154" s="7">
        <v>0.9</v>
      </c>
      <c r="O154" s="6">
        <f t="shared" si="5"/>
        <v>8990</v>
      </c>
      <c r="P154" s="5" t="s">
        <v>504</v>
      </c>
    </row>
    <row r="155" spans="1:16" x14ac:dyDescent="0.35">
      <c r="A155" s="5" t="str">
        <f t="shared" si="6"/>
        <v>2023 H2 All Items D90</v>
      </c>
      <c r="B155" s="8">
        <f>'ALL 2024 H2 D80'!$B$2</f>
        <v>46114</v>
      </c>
      <c r="C155" s="8">
        <f>'ALL 2024 H2 D80'!$C$2</f>
        <v>46120</v>
      </c>
      <c r="D155" s="5">
        <v>3208</v>
      </c>
      <c r="E155" s="5">
        <v>320</v>
      </c>
      <c r="F155" s="5">
        <v>1</v>
      </c>
      <c r="G155" s="5">
        <v>2</v>
      </c>
      <c r="H155" s="5">
        <v>81602</v>
      </c>
      <c r="I155" s="5" t="s">
        <v>16</v>
      </c>
      <c r="J155" s="5">
        <v>81335800</v>
      </c>
      <c r="K155" s="5" t="s">
        <v>141</v>
      </c>
      <c r="L155" s="5" t="s">
        <v>145</v>
      </c>
      <c r="M155" s="6">
        <v>89900</v>
      </c>
      <c r="N155" s="7">
        <v>0.9</v>
      </c>
      <c r="O155" s="6">
        <f t="shared" si="5"/>
        <v>8990</v>
      </c>
      <c r="P155" s="5" t="s">
        <v>504</v>
      </c>
    </row>
    <row r="156" spans="1:16" x14ac:dyDescent="0.35">
      <c r="A156" s="5" t="str">
        <f t="shared" si="6"/>
        <v>2023 H2 All Items D90</v>
      </c>
      <c r="B156" s="8">
        <f>'ALL 2024 H2 D80'!$B$2</f>
        <v>46114</v>
      </c>
      <c r="C156" s="8">
        <f>'ALL 2024 H2 D80'!$C$2</f>
        <v>46120</v>
      </c>
      <c r="D156" s="5">
        <v>3208</v>
      </c>
      <c r="E156" s="5">
        <v>320</v>
      </c>
      <c r="F156" s="5">
        <v>1</v>
      </c>
      <c r="G156" s="5">
        <v>2</v>
      </c>
      <c r="H156" s="5">
        <v>81602</v>
      </c>
      <c r="I156" s="5" t="s">
        <v>16</v>
      </c>
      <c r="J156" s="5">
        <v>81335819</v>
      </c>
      <c r="K156" s="5" t="s">
        <v>141</v>
      </c>
      <c r="L156" s="5" t="s">
        <v>146</v>
      </c>
      <c r="M156" s="6">
        <v>89900</v>
      </c>
      <c r="N156" s="7">
        <v>0.9</v>
      </c>
      <c r="O156" s="6">
        <f t="shared" si="5"/>
        <v>8990</v>
      </c>
      <c r="P156" s="5" t="s">
        <v>504</v>
      </c>
    </row>
    <row r="157" spans="1:16" x14ac:dyDescent="0.35">
      <c r="A157" s="5" t="str">
        <f t="shared" si="6"/>
        <v>2023 H2 All Items D90</v>
      </c>
      <c r="B157" s="8">
        <f>'ALL 2024 H2 D80'!$B$2</f>
        <v>46114</v>
      </c>
      <c r="C157" s="8">
        <f>'ALL 2024 H2 D80'!$C$2</f>
        <v>46120</v>
      </c>
      <c r="D157" s="5">
        <v>3208</v>
      </c>
      <c r="E157" s="5">
        <v>320</v>
      </c>
      <c r="F157" s="5">
        <v>1</v>
      </c>
      <c r="G157" s="5">
        <v>2</v>
      </c>
      <c r="H157" s="5">
        <v>81602</v>
      </c>
      <c r="I157" s="5" t="s">
        <v>16</v>
      </c>
      <c r="J157" s="5">
        <v>81335828</v>
      </c>
      <c r="K157" s="5" t="s">
        <v>141</v>
      </c>
      <c r="L157" s="5" t="s">
        <v>147</v>
      </c>
      <c r="M157" s="6">
        <v>89900</v>
      </c>
      <c r="N157" s="7">
        <v>0.9</v>
      </c>
      <c r="O157" s="6">
        <f t="shared" si="5"/>
        <v>8990</v>
      </c>
      <c r="P157" s="5" t="s">
        <v>504</v>
      </c>
    </row>
    <row r="158" spans="1:16" x14ac:dyDescent="0.35">
      <c r="A158" s="5" t="str">
        <f t="shared" si="6"/>
        <v>2023 H2 All Items D90</v>
      </c>
      <c r="B158" s="8">
        <f>'ALL 2024 H2 D80'!$B$2</f>
        <v>46114</v>
      </c>
      <c r="C158" s="8">
        <f>'ALL 2024 H2 D80'!$C$2</f>
        <v>46120</v>
      </c>
      <c r="D158" s="5">
        <v>3208</v>
      </c>
      <c r="E158" s="5">
        <v>320</v>
      </c>
      <c r="F158" s="5">
        <v>1</v>
      </c>
      <c r="G158" s="5">
        <v>2</v>
      </c>
      <c r="H158" s="5">
        <v>81602</v>
      </c>
      <c r="I158" s="5" t="s">
        <v>16</v>
      </c>
      <c r="J158" s="5">
        <v>81335837</v>
      </c>
      <c r="K158" s="5" t="s">
        <v>141</v>
      </c>
      <c r="L158" s="5" t="s">
        <v>148</v>
      </c>
      <c r="M158" s="6">
        <v>89900</v>
      </c>
      <c r="N158" s="7">
        <v>0.9</v>
      </c>
      <c r="O158" s="6">
        <f t="shared" si="5"/>
        <v>8990</v>
      </c>
      <c r="P158" s="5" t="s">
        <v>504</v>
      </c>
    </row>
    <row r="159" spans="1:16" x14ac:dyDescent="0.35">
      <c r="A159" s="5" t="str">
        <f t="shared" si="6"/>
        <v>2023 H2 All Items D90</v>
      </c>
      <c r="B159" s="8">
        <f>'ALL 2024 H2 D80'!$B$2</f>
        <v>46114</v>
      </c>
      <c r="C159" s="8">
        <f>'ALL 2024 H2 D80'!$C$2</f>
        <v>46120</v>
      </c>
      <c r="D159" s="5">
        <v>3208</v>
      </c>
      <c r="E159" s="5">
        <v>320</v>
      </c>
      <c r="F159" s="5">
        <v>1</v>
      </c>
      <c r="G159" s="5">
        <v>2</v>
      </c>
      <c r="H159" s="5">
        <v>81602</v>
      </c>
      <c r="I159" s="5" t="s">
        <v>16</v>
      </c>
      <c r="J159" s="5">
        <v>81335846</v>
      </c>
      <c r="K159" s="5" t="s">
        <v>141</v>
      </c>
      <c r="L159" s="5" t="s">
        <v>149</v>
      </c>
      <c r="M159" s="6">
        <v>89900</v>
      </c>
      <c r="N159" s="7">
        <v>0.9</v>
      </c>
      <c r="O159" s="6">
        <f t="shared" si="5"/>
        <v>8990</v>
      </c>
      <c r="P159" s="5" t="s">
        <v>504</v>
      </c>
    </row>
    <row r="160" spans="1:16" x14ac:dyDescent="0.35">
      <c r="A160" s="5" t="str">
        <f t="shared" si="6"/>
        <v>2023 H2 All Items D90</v>
      </c>
      <c r="B160" s="8">
        <f>'ALL 2024 H2 D80'!$B$2</f>
        <v>46114</v>
      </c>
      <c r="C160" s="8">
        <f>'ALL 2024 H2 D80'!$C$2</f>
        <v>46120</v>
      </c>
      <c r="D160" s="5">
        <v>3208</v>
      </c>
      <c r="E160" s="5">
        <v>320</v>
      </c>
      <c r="F160" s="5">
        <v>1</v>
      </c>
      <c r="G160" s="5">
        <v>2</v>
      </c>
      <c r="H160" s="5">
        <v>80954</v>
      </c>
      <c r="I160" s="5" t="s">
        <v>16</v>
      </c>
      <c r="J160" s="5">
        <v>14274690</v>
      </c>
      <c r="K160" s="5" t="s">
        <v>156</v>
      </c>
      <c r="L160" s="5" t="s">
        <v>2883</v>
      </c>
      <c r="M160" s="6">
        <v>89900</v>
      </c>
      <c r="N160" s="7">
        <v>0.9</v>
      </c>
      <c r="O160" s="6">
        <f t="shared" si="5"/>
        <v>8990</v>
      </c>
      <c r="P160" s="5" t="s">
        <v>504</v>
      </c>
    </row>
    <row r="161" spans="1:16" x14ac:dyDescent="0.35">
      <c r="A161" s="5" t="str">
        <f t="shared" si="6"/>
        <v>2023 H2 All Items D90</v>
      </c>
      <c r="B161" s="8">
        <f>'ALL 2024 H2 D80'!$B$2</f>
        <v>46114</v>
      </c>
      <c r="C161" s="8">
        <f>'ALL 2024 H2 D80'!$C$2</f>
        <v>46120</v>
      </c>
      <c r="D161" s="5">
        <v>3208</v>
      </c>
      <c r="E161" s="5">
        <v>320</v>
      </c>
      <c r="F161" s="5">
        <v>1</v>
      </c>
      <c r="G161" s="5">
        <v>2</v>
      </c>
      <c r="H161" s="5">
        <v>80954</v>
      </c>
      <c r="I161" s="5" t="s">
        <v>16</v>
      </c>
      <c r="J161" s="5">
        <v>14274707</v>
      </c>
      <c r="K161" s="5" t="s">
        <v>156</v>
      </c>
      <c r="L161" s="5" t="s">
        <v>2884</v>
      </c>
      <c r="M161" s="6">
        <v>89900</v>
      </c>
      <c r="N161" s="7">
        <v>0.9</v>
      </c>
      <c r="O161" s="6">
        <f t="shared" si="5"/>
        <v>8990</v>
      </c>
      <c r="P161" s="5" t="s">
        <v>504</v>
      </c>
    </row>
    <row r="162" spans="1:16" x14ac:dyDescent="0.35">
      <c r="A162" s="5" t="str">
        <f t="shared" si="6"/>
        <v>2023 H2 All Items D90</v>
      </c>
      <c r="B162" s="8">
        <f>'ALL 2024 H2 D80'!$B$2</f>
        <v>46114</v>
      </c>
      <c r="C162" s="8">
        <f>'ALL 2024 H2 D80'!$C$2</f>
        <v>46120</v>
      </c>
      <c r="D162" s="5">
        <v>3208</v>
      </c>
      <c r="E162" s="5">
        <v>320</v>
      </c>
      <c r="F162" s="5">
        <v>1</v>
      </c>
      <c r="G162" s="5">
        <v>2</v>
      </c>
      <c r="H162" s="5">
        <v>80954</v>
      </c>
      <c r="I162" s="5" t="s">
        <v>16</v>
      </c>
      <c r="J162" s="5">
        <v>14274716</v>
      </c>
      <c r="K162" s="5" t="s">
        <v>156</v>
      </c>
      <c r="L162" s="5" t="s">
        <v>2885</v>
      </c>
      <c r="M162" s="6">
        <v>89900</v>
      </c>
      <c r="N162" s="7">
        <v>0.9</v>
      </c>
      <c r="O162" s="6">
        <f t="shared" si="5"/>
        <v>8990</v>
      </c>
      <c r="P162" s="5" t="s">
        <v>504</v>
      </c>
    </row>
    <row r="163" spans="1:16" x14ac:dyDescent="0.35">
      <c r="A163" s="5" t="str">
        <f t="shared" si="6"/>
        <v>2023 H2 All Items D90</v>
      </c>
      <c r="B163" s="8">
        <f>'ALL 2024 H2 D80'!$B$2</f>
        <v>46114</v>
      </c>
      <c r="C163" s="8">
        <f>'ALL 2024 H2 D80'!$C$2</f>
        <v>46120</v>
      </c>
      <c r="D163" s="5">
        <v>3208</v>
      </c>
      <c r="E163" s="5">
        <v>320</v>
      </c>
      <c r="F163" s="5">
        <v>1</v>
      </c>
      <c r="G163" s="5">
        <v>2</v>
      </c>
      <c r="H163" s="5">
        <v>80954</v>
      </c>
      <c r="I163" s="5" t="s">
        <v>16</v>
      </c>
      <c r="J163" s="5">
        <v>14274725</v>
      </c>
      <c r="K163" s="5" t="s">
        <v>156</v>
      </c>
      <c r="L163" s="5" t="s">
        <v>2886</v>
      </c>
      <c r="M163" s="6">
        <v>89900</v>
      </c>
      <c r="N163" s="7">
        <v>0.9</v>
      </c>
      <c r="O163" s="6">
        <f t="shared" si="5"/>
        <v>8990</v>
      </c>
      <c r="P163" s="5" t="s">
        <v>504</v>
      </c>
    </row>
    <row r="164" spans="1:16" x14ac:dyDescent="0.35">
      <c r="A164" s="5" t="str">
        <f t="shared" si="6"/>
        <v>2023 H2 All Items D90</v>
      </c>
      <c r="B164" s="8">
        <f>'ALL 2024 H2 D80'!$B$2</f>
        <v>46114</v>
      </c>
      <c r="C164" s="8">
        <f>'ALL 2024 H2 D80'!$C$2</f>
        <v>46120</v>
      </c>
      <c r="D164" s="5">
        <v>3208</v>
      </c>
      <c r="E164" s="5">
        <v>320</v>
      </c>
      <c r="F164" s="5">
        <v>1</v>
      </c>
      <c r="G164" s="5">
        <v>2</v>
      </c>
      <c r="H164" s="5">
        <v>80954</v>
      </c>
      <c r="I164" s="5" t="s">
        <v>16</v>
      </c>
      <c r="J164" s="5">
        <v>14274734</v>
      </c>
      <c r="K164" s="5" t="s">
        <v>150</v>
      </c>
      <c r="L164" s="5" t="s">
        <v>2887</v>
      </c>
      <c r="M164" s="6">
        <v>89900</v>
      </c>
      <c r="N164" s="7">
        <v>0.9</v>
      </c>
      <c r="O164" s="6">
        <f t="shared" si="5"/>
        <v>8990</v>
      </c>
      <c r="P164" s="5" t="s">
        <v>504</v>
      </c>
    </row>
    <row r="165" spans="1:16" x14ac:dyDescent="0.35">
      <c r="A165" s="5" t="str">
        <f t="shared" si="6"/>
        <v>2023 H2 All Items D90</v>
      </c>
      <c r="B165" s="8">
        <f>'ALL 2024 H2 D80'!$B$2</f>
        <v>46114</v>
      </c>
      <c r="C165" s="8">
        <f>'ALL 2024 H2 D80'!$C$2</f>
        <v>46120</v>
      </c>
      <c r="D165" s="5">
        <v>3208</v>
      </c>
      <c r="E165" s="5">
        <v>320</v>
      </c>
      <c r="F165" s="5">
        <v>1</v>
      </c>
      <c r="G165" s="5">
        <v>2</v>
      </c>
      <c r="H165" s="5">
        <v>80954</v>
      </c>
      <c r="I165" s="5" t="s">
        <v>16</v>
      </c>
      <c r="J165" s="5">
        <v>14274743</v>
      </c>
      <c r="K165" s="5" t="s">
        <v>150</v>
      </c>
      <c r="L165" s="5" t="s">
        <v>2888</v>
      </c>
      <c r="M165" s="6">
        <v>89900</v>
      </c>
      <c r="N165" s="7">
        <v>0.9</v>
      </c>
      <c r="O165" s="6">
        <f t="shared" si="5"/>
        <v>8990</v>
      </c>
      <c r="P165" s="5" t="s">
        <v>504</v>
      </c>
    </row>
    <row r="166" spans="1:16" x14ac:dyDescent="0.35">
      <c r="A166" s="5" t="str">
        <f t="shared" si="6"/>
        <v>2023 H2 All Items D90</v>
      </c>
      <c r="B166" s="8">
        <f>'ALL 2024 H2 D80'!$B$2</f>
        <v>46114</v>
      </c>
      <c r="C166" s="8">
        <f>'ALL 2024 H2 D80'!$C$2</f>
        <v>46120</v>
      </c>
      <c r="D166" s="5">
        <v>3208</v>
      </c>
      <c r="E166" s="5">
        <v>320</v>
      </c>
      <c r="F166" s="5">
        <v>1</v>
      </c>
      <c r="G166" s="5">
        <v>2</v>
      </c>
      <c r="H166" s="5">
        <v>80954</v>
      </c>
      <c r="I166" s="5" t="s">
        <v>16</v>
      </c>
      <c r="J166" s="5">
        <v>14274752</v>
      </c>
      <c r="K166" s="5" t="s">
        <v>150</v>
      </c>
      <c r="L166" s="5" t="s">
        <v>2889</v>
      </c>
      <c r="M166" s="6">
        <v>89900</v>
      </c>
      <c r="N166" s="7">
        <v>0.9</v>
      </c>
      <c r="O166" s="6">
        <f t="shared" si="5"/>
        <v>8990</v>
      </c>
      <c r="P166" s="5" t="s">
        <v>504</v>
      </c>
    </row>
    <row r="167" spans="1:16" x14ac:dyDescent="0.35">
      <c r="A167" s="5" t="str">
        <f t="shared" si="6"/>
        <v>2023 H2 All Items D90</v>
      </c>
      <c r="B167" s="8">
        <f>'ALL 2024 H2 D80'!$B$2</f>
        <v>46114</v>
      </c>
      <c r="C167" s="8">
        <f>'ALL 2024 H2 D80'!$C$2</f>
        <v>46120</v>
      </c>
      <c r="D167" s="5">
        <v>3208</v>
      </c>
      <c r="E167" s="5">
        <v>320</v>
      </c>
      <c r="F167" s="5">
        <v>1</v>
      </c>
      <c r="G167" s="5">
        <v>2</v>
      </c>
      <c r="H167" s="5">
        <v>80954</v>
      </c>
      <c r="I167" s="5" t="s">
        <v>16</v>
      </c>
      <c r="J167" s="5">
        <v>14274761</v>
      </c>
      <c r="K167" s="5" t="s">
        <v>150</v>
      </c>
      <c r="L167" s="5" t="s">
        <v>2890</v>
      </c>
      <c r="M167" s="6">
        <v>89900</v>
      </c>
      <c r="N167" s="7">
        <v>0.9</v>
      </c>
      <c r="O167" s="6">
        <f t="shared" si="5"/>
        <v>8990</v>
      </c>
      <c r="P167" s="5" t="s">
        <v>504</v>
      </c>
    </row>
    <row r="168" spans="1:16" x14ac:dyDescent="0.35">
      <c r="A168" s="5" t="str">
        <f t="shared" si="6"/>
        <v>2023 H2 All Items D90</v>
      </c>
      <c r="B168" s="8">
        <f>'ALL 2024 H2 D80'!$B$2</f>
        <v>46114</v>
      </c>
      <c r="C168" s="8">
        <f>'ALL 2024 H2 D80'!$C$2</f>
        <v>46120</v>
      </c>
      <c r="D168" s="5">
        <v>3208</v>
      </c>
      <c r="E168" s="5">
        <v>320</v>
      </c>
      <c r="F168" s="5">
        <v>1</v>
      </c>
      <c r="G168" s="5">
        <v>2</v>
      </c>
      <c r="H168" s="5">
        <v>80954</v>
      </c>
      <c r="I168" s="5" t="s">
        <v>16</v>
      </c>
      <c r="J168" s="5">
        <v>14274770</v>
      </c>
      <c r="K168" s="5" t="s">
        <v>157</v>
      </c>
      <c r="L168" s="5" t="s">
        <v>2891</v>
      </c>
      <c r="M168" s="6">
        <v>89900</v>
      </c>
      <c r="N168" s="7">
        <v>0.9</v>
      </c>
      <c r="O168" s="6">
        <f t="shared" si="5"/>
        <v>8990</v>
      </c>
      <c r="P168" s="5" t="s">
        <v>504</v>
      </c>
    </row>
    <row r="169" spans="1:16" x14ac:dyDescent="0.35">
      <c r="A169" s="5" t="str">
        <f t="shared" si="6"/>
        <v>2023 H2 All Items D90</v>
      </c>
      <c r="B169" s="8">
        <f>'ALL 2024 H2 D80'!$B$2</f>
        <v>46114</v>
      </c>
      <c r="C169" s="8">
        <f>'ALL 2024 H2 D80'!$C$2</f>
        <v>46120</v>
      </c>
      <c r="D169" s="5">
        <v>3208</v>
      </c>
      <c r="E169" s="5">
        <v>320</v>
      </c>
      <c r="F169" s="5">
        <v>1</v>
      </c>
      <c r="G169" s="5">
        <v>2</v>
      </c>
      <c r="H169" s="5">
        <v>80954</v>
      </c>
      <c r="I169" s="5" t="s">
        <v>16</v>
      </c>
      <c r="J169" s="5">
        <v>14274789</v>
      </c>
      <c r="K169" s="5" t="s">
        <v>157</v>
      </c>
      <c r="L169" s="5" t="s">
        <v>2892</v>
      </c>
      <c r="M169" s="6">
        <v>89900</v>
      </c>
      <c r="N169" s="7">
        <v>0.9</v>
      </c>
      <c r="O169" s="6">
        <f t="shared" si="5"/>
        <v>8990</v>
      </c>
      <c r="P169" s="5" t="s">
        <v>504</v>
      </c>
    </row>
    <row r="170" spans="1:16" x14ac:dyDescent="0.35">
      <c r="A170" s="5" t="str">
        <f t="shared" si="6"/>
        <v>2023 H2 All Items D90</v>
      </c>
      <c r="B170" s="8">
        <f>'ALL 2024 H2 D80'!$B$2</f>
        <v>46114</v>
      </c>
      <c r="C170" s="8">
        <f>'ALL 2024 H2 D80'!$C$2</f>
        <v>46120</v>
      </c>
      <c r="D170" s="5">
        <v>3208</v>
      </c>
      <c r="E170" s="5">
        <v>320</v>
      </c>
      <c r="F170" s="5">
        <v>1</v>
      </c>
      <c r="G170" s="5">
        <v>2</v>
      </c>
      <c r="H170" s="5">
        <v>80954</v>
      </c>
      <c r="I170" s="5" t="s">
        <v>16</v>
      </c>
      <c r="J170" s="5">
        <v>14274798</v>
      </c>
      <c r="K170" s="5" t="s">
        <v>157</v>
      </c>
      <c r="L170" s="5" t="s">
        <v>2893</v>
      </c>
      <c r="M170" s="6">
        <v>89900</v>
      </c>
      <c r="N170" s="7">
        <v>0.9</v>
      </c>
      <c r="O170" s="6">
        <f t="shared" si="5"/>
        <v>8990</v>
      </c>
      <c r="P170" s="5" t="s">
        <v>504</v>
      </c>
    </row>
    <row r="171" spans="1:16" x14ac:dyDescent="0.35">
      <c r="A171" s="5" t="str">
        <f t="shared" si="6"/>
        <v>2023 H2 All Items D90</v>
      </c>
      <c r="B171" s="8">
        <f>'ALL 2024 H2 D80'!$B$2</f>
        <v>46114</v>
      </c>
      <c r="C171" s="8">
        <f>'ALL 2024 H2 D80'!$C$2</f>
        <v>46120</v>
      </c>
      <c r="D171" s="5">
        <v>3208</v>
      </c>
      <c r="E171" s="5">
        <v>320</v>
      </c>
      <c r="F171" s="5">
        <v>1</v>
      </c>
      <c r="G171" s="5">
        <v>2</v>
      </c>
      <c r="H171" s="5">
        <v>80954</v>
      </c>
      <c r="I171" s="5" t="s">
        <v>16</v>
      </c>
      <c r="J171" s="5">
        <v>14274805</v>
      </c>
      <c r="K171" s="5" t="s">
        <v>157</v>
      </c>
      <c r="L171" s="5" t="s">
        <v>2894</v>
      </c>
      <c r="M171" s="6">
        <v>89900</v>
      </c>
      <c r="N171" s="7">
        <v>0.9</v>
      </c>
      <c r="O171" s="6">
        <f t="shared" si="5"/>
        <v>8990</v>
      </c>
      <c r="P171" s="5" t="s">
        <v>504</v>
      </c>
    </row>
    <row r="172" spans="1:16" x14ac:dyDescent="0.35">
      <c r="A172" s="5" t="str">
        <f t="shared" si="6"/>
        <v>2023 H2 All Items D90</v>
      </c>
      <c r="B172" s="8">
        <f>'ALL 2024 H2 D80'!$B$2</f>
        <v>46114</v>
      </c>
      <c r="C172" s="8">
        <f>'ALL 2024 H2 D80'!$C$2</f>
        <v>46120</v>
      </c>
      <c r="D172" s="5">
        <v>3208</v>
      </c>
      <c r="E172" s="5">
        <v>320</v>
      </c>
      <c r="F172" s="5">
        <v>1</v>
      </c>
      <c r="G172" s="5">
        <v>2</v>
      </c>
      <c r="H172" s="5">
        <v>80954</v>
      </c>
      <c r="I172" s="5" t="s">
        <v>16</v>
      </c>
      <c r="J172" s="5">
        <v>82568790</v>
      </c>
      <c r="K172" s="5" t="s">
        <v>2895</v>
      </c>
      <c r="L172" s="5" t="s">
        <v>2896</v>
      </c>
      <c r="M172" s="6">
        <v>89900</v>
      </c>
      <c r="N172" s="7">
        <v>0.9</v>
      </c>
      <c r="O172" s="6">
        <f t="shared" si="5"/>
        <v>8990</v>
      </c>
      <c r="P172" s="5" t="s">
        <v>504</v>
      </c>
    </row>
    <row r="173" spans="1:16" x14ac:dyDescent="0.35">
      <c r="A173" s="5" t="str">
        <f t="shared" si="6"/>
        <v>2023 H2 All Items D90</v>
      </c>
      <c r="B173" s="8">
        <f>'ALL 2024 H2 D80'!$B$2</f>
        <v>46114</v>
      </c>
      <c r="C173" s="8">
        <f>'ALL 2024 H2 D80'!$C$2</f>
        <v>46120</v>
      </c>
      <c r="D173" s="5">
        <v>3208</v>
      </c>
      <c r="E173" s="5">
        <v>320</v>
      </c>
      <c r="F173" s="5">
        <v>1</v>
      </c>
      <c r="G173" s="5">
        <v>2</v>
      </c>
      <c r="H173" s="5">
        <v>80954</v>
      </c>
      <c r="I173" s="5" t="s">
        <v>16</v>
      </c>
      <c r="J173" s="5">
        <v>82568807</v>
      </c>
      <c r="K173" s="5" t="s">
        <v>2895</v>
      </c>
      <c r="L173" s="5" t="s">
        <v>2897</v>
      </c>
      <c r="M173" s="6">
        <v>89900</v>
      </c>
      <c r="N173" s="7">
        <v>0.9</v>
      </c>
      <c r="O173" s="6">
        <f t="shared" si="5"/>
        <v>8990</v>
      </c>
      <c r="P173" s="5" t="s">
        <v>504</v>
      </c>
    </row>
    <row r="174" spans="1:16" x14ac:dyDescent="0.35">
      <c r="A174" s="5" t="str">
        <f t="shared" si="6"/>
        <v>2023 H2 All Items D90</v>
      </c>
      <c r="B174" s="8">
        <f>'ALL 2024 H2 D80'!$B$2</f>
        <v>46114</v>
      </c>
      <c r="C174" s="8">
        <f>'ALL 2024 H2 D80'!$C$2</f>
        <v>46120</v>
      </c>
      <c r="D174" s="5">
        <v>3208</v>
      </c>
      <c r="E174" s="5">
        <v>320</v>
      </c>
      <c r="F174" s="5">
        <v>1</v>
      </c>
      <c r="G174" s="5">
        <v>2</v>
      </c>
      <c r="H174" s="5">
        <v>80954</v>
      </c>
      <c r="I174" s="5" t="s">
        <v>16</v>
      </c>
      <c r="J174" s="5">
        <v>82568816</v>
      </c>
      <c r="K174" s="5" t="s">
        <v>2895</v>
      </c>
      <c r="L174" s="5" t="s">
        <v>2898</v>
      </c>
      <c r="M174" s="6">
        <v>89900</v>
      </c>
      <c r="N174" s="7">
        <v>0.9</v>
      </c>
      <c r="O174" s="6">
        <f t="shared" ref="O174:O227" si="7">M174-(M174*N174)</f>
        <v>8990</v>
      </c>
      <c r="P174" s="5" t="s">
        <v>504</v>
      </c>
    </row>
    <row r="175" spans="1:16" x14ac:dyDescent="0.35">
      <c r="A175" s="5" t="str">
        <f t="shared" si="6"/>
        <v>2023 H2 All Items D90</v>
      </c>
      <c r="B175" s="8">
        <f>'ALL 2024 H2 D80'!$B$2</f>
        <v>46114</v>
      </c>
      <c r="C175" s="8">
        <f>'ALL 2024 H2 D80'!$C$2</f>
        <v>46120</v>
      </c>
      <c r="D175" s="5">
        <v>3208</v>
      </c>
      <c r="E175" s="5">
        <v>320</v>
      </c>
      <c r="F175" s="5">
        <v>1</v>
      </c>
      <c r="G175" s="5">
        <v>2</v>
      </c>
      <c r="H175" s="5">
        <v>80954</v>
      </c>
      <c r="I175" s="5" t="s">
        <v>16</v>
      </c>
      <c r="J175" s="5">
        <v>82568825</v>
      </c>
      <c r="K175" s="5" t="s">
        <v>2895</v>
      </c>
      <c r="L175" s="5" t="s">
        <v>2899</v>
      </c>
      <c r="M175" s="6">
        <v>89900</v>
      </c>
      <c r="N175" s="7">
        <v>0.9</v>
      </c>
      <c r="O175" s="6">
        <f t="shared" si="7"/>
        <v>8990</v>
      </c>
      <c r="P175" s="5" t="s">
        <v>504</v>
      </c>
    </row>
    <row r="176" spans="1:16" x14ac:dyDescent="0.35">
      <c r="A176" s="5" t="str">
        <f t="shared" si="6"/>
        <v>2023 H2 All Items D90</v>
      </c>
      <c r="B176" s="8">
        <f>'ALL 2024 H2 D80'!$B$2</f>
        <v>46114</v>
      </c>
      <c r="C176" s="8">
        <f>'ALL 2024 H2 D80'!$C$2</f>
        <v>46120</v>
      </c>
      <c r="D176" s="5">
        <v>3208</v>
      </c>
      <c r="E176" s="5">
        <v>320</v>
      </c>
      <c r="F176" s="5">
        <v>1</v>
      </c>
      <c r="G176" s="5">
        <v>2</v>
      </c>
      <c r="H176" s="5">
        <v>80954</v>
      </c>
      <c r="I176" s="5" t="s">
        <v>16</v>
      </c>
      <c r="J176" s="5">
        <v>82568834</v>
      </c>
      <c r="K176" s="5" t="s">
        <v>2900</v>
      </c>
      <c r="L176" s="5" t="s">
        <v>2901</v>
      </c>
      <c r="M176" s="6">
        <v>89900</v>
      </c>
      <c r="N176" s="7">
        <v>0.9</v>
      </c>
      <c r="O176" s="6">
        <f t="shared" si="7"/>
        <v>8990</v>
      </c>
      <c r="P176" s="5" t="s">
        <v>504</v>
      </c>
    </row>
    <row r="177" spans="1:16" x14ac:dyDescent="0.35">
      <c r="A177" s="5" t="str">
        <f t="shared" si="6"/>
        <v>2023 H2 All Items D90</v>
      </c>
      <c r="B177" s="8">
        <f>'ALL 2024 H2 D80'!$B$2</f>
        <v>46114</v>
      </c>
      <c r="C177" s="8">
        <f>'ALL 2024 H2 D80'!$C$2</f>
        <v>46120</v>
      </c>
      <c r="D177" s="5">
        <v>3208</v>
      </c>
      <c r="E177" s="5">
        <v>320</v>
      </c>
      <c r="F177" s="5">
        <v>1</v>
      </c>
      <c r="G177" s="5">
        <v>2</v>
      </c>
      <c r="H177" s="5">
        <v>80954</v>
      </c>
      <c r="I177" s="5" t="s">
        <v>16</v>
      </c>
      <c r="J177" s="5">
        <v>82568843</v>
      </c>
      <c r="K177" s="5" t="s">
        <v>2900</v>
      </c>
      <c r="L177" s="5" t="s">
        <v>2902</v>
      </c>
      <c r="M177" s="6">
        <v>89900</v>
      </c>
      <c r="N177" s="7">
        <v>0.9</v>
      </c>
      <c r="O177" s="6">
        <f t="shared" si="7"/>
        <v>8990</v>
      </c>
      <c r="P177" s="5" t="s">
        <v>504</v>
      </c>
    </row>
    <row r="178" spans="1:16" x14ac:dyDescent="0.35">
      <c r="A178" s="5" t="str">
        <f t="shared" si="6"/>
        <v>2023 H2 All Items D90</v>
      </c>
      <c r="B178" s="8">
        <f>'ALL 2024 H2 D80'!$B$2</f>
        <v>46114</v>
      </c>
      <c r="C178" s="8">
        <f>'ALL 2024 H2 D80'!$C$2</f>
        <v>46120</v>
      </c>
      <c r="D178" s="5">
        <v>3208</v>
      </c>
      <c r="E178" s="5">
        <v>320</v>
      </c>
      <c r="F178" s="5">
        <v>1</v>
      </c>
      <c r="G178" s="5">
        <v>2</v>
      </c>
      <c r="H178" s="5">
        <v>80954</v>
      </c>
      <c r="I178" s="5" t="s">
        <v>16</v>
      </c>
      <c r="J178" s="5">
        <v>82568852</v>
      </c>
      <c r="K178" s="5" t="s">
        <v>2900</v>
      </c>
      <c r="L178" s="5" t="s">
        <v>2903</v>
      </c>
      <c r="M178" s="6">
        <v>89900</v>
      </c>
      <c r="N178" s="7">
        <v>0.9</v>
      </c>
      <c r="O178" s="6">
        <f t="shared" si="7"/>
        <v>8990</v>
      </c>
      <c r="P178" s="5" t="s">
        <v>504</v>
      </c>
    </row>
    <row r="179" spans="1:16" x14ac:dyDescent="0.35">
      <c r="A179" s="5" t="str">
        <f t="shared" si="6"/>
        <v>2023 H2 All Items D90</v>
      </c>
      <c r="B179" s="8">
        <f>'ALL 2024 H2 D80'!$B$2</f>
        <v>46114</v>
      </c>
      <c r="C179" s="8">
        <f>'ALL 2024 H2 D80'!$C$2</f>
        <v>46120</v>
      </c>
      <c r="D179" s="5">
        <v>3208</v>
      </c>
      <c r="E179" s="5">
        <v>320</v>
      </c>
      <c r="F179" s="5">
        <v>1</v>
      </c>
      <c r="G179" s="5">
        <v>2</v>
      </c>
      <c r="H179" s="5">
        <v>80954</v>
      </c>
      <c r="I179" s="5" t="s">
        <v>16</v>
      </c>
      <c r="J179" s="5">
        <v>82568861</v>
      </c>
      <c r="K179" s="5" t="s">
        <v>2900</v>
      </c>
      <c r="L179" s="5" t="s">
        <v>2904</v>
      </c>
      <c r="M179" s="6">
        <v>89900</v>
      </c>
      <c r="N179" s="7">
        <v>0.9</v>
      </c>
      <c r="O179" s="6">
        <f t="shared" si="7"/>
        <v>8990</v>
      </c>
      <c r="P179" s="5" t="s">
        <v>504</v>
      </c>
    </row>
    <row r="180" spans="1:16" x14ac:dyDescent="0.35">
      <c r="A180" s="5" t="str">
        <f t="shared" si="6"/>
        <v>2023 H2 All Items D90</v>
      </c>
      <c r="B180" s="8">
        <f>'ALL 2024 H2 D80'!$B$2</f>
        <v>46114</v>
      </c>
      <c r="C180" s="8">
        <f>'ALL 2024 H2 D80'!$C$2</f>
        <v>46120</v>
      </c>
      <c r="D180" s="5">
        <v>3208</v>
      </c>
      <c r="E180" s="5">
        <v>320</v>
      </c>
      <c r="F180" s="5">
        <v>1</v>
      </c>
      <c r="G180" s="5">
        <v>2</v>
      </c>
      <c r="H180" s="5">
        <v>80954</v>
      </c>
      <c r="I180" s="5" t="s">
        <v>16</v>
      </c>
      <c r="J180" s="5">
        <v>82568870</v>
      </c>
      <c r="K180" s="5" t="s">
        <v>2900</v>
      </c>
      <c r="L180" s="5" t="s">
        <v>2905</v>
      </c>
      <c r="M180" s="6">
        <v>89900</v>
      </c>
      <c r="N180" s="7">
        <v>0.9</v>
      </c>
      <c r="O180" s="6">
        <f t="shared" si="7"/>
        <v>8990</v>
      </c>
      <c r="P180" s="5" t="s">
        <v>504</v>
      </c>
    </row>
    <row r="181" spans="1:16" x14ac:dyDescent="0.35">
      <c r="A181" s="5" t="str">
        <f t="shared" si="6"/>
        <v>2023 H2 All Items D90</v>
      </c>
      <c r="B181" s="8">
        <f>'ALL 2024 H2 D80'!$B$2</f>
        <v>46114</v>
      </c>
      <c r="C181" s="8">
        <f>'ALL 2024 H2 D80'!$C$2</f>
        <v>46120</v>
      </c>
      <c r="D181" s="5">
        <v>3208</v>
      </c>
      <c r="E181" s="5">
        <v>320</v>
      </c>
      <c r="F181" s="5">
        <v>1</v>
      </c>
      <c r="G181" s="5">
        <v>2</v>
      </c>
      <c r="H181" s="5">
        <v>80954</v>
      </c>
      <c r="I181" s="5" t="s">
        <v>16</v>
      </c>
      <c r="J181" s="5">
        <v>82568889</v>
      </c>
      <c r="K181" s="5" t="s">
        <v>2900</v>
      </c>
      <c r="L181" s="5" t="s">
        <v>2906</v>
      </c>
      <c r="M181" s="6">
        <v>89900</v>
      </c>
      <c r="N181" s="7">
        <v>0.9</v>
      </c>
      <c r="O181" s="6">
        <f t="shared" si="7"/>
        <v>8990</v>
      </c>
      <c r="P181" s="5" t="s">
        <v>504</v>
      </c>
    </row>
    <row r="182" spans="1:16" x14ac:dyDescent="0.35">
      <c r="A182" s="5" t="str">
        <f t="shared" si="6"/>
        <v>2023 H2 All Items D90</v>
      </c>
      <c r="B182" s="8">
        <f>'ALL 2024 H2 D80'!$B$2</f>
        <v>46114</v>
      </c>
      <c r="C182" s="8">
        <f>'ALL 2024 H2 D80'!$C$2</f>
        <v>46120</v>
      </c>
      <c r="D182" s="5">
        <v>3208</v>
      </c>
      <c r="E182" s="5">
        <v>320</v>
      </c>
      <c r="F182" s="5">
        <v>1</v>
      </c>
      <c r="G182" s="5">
        <v>2</v>
      </c>
      <c r="H182" s="5">
        <v>80954</v>
      </c>
      <c r="I182" s="5" t="s">
        <v>16</v>
      </c>
      <c r="J182" s="5">
        <v>82568898</v>
      </c>
      <c r="K182" s="5" t="s">
        <v>2900</v>
      </c>
      <c r="L182" s="5" t="s">
        <v>2907</v>
      </c>
      <c r="M182" s="6">
        <v>89900</v>
      </c>
      <c r="N182" s="7">
        <v>0.9</v>
      </c>
      <c r="O182" s="6">
        <f t="shared" si="7"/>
        <v>8990</v>
      </c>
      <c r="P182" s="5" t="s">
        <v>504</v>
      </c>
    </row>
    <row r="183" spans="1:16" x14ac:dyDescent="0.35">
      <c r="A183" s="5" t="str">
        <f t="shared" si="6"/>
        <v>2023 H2 All Items D90</v>
      </c>
      <c r="B183" s="8">
        <f>'ALL 2024 H2 D80'!$B$2</f>
        <v>46114</v>
      </c>
      <c r="C183" s="8">
        <f>'ALL 2024 H2 D80'!$C$2</f>
        <v>46120</v>
      </c>
      <c r="D183" s="5">
        <v>3208</v>
      </c>
      <c r="E183" s="5">
        <v>320</v>
      </c>
      <c r="F183" s="5">
        <v>1</v>
      </c>
      <c r="G183" s="5">
        <v>2</v>
      </c>
      <c r="H183" s="5">
        <v>80954</v>
      </c>
      <c r="I183" s="5" t="s">
        <v>16</v>
      </c>
      <c r="J183" s="5">
        <v>82568905</v>
      </c>
      <c r="K183" s="5" t="s">
        <v>2900</v>
      </c>
      <c r="L183" s="5" t="s">
        <v>2908</v>
      </c>
      <c r="M183" s="6">
        <v>89900</v>
      </c>
      <c r="N183" s="7">
        <v>0.9</v>
      </c>
      <c r="O183" s="6">
        <f t="shared" si="7"/>
        <v>8990</v>
      </c>
      <c r="P183" s="5" t="s">
        <v>504</v>
      </c>
    </row>
    <row r="184" spans="1:16" x14ac:dyDescent="0.35">
      <c r="A184" s="5" t="str">
        <f t="shared" si="6"/>
        <v>2023 H2 All Items D90</v>
      </c>
      <c r="B184" s="8">
        <f>'ALL 2024 H2 D80'!$B$2</f>
        <v>46114</v>
      </c>
      <c r="C184" s="8">
        <f>'ALL 2024 H2 D80'!$C$2</f>
        <v>46120</v>
      </c>
      <c r="D184" s="5">
        <v>3208</v>
      </c>
      <c r="E184" s="5">
        <v>320</v>
      </c>
      <c r="F184" s="5">
        <v>1</v>
      </c>
      <c r="G184" s="5">
        <v>2</v>
      </c>
      <c r="H184" s="5">
        <v>80954</v>
      </c>
      <c r="I184" s="5" t="s">
        <v>16</v>
      </c>
      <c r="J184" s="5">
        <v>83517299</v>
      </c>
      <c r="K184" s="5" t="s">
        <v>2909</v>
      </c>
      <c r="L184" s="5" t="s">
        <v>2910</v>
      </c>
      <c r="M184" s="6">
        <v>89900</v>
      </c>
      <c r="N184" s="7">
        <v>0.9</v>
      </c>
      <c r="O184" s="6">
        <f t="shared" si="7"/>
        <v>8990</v>
      </c>
      <c r="P184" s="5" t="s">
        <v>504</v>
      </c>
    </row>
    <row r="185" spans="1:16" x14ac:dyDescent="0.35">
      <c r="A185" s="5" t="str">
        <f t="shared" si="6"/>
        <v>2023 H2 All Items D90</v>
      </c>
      <c r="B185" s="8">
        <f>'ALL 2024 H2 D80'!$B$2</f>
        <v>46114</v>
      </c>
      <c r="C185" s="8">
        <f>'ALL 2024 H2 D80'!$C$2</f>
        <v>46120</v>
      </c>
      <c r="D185" s="5">
        <v>3208</v>
      </c>
      <c r="E185" s="5">
        <v>320</v>
      </c>
      <c r="F185" s="5">
        <v>1</v>
      </c>
      <c r="G185" s="5">
        <v>2</v>
      </c>
      <c r="H185" s="5">
        <v>80954</v>
      </c>
      <c r="I185" s="5" t="s">
        <v>16</v>
      </c>
      <c r="J185" s="5">
        <v>83517306</v>
      </c>
      <c r="K185" s="5" t="s">
        <v>2909</v>
      </c>
      <c r="L185" s="5" t="s">
        <v>2911</v>
      </c>
      <c r="M185" s="6">
        <v>89900</v>
      </c>
      <c r="N185" s="7">
        <v>0.9</v>
      </c>
      <c r="O185" s="6">
        <f t="shared" si="7"/>
        <v>8990</v>
      </c>
      <c r="P185" s="5" t="s">
        <v>504</v>
      </c>
    </row>
    <row r="186" spans="1:16" x14ac:dyDescent="0.35">
      <c r="A186" s="5" t="str">
        <f t="shared" si="6"/>
        <v>2023 H2 All Items D90</v>
      </c>
      <c r="B186" s="8">
        <f>'ALL 2024 H2 D80'!$B$2</f>
        <v>46114</v>
      </c>
      <c r="C186" s="8">
        <f>'ALL 2024 H2 D80'!$C$2</f>
        <v>46120</v>
      </c>
      <c r="D186" s="5">
        <v>3208</v>
      </c>
      <c r="E186" s="5">
        <v>320</v>
      </c>
      <c r="F186" s="5">
        <v>1</v>
      </c>
      <c r="G186" s="5">
        <v>2</v>
      </c>
      <c r="H186" s="5">
        <v>80954</v>
      </c>
      <c r="I186" s="5" t="s">
        <v>16</v>
      </c>
      <c r="J186" s="5">
        <v>83517315</v>
      </c>
      <c r="K186" s="5" t="s">
        <v>2909</v>
      </c>
      <c r="L186" s="5" t="s">
        <v>2912</v>
      </c>
      <c r="M186" s="6">
        <v>89900</v>
      </c>
      <c r="N186" s="7">
        <v>0.9</v>
      </c>
      <c r="O186" s="6">
        <f t="shared" si="7"/>
        <v>8990</v>
      </c>
      <c r="P186" s="5" t="s">
        <v>504</v>
      </c>
    </row>
    <row r="187" spans="1:16" x14ac:dyDescent="0.35">
      <c r="A187" s="5" t="str">
        <f t="shared" si="6"/>
        <v>2023 H2 All Items D90</v>
      </c>
      <c r="B187" s="8">
        <f>'ALL 2024 H2 D80'!$B$2</f>
        <v>46114</v>
      </c>
      <c r="C187" s="8">
        <f>'ALL 2024 H2 D80'!$C$2</f>
        <v>46120</v>
      </c>
      <c r="D187" s="5">
        <v>3208</v>
      </c>
      <c r="E187" s="5">
        <v>320</v>
      </c>
      <c r="F187" s="5">
        <v>1</v>
      </c>
      <c r="G187" s="5">
        <v>2</v>
      </c>
      <c r="H187" s="5">
        <v>80954</v>
      </c>
      <c r="I187" s="5" t="s">
        <v>16</v>
      </c>
      <c r="J187" s="5">
        <v>83517324</v>
      </c>
      <c r="K187" s="5" t="s">
        <v>2909</v>
      </c>
      <c r="L187" s="5" t="s">
        <v>2913</v>
      </c>
      <c r="M187" s="6">
        <v>89900</v>
      </c>
      <c r="N187" s="7">
        <v>0.9</v>
      </c>
      <c r="O187" s="6">
        <f t="shared" si="7"/>
        <v>8990</v>
      </c>
      <c r="P187" s="5" t="s">
        <v>504</v>
      </c>
    </row>
    <row r="188" spans="1:16" x14ac:dyDescent="0.35">
      <c r="A188" s="5" t="str">
        <f t="shared" si="6"/>
        <v>2023 H2 All Items D90</v>
      </c>
      <c r="B188" s="8">
        <f>'ALL 2024 H2 D80'!$B$2</f>
        <v>46114</v>
      </c>
      <c r="C188" s="8">
        <f>'ALL 2024 H2 D80'!$C$2</f>
        <v>46120</v>
      </c>
      <c r="D188" s="5">
        <v>3208</v>
      </c>
      <c r="E188" s="5">
        <v>320</v>
      </c>
      <c r="F188" s="5">
        <v>1</v>
      </c>
      <c r="G188" s="5">
        <v>2</v>
      </c>
      <c r="H188" s="5">
        <v>80954</v>
      </c>
      <c r="I188" s="5" t="s">
        <v>16</v>
      </c>
      <c r="J188" s="5">
        <v>83517333</v>
      </c>
      <c r="K188" s="5" t="s">
        <v>2909</v>
      </c>
      <c r="L188" s="5" t="s">
        <v>2914</v>
      </c>
      <c r="M188" s="6">
        <v>89900</v>
      </c>
      <c r="N188" s="7">
        <v>0.9</v>
      </c>
      <c r="O188" s="6">
        <f t="shared" si="7"/>
        <v>8990</v>
      </c>
      <c r="P188" s="5" t="s">
        <v>504</v>
      </c>
    </row>
    <row r="189" spans="1:16" x14ac:dyDescent="0.35">
      <c r="A189" s="5" t="str">
        <f t="shared" si="6"/>
        <v>2023 H2 All Items D90</v>
      </c>
      <c r="B189" s="8">
        <f>'ALL 2024 H2 D80'!$B$2</f>
        <v>46114</v>
      </c>
      <c r="C189" s="8">
        <f>'ALL 2024 H2 D80'!$C$2</f>
        <v>46120</v>
      </c>
      <c r="D189" s="5">
        <v>3208</v>
      </c>
      <c r="E189" s="5">
        <v>320</v>
      </c>
      <c r="F189" s="5">
        <v>1</v>
      </c>
      <c r="G189" s="5">
        <v>2</v>
      </c>
      <c r="H189" s="5">
        <v>80954</v>
      </c>
      <c r="I189" s="5" t="s">
        <v>16</v>
      </c>
      <c r="J189" s="5">
        <v>83517342</v>
      </c>
      <c r="K189" s="5" t="s">
        <v>2909</v>
      </c>
      <c r="L189" s="5" t="s">
        <v>2915</v>
      </c>
      <c r="M189" s="6">
        <v>89900</v>
      </c>
      <c r="N189" s="7">
        <v>0.9</v>
      </c>
      <c r="O189" s="6">
        <f t="shared" si="7"/>
        <v>8990</v>
      </c>
      <c r="P189" s="5" t="s">
        <v>504</v>
      </c>
    </row>
    <row r="190" spans="1:16" x14ac:dyDescent="0.35">
      <c r="A190" s="5" t="str">
        <f t="shared" si="6"/>
        <v>2023 H2 All Items D90</v>
      </c>
      <c r="B190" s="8">
        <f>'ALL 2024 H2 D80'!$B$2</f>
        <v>46114</v>
      </c>
      <c r="C190" s="8">
        <f>'ALL 2024 H2 D80'!$C$2</f>
        <v>46120</v>
      </c>
      <c r="D190" s="5">
        <v>3208</v>
      </c>
      <c r="E190" s="5">
        <v>320</v>
      </c>
      <c r="F190" s="5">
        <v>1</v>
      </c>
      <c r="G190" s="5">
        <v>2</v>
      </c>
      <c r="H190" s="5">
        <v>80954</v>
      </c>
      <c r="I190" s="5" t="s">
        <v>16</v>
      </c>
      <c r="J190" s="5">
        <v>83517351</v>
      </c>
      <c r="K190" s="5" t="s">
        <v>2909</v>
      </c>
      <c r="L190" s="5" t="s">
        <v>2916</v>
      </c>
      <c r="M190" s="6">
        <v>89900</v>
      </c>
      <c r="N190" s="7">
        <v>0.9</v>
      </c>
      <c r="O190" s="6">
        <f t="shared" si="7"/>
        <v>8990</v>
      </c>
      <c r="P190" s="5" t="s">
        <v>504</v>
      </c>
    </row>
    <row r="191" spans="1:16" x14ac:dyDescent="0.35">
      <c r="A191" s="5" t="str">
        <f t="shared" si="6"/>
        <v>2023 H2 All Items D90</v>
      </c>
      <c r="B191" s="8">
        <f>'ALL 2024 H2 D80'!$B$2</f>
        <v>46114</v>
      </c>
      <c r="C191" s="8">
        <f>'ALL 2024 H2 D80'!$C$2</f>
        <v>46120</v>
      </c>
      <c r="D191" s="5">
        <v>3208</v>
      </c>
      <c r="E191" s="5">
        <v>320</v>
      </c>
      <c r="F191" s="5">
        <v>1</v>
      </c>
      <c r="G191" s="5">
        <v>2</v>
      </c>
      <c r="H191" s="5">
        <v>80954</v>
      </c>
      <c r="I191" s="5" t="s">
        <v>16</v>
      </c>
      <c r="J191" s="5">
        <v>83517360</v>
      </c>
      <c r="K191" s="5" t="s">
        <v>2909</v>
      </c>
      <c r="L191" s="5" t="s">
        <v>2917</v>
      </c>
      <c r="M191" s="6">
        <v>89900</v>
      </c>
      <c r="N191" s="7">
        <v>0.9</v>
      </c>
      <c r="O191" s="6">
        <f t="shared" si="7"/>
        <v>8990</v>
      </c>
      <c r="P191" s="5" t="s">
        <v>504</v>
      </c>
    </row>
    <row r="192" spans="1:16" x14ac:dyDescent="0.35">
      <c r="A192" s="5" t="str">
        <f t="shared" si="6"/>
        <v>2023 H2 All Items D90</v>
      </c>
      <c r="B192" s="8">
        <f>'ALL 2024 H2 D80'!$B$2</f>
        <v>46114</v>
      </c>
      <c r="C192" s="8">
        <f>'ALL 2024 H2 D80'!$C$2</f>
        <v>46120</v>
      </c>
      <c r="D192" s="5">
        <v>3208</v>
      </c>
      <c r="E192" s="5">
        <v>320</v>
      </c>
      <c r="F192" s="5">
        <v>1</v>
      </c>
      <c r="G192" s="5">
        <v>2</v>
      </c>
      <c r="H192" s="5">
        <v>80954</v>
      </c>
      <c r="I192" s="5" t="s">
        <v>16</v>
      </c>
      <c r="J192" s="5">
        <v>83517379</v>
      </c>
      <c r="K192" s="5" t="s">
        <v>2918</v>
      </c>
      <c r="L192" s="5" t="s">
        <v>2919</v>
      </c>
      <c r="M192" s="6">
        <v>89900</v>
      </c>
      <c r="N192" s="7">
        <v>0.9</v>
      </c>
      <c r="O192" s="6">
        <f t="shared" si="7"/>
        <v>8990</v>
      </c>
      <c r="P192" s="5" t="s">
        <v>504</v>
      </c>
    </row>
    <row r="193" spans="1:16" x14ac:dyDescent="0.35">
      <c r="A193" s="5" t="str">
        <f t="shared" si="6"/>
        <v>2023 H2 All Items D90</v>
      </c>
      <c r="B193" s="8">
        <f>'ALL 2024 H2 D80'!$B$2</f>
        <v>46114</v>
      </c>
      <c r="C193" s="8">
        <f>'ALL 2024 H2 D80'!$C$2</f>
        <v>46120</v>
      </c>
      <c r="D193" s="5">
        <v>3208</v>
      </c>
      <c r="E193" s="5">
        <v>320</v>
      </c>
      <c r="F193" s="5">
        <v>1</v>
      </c>
      <c r="G193" s="5">
        <v>2</v>
      </c>
      <c r="H193" s="5">
        <v>80954</v>
      </c>
      <c r="I193" s="5" t="s">
        <v>16</v>
      </c>
      <c r="J193" s="5">
        <v>83517388</v>
      </c>
      <c r="K193" s="5" t="s">
        <v>2918</v>
      </c>
      <c r="L193" s="5" t="s">
        <v>2920</v>
      </c>
      <c r="M193" s="6">
        <v>89900</v>
      </c>
      <c r="N193" s="7">
        <v>0.9</v>
      </c>
      <c r="O193" s="6">
        <f t="shared" si="7"/>
        <v>8990</v>
      </c>
      <c r="P193" s="5" t="s">
        <v>504</v>
      </c>
    </row>
    <row r="194" spans="1:16" x14ac:dyDescent="0.35">
      <c r="A194" s="5" t="str">
        <f t="shared" si="6"/>
        <v>2023 H2 All Items D90</v>
      </c>
      <c r="B194" s="8">
        <f>'ALL 2024 H2 D80'!$B$2</f>
        <v>46114</v>
      </c>
      <c r="C194" s="8">
        <f>'ALL 2024 H2 D80'!$C$2</f>
        <v>46120</v>
      </c>
      <c r="D194" s="5">
        <v>3208</v>
      </c>
      <c r="E194" s="5">
        <v>320</v>
      </c>
      <c r="F194" s="5">
        <v>1</v>
      </c>
      <c r="G194" s="5">
        <v>2</v>
      </c>
      <c r="H194" s="5">
        <v>80954</v>
      </c>
      <c r="I194" s="5" t="s">
        <v>16</v>
      </c>
      <c r="J194" s="5">
        <v>83517397</v>
      </c>
      <c r="K194" s="5" t="s">
        <v>2918</v>
      </c>
      <c r="L194" s="5" t="s">
        <v>2921</v>
      </c>
      <c r="M194" s="6">
        <v>89900</v>
      </c>
      <c r="N194" s="7">
        <v>0.9</v>
      </c>
      <c r="O194" s="6">
        <f t="shared" si="7"/>
        <v>8990</v>
      </c>
      <c r="P194" s="5" t="s">
        <v>504</v>
      </c>
    </row>
    <row r="195" spans="1:16" x14ac:dyDescent="0.35">
      <c r="A195" s="5" t="str">
        <f t="shared" si="6"/>
        <v>2023 H2 All Items D90</v>
      </c>
      <c r="B195" s="8">
        <f>'ALL 2024 H2 D80'!$B$2</f>
        <v>46114</v>
      </c>
      <c r="C195" s="8">
        <f>'ALL 2024 H2 D80'!$C$2</f>
        <v>46120</v>
      </c>
      <c r="D195" s="5">
        <v>3208</v>
      </c>
      <c r="E195" s="5">
        <v>320</v>
      </c>
      <c r="F195" s="5">
        <v>1</v>
      </c>
      <c r="G195" s="5">
        <v>2</v>
      </c>
      <c r="H195" s="5">
        <v>80954</v>
      </c>
      <c r="I195" s="5" t="s">
        <v>16</v>
      </c>
      <c r="J195" s="5">
        <v>83517404</v>
      </c>
      <c r="K195" s="5" t="s">
        <v>2918</v>
      </c>
      <c r="L195" s="5" t="s">
        <v>2922</v>
      </c>
      <c r="M195" s="6">
        <v>89900</v>
      </c>
      <c r="N195" s="7">
        <v>0.9</v>
      </c>
      <c r="O195" s="6">
        <f t="shared" si="7"/>
        <v>8990</v>
      </c>
      <c r="P195" s="5" t="s">
        <v>504</v>
      </c>
    </row>
    <row r="196" spans="1:16" x14ac:dyDescent="0.35">
      <c r="A196" s="5" t="str">
        <f t="shared" ref="A196:A259" si="8">$A$2</f>
        <v>2023 H2 All Items D90</v>
      </c>
      <c r="B196" s="8">
        <f>'ALL 2024 H2 D80'!$B$2</f>
        <v>46114</v>
      </c>
      <c r="C196" s="8">
        <f>'ALL 2024 H2 D80'!$C$2</f>
        <v>46120</v>
      </c>
      <c r="D196" s="5">
        <v>3208</v>
      </c>
      <c r="E196" s="5">
        <v>320</v>
      </c>
      <c r="F196" s="5">
        <v>1</v>
      </c>
      <c r="G196" s="5">
        <v>2</v>
      </c>
      <c r="H196" s="5">
        <v>80954</v>
      </c>
      <c r="I196" s="5" t="s">
        <v>16</v>
      </c>
      <c r="J196" s="5">
        <v>83517413</v>
      </c>
      <c r="K196" s="5" t="s">
        <v>2918</v>
      </c>
      <c r="L196" s="5" t="s">
        <v>2923</v>
      </c>
      <c r="M196" s="6">
        <v>89900</v>
      </c>
      <c r="N196" s="7">
        <v>0.9</v>
      </c>
      <c r="O196" s="6">
        <f t="shared" si="7"/>
        <v>8990</v>
      </c>
      <c r="P196" s="5" t="s">
        <v>504</v>
      </c>
    </row>
    <row r="197" spans="1:16" x14ac:dyDescent="0.35">
      <c r="A197" s="5" t="str">
        <f t="shared" si="8"/>
        <v>2023 H2 All Items D90</v>
      </c>
      <c r="B197" s="8">
        <f>'ALL 2024 H2 D80'!$B$2</f>
        <v>46114</v>
      </c>
      <c r="C197" s="8">
        <f>'ALL 2024 H2 D80'!$C$2</f>
        <v>46120</v>
      </c>
      <c r="D197" s="5">
        <v>3208</v>
      </c>
      <c r="E197" s="5">
        <v>320</v>
      </c>
      <c r="F197" s="5">
        <v>1</v>
      </c>
      <c r="G197" s="5">
        <v>2</v>
      </c>
      <c r="H197" s="5">
        <v>80954</v>
      </c>
      <c r="I197" s="5" t="s">
        <v>16</v>
      </c>
      <c r="J197" s="5">
        <v>83517422</v>
      </c>
      <c r="K197" s="5" t="s">
        <v>2918</v>
      </c>
      <c r="L197" s="5" t="s">
        <v>2924</v>
      </c>
      <c r="M197" s="6">
        <v>89900</v>
      </c>
      <c r="N197" s="7">
        <v>0.9</v>
      </c>
      <c r="O197" s="6">
        <f t="shared" si="7"/>
        <v>8990</v>
      </c>
      <c r="P197" s="5" t="s">
        <v>504</v>
      </c>
    </row>
    <row r="198" spans="1:16" x14ac:dyDescent="0.35">
      <c r="A198" s="5" t="str">
        <f t="shared" si="8"/>
        <v>2023 H2 All Items D90</v>
      </c>
      <c r="B198" s="8">
        <f>'ALL 2024 H2 D80'!$B$2</f>
        <v>46114</v>
      </c>
      <c r="C198" s="8">
        <f>'ALL 2024 H2 D80'!$C$2</f>
        <v>46120</v>
      </c>
      <c r="D198" s="5">
        <v>3208</v>
      </c>
      <c r="E198" s="5">
        <v>320</v>
      </c>
      <c r="F198" s="5">
        <v>1</v>
      </c>
      <c r="G198" s="5">
        <v>2</v>
      </c>
      <c r="H198" s="5">
        <v>80954</v>
      </c>
      <c r="I198" s="5" t="s">
        <v>16</v>
      </c>
      <c r="J198" s="5">
        <v>83517431</v>
      </c>
      <c r="K198" s="5" t="s">
        <v>2918</v>
      </c>
      <c r="L198" s="5" t="s">
        <v>2925</v>
      </c>
      <c r="M198" s="6">
        <v>89900</v>
      </c>
      <c r="N198" s="7">
        <v>0.9</v>
      </c>
      <c r="O198" s="6">
        <f t="shared" si="7"/>
        <v>8990</v>
      </c>
      <c r="P198" s="5" t="s">
        <v>504</v>
      </c>
    </row>
    <row r="199" spans="1:16" x14ac:dyDescent="0.35">
      <c r="A199" s="5" t="str">
        <f t="shared" si="8"/>
        <v>2023 H2 All Items D90</v>
      </c>
      <c r="B199" s="8">
        <f>'ALL 2024 H2 D80'!$B$2</f>
        <v>46114</v>
      </c>
      <c r="C199" s="8">
        <f>'ALL 2024 H2 D80'!$C$2</f>
        <v>46120</v>
      </c>
      <c r="D199" s="5">
        <v>3208</v>
      </c>
      <c r="E199" s="5">
        <v>320</v>
      </c>
      <c r="F199" s="5">
        <v>1</v>
      </c>
      <c r="G199" s="5">
        <v>2</v>
      </c>
      <c r="H199" s="5">
        <v>80954</v>
      </c>
      <c r="I199" s="5" t="s">
        <v>16</v>
      </c>
      <c r="J199" s="5">
        <v>83517440</v>
      </c>
      <c r="K199" s="5" t="s">
        <v>2918</v>
      </c>
      <c r="L199" s="5" t="s">
        <v>2926</v>
      </c>
      <c r="M199" s="6">
        <v>89900</v>
      </c>
      <c r="N199" s="7">
        <v>0.9</v>
      </c>
      <c r="O199" s="6">
        <f t="shared" si="7"/>
        <v>8990</v>
      </c>
      <c r="P199" s="5" t="s">
        <v>504</v>
      </c>
    </row>
    <row r="200" spans="1:16" x14ac:dyDescent="0.35">
      <c r="A200" s="5" t="str">
        <f t="shared" si="8"/>
        <v>2023 H2 All Items D90</v>
      </c>
      <c r="B200" s="8">
        <f>'ALL 2024 H2 D80'!$B$2</f>
        <v>46114</v>
      </c>
      <c r="C200" s="8">
        <f>'ALL 2024 H2 D80'!$C$2</f>
        <v>46120</v>
      </c>
      <c r="D200" s="5">
        <v>3208</v>
      </c>
      <c r="E200" s="5">
        <v>320</v>
      </c>
      <c r="F200" s="5">
        <v>1</v>
      </c>
      <c r="G200" s="5">
        <v>2</v>
      </c>
      <c r="H200" s="5">
        <v>80954</v>
      </c>
      <c r="I200" s="5" t="s">
        <v>16</v>
      </c>
      <c r="J200" s="5">
        <v>84499610</v>
      </c>
      <c r="K200" s="5" t="s">
        <v>2927</v>
      </c>
      <c r="L200" s="5" t="s">
        <v>2928</v>
      </c>
      <c r="M200" s="6">
        <v>89900</v>
      </c>
      <c r="N200" s="7">
        <v>0.9</v>
      </c>
      <c r="O200" s="6">
        <f t="shared" si="7"/>
        <v>8990</v>
      </c>
      <c r="P200" s="5" t="s">
        <v>504</v>
      </c>
    </row>
    <row r="201" spans="1:16" x14ac:dyDescent="0.35">
      <c r="A201" s="5" t="str">
        <f t="shared" si="8"/>
        <v>2023 H2 All Items D90</v>
      </c>
      <c r="B201" s="8">
        <f>'ALL 2024 H2 D80'!$B$2</f>
        <v>46114</v>
      </c>
      <c r="C201" s="8">
        <f>'ALL 2024 H2 D80'!$C$2</f>
        <v>46120</v>
      </c>
      <c r="D201" s="5">
        <v>3208</v>
      </c>
      <c r="E201" s="5">
        <v>320</v>
      </c>
      <c r="F201" s="5">
        <v>1</v>
      </c>
      <c r="G201" s="5">
        <v>2</v>
      </c>
      <c r="H201" s="5">
        <v>80954</v>
      </c>
      <c r="I201" s="5" t="s">
        <v>16</v>
      </c>
      <c r="J201" s="5">
        <v>84499629</v>
      </c>
      <c r="K201" s="5" t="s">
        <v>2927</v>
      </c>
      <c r="L201" s="5" t="s">
        <v>2929</v>
      </c>
      <c r="M201" s="6">
        <v>89900</v>
      </c>
      <c r="N201" s="7">
        <v>0.9</v>
      </c>
      <c r="O201" s="6">
        <f t="shared" si="7"/>
        <v>8990</v>
      </c>
      <c r="P201" s="5" t="s">
        <v>504</v>
      </c>
    </row>
    <row r="202" spans="1:16" x14ac:dyDescent="0.35">
      <c r="A202" s="5" t="str">
        <f t="shared" si="8"/>
        <v>2023 H2 All Items D90</v>
      </c>
      <c r="B202" s="8">
        <f>'ALL 2024 H2 D80'!$B$2</f>
        <v>46114</v>
      </c>
      <c r="C202" s="8">
        <f>'ALL 2024 H2 D80'!$C$2</f>
        <v>46120</v>
      </c>
      <c r="D202" s="5">
        <v>3208</v>
      </c>
      <c r="E202" s="5">
        <v>320</v>
      </c>
      <c r="F202" s="5">
        <v>1</v>
      </c>
      <c r="G202" s="5">
        <v>2</v>
      </c>
      <c r="H202" s="5">
        <v>80954</v>
      </c>
      <c r="I202" s="5" t="s">
        <v>16</v>
      </c>
      <c r="J202" s="5">
        <v>84499638</v>
      </c>
      <c r="K202" s="5" t="s">
        <v>2927</v>
      </c>
      <c r="L202" s="5" t="s">
        <v>2930</v>
      </c>
      <c r="M202" s="6">
        <v>89900</v>
      </c>
      <c r="N202" s="7">
        <v>0.9</v>
      </c>
      <c r="O202" s="6">
        <f t="shared" si="7"/>
        <v>8990</v>
      </c>
      <c r="P202" s="5" t="s">
        <v>504</v>
      </c>
    </row>
    <row r="203" spans="1:16" x14ac:dyDescent="0.35">
      <c r="A203" s="5" t="str">
        <f t="shared" si="8"/>
        <v>2023 H2 All Items D90</v>
      </c>
      <c r="B203" s="8">
        <f>'ALL 2024 H2 D80'!$B$2</f>
        <v>46114</v>
      </c>
      <c r="C203" s="8">
        <f>'ALL 2024 H2 D80'!$C$2</f>
        <v>46120</v>
      </c>
      <c r="D203" s="5">
        <v>3208</v>
      </c>
      <c r="E203" s="5">
        <v>320</v>
      </c>
      <c r="F203" s="5">
        <v>1</v>
      </c>
      <c r="G203" s="5">
        <v>2</v>
      </c>
      <c r="H203" s="5">
        <v>80954</v>
      </c>
      <c r="I203" s="5" t="s">
        <v>16</v>
      </c>
      <c r="J203" s="5">
        <v>84499647</v>
      </c>
      <c r="K203" s="5" t="s">
        <v>2927</v>
      </c>
      <c r="L203" s="5" t="s">
        <v>2931</v>
      </c>
      <c r="M203" s="6">
        <v>89900</v>
      </c>
      <c r="N203" s="7">
        <v>0.9</v>
      </c>
      <c r="O203" s="6">
        <f t="shared" si="7"/>
        <v>8990</v>
      </c>
      <c r="P203" s="5" t="s">
        <v>504</v>
      </c>
    </row>
    <row r="204" spans="1:16" x14ac:dyDescent="0.35">
      <c r="A204" s="5" t="str">
        <f t="shared" si="8"/>
        <v>2023 H2 All Items D90</v>
      </c>
      <c r="B204" s="8">
        <f>'ALL 2024 H2 D80'!$B$2</f>
        <v>46114</v>
      </c>
      <c r="C204" s="8">
        <f>'ALL 2024 H2 D80'!$C$2</f>
        <v>46120</v>
      </c>
      <c r="D204" s="5">
        <v>3208</v>
      </c>
      <c r="E204" s="5">
        <v>320</v>
      </c>
      <c r="F204" s="5">
        <v>1</v>
      </c>
      <c r="G204" s="5">
        <v>2</v>
      </c>
      <c r="H204" s="5">
        <v>80954</v>
      </c>
      <c r="I204" s="5" t="s">
        <v>16</v>
      </c>
      <c r="J204" s="5">
        <v>84499656</v>
      </c>
      <c r="K204" s="5" t="s">
        <v>2927</v>
      </c>
      <c r="L204" s="5" t="s">
        <v>2932</v>
      </c>
      <c r="M204" s="6">
        <v>89900</v>
      </c>
      <c r="N204" s="7">
        <v>0.9</v>
      </c>
      <c r="O204" s="6">
        <f t="shared" si="7"/>
        <v>8990</v>
      </c>
      <c r="P204" s="5" t="s">
        <v>504</v>
      </c>
    </row>
    <row r="205" spans="1:16" x14ac:dyDescent="0.35">
      <c r="A205" s="5" t="str">
        <f t="shared" si="8"/>
        <v>2023 H2 All Items D90</v>
      </c>
      <c r="B205" s="8">
        <f>'ALL 2024 H2 D80'!$B$2</f>
        <v>46114</v>
      </c>
      <c r="C205" s="8">
        <f>'ALL 2024 H2 D80'!$C$2</f>
        <v>46120</v>
      </c>
      <c r="D205" s="5">
        <v>3208</v>
      </c>
      <c r="E205" s="5">
        <v>320</v>
      </c>
      <c r="F205" s="5">
        <v>1</v>
      </c>
      <c r="G205" s="5">
        <v>2</v>
      </c>
      <c r="H205" s="5">
        <v>80954</v>
      </c>
      <c r="I205" s="5" t="s">
        <v>16</v>
      </c>
      <c r="J205" s="5">
        <v>84499665</v>
      </c>
      <c r="K205" s="5" t="s">
        <v>2927</v>
      </c>
      <c r="L205" s="5" t="s">
        <v>2933</v>
      </c>
      <c r="M205" s="6">
        <v>89900</v>
      </c>
      <c r="N205" s="7">
        <v>0.9</v>
      </c>
      <c r="O205" s="6">
        <f t="shared" si="7"/>
        <v>8990</v>
      </c>
      <c r="P205" s="5" t="s">
        <v>504</v>
      </c>
    </row>
    <row r="206" spans="1:16" x14ac:dyDescent="0.35">
      <c r="A206" s="5" t="str">
        <f t="shared" si="8"/>
        <v>2023 H2 All Items D90</v>
      </c>
      <c r="B206" s="8">
        <f>'ALL 2024 H2 D80'!$B$2</f>
        <v>46114</v>
      </c>
      <c r="C206" s="8">
        <f>'ALL 2024 H2 D80'!$C$2</f>
        <v>46120</v>
      </c>
      <c r="D206" s="5">
        <v>3208</v>
      </c>
      <c r="E206" s="5">
        <v>320</v>
      </c>
      <c r="F206" s="5">
        <v>1</v>
      </c>
      <c r="G206" s="5">
        <v>2</v>
      </c>
      <c r="H206" s="5">
        <v>80954</v>
      </c>
      <c r="I206" s="5" t="s">
        <v>16</v>
      </c>
      <c r="J206" s="5">
        <v>84499674</v>
      </c>
      <c r="K206" s="5" t="s">
        <v>2927</v>
      </c>
      <c r="L206" s="5" t="s">
        <v>2934</v>
      </c>
      <c r="M206" s="6">
        <v>89900</v>
      </c>
      <c r="N206" s="7">
        <v>0.9</v>
      </c>
      <c r="O206" s="6">
        <f t="shared" si="7"/>
        <v>8990</v>
      </c>
      <c r="P206" s="5" t="s">
        <v>504</v>
      </c>
    </row>
    <row r="207" spans="1:16" x14ac:dyDescent="0.35">
      <c r="A207" s="5" t="str">
        <f t="shared" si="8"/>
        <v>2023 H2 All Items D90</v>
      </c>
      <c r="B207" s="8">
        <f>'ALL 2024 H2 D80'!$B$2</f>
        <v>46114</v>
      </c>
      <c r="C207" s="8">
        <f>'ALL 2024 H2 D80'!$C$2</f>
        <v>46120</v>
      </c>
      <c r="D207" s="5">
        <v>3208</v>
      </c>
      <c r="E207" s="5">
        <v>320</v>
      </c>
      <c r="F207" s="5">
        <v>1</v>
      </c>
      <c r="G207" s="5">
        <v>2</v>
      </c>
      <c r="H207" s="5">
        <v>80954</v>
      </c>
      <c r="I207" s="5" t="s">
        <v>16</v>
      </c>
      <c r="J207" s="5">
        <v>84499683</v>
      </c>
      <c r="K207" s="5" t="s">
        <v>2927</v>
      </c>
      <c r="L207" s="5" t="s">
        <v>2935</v>
      </c>
      <c r="M207" s="6">
        <v>89900</v>
      </c>
      <c r="N207" s="7">
        <v>0.9</v>
      </c>
      <c r="O207" s="6">
        <f t="shared" si="7"/>
        <v>8990</v>
      </c>
      <c r="P207" s="5" t="s">
        <v>504</v>
      </c>
    </row>
    <row r="208" spans="1:16" x14ac:dyDescent="0.35">
      <c r="A208" s="5" t="str">
        <f t="shared" si="8"/>
        <v>2023 H2 All Items D90</v>
      </c>
      <c r="B208" s="8">
        <f>'ALL 2024 H2 D80'!$B$2</f>
        <v>46114</v>
      </c>
      <c r="C208" s="8">
        <f>'ALL 2024 H2 D80'!$C$2</f>
        <v>46120</v>
      </c>
      <c r="D208" s="5">
        <v>3208</v>
      </c>
      <c r="E208" s="5">
        <v>320</v>
      </c>
      <c r="F208" s="5">
        <v>1</v>
      </c>
      <c r="G208" s="5">
        <v>2</v>
      </c>
      <c r="H208" s="5">
        <v>80954</v>
      </c>
      <c r="I208" s="5" t="s">
        <v>16</v>
      </c>
      <c r="J208" s="5">
        <v>84499692</v>
      </c>
      <c r="K208" s="5" t="s">
        <v>2936</v>
      </c>
      <c r="L208" s="5" t="s">
        <v>2937</v>
      </c>
      <c r="M208" s="6">
        <v>89900</v>
      </c>
      <c r="N208" s="7">
        <v>0.9</v>
      </c>
      <c r="O208" s="6">
        <f t="shared" si="7"/>
        <v>8990</v>
      </c>
      <c r="P208" s="5" t="s">
        <v>504</v>
      </c>
    </row>
    <row r="209" spans="1:16" x14ac:dyDescent="0.35">
      <c r="A209" s="5" t="str">
        <f t="shared" si="8"/>
        <v>2023 H2 All Items D90</v>
      </c>
      <c r="B209" s="8">
        <f>'ALL 2024 H2 D80'!$B$2</f>
        <v>46114</v>
      </c>
      <c r="C209" s="8">
        <f>'ALL 2024 H2 D80'!$C$2</f>
        <v>46120</v>
      </c>
      <c r="D209" s="5">
        <v>3208</v>
      </c>
      <c r="E209" s="5">
        <v>320</v>
      </c>
      <c r="F209" s="5">
        <v>1</v>
      </c>
      <c r="G209" s="5">
        <v>2</v>
      </c>
      <c r="H209" s="5">
        <v>80954</v>
      </c>
      <c r="I209" s="5" t="s">
        <v>16</v>
      </c>
      <c r="J209" s="5">
        <v>84499709</v>
      </c>
      <c r="K209" s="5" t="s">
        <v>2936</v>
      </c>
      <c r="L209" s="5" t="s">
        <v>2938</v>
      </c>
      <c r="M209" s="6">
        <v>89900</v>
      </c>
      <c r="N209" s="7">
        <v>0.9</v>
      </c>
      <c r="O209" s="6">
        <f t="shared" si="7"/>
        <v>8990</v>
      </c>
      <c r="P209" s="5" t="s">
        <v>504</v>
      </c>
    </row>
    <row r="210" spans="1:16" x14ac:dyDescent="0.35">
      <c r="A210" s="5" t="str">
        <f t="shared" si="8"/>
        <v>2023 H2 All Items D90</v>
      </c>
      <c r="B210" s="8">
        <f>'ALL 2024 H2 D80'!$B$2</f>
        <v>46114</v>
      </c>
      <c r="C210" s="8">
        <f>'ALL 2024 H2 D80'!$C$2</f>
        <v>46120</v>
      </c>
      <c r="D210" s="5">
        <v>3208</v>
      </c>
      <c r="E210" s="5">
        <v>320</v>
      </c>
      <c r="F210" s="5">
        <v>1</v>
      </c>
      <c r="G210" s="5">
        <v>2</v>
      </c>
      <c r="H210" s="5">
        <v>80954</v>
      </c>
      <c r="I210" s="5" t="s">
        <v>16</v>
      </c>
      <c r="J210" s="5">
        <v>84499718</v>
      </c>
      <c r="K210" s="5" t="s">
        <v>2936</v>
      </c>
      <c r="L210" s="5" t="s">
        <v>2939</v>
      </c>
      <c r="M210" s="6">
        <v>89900</v>
      </c>
      <c r="N210" s="7">
        <v>0.9</v>
      </c>
      <c r="O210" s="6">
        <f t="shared" si="7"/>
        <v>8990</v>
      </c>
      <c r="P210" s="5" t="s">
        <v>504</v>
      </c>
    </row>
    <row r="211" spans="1:16" x14ac:dyDescent="0.35">
      <c r="A211" s="5" t="str">
        <f t="shared" si="8"/>
        <v>2023 H2 All Items D90</v>
      </c>
      <c r="B211" s="8">
        <f>'ALL 2024 H2 D80'!$B$2</f>
        <v>46114</v>
      </c>
      <c r="C211" s="8">
        <f>'ALL 2024 H2 D80'!$C$2</f>
        <v>46120</v>
      </c>
      <c r="D211" s="5">
        <v>3208</v>
      </c>
      <c r="E211" s="5">
        <v>320</v>
      </c>
      <c r="F211" s="5">
        <v>1</v>
      </c>
      <c r="G211" s="5">
        <v>2</v>
      </c>
      <c r="H211" s="5">
        <v>80954</v>
      </c>
      <c r="I211" s="5" t="s">
        <v>16</v>
      </c>
      <c r="J211" s="5">
        <v>84499727</v>
      </c>
      <c r="K211" s="5" t="s">
        <v>2936</v>
      </c>
      <c r="L211" s="5" t="s">
        <v>2940</v>
      </c>
      <c r="M211" s="6">
        <v>89900</v>
      </c>
      <c r="N211" s="7">
        <v>0.9</v>
      </c>
      <c r="O211" s="6">
        <f t="shared" si="7"/>
        <v>8990</v>
      </c>
      <c r="P211" s="5" t="s">
        <v>504</v>
      </c>
    </row>
    <row r="212" spans="1:16" x14ac:dyDescent="0.35">
      <c r="A212" s="5" t="str">
        <f t="shared" si="8"/>
        <v>2023 H2 All Items D90</v>
      </c>
      <c r="B212" s="8">
        <f>'ALL 2024 H2 D80'!$B$2</f>
        <v>46114</v>
      </c>
      <c r="C212" s="8">
        <f>'ALL 2024 H2 D80'!$C$2</f>
        <v>46120</v>
      </c>
      <c r="D212" s="5">
        <v>3208</v>
      </c>
      <c r="E212" s="5">
        <v>320</v>
      </c>
      <c r="F212" s="5">
        <v>1</v>
      </c>
      <c r="G212" s="5">
        <v>2</v>
      </c>
      <c r="H212" s="5">
        <v>80954</v>
      </c>
      <c r="I212" s="5" t="s">
        <v>16</v>
      </c>
      <c r="J212" s="5">
        <v>84499736</v>
      </c>
      <c r="K212" s="5" t="s">
        <v>2936</v>
      </c>
      <c r="L212" s="5" t="s">
        <v>2941</v>
      </c>
      <c r="M212" s="6">
        <v>89900</v>
      </c>
      <c r="N212" s="7">
        <v>0.9</v>
      </c>
      <c r="O212" s="6">
        <f t="shared" si="7"/>
        <v>8990</v>
      </c>
      <c r="P212" s="5" t="s">
        <v>504</v>
      </c>
    </row>
    <row r="213" spans="1:16" x14ac:dyDescent="0.35">
      <c r="A213" s="5" t="str">
        <f t="shared" si="8"/>
        <v>2023 H2 All Items D90</v>
      </c>
      <c r="B213" s="8">
        <f>'ALL 2024 H2 D80'!$B$2</f>
        <v>46114</v>
      </c>
      <c r="C213" s="8">
        <f>'ALL 2024 H2 D80'!$C$2</f>
        <v>46120</v>
      </c>
      <c r="D213" s="5">
        <v>3208</v>
      </c>
      <c r="E213" s="5">
        <v>320</v>
      </c>
      <c r="F213" s="5">
        <v>1</v>
      </c>
      <c r="G213" s="5">
        <v>2</v>
      </c>
      <c r="H213" s="5">
        <v>80954</v>
      </c>
      <c r="I213" s="5" t="s">
        <v>16</v>
      </c>
      <c r="J213" s="5">
        <v>84499745</v>
      </c>
      <c r="K213" s="5" t="s">
        <v>2936</v>
      </c>
      <c r="L213" s="5" t="s">
        <v>2942</v>
      </c>
      <c r="M213" s="6">
        <v>89900</v>
      </c>
      <c r="N213" s="7">
        <v>0.9</v>
      </c>
      <c r="O213" s="6">
        <f t="shared" si="7"/>
        <v>8990</v>
      </c>
      <c r="P213" s="5" t="s">
        <v>504</v>
      </c>
    </row>
    <row r="214" spans="1:16" x14ac:dyDescent="0.35">
      <c r="A214" s="5" t="str">
        <f t="shared" si="8"/>
        <v>2023 H2 All Items D90</v>
      </c>
      <c r="B214" s="8">
        <f>'ALL 2024 H2 D80'!$B$2</f>
        <v>46114</v>
      </c>
      <c r="C214" s="8">
        <f>'ALL 2024 H2 D80'!$C$2</f>
        <v>46120</v>
      </c>
      <c r="D214" s="5">
        <v>3208</v>
      </c>
      <c r="E214" s="5">
        <v>320</v>
      </c>
      <c r="F214" s="5">
        <v>1</v>
      </c>
      <c r="G214" s="5">
        <v>2</v>
      </c>
      <c r="H214" s="5">
        <v>80954</v>
      </c>
      <c r="I214" s="5" t="s">
        <v>16</v>
      </c>
      <c r="J214" s="5">
        <v>84499754</v>
      </c>
      <c r="K214" s="5" t="s">
        <v>2936</v>
      </c>
      <c r="L214" s="5" t="s">
        <v>2943</v>
      </c>
      <c r="M214" s="6">
        <v>89900</v>
      </c>
      <c r="N214" s="7">
        <v>0.9</v>
      </c>
      <c r="O214" s="6">
        <f t="shared" si="7"/>
        <v>8990</v>
      </c>
      <c r="P214" s="5" t="s">
        <v>504</v>
      </c>
    </row>
    <row r="215" spans="1:16" x14ac:dyDescent="0.35">
      <c r="A215" s="5" t="str">
        <f t="shared" si="8"/>
        <v>2023 H2 All Items D90</v>
      </c>
      <c r="B215" s="8">
        <f>'ALL 2024 H2 D80'!$B$2</f>
        <v>46114</v>
      </c>
      <c r="C215" s="8">
        <f>'ALL 2024 H2 D80'!$C$2</f>
        <v>46120</v>
      </c>
      <c r="D215" s="5">
        <v>3208</v>
      </c>
      <c r="E215" s="5">
        <v>320</v>
      </c>
      <c r="F215" s="5">
        <v>1</v>
      </c>
      <c r="G215" s="5">
        <v>2</v>
      </c>
      <c r="H215" s="5">
        <v>80954</v>
      </c>
      <c r="I215" s="5" t="s">
        <v>16</v>
      </c>
      <c r="J215" s="5">
        <v>84499763</v>
      </c>
      <c r="K215" s="5" t="s">
        <v>2936</v>
      </c>
      <c r="L215" s="5" t="s">
        <v>2944</v>
      </c>
      <c r="M215" s="6">
        <v>89900</v>
      </c>
      <c r="N215" s="7">
        <v>0.9</v>
      </c>
      <c r="O215" s="6">
        <f t="shared" si="7"/>
        <v>8990</v>
      </c>
      <c r="P215" s="5" t="s">
        <v>504</v>
      </c>
    </row>
    <row r="216" spans="1:16" x14ac:dyDescent="0.35">
      <c r="A216" s="5" t="str">
        <f t="shared" si="8"/>
        <v>2023 H2 All Items D90</v>
      </c>
      <c r="B216" s="8">
        <f>'ALL 2024 H2 D80'!$B$2</f>
        <v>46114</v>
      </c>
      <c r="C216" s="8">
        <f>'ALL 2024 H2 D80'!$C$2</f>
        <v>46120</v>
      </c>
      <c r="D216" s="5">
        <v>3208</v>
      </c>
      <c r="E216" s="5">
        <v>320</v>
      </c>
      <c r="F216" s="5">
        <v>1</v>
      </c>
      <c r="G216" s="5">
        <v>2</v>
      </c>
      <c r="H216" s="5">
        <v>80954</v>
      </c>
      <c r="I216" s="5" t="s">
        <v>16</v>
      </c>
      <c r="J216" s="5">
        <v>87543039</v>
      </c>
      <c r="K216" s="5" t="s">
        <v>2945</v>
      </c>
      <c r="L216" s="5" t="s">
        <v>2946</v>
      </c>
      <c r="M216" s="6">
        <v>89900</v>
      </c>
      <c r="N216" s="7">
        <v>0.9</v>
      </c>
      <c r="O216" s="6">
        <f t="shared" si="7"/>
        <v>8990</v>
      </c>
      <c r="P216" s="5" t="s">
        <v>504</v>
      </c>
    </row>
    <row r="217" spans="1:16" x14ac:dyDescent="0.35">
      <c r="A217" s="5" t="str">
        <f t="shared" si="8"/>
        <v>2023 H2 All Items D90</v>
      </c>
      <c r="B217" s="8">
        <f>'ALL 2024 H2 D80'!$B$2</f>
        <v>46114</v>
      </c>
      <c r="C217" s="8">
        <f>'ALL 2024 H2 D80'!$C$2</f>
        <v>46120</v>
      </c>
      <c r="D217" s="5">
        <v>3208</v>
      </c>
      <c r="E217" s="5">
        <v>320</v>
      </c>
      <c r="F217" s="5">
        <v>1</v>
      </c>
      <c r="G217" s="5">
        <v>2</v>
      </c>
      <c r="H217" s="5">
        <v>80954</v>
      </c>
      <c r="I217" s="5" t="s">
        <v>16</v>
      </c>
      <c r="J217" s="5">
        <v>87543048</v>
      </c>
      <c r="K217" s="5" t="s">
        <v>2945</v>
      </c>
      <c r="L217" s="5" t="s">
        <v>2947</v>
      </c>
      <c r="M217" s="6">
        <v>89900</v>
      </c>
      <c r="N217" s="7">
        <v>0.9</v>
      </c>
      <c r="O217" s="6">
        <f t="shared" si="7"/>
        <v>8990</v>
      </c>
      <c r="P217" s="5" t="s">
        <v>504</v>
      </c>
    </row>
    <row r="218" spans="1:16" x14ac:dyDescent="0.35">
      <c r="A218" s="5" t="str">
        <f t="shared" si="8"/>
        <v>2023 H2 All Items D90</v>
      </c>
      <c r="B218" s="8">
        <f>'ALL 2024 H2 D80'!$B$2</f>
        <v>46114</v>
      </c>
      <c r="C218" s="8">
        <f>'ALL 2024 H2 D80'!$C$2</f>
        <v>46120</v>
      </c>
      <c r="D218" s="5">
        <v>3208</v>
      </c>
      <c r="E218" s="5">
        <v>320</v>
      </c>
      <c r="F218" s="5">
        <v>1</v>
      </c>
      <c r="G218" s="5">
        <v>2</v>
      </c>
      <c r="H218" s="5">
        <v>80954</v>
      </c>
      <c r="I218" s="5" t="s">
        <v>16</v>
      </c>
      <c r="J218" s="5">
        <v>87543057</v>
      </c>
      <c r="K218" s="5" t="s">
        <v>2945</v>
      </c>
      <c r="L218" s="5" t="s">
        <v>2948</v>
      </c>
      <c r="M218" s="6">
        <v>89900</v>
      </c>
      <c r="N218" s="7">
        <v>0.9</v>
      </c>
      <c r="O218" s="6">
        <f t="shared" si="7"/>
        <v>8990</v>
      </c>
      <c r="P218" s="5" t="s">
        <v>504</v>
      </c>
    </row>
    <row r="219" spans="1:16" x14ac:dyDescent="0.35">
      <c r="A219" s="5" t="str">
        <f t="shared" si="8"/>
        <v>2023 H2 All Items D90</v>
      </c>
      <c r="B219" s="8">
        <f>'ALL 2024 H2 D80'!$B$2</f>
        <v>46114</v>
      </c>
      <c r="C219" s="8">
        <f>'ALL 2024 H2 D80'!$C$2</f>
        <v>46120</v>
      </c>
      <c r="D219" s="5">
        <v>3208</v>
      </c>
      <c r="E219" s="5">
        <v>320</v>
      </c>
      <c r="F219" s="5">
        <v>1</v>
      </c>
      <c r="G219" s="5">
        <v>2</v>
      </c>
      <c r="H219" s="5">
        <v>80954</v>
      </c>
      <c r="I219" s="5" t="s">
        <v>16</v>
      </c>
      <c r="J219" s="5">
        <v>87543066</v>
      </c>
      <c r="K219" s="5" t="s">
        <v>2945</v>
      </c>
      <c r="L219" s="5" t="s">
        <v>2949</v>
      </c>
      <c r="M219" s="6">
        <v>89900</v>
      </c>
      <c r="N219" s="7">
        <v>0.9</v>
      </c>
      <c r="O219" s="6">
        <f t="shared" si="7"/>
        <v>8990</v>
      </c>
      <c r="P219" s="5" t="s">
        <v>504</v>
      </c>
    </row>
    <row r="220" spans="1:16" x14ac:dyDescent="0.35">
      <c r="A220" s="5" t="str">
        <f t="shared" si="8"/>
        <v>2023 H2 All Items D90</v>
      </c>
      <c r="B220" s="8">
        <f>'ALL 2024 H2 D80'!$B$2</f>
        <v>46114</v>
      </c>
      <c r="C220" s="8">
        <f>'ALL 2024 H2 D80'!$C$2</f>
        <v>46120</v>
      </c>
      <c r="D220" s="5">
        <v>3208</v>
      </c>
      <c r="E220" s="5">
        <v>320</v>
      </c>
      <c r="F220" s="5">
        <v>1</v>
      </c>
      <c r="G220" s="5">
        <v>2</v>
      </c>
      <c r="H220" s="5">
        <v>80954</v>
      </c>
      <c r="I220" s="5" t="s">
        <v>16</v>
      </c>
      <c r="J220" s="5">
        <v>87543075</v>
      </c>
      <c r="K220" s="5" t="s">
        <v>2945</v>
      </c>
      <c r="L220" s="5" t="s">
        <v>2950</v>
      </c>
      <c r="M220" s="6">
        <v>89900</v>
      </c>
      <c r="N220" s="7">
        <v>0.9</v>
      </c>
      <c r="O220" s="6">
        <f t="shared" si="7"/>
        <v>8990</v>
      </c>
      <c r="P220" s="5" t="s">
        <v>504</v>
      </c>
    </row>
    <row r="221" spans="1:16" x14ac:dyDescent="0.35">
      <c r="A221" s="5" t="str">
        <f t="shared" si="8"/>
        <v>2023 H2 All Items D90</v>
      </c>
      <c r="B221" s="8">
        <f>'ALL 2024 H2 D80'!$B$2</f>
        <v>46114</v>
      </c>
      <c r="C221" s="8">
        <f>'ALL 2024 H2 D80'!$C$2</f>
        <v>46120</v>
      </c>
      <c r="D221" s="5">
        <v>3208</v>
      </c>
      <c r="E221" s="5">
        <v>320</v>
      </c>
      <c r="F221" s="5">
        <v>1</v>
      </c>
      <c r="G221" s="5">
        <v>2</v>
      </c>
      <c r="H221" s="5">
        <v>80954</v>
      </c>
      <c r="I221" s="5" t="s">
        <v>16</v>
      </c>
      <c r="J221" s="5">
        <v>87543084</v>
      </c>
      <c r="K221" s="5" t="s">
        <v>2945</v>
      </c>
      <c r="L221" s="5" t="s">
        <v>2951</v>
      </c>
      <c r="M221" s="6">
        <v>89900</v>
      </c>
      <c r="N221" s="7">
        <v>0.9</v>
      </c>
      <c r="O221" s="6">
        <f t="shared" si="7"/>
        <v>8990</v>
      </c>
      <c r="P221" s="5" t="s">
        <v>504</v>
      </c>
    </row>
    <row r="222" spans="1:16" x14ac:dyDescent="0.35">
      <c r="A222" s="5" t="str">
        <f t="shared" si="8"/>
        <v>2023 H2 All Items D90</v>
      </c>
      <c r="B222" s="8">
        <f>'ALL 2024 H2 D80'!$B$2</f>
        <v>46114</v>
      </c>
      <c r="C222" s="8">
        <f>'ALL 2024 H2 D80'!$C$2</f>
        <v>46120</v>
      </c>
      <c r="D222" s="5">
        <v>3208</v>
      </c>
      <c r="E222" s="5">
        <v>320</v>
      </c>
      <c r="F222" s="5">
        <v>1</v>
      </c>
      <c r="G222" s="5">
        <v>2</v>
      </c>
      <c r="H222" s="5">
        <v>80954</v>
      </c>
      <c r="I222" s="5" t="s">
        <v>16</v>
      </c>
      <c r="J222" s="5">
        <v>87543093</v>
      </c>
      <c r="K222" s="5" t="s">
        <v>2945</v>
      </c>
      <c r="L222" s="5" t="s">
        <v>2952</v>
      </c>
      <c r="M222" s="6">
        <v>89900</v>
      </c>
      <c r="N222" s="7">
        <v>0.9</v>
      </c>
      <c r="O222" s="6">
        <f t="shared" si="7"/>
        <v>8990</v>
      </c>
      <c r="P222" s="5" t="s">
        <v>504</v>
      </c>
    </row>
    <row r="223" spans="1:16" x14ac:dyDescent="0.35">
      <c r="A223" s="5" t="str">
        <f t="shared" si="8"/>
        <v>2023 H2 All Items D90</v>
      </c>
      <c r="B223" s="8">
        <f>'ALL 2024 H2 D80'!$B$2</f>
        <v>46114</v>
      </c>
      <c r="C223" s="8">
        <f>'ALL 2024 H2 D80'!$C$2</f>
        <v>46120</v>
      </c>
      <c r="D223" s="5">
        <v>3208</v>
      </c>
      <c r="E223" s="5">
        <v>320</v>
      </c>
      <c r="F223" s="5">
        <v>1</v>
      </c>
      <c r="G223" s="5">
        <v>2</v>
      </c>
      <c r="H223" s="5">
        <v>80954</v>
      </c>
      <c r="I223" s="5" t="s">
        <v>16</v>
      </c>
      <c r="J223" s="5">
        <v>87543100</v>
      </c>
      <c r="K223" s="5" t="s">
        <v>2945</v>
      </c>
      <c r="L223" s="5" t="s">
        <v>2953</v>
      </c>
      <c r="M223" s="6">
        <v>89900</v>
      </c>
      <c r="N223" s="7">
        <v>0.9</v>
      </c>
      <c r="O223" s="6">
        <f t="shared" si="7"/>
        <v>8990</v>
      </c>
      <c r="P223" s="5" t="s">
        <v>504</v>
      </c>
    </row>
    <row r="224" spans="1:16" x14ac:dyDescent="0.35">
      <c r="A224" s="5" t="str">
        <f t="shared" si="8"/>
        <v>2023 H2 All Items D90</v>
      </c>
      <c r="B224" s="8">
        <f>'ALL 2024 H2 D80'!$B$2</f>
        <v>46114</v>
      </c>
      <c r="C224" s="8">
        <f>'ALL 2024 H2 D80'!$C$2</f>
        <v>46120</v>
      </c>
      <c r="D224" s="5">
        <v>3208</v>
      </c>
      <c r="E224" s="5">
        <v>320</v>
      </c>
      <c r="F224" s="5">
        <v>1</v>
      </c>
      <c r="G224" s="5">
        <v>2</v>
      </c>
      <c r="H224" s="5">
        <v>80954</v>
      </c>
      <c r="I224" s="5" t="s">
        <v>16</v>
      </c>
      <c r="J224" s="5">
        <v>87543119</v>
      </c>
      <c r="K224" s="5" t="s">
        <v>2954</v>
      </c>
      <c r="L224" s="5" t="s">
        <v>2955</v>
      </c>
      <c r="M224" s="6">
        <v>89900</v>
      </c>
      <c r="N224" s="7">
        <v>0.9</v>
      </c>
      <c r="O224" s="6">
        <f t="shared" si="7"/>
        <v>8990</v>
      </c>
      <c r="P224" s="5" t="s">
        <v>504</v>
      </c>
    </row>
    <row r="225" spans="1:16" x14ac:dyDescent="0.35">
      <c r="A225" s="5" t="str">
        <f t="shared" si="8"/>
        <v>2023 H2 All Items D90</v>
      </c>
      <c r="B225" s="8">
        <f>'ALL 2024 H2 D80'!$B$2</f>
        <v>46114</v>
      </c>
      <c r="C225" s="8">
        <f>'ALL 2024 H2 D80'!$C$2</f>
        <v>46120</v>
      </c>
      <c r="D225" s="5">
        <v>3208</v>
      </c>
      <c r="E225" s="5">
        <v>320</v>
      </c>
      <c r="F225" s="5">
        <v>1</v>
      </c>
      <c r="G225" s="5">
        <v>2</v>
      </c>
      <c r="H225" s="5">
        <v>80954</v>
      </c>
      <c r="I225" s="5" t="s">
        <v>16</v>
      </c>
      <c r="J225" s="5">
        <v>87543128</v>
      </c>
      <c r="K225" s="5" t="s">
        <v>2954</v>
      </c>
      <c r="L225" s="5" t="s">
        <v>2956</v>
      </c>
      <c r="M225" s="6">
        <v>89900</v>
      </c>
      <c r="N225" s="7">
        <v>0.9</v>
      </c>
      <c r="O225" s="6">
        <f t="shared" si="7"/>
        <v>8990</v>
      </c>
      <c r="P225" s="5" t="s">
        <v>504</v>
      </c>
    </row>
    <row r="226" spans="1:16" x14ac:dyDescent="0.35">
      <c r="A226" s="5" t="str">
        <f t="shared" si="8"/>
        <v>2023 H2 All Items D90</v>
      </c>
      <c r="B226" s="8">
        <f>'ALL 2024 H2 D80'!$B$2</f>
        <v>46114</v>
      </c>
      <c r="C226" s="8">
        <f>'ALL 2024 H2 D80'!$C$2</f>
        <v>46120</v>
      </c>
      <c r="D226" s="5">
        <v>3208</v>
      </c>
      <c r="E226" s="5">
        <v>320</v>
      </c>
      <c r="F226" s="5">
        <v>1</v>
      </c>
      <c r="G226" s="5">
        <v>2</v>
      </c>
      <c r="H226" s="5">
        <v>80954</v>
      </c>
      <c r="I226" s="5" t="s">
        <v>16</v>
      </c>
      <c r="J226" s="5">
        <v>87543137</v>
      </c>
      <c r="K226" s="5" t="s">
        <v>2954</v>
      </c>
      <c r="L226" s="5" t="s">
        <v>2957</v>
      </c>
      <c r="M226" s="6">
        <v>89900</v>
      </c>
      <c r="N226" s="7">
        <v>0.9</v>
      </c>
      <c r="O226" s="6">
        <f t="shared" si="7"/>
        <v>8990</v>
      </c>
      <c r="P226" s="5" t="s">
        <v>504</v>
      </c>
    </row>
    <row r="227" spans="1:16" x14ac:dyDescent="0.35">
      <c r="A227" s="5" t="str">
        <f t="shared" si="8"/>
        <v>2023 H2 All Items D90</v>
      </c>
      <c r="B227" s="8">
        <f>'ALL 2024 H2 D80'!$B$2</f>
        <v>46114</v>
      </c>
      <c r="C227" s="8">
        <f>'ALL 2024 H2 D80'!$C$2</f>
        <v>46120</v>
      </c>
      <c r="D227" s="5">
        <v>3208</v>
      </c>
      <c r="E227" s="5">
        <v>320</v>
      </c>
      <c r="F227" s="5">
        <v>1</v>
      </c>
      <c r="G227" s="5">
        <v>2</v>
      </c>
      <c r="H227" s="5">
        <v>80954</v>
      </c>
      <c r="I227" s="5" t="s">
        <v>16</v>
      </c>
      <c r="J227" s="5">
        <v>87543146</v>
      </c>
      <c r="K227" s="5" t="s">
        <v>2954</v>
      </c>
      <c r="L227" s="5" t="s">
        <v>2958</v>
      </c>
      <c r="M227" s="6">
        <v>89900</v>
      </c>
      <c r="N227" s="7">
        <v>0.9</v>
      </c>
      <c r="O227" s="6">
        <f t="shared" si="7"/>
        <v>8990</v>
      </c>
      <c r="P227" s="5" t="s">
        <v>504</v>
      </c>
    </row>
    <row r="228" spans="1:16" x14ac:dyDescent="0.35">
      <c r="A228" s="5" t="str">
        <f t="shared" si="8"/>
        <v>2023 H2 All Items D90</v>
      </c>
      <c r="B228" s="8">
        <f>'ALL 2024 H2 D80'!$B$2</f>
        <v>46114</v>
      </c>
      <c r="C228" s="8">
        <f>'ALL 2024 H2 D80'!$C$2</f>
        <v>46120</v>
      </c>
      <c r="D228" s="5">
        <v>3208</v>
      </c>
      <c r="E228" s="5">
        <v>320</v>
      </c>
      <c r="F228" s="5">
        <v>1</v>
      </c>
      <c r="G228" s="5">
        <v>2</v>
      </c>
      <c r="H228" s="5">
        <v>80954</v>
      </c>
      <c r="I228" s="5" t="s">
        <v>16</v>
      </c>
      <c r="J228" s="5">
        <v>87543155</v>
      </c>
      <c r="K228" s="5" t="s">
        <v>2954</v>
      </c>
      <c r="L228" s="5" t="s">
        <v>2959</v>
      </c>
      <c r="M228" s="6">
        <v>89900</v>
      </c>
      <c r="N228" s="7">
        <v>0.9</v>
      </c>
      <c r="O228" s="6">
        <f t="shared" ref="O228:O239" si="9">M228-(M228*N228)</f>
        <v>8990</v>
      </c>
      <c r="P228" s="5" t="s">
        <v>504</v>
      </c>
    </row>
    <row r="229" spans="1:16" x14ac:dyDescent="0.35">
      <c r="A229" s="5" t="str">
        <f t="shared" si="8"/>
        <v>2023 H2 All Items D90</v>
      </c>
      <c r="B229" s="8">
        <f>'ALL 2024 H2 D80'!$B$2</f>
        <v>46114</v>
      </c>
      <c r="C229" s="8">
        <f>'ALL 2024 H2 D80'!$C$2</f>
        <v>46120</v>
      </c>
      <c r="D229" s="5">
        <v>3208</v>
      </c>
      <c r="E229" s="5">
        <v>320</v>
      </c>
      <c r="F229" s="5">
        <v>1</v>
      </c>
      <c r="G229" s="5">
        <v>2</v>
      </c>
      <c r="H229" s="5">
        <v>80954</v>
      </c>
      <c r="I229" s="5" t="s">
        <v>16</v>
      </c>
      <c r="J229" s="5">
        <v>87543164</v>
      </c>
      <c r="K229" s="5" t="s">
        <v>2954</v>
      </c>
      <c r="L229" s="5" t="s">
        <v>2960</v>
      </c>
      <c r="M229" s="6">
        <v>89900</v>
      </c>
      <c r="N229" s="7">
        <v>0.9</v>
      </c>
      <c r="O229" s="6">
        <f t="shared" si="9"/>
        <v>8990</v>
      </c>
      <c r="P229" s="5" t="s">
        <v>504</v>
      </c>
    </row>
    <row r="230" spans="1:16" x14ac:dyDescent="0.35">
      <c r="A230" s="5" t="str">
        <f t="shared" si="8"/>
        <v>2023 H2 All Items D90</v>
      </c>
      <c r="B230" s="8">
        <f>'ALL 2024 H2 D80'!$B$2</f>
        <v>46114</v>
      </c>
      <c r="C230" s="8">
        <f>'ALL 2024 H2 D80'!$C$2</f>
        <v>46120</v>
      </c>
      <c r="D230" s="5">
        <v>3208</v>
      </c>
      <c r="E230" s="5">
        <v>320</v>
      </c>
      <c r="F230" s="5">
        <v>1</v>
      </c>
      <c r="G230" s="5">
        <v>2</v>
      </c>
      <c r="H230" s="5">
        <v>80954</v>
      </c>
      <c r="I230" s="5" t="s">
        <v>16</v>
      </c>
      <c r="J230" s="5">
        <v>87543173</v>
      </c>
      <c r="K230" s="5" t="s">
        <v>2954</v>
      </c>
      <c r="L230" s="5" t="s">
        <v>2961</v>
      </c>
      <c r="M230" s="6">
        <v>89900</v>
      </c>
      <c r="N230" s="7">
        <v>0.9</v>
      </c>
      <c r="O230" s="6">
        <f t="shared" si="9"/>
        <v>8990</v>
      </c>
      <c r="P230" s="5" t="s">
        <v>504</v>
      </c>
    </row>
    <row r="231" spans="1:16" x14ac:dyDescent="0.35">
      <c r="A231" s="5" t="str">
        <f t="shared" si="8"/>
        <v>2023 H2 All Items D90</v>
      </c>
      <c r="B231" s="8">
        <f>'ALL 2024 H2 D80'!$B$2</f>
        <v>46114</v>
      </c>
      <c r="C231" s="8">
        <f>'ALL 2024 H2 D80'!$C$2</f>
        <v>46120</v>
      </c>
      <c r="D231" s="5">
        <v>3208</v>
      </c>
      <c r="E231" s="5">
        <v>320</v>
      </c>
      <c r="F231" s="5">
        <v>1</v>
      </c>
      <c r="G231" s="5">
        <v>2</v>
      </c>
      <c r="H231" s="5">
        <v>80954</v>
      </c>
      <c r="I231" s="5" t="s">
        <v>16</v>
      </c>
      <c r="J231" s="5">
        <v>87543182</v>
      </c>
      <c r="K231" s="5" t="s">
        <v>2954</v>
      </c>
      <c r="L231" s="5" t="s">
        <v>2962</v>
      </c>
      <c r="M231" s="6">
        <v>89900</v>
      </c>
      <c r="N231" s="7">
        <v>0.9</v>
      </c>
      <c r="O231" s="6">
        <f t="shared" si="9"/>
        <v>8990</v>
      </c>
      <c r="P231" s="5" t="s">
        <v>504</v>
      </c>
    </row>
    <row r="232" spans="1:16" x14ac:dyDescent="0.35">
      <c r="A232" s="5" t="str">
        <f t="shared" si="8"/>
        <v>2023 H2 All Items D90</v>
      </c>
      <c r="B232" s="8">
        <f>'ALL 2024 H2 D80'!$B$2</f>
        <v>46114</v>
      </c>
      <c r="C232" s="8">
        <f>'ALL 2024 H2 D80'!$C$2</f>
        <v>46120</v>
      </c>
      <c r="D232" s="5">
        <v>3208</v>
      </c>
      <c r="E232" s="5">
        <v>320</v>
      </c>
      <c r="F232" s="5">
        <v>1</v>
      </c>
      <c r="G232" s="5">
        <v>3</v>
      </c>
      <c r="H232" s="5">
        <v>81078</v>
      </c>
      <c r="I232" s="5" t="s">
        <v>16</v>
      </c>
      <c r="J232" s="5">
        <v>82237978</v>
      </c>
      <c r="K232" s="5" t="s">
        <v>342</v>
      </c>
      <c r="L232" s="5" t="s">
        <v>343</v>
      </c>
      <c r="M232" s="6">
        <v>429900</v>
      </c>
      <c r="N232" s="7">
        <v>0.9</v>
      </c>
      <c r="O232" s="6">
        <f t="shared" si="9"/>
        <v>42990</v>
      </c>
      <c r="P232" s="5" t="s">
        <v>504</v>
      </c>
    </row>
    <row r="233" spans="1:16" x14ac:dyDescent="0.35">
      <c r="A233" s="5" t="str">
        <f t="shared" si="8"/>
        <v>2023 H2 All Items D90</v>
      </c>
      <c r="B233" s="8">
        <f>'ALL 2024 H2 D80'!$B$2</f>
        <v>46114</v>
      </c>
      <c r="C233" s="8">
        <f>'ALL 2024 H2 D80'!$C$2</f>
        <v>46120</v>
      </c>
      <c r="D233" s="5">
        <v>3208</v>
      </c>
      <c r="E233" s="5">
        <v>320</v>
      </c>
      <c r="F233" s="5">
        <v>1</v>
      </c>
      <c r="G233" s="5">
        <v>3</v>
      </c>
      <c r="H233" s="5">
        <v>81078</v>
      </c>
      <c r="I233" s="5" t="s">
        <v>16</v>
      </c>
      <c r="J233" s="5">
        <v>82237987</v>
      </c>
      <c r="K233" s="5" t="s">
        <v>342</v>
      </c>
      <c r="L233" s="5" t="s">
        <v>344</v>
      </c>
      <c r="M233" s="6">
        <v>429900</v>
      </c>
      <c r="N233" s="7">
        <v>0.9</v>
      </c>
      <c r="O233" s="6">
        <f t="shared" si="9"/>
        <v>42990</v>
      </c>
      <c r="P233" s="5" t="s">
        <v>504</v>
      </c>
    </row>
    <row r="234" spans="1:16" x14ac:dyDescent="0.35">
      <c r="A234" s="5" t="str">
        <f t="shared" si="8"/>
        <v>2023 H2 All Items D90</v>
      </c>
      <c r="B234" s="8">
        <f>'ALL 2024 H2 D80'!$B$2</f>
        <v>46114</v>
      </c>
      <c r="C234" s="8">
        <f>'ALL 2024 H2 D80'!$C$2</f>
        <v>46120</v>
      </c>
      <c r="D234" s="5">
        <v>3208</v>
      </c>
      <c r="E234" s="5">
        <v>320</v>
      </c>
      <c r="F234" s="5">
        <v>1</v>
      </c>
      <c r="G234" s="5">
        <v>3</v>
      </c>
      <c r="H234" s="5">
        <v>81078</v>
      </c>
      <c r="I234" s="5" t="s">
        <v>16</v>
      </c>
      <c r="J234" s="5">
        <v>82237996</v>
      </c>
      <c r="K234" s="5" t="s">
        <v>342</v>
      </c>
      <c r="L234" s="5" t="s">
        <v>345</v>
      </c>
      <c r="M234" s="6">
        <v>429900</v>
      </c>
      <c r="N234" s="7">
        <v>0.9</v>
      </c>
      <c r="O234" s="6">
        <f t="shared" si="9"/>
        <v>42990</v>
      </c>
      <c r="P234" s="5" t="s">
        <v>504</v>
      </c>
    </row>
    <row r="235" spans="1:16" x14ac:dyDescent="0.35">
      <c r="A235" s="5" t="str">
        <f t="shared" si="8"/>
        <v>2023 H2 All Items D90</v>
      </c>
      <c r="B235" s="8">
        <f>'ALL 2024 H2 D80'!$B$2</f>
        <v>46114</v>
      </c>
      <c r="C235" s="8">
        <f>'ALL 2024 H2 D80'!$C$2</f>
        <v>46120</v>
      </c>
      <c r="D235" s="5">
        <v>3208</v>
      </c>
      <c r="E235" s="5">
        <v>320</v>
      </c>
      <c r="F235" s="5">
        <v>1</v>
      </c>
      <c r="G235" s="5">
        <v>3</v>
      </c>
      <c r="H235" s="5">
        <v>81078</v>
      </c>
      <c r="I235" s="5" t="s">
        <v>16</v>
      </c>
      <c r="J235" s="5">
        <v>82238002</v>
      </c>
      <c r="K235" s="5" t="s">
        <v>342</v>
      </c>
      <c r="L235" s="5" t="s">
        <v>346</v>
      </c>
      <c r="M235" s="6">
        <v>429900</v>
      </c>
      <c r="N235" s="7">
        <v>0.9</v>
      </c>
      <c r="O235" s="6">
        <f t="shared" si="9"/>
        <v>42990</v>
      </c>
      <c r="P235" s="5" t="s">
        <v>504</v>
      </c>
    </row>
    <row r="236" spans="1:16" x14ac:dyDescent="0.35">
      <c r="A236" s="5" t="str">
        <f t="shared" si="8"/>
        <v>2023 H2 All Items D90</v>
      </c>
      <c r="B236" s="8">
        <f>'ALL 2024 H2 D80'!$B$2</f>
        <v>46114</v>
      </c>
      <c r="C236" s="8">
        <f>'ALL 2024 H2 D80'!$C$2</f>
        <v>46120</v>
      </c>
      <c r="D236" s="5">
        <v>3208</v>
      </c>
      <c r="E236" s="5">
        <v>320</v>
      </c>
      <c r="F236" s="5">
        <v>1</v>
      </c>
      <c r="G236" s="5">
        <v>3</v>
      </c>
      <c r="H236" s="5">
        <v>81078</v>
      </c>
      <c r="I236" s="5" t="s">
        <v>16</v>
      </c>
      <c r="J236" s="5">
        <v>83517851</v>
      </c>
      <c r="K236" s="5" t="s">
        <v>342</v>
      </c>
      <c r="L236" s="5" t="s">
        <v>347</v>
      </c>
      <c r="M236" s="6">
        <v>429900</v>
      </c>
      <c r="N236" s="7">
        <v>0.9</v>
      </c>
      <c r="O236" s="6">
        <f t="shared" si="9"/>
        <v>42990</v>
      </c>
      <c r="P236" s="5" t="s">
        <v>504</v>
      </c>
    </row>
    <row r="237" spans="1:16" x14ac:dyDescent="0.35">
      <c r="A237" s="5" t="str">
        <f t="shared" si="8"/>
        <v>2023 H2 All Items D90</v>
      </c>
      <c r="B237" s="8">
        <f>'ALL 2024 H2 D80'!$B$2</f>
        <v>46114</v>
      </c>
      <c r="C237" s="8">
        <f>'ALL 2024 H2 D80'!$C$2</f>
        <v>46120</v>
      </c>
      <c r="D237" s="5">
        <v>3208</v>
      </c>
      <c r="E237" s="5">
        <v>320</v>
      </c>
      <c r="F237" s="5">
        <v>1</v>
      </c>
      <c r="G237" s="5">
        <v>3</v>
      </c>
      <c r="H237" s="5">
        <v>81078</v>
      </c>
      <c r="I237" s="5" t="s">
        <v>16</v>
      </c>
      <c r="J237" s="5">
        <v>83517860</v>
      </c>
      <c r="K237" s="5" t="s">
        <v>342</v>
      </c>
      <c r="L237" s="5" t="s">
        <v>348</v>
      </c>
      <c r="M237" s="6">
        <v>429900</v>
      </c>
      <c r="N237" s="7">
        <v>0.9</v>
      </c>
      <c r="O237" s="6">
        <f t="shared" si="9"/>
        <v>42990</v>
      </c>
      <c r="P237" s="5" t="s">
        <v>504</v>
      </c>
    </row>
    <row r="238" spans="1:16" x14ac:dyDescent="0.35">
      <c r="A238" s="5" t="str">
        <f t="shared" si="8"/>
        <v>2023 H2 All Items D90</v>
      </c>
      <c r="B238" s="8">
        <f>'ALL 2024 H2 D80'!$B$2</f>
        <v>46114</v>
      </c>
      <c r="C238" s="8">
        <f>'ALL 2024 H2 D80'!$C$2</f>
        <v>46120</v>
      </c>
      <c r="D238" s="5">
        <v>3208</v>
      </c>
      <c r="E238" s="5">
        <v>320</v>
      </c>
      <c r="F238" s="5">
        <v>1</v>
      </c>
      <c r="G238" s="5">
        <v>3</v>
      </c>
      <c r="H238" s="5">
        <v>81078</v>
      </c>
      <c r="I238" s="5" t="s">
        <v>16</v>
      </c>
      <c r="J238" s="5">
        <v>83517879</v>
      </c>
      <c r="K238" s="5" t="s">
        <v>342</v>
      </c>
      <c r="L238" s="5" t="s">
        <v>349</v>
      </c>
      <c r="M238" s="6">
        <v>429900</v>
      </c>
      <c r="N238" s="7">
        <v>0.9</v>
      </c>
      <c r="O238" s="6">
        <f t="shared" si="9"/>
        <v>42990</v>
      </c>
      <c r="P238" s="5" t="s">
        <v>504</v>
      </c>
    </row>
    <row r="239" spans="1:16" x14ac:dyDescent="0.35">
      <c r="A239" s="5" t="str">
        <f t="shared" si="8"/>
        <v>2023 H2 All Items D90</v>
      </c>
      <c r="B239" s="8">
        <f>'ALL 2024 H2 D80'!$B$2</f>
        <v>46114</v>
      </c>
      <c r="C239" s="8">
        <f>'ALL 2024 H2 D80'!$C$2</f>
        <v>46120</v>
      </c>
      <c r="D239" s="5">
        <v>3208</v>
      </c>
      <c r="E239" s="5">
        <v>320</v>
      </c>
      <c r="F239" s="5">
        <v>1</v>
      </c>
      <c r="G239" s="5">
        <v>3</v>
      </c>
      <c r="H239" s="5">
        <v>81078</v>
      </c>
      <c r="I239" s="5" t="s">
        <v>16</v>
      </c>
      <c r="J239" s="5">
        <v>83517888</v>
      </c>
      <c r="K239" s="5" t="s">
        <v>342</v>
      </c>
      <c r="L239" s="5" t="s">
        <v>350</v>
      </c>
      <c r="M239" s="6">
        <v>429900</v>
      </c>
      <c r="N239" s="7">
        <v>0.9</v>
      </c>
      <c r="O239" s="6">
        <f t="shared" si="9"/>
        <v>42990</v>
      </c>
      <c r="P239" s="5" t="s">
        <v>504</v>
      </c>
    </row>
    <row r="240" spans="1:16" x14ac:dyDescent="0.35">
      <c r="A240" s="5" t="str">
        <f t="shared" si="8"/>
        <v>2023 H2 All Items D90</v>
      </c>
      <c r="B240" s="8">
        <f>'ALL 2024 H2 D80'!$B$2</f>
        <v>46114</v>
      </c>
      <c r="C240" s="8">
        <f>'ALL 2024 H2 D80'!$C$2</f>
        <v>46120</v>
      </c>
      <c r="D240" s="5">
        <v>3208</v>
      </c>
      <c r="E240" s="5">
        <v>320</v>
      </c>
      <c r="F240" s="5">
        <v>1</v>
      </c>
      <c r="G240" s="5">
        <v>6</v>
      </c>
      <c r="H240" s="5">
        <v>81736</v>
      </c>
      <c r="I240" s="5" t="s">
        <v>16</v>
      </c>
      <c r="J240" s="5">
        <v>82494002</v>
      </c>
      <c r="K240" s="5" t="s">
        <v>481</v>
      </c>
      <c r="L240" s="5" t="s">
        <v>482</v>
      </c>
      <c r="M240" s="6">
        <v>279900</v>
      </c>
      <c r="N240" s="7">
        <v>0.9</v>
      </c>
      <c r="O240" s="6">
        <f t="shared" ref="O240:O259" si="10">M240-(M240*N240)</f>
        <v>27990</v>
      </c>
      <c r="P240" s="5" t="s">
        <v>504</v>
      </c>
    </row>
    <row r="241" spans="1:16" x14ac:dyDescent="0.35">
      <c r="A241" s="5" t="str">
        <f t="shared" si="8"/>
        <v>2023 H2 All Items D90</v>
      </c>
      <c r="B241" s="8">
        <f>'ALL 2024 H2 D80'!$B$2</f>
        <v>46114</v>
      </c>
      <c r="C241" s="8">
        <f>'ALL 2024 H2 D80'!$C$2</f>
        <v>46120</v>
      </c>
      <c r="D241" s="5">
        <v>3208</v>
      </c>
      <c r="E241" s="5">
        <v>320</v>
      </c>
      <c r="F241" s="5">
        <v>1</v>
      </c>
      <c r="G241" s="5">
        <v>6</v>
      </c>
      <c r="H241" s="5">
        <v>81736</v>
      </c>
      <c r="I241" s="5" t="s">
        <v>16</v>
      </c>
      <c r="J241" s="5">
        <v>82494011</v>
      </c>
      <c r="K241" s="5" t="s">
        <v>481</v>
      </c>
      <c r="L241" s="5" t="s">
        <v>483</v>
      </c>
      <c r="M241" s="6">
        <v>279900</v>
      </c>
      <c r="N241" s="7">
        <v>0.9</v>
      </c>
      <c r="O241" s="6">
        <f t="shared" si="10"/>
        <v>27990</v>
      </c>
      <c r="P241" s="5" t="s">
        <v>504</v>
      </c>
    </row>
    <row r="242" spans="1:16" x14ac:dyDescent="0.35">
      <c r="A242" s="5" t="str">
        <f t="shared" si="8"/>
        <v>2023 H2 All Items D90</v>
      </c>
      <c r="B242" s="8">
        <f>'ALL 2024 H2 D80'!$B$2</f>
        <v>46114</v>
      </c>
      <c r="C242" s="8">
        <f>'ALL 2024 H2 D80'!$C$2</f>
        <v>46120</v>
      </c>
      <c r="D242" s="5">
        <v>3208</v>
      </c>
      <c r="E242" s="5">
        <v>320</v>
      </c>
      <c r="F242" s="5">
        <v>1</v>
      </c>
      <c r="G242" s="5">
        <v>6</v>
      </c>
      <c r="H242" s="5">
        <v>81736</v>
      </c>
      <c r="I242" s="5" t="s">
        <v>16</v>
      </c>
      <c r="J242" s="5">
        <v>82494020</v>
      </c>
      <c r="K242" s="5" t="s">
        <v>481</v>
      </c>
      <c r="L242" s="5" t="s">
        <v>484</v>
      </c>
      <c r="M242" s="6">
        <v>279900</v>
      </c>
      <c r="N242" s="7">
        <v>0.9</v>
      </c>
      <c r="O242" s="6">
        <f t="shared" si="10"/>
        <v>27990</v>
      </c>
      <c r="P242" s="5" t="s">
        <v>504</v>
      </c>
    </row>
    <row r="243" spans="1:16" x14ac:dyDescent="0.35">
      <c r="A243" s="5" t="str">
        <f t="shared" si="8"/>
        <v>2023 H2 All Items D90</v>
      </c>
      <c r="B243" s="8">
        <f>'ALL 2024 H2 D80'!$B$2</f>
        <v>46114</v>
      </c>
      <c r="C243" s="8">
        <f>'ALL 2024 H2 D80'!$C$2</f>
        <v>46120</v>
      </c>
      <c r="D243" s="5">
        <v>3208</v>
      </c>
      <c r="E243" s="5">
        <v>320</v>
      </c>
      <c r="F243" s="5">
        <v>1</v>
      </c>
      <c r="G243" s="5">
        <v>6</v>
      </c>
      <c r="H243" s="5">
        <v>81736</v>
      </c>
      <c r="I243" s="5" t="s">
        <v>16</v>
      </c>
      <c r="J243" s="5">
        <v>82494039</v>
      </c>
      <c r="K243" s="5" t="s">
        <v>481</v>
      </c>
      <c r="L243" s="5" t="s">
        <v>485</v>
      </c>
      <c r="M243" s="6">
        <v>279900</v>
      </c>
      <c r="N243" s="7">
        <v>0.9</v>
      </c>
      <c r="O243" s="6">
        <f t="shared" si="10"/>
        <v>27990</v>
      </c>
      <c r="P243" s="5" t="s">
        <v>504</v>
      </c>
    </row>
    <row r="244" spans="1:16" x14ac:dyDescent="0.35">
      <c r="A244" s="5" t="str">
        <f t="shared" si="8"/>
        <v>2023 H2 All Items D90</v>
      </c>
      <c r="B244" s="8">
        <f>'ALL 2024 H2 D80'!$B$2</f>
        <v>46114</v>
      </c>
      <c r="C244" s="8">
        <f>'ALL 2024 H2 D80'!$C$2</f>
        <v>46120</v>
      </c>
      <c r="D244" s="5">
        <v>3208</v>
      </c>
      <c r="E244" s="5">
        <v>320</v>
      </c>
      <c r="F244" s="5">
        <v>1</v>
      </c>
      <c r="G244" s="5">
        <v>6</v>
      </c>
      <c r="H244" s="5">
        <v>81736</v>
      </c>
      <c r="I244" s="5" t="s">
        <v>16</v>
      </c>
      <c r="J244" s="5">
        <v>82494048</v>
      </c>
      <c r="K244" s="5" t="s">
        <v>481</v>
      </c>
      <c r="L244" s="5" t="s">
        <v>486</v>
      </c>
      <c r="M244" s="6">
        <v>279900</v>
      </c>
      <c r="N244" s="7">
        <v>0.9</v>
      </c>
      <c r="O244" s="6">
        <f t="shared" si="10"/>
        <v>27990</v>
      </c>
      <c r="P244" s="5" t="s">
        <v>504</v>
      </c>
    </row>
    <row r="245" spans="1:16" x14ac:dyDescent="0.35">
      <c r="A245" s="5" t="str">
        <f t="shared" si="8"/>
        <v>2023 H2 All Items D90</v>
      </c>
      <c r="B245" s="8">
        <f>'ALL 2024 H2 D80'!$B$2</f>
        <v>46114</v>
      </c>
      <c r="C245" s="8">
        <f>'ALL 2024 H2 D80'!$C$2</f>
        <v>46120</v>
      </c>
      <c r="D245" s="5">
        <v>3208</v>
      </c>
      <c r="E245" s="5">
        <v>320</v>
      </c>
      <c r="F245" s="5">
        <v>1</v>
      </c>
      <c r="G245" s="5">
        <v>6</v>
      </c>
      <c r="H245" s="5">
        <v>81736</v>
      </c>
      <c r="I245" s="5" t="s">
        <v>16</v>
      </c>
      <c r="J245" s="5">
        <v>82494057</v>
      </c>
      <c r="K245" s="5" t="s">
        <v>481</v>
      </c>
      <c r="L245" s="5" t="s">
        <v>487</v>
      </c>
      <c r="M245" s="6">
        <v>279900</v>
      </c>
      <c r="N245" s="7">
        <v>0.9</v>
      </c>
      <c r="O245" s="6">
        <f t="shared" si="10"/>
        <v>27990</v>
      </c>
      <c r="P245" s="5" t="s">
        <v>504</v>
      </c>
    </row>
    <row r="246" spans="1:16" x14ac:dyDescent="0.35">
      <c r="A246" s="5" t="str">
        <f t="shared" si="8"/>
        <v>2023 H2 All Items D90</v>
      </c>
      <c r="B246" s="8">
        <f>'ALL 2024 H2 D80'!$B$2</f>
        <v>46114</v>
      </c>
      <c r="C246" s="8">
        <f>'ALL 2024 H2 D80'!$C$2</f>
        <v>46120</v>
      </c>
      <c r="D246" s="5">
        <v>3208</v>
      </c>
      <c r="E246" s="5">
        <v>320</v>
      </c>
      <c r="F246" s="5">
        <v>1</v>
      </c>
      <c r="G246" s="5">
        <v>6</v>
      </c>
      <c r="H246" s="5">
        <v>81736</v>
      </c>
      <c r="I246" s="5" t="s">
        <v>16</v>
      </c>
      <c r="J246" s="5">
        <v>82494066</v>
      </c>
      <c r="K246" s="5" t="s">
        <v>481</v>
      </c>
      <c r="L246" s="5" t="s">
        <v>488</v>
      </c>
      <c r="M246" s="6">
        <v>279900</v>
      </c>
      <c r="N246" s="7">
        <v>0.9</v>
      </c>
      <c r="O246" s="6">
        <f t="shared" si="10"/>
        <v>27990</v>
      </c>
      <c r="P246" s="5" t="s">
        <v>504</v>
      </c>
    </row>
    <row r="247" spans="1:16" x14ac:dyDescent="0.35">
      <c r="A247" s="5" t="str">
        <f t="shared" si="8"/>
        <v>2023 H2 All Items D90</v>
      </c>
      <c r="B247" s="8">
        <f>'ALL 2024 H2 D80'!$B$2</f>
        <v>46114</v>
      </c>
      <c r="C247" s="8">
        <f>'ALL 2024 H2 D80'!$C$2</f>
        <v>46120</v>
      </c>
      <c r="D247" s="5">
        <v>3208</v>
      </c>
      <c r="E247" s="5">
        <v>320</v>
      </c>
      <c r="F247" s="5">
        <v>1</v>
      </c>
      <c r="G247" s="5">
        <v>6</v>
      </c>
      <c r="H247" s="5">
        <v>81736</v>
      </c>
      <c r="I247" s="5" t="s">
        <v>16</v>
      </c>
      <c r="J247" s="5">
        <v>82494075</v>
      </c>
      <c r="K247" s="5" t="s">
        <v>481</v>
      </c>
      <c r="L247" s="5" t="s">
        <v>489</v>
      </c>
      <c r="M247" s="6">
        <v>279900</v>
      </c>
      <c r="N247" s="7">
        <v>0.9</v>
      </c>
      <c r="O247" s="6">
        <f t="shared" si="10"/>
        <v>27990</v>
      </c>
      <c r="P247" s="5" t="s">
        <v>504</v>
      </c>
    </row>
    <row r="248" spans="1:16" x14ac:dyDescent="0.35">
      <c r="A248" s="5" t="str">
        <f t="shared" si="8"/>
        <v>2023 H2 All Items D90</v>
      </c>
      <c r="B248" s="8">
        <f>'ALL 2024 H2 D80'!$B$2</f>
        <v>46114</v>
      </c>
      <c r="C248" s="8">
        <f>'ALL 2024 H2 D80'!$C$2</f>
        <v>46120</v>
      </c>
      <c r="D248" s="5">
        <v>3208</v>
      </c>
      <c r="E248" s="5">
        <v>320</v>
      </c>
      <c r="F248" s="5">
        <v>1</v>
      </c>
      <c r="G248" s="5">
        <v>6</v>
      </c>
      <c r="H248" s="5">
        <v>81736</v>
      </c>
      <c r="I248" s="5" t="s">
        <v>16</v>
      </c>
      <c r="J248" s="5">
        <v>83517539</v>
      </c>
      <c r="K248" s="5" t="s">
        <v>490</v>
      </c>
      <c r="L248" s="5" t="s">
        <v>491</v>
      </c>
      <c r="M248" s="6">
        <v>279900</v>
      </c>
      <c r="N248" s="7">
        <v>0.9</v>
      </c>
      <c r="O248" s="6">
        <f t="shared" si="10"/>
        <v>27990</v>
      </c>
      <c r="P248" s="5" t="s">
        <v>504</v>
      </c>
    </row>
    <row r="249" spans="1:16" x14ac:dyDescent="0.35">
      <c r="A249" s="5" t="str">
        <f t="shared" si="8"/>
        <v>2023 H2 All Items D90</v>
      </c>
      <c r="B249" s="8">
        <f>'ALL 2024 H2 D80'!$B$2</f>
        <v>46114</v>
      </c>
      <c r="C249" s="8">
        <f>'ALL 2024 H2 D80'!$C$2</f>
        <v>46120</v>
      </c>
      <c r="D249" s="5">
        <v>3208</v>
      </c>
      <c r="E249" s="5">
        <v>320</v>
      </c>
      <c r="F249" s="5">
        <v>1</v>
      </c>
      <c r="G249" s="5">
        <v>6</v>
      </c>
      <c r="H249" s="5">
        <v>81736</v>
      </c>
      <c r="I249" s="5" t="s">
        <v>16</v>
      </c>
      <c r="J249" s="5">
        <v>83517548</v>
      </c>
      <c r="K249" s="5" t="s">
        <v>490</v>
      </c>
      <c r="L249" s="5" t="s">
        <v>492</v>
      </c>
      <c r="M249" s="6">
        <v>279900</v>
      </c>
      <c r="N249" s="7">
        <v>0.9</v>
      </c>
      <c r="O249" s="6">
        <f t="shared" si="10"/>
        <v>27990</v>
      </c>
      <c r="P249" s="5" t="s">
        <v>504</v>
      </c>
    </row>
    <row r="250" spans="1:16" x14ac:dyDescent="0.35">
      <c r="A250" s="5" t="str">
        <f t="shared" si="8"/>
        <v>2023 H2 All Items D90</v>
      </c>
      <c r="B250" s="8">
        <f>'ALL 2024 H2 D80'!$B$2</f>
        <v>46114</v>
      </c>
      <c r="C250" s="8">
        <f>'ALL 2024 H2 D80'!$C$2</f>
        <v>46120</v>
      </c>
      <c r="D250" s="5">
        <v>3208</v>
      </c>
      <c r="E250" s="5">
        <v>320</v>
      </c>
      <c r="F250" s="5">
        <v>1</v>
      </c>
      <c r="G250" s="5">
        <v>6</v>
      </c>
      <c r="H250" s="5">
        <v>81736</v>
      </c>
      <c r="I250" s="5" t="s">
        <v>16</v>
      </c>
      <c r="J250" s="5">
        <v>83517557</v>
      </c>
      <c r="K250" s="5" t="s">
        <v>490</v>
      </c>
      <c r="L250" s="5" t="s">
        <v>493</v>
      </c>
      <c r="M250" s="6">
        <v>279900</v>
      </c>
      <c r="N250" s="7">
        <v>0.9</v>
      </c>
      <c r="O250" s="6">
        <f t="shared" si="10"/>
        <v>27990</v>
      </c>
      <c r="P250" s="5" t="s">
        <v>504</v>
      </c>
    </row>
    <row r="251" spans="1:16" x14ac:dyDescent="0.35">
      <c r="A251" s="5" t="str">
        <f t="shared" si="8"/>
        <v>2023 H2 All Items D90</v>
      </c>
      <c r="B251" s="8">
        <f>'ALL 2024 H2 D80'!$B$2</f>
        <v>46114</v>
      </c>
      <c r="C251" s="8">
        <f>'ALL 2024 H2 D80'!$C$2</f>
        <v>46120</v>
      </c>
      <c r="D251" s="5">
        <v>3208</v>
      </c>
      <c r="E251" s="5">
        <v>320</v>
      </c>
      <c r="F251" s="5">
        <v>1</v>
      </c>
      <c r="G251" s="5">
        <v>6</v>
      </c>
      <c r="H251" s="5">
        <v>81736</v>
      </c>
      <c r="I251" s="5" t="s">
        <v>16</v>
      </c>
      <c r="J251" s="5">
        <v>83517566</v>
      </c>
      <c r="K251" s="5" t="s">
        <v>490</v>
      </c>
      <c r="L251" s="5" t="s">
        <v>494</v>
      </c>
      <c r="M251" s="6">
        <v>279900</v>
      </c>
      <c r="N251" s="7">
        <v>0.9</v>
      </c>
      <c r="O251" s="6">
        <f t="shared" si="10"/>
        <v>27990</v>
      </c>
      <c r="P251" s="5" t="s">
        <v>504</v>
      </c>
    </row>
    <row r="252" spans="1:16" x14ac:dyDescent="0.35">
      <c r="A252" s="5" t="str">
        <f t="shared" si="8"/>
        <v>2023 H2 All Items D90</v>
      </c>
      <c r="B252" s="8">
        <f>'ALL 2024 H2 D80'!$B$2</f>
        <v>46114</v>
      </c>
      <c r="C252" s="8">
        <f>'ALL 2024 H2 D80'!$C$2</f>
        <v>46120</v>
      </c>
      <c r="D252" s="5">
        <v>3208</v>
      </c>
      <c r="E252" s="5">
        <v>320</v>
      </c>
      <c r="F252" s="5">
        <v>1</v>
      </c>
      <c r="G252" s="5">
        <v>6</v>
      </c>
      <c r="H252" s="5">
        <v>81736</v>
      </c>
      <c r="I252" s="5" t="s">
        <v>16</v>
      </c>
      <c r="J252" s="5">
        <v>83517575</v>
      </c>
      <c r="K252" s="5" t="s">
        <v>490</v>
      </c>
      <c r="L252" s="5" t="s">
        <v>495</v>
      </c>
      <c r="M252" s="6">
        <v>279900</v>
      </c>
      <c r="N252" s="7">
        <v>0.9</v>
      </c>
      <c r="O252" s="6">
        <f t="shared" si="10"/>
        <v>27990</v>
      </c>
      <c r="P252" s="5" t="s">
        <v>504</v>
      </c>
    </row>
    <row r="253" spans="1:16" x14ac:dyDescent="0.35">
      <c r="A253" s="5" t="str">
        <f t="shared" si="8"/>
        <v>2023 H2 All Items D90</v>
      </c>
      <c r="B253" s="8">
        <f>'ALL 2024 H2 D80'!$B$2</f>
        <v>46114</v>
      </c>
      <c r="C253" s="8">
        <f>'ALL 2024 H2 D80'!$C$2</f>
        <v>46120</v>
      </c>
      <c r="D253" s="5">
        <v>3208</v>
      </c>
      <c r="E253" s="5">
        <v>320</v>
      </c>
      <c r="F253" s="5">
        <v>1</v>
      </c>
      <c r="G253" s="5">
        <v>6</v>
      </c>
      <c r="H253" s="5">
        <v>81736</v>
      </c>
      <c r="I253" s="5" t="s">
        <v>16</v>
      </c>
      <c r="J253" s="5">
        <v>83517584</v>
      </c>
      <c r="K253" s="5" t="s">
        <v>490</v>
      </c>
      <c r="L253" s="5" t="s">
        <v>496</v>
      </c>
      <c r="M253" s="6">
        <v>279900</v>
      </c>
      <c r="N253" s="7">
        <v>0.9</v>
      </c>
      <c r="O253" s="6">
        <f t="shared" si="10"/>
        <v>27990</v>
      </c>
      <c r="P253" s="5" t="s">
        <v>504</v>
      </c>
    </row>
    <row r="254" spans="1:16" x14ac:dyDescent="0.35">
      <c r="A254" s="5" t="str">
        <f t="shared" si="8"/>
        <v>2023 H2 All Items D90</v>
      </c>
      <c r="B254" s="8">
        <f>'ALL 2024 H2 D80'!$B$2</f>
        <v>46114</v>
      </c>
      <c r="C254" s="8">
        <f>'ALL 2024 H2 D80'!$C$2</f>
        <v>46120</v>
      </c>
      <c r="D254" s="5">
        <v>3208</v>
      </c>
      <c r="E254" s="5">
        <v>320</v>
      </c>
      <c r="F254" s="5">
        <v>1</v>
      </c>
      <c r="G254" s="5">
        <v>6</v>
      </c>
      <c r="H254" s="5">
        <v>81736</v>
      </c>
      <c r="I254" s="5" t="s">
        <v>16</v>
      </c>
      <c r="J254" s="5">
        <v>83517593</v>
      </c>
      <c r="K254" s="5" t="s">
        <v>490</v>
      </c>
      <c r="L254" s="5" t="s">
        <v>497</v>
      </c>
      <c r="M254" s="6">
        <v>279900</v>
      </c>
      <c r="N254" s="7">
        <v>0.9</v>
      </c>
      <c r="O254" s="6">
        <f t="shared" si="10"/>
        <v>27990</v>
      </c>
      <c r="P254" s="5" t="s">
        <v>504</v>
      </c>
    </row>
    <row r="255" spans="1:16" x14ac:dyDescent="0.35">
      <c r="A255" s="5" t="str">
        <f t="shared" si="8"/>
        <v>2023 H2 All Items D90</v>
      </c>
      <c r="B255" s="8">
        <f>'ALL 2024 H2 D80'!$B$2</f>
        <v>46114</v>
      </c>
      <c r="C255" s="8">
        <f>'ALL 2024 H2 D80'!$C$2</f>
        <v>46120</v>
      </c>
      <c r="D255" s="5">
        <v>3208</v>
      </c>
      <c r="E255" s="5">
        <v>320</v>
      </c>
      <c r="F255" s="5">
        <v>1</v>
      </c>
      <c r="G255" s="5">
        <v>6</v>
      </c>
      <c r="H255" s="5">
        <v>81736</v>
      </c>
      <c r="I255" s="5" t="s">
        <v>16</v>
      </c>
      <c r="J255" s="5">
        <v>83517600</v>
      </c>
      <c r="K255" s="5" t="s">
        <v>490</v>
      </c>
      <c r="L255" s="5" t="s">
        <v>498</v>
      </c>
      <c r="M255" s="6">
        <v>279900</v>
      </c>
      <c r="N255" s="7">
        <v>0.9</v>
      </c>
      <c r="O255" s="6">
        <f t="shared" si="10"/>
        <v>27990</v>
      </c>
      <c r="P255" s="5" t="s">
        <v>504</v>
      </c>
    </row>
    <row r="256" spans="1:16" x14ac:dyDescent="0.35">
      <c r="A256" s="5" t="str">
        <f t="shared" si="8"/>
        <v>2023 H2 All Items D90</v>
      </c>
      <c r="B256" s="8">
        <f>'ALL 2024 H2 D80'!$B$2</f>
        <v>46114</v>
      </c>
      <c r="C256" s="8">
        <f>'ALL 2024 H2 D80'!$C$2</f>
        <v>46120</v>
      </c>
      <c r="D256" s="5">
        <v>3208</v>
      </c>
      <c r="E256" s="5">
        <v>320</v>
      </c>
      <c r="F256" s="5">
        <v>1</v>
      </c>
      <c r="G256" s="5">
        <v>10</v>
      </c>
      <c r="H256" s="5">
        <v>81406</v>
      </c>
      <c r="I256" s="5" t="s">
        <v>16</v>
      </c>
      <c r="J256" s="5">
        <v>82494208</v>
      </c>
      <c r="K256" s="5" t="s">
        <v>499</v>
      </c>
      <c r="L256" s="5" t="s">
        <v>500</v>
      </c>
      <c r="M256" s="6">
        <v>249900</v>
      </c>
      <c r="N256" s="7">
        <v>0.9</v>
      </c>
      <c r="O256" s="6">
        <f t="shared" si="10"/>
        <v>24990</v>
      </c>
      <c r="P256" s="5" t="s">
        <v>504</v>
      </c>
    </row>
    <row r="257" spans="1:16" x14ac:dyDescent="0.35">
      <c r="A257" s="5" t="str">
        <f t="shared" si="8"/>
        <v>2023 H2 All Items D90</v>
      </c>
      <c r="B257" s="8">
        <f>'ALL 2024 H2 D80'!$B$2</f>
        <v>46114</v>
      </c>
      <c r="C257" s="8">
        <f>'ALL 2024 H2 D80'!$C$2</f>
        <v>46120</v>
      </c>
      <c r="D257" s="5">
        <v>3208</v>
      </c>
      <c r="E257" s="5">
        <v>320</v>
      </c>
      <c r="F257" s="5">
        <v>1</v>
      </c>
      <c r="G257" s="5">
        <v>10</v>
      </c>
      <c r="H257" s="5">
        <v>81406</v>
      </c>
      <c r="I257" s="5" t="s">
        <v>16</v>
      </c>
      <c r="J257" s="5">
        <v>82494217</v>
      </c>
      <c r="K257" s="5" t="s">
        <v>499</v>
      </c>
      <c r="L257" s="5" t="s">
        <v>501</v>
      </c>
      <c r="M257" s="6">
        <v>249900</v>
      </c>
      <c r="N257" s="7">
        <v>0.9</v>
      </c>
      <c r="O257" s="6">
        <f t="shared" si="10"/>
        <v>24990</v>
      </c>
      <c r="P257" s="5" t="s">
        <v>504</v>
      </c>
    </row>
    <row r="258" spans="1:16" x14ac:dyDescent="0.35">
      <c r="A258" s="5" t="str">
        <f t="shared" si="8"/>
        <v>2023 H2 All Items D90</v>
      </c>
      <c r="B258" s="8">
        <f>'ALL 2024 H2 D80'!$B$2</f>
        <v>46114</v>
      </c>
      <c r="C258" s="8">
        <f>'ALL 2024 H2 D80'!$C$2</f>
        <v>46120</v>
      </c>
      <c r="D258" s="5">
        <v>3208</v>
      </c>
      <c r="E258" s="5">
        <v>320</v>
      </c>
      <c r="F258" s="5">
        <v>1</v>
      </c>
      <c r="G258" s="5">
        <v>10</v>
      </c>
      <c r="H258" s="5">
        <v>81406</v>
      </c>
      <c r="I258" s="5" t="s">
        <v>16</v>
      </c>
      <c r="J258" s="5">
        <v>82494226</v>
      </c>
      <c r="K258" s="5" t="s">
        <v>499</v>
      </c>
      <c r="L258" s="5" t="s">
        <v>502</v>
      </c>
      <c r="M258" s="6">
        <v>249900</v>
      </c>
      <c r="N258" s="7">
        <v>0.9</v>
      </c>
      <c r="O258" s="6">
        <f t="shared" si="10"/>
        <v>24990</v>
      </c>
      <c r="P258" s="5" t="s">
        <v>504</v>
      </c>
    </row>
    <row r="259" spans="1:16" x14ac:dyDescent="0.35">
      <c r="A259" s="5" t="str">
        <f t="shared" si="8"/>
        <v>2023 H2 All Items D90</v>
      </c>
      <c r="B259" s="8">
        <f>'ALL 2024 H2 D80'!$B$2</f>
        <v>46114</v>
      </c>
      <c r="C259" s="8">
        <f>'ALL 2024 H2 D80'!$C$2</f>
        <v>46120</v>
      </c>
      <c r="D259" s="5">
        <v>3208</v>
      </c>
      <c r="E259" s="5">
        <v>320</v>
      </c>
      <c r="F259" s="5">
        <v>1</v>
      </c>
      <c r="G259" s="5">
        <v>10</v>
      </c>
      <c r="H259" s="5">
        <v>81406</v>
      </c>
      <c r="I259" s="5" t="s">
        <v>16</v>
      </c>
      <c r="J259" s="5">
        <v>82494235</v>
      </c>
      <c r="K259" s="5" t="s">
        <v>499</v>
      </c>
      <c r="L259" s="5" t="s">
        <v>503</v>
      </c>
      <c r="M259" s="6">
        <v>249900</v>
      </c>
      <c r="N259" s="7">
        <v>0.9</v>
      </c>
      <c r="O259" s="6">
        <f t="shared" si="10"/>
        <v>24990</v>
      </c>
      <c r="P259" s="5" t="s">
        <v>504</v>
      </c>
    </row>
    <row r="260" spans="1:16" x14ac:dyDescent="0.35">
      <c r="A260" s="5" t="str">
        <f t="shared" ref="A260:A323" si="11">$A$2</f>
        <v>2023 H2 All Items D90</v>
      </c>
      <c r="B260" s="8">
        <f>'ALL 2024 H2 D80'!$B$2</f>
        <v>46114</v>
      </c>
      <c r="C260" s="8">
        <f>'ALL 2024 H2 D80'!$C$2</f>
        <v>46120</v>
      </c>
      <c r="D260" s="5">
        <v>3208</v>
      </c>
      <c r="E260" s="5">
        <v>320</v>
      </c>
      <c r="F260" s="5">
        <v>1</v>
      </c>
      <c r="G260" s="5">
        <v>4</v>
      </c>
      <c r="H260" s="5">
        <v>81495</v>
      </c>
      <c r="I260" s="5" t="s">
        <v>16</v>
      </c>
      <c r="J260" s="5">
        <v>82895347</v>
      </c>
      <c r="K260" s="5" t="s">
        <v>351</v>
      </c>
      <c r="L260" s="5" t="s">
        <v>352</v>
      </c>
      <c r="M260" s="6">
        <v>329900</v>
      </c>
      <c r="N260" s="7">
        <v>0.9</v>
      </c>
      <c r="O260" s="6">
        <f t="shared" ref="O260:O323" si="12">M260-(M260*N260)</f>
        <v>32990</v>
      </c>
      <c r="P260" s="5" t="s">
        <v>504</v>
      </c>
    </row>
    <row r="261" spans="1:16" x14ac:dyDescent="0.35">
      <c r="A261" s="5" t="str">
        <f t="shared" si="11"/>
        <v>2023 H2 All Items D90</v>
      </c>
      <c r="B261" s="8">
        <f>'ALL 2024 H2 D80'!$B$2</f>
        <v>46114</v>
      </c>
      <c r="C261" s="8">
        <f>'ALL 2024 H2 D80'!$C$2</f>
        <v>46120</v>
      </c>
      <c r="D261" s="5">
        <v>3208</v>
      </c>
      <c r="E261" s="5">
        <v>320</v>
      </c>
      <c r="F261" s="5">
        <v>1</v>
      </c>
      <c r="G261" s="5">
        <v>4</v>
      </c>
      <c r="H261" s="5">
        <v>81495</v>
      </c>
      <c r="I261" s="5" t="s">
        <v>16</v>
      </c>
      <c r="J261" s="5">
        <v>82895356</v>
      </c>
      <c r="K261" s="5" t="s">
        <v>351</v>
      </c>
      <c r="L261" s="5" t="s">
        <v>353</v>
      </c>
      <c r="M261" s="6">
        <v>329900</v>
      </c>
      <c r="N261" s="7">
        <v>0.9</v>
      </c>
      <c r="O261" s="6">
        <f t="shared" si="12"/>
        <v>32990</v>
      </c>
      <c r="P261" s="5" t="s">
        <v>504</v>
      </c>
    </row>
    <row r="262" spans="1:16" x14ac:dyDescent="0.35">
      <c r="A262" s="5" t="str">
        <f t="shared" si="11"/>
        <v>2023 H2 All Items D90</v>
      </c>
      <c r="B262" s="8">
        <f>'ALL 2024 H2 D80'!$B$2</f>
        <v>46114</v>
      </c>
      <c r="C262" s="8">
        <f>'ALL 2024 H2 D80'!$C$2</f>
        <v>46120</v>
      </c>
      <c r="D262" s="5">
        <v>3208</v>
      </c>
      <c r="E262" s="5">
        <v>320</v>
      </c>
      <c r="F262" s="5">
        <v>1</v>
      </c>
      <c r="G262" s="5">
        <v>4</v>
      </c>
      <c r="H262" s="5">
        <v>81495</v>
      </c>
      <c r="I262" s="5" t="s">
        <v>16</v>
      </c>
      <c r="J262" s="5">
        <v>82895365</v>
      </c>
      <c r="K262" s="5" t="s">
        <v>351</v>
      </c>
      <c r="L262" s="5" t="s">
        <v>354</v>
      </c>
      <c r="M262" s="6">
        <v>329900</v>
      </c>
      <c r="N262" s="7">
        <v>0.9</v>
      </c>
      <c r="O262" s="6">
        <f t="shared" si="12"/>
        <v>32990</v>
      </c>
      <c r="P262" s="5" t="s">
        <v>504</v>
      </c>
    </row>
    <row r="263" spans="1:16" x14ac:dyDescent="0.35">
      <c r="A263" s="5" t="str">
        <f t="shared" si="11"/>
        <v>2023 H2 All Items D90</v>
      </c>
      <c r="B263" s="8">
        <f>'ALL 2024 H2 D80'!$B$2</f>
        <v>46114</v>
      </c>
      <c r="C263" s="8">
        <f>'ALL 2024 H2 D80'!$C$2</f>
        <v>46120</v>
      </c>
      <c r="D263" s="5">
        <v>3208</v>
      </c>
      <c r="E263" s="5">
        <v>320</v>
      </c>
      <c r="F263" s="5">
        <v>1</v>
      </c>
      <c r="G263" s="5">
        <v>4</v>
      </c>
      <c r="H263" s="5">
        <v>81495</v>
      </c>
      <c r="I263" s="5" t="s">
        <v>16</v>
      </c>
      <c r="J263" s="5">
        <v>82895374</v>
      </c>
      <c r="K263" s="5" t="s">
        <v>351</v>
      </c>
      <c r="L263" s="5" t="s">
        <v>355</v>
      </c>
      <c r="M263" s="6">
        <v>329900</v>
      </c>
      <c r="N263" s="7">
        <v>0.9</v>
      </c>
      <c r="O263" s="6">
        <f t="shared" si="12"/>
        <v>32990</v>
      </c>
      <c r="P263" s="5" t="s">
        <v>504</v>
      </c>
    </row>
    <row r="264" spans="1:16" x14ac:dyDescent="0.35">
      <c r="A264" s="5" t="str">
        <f t="shared" si="11"/>
        <v>2023 H2 All Items D90</v>
      </c>
      <c r="B264" s="8">
        <f>'ALL 2024 H2 D80'!$B$2</f>
        <v>46114</v>
      </c>
      <c r="C264" s="8">
        <f>'ALL 2024 H2 D80'!$C$2</f>
        <v>46120</v>
      </c>
      <c r="D264" s="5">
        <v>3208</v>
      </c>
      <c r="E264" s="5">
        <v>320</v>
      </c>
      <c r="F264" s="5">
        <v>1</v>
      </c>
      <c r="G264" s="5">
        <v>4</v>
      </c>
      <c r="H264" s="5">
        <v>81495</v>
      </c>
      <c r="I264" s="5" t="s">
        <v>16</v>
      </c>
      <c r="J264" s="5">
        <v>82895383</v>
      </c>
      <c r="K264" s="5" t="s">
        <v>351</v>
      </c>
      <c r="L264" s="5" t="s">
        <v>356</v>
      </c>
      <c r="M264" s="6">
        <v>329900</v>
      </c>
      <c r="N264" s="7">
        <v>0.9</v>
      </c>
      <c r="O264" s="6">
        <f t="shared" si="12"/>
        <v>32990</v>
      </c>
      <c r="P264" s="5" t="s">
        <v>504</v>
      </c>
    </row>
    <row r="265" spans="1:16" x14ac:dyDescent="0.35">
      <c r="A265" s="5" t="str">
        <f t="shared" si="11"/>
        <v>2023 H2 All Items D90</v>
      </c>
      <c r="B265" s="8">
        <f>'ALL 2024 H2 D80'!$B$2</f>
        <v>46114</v>
      </c>
      <c r="C265" s="8">
        <f>'ALL 2024 H2 D80'!$C$2</f>
        <v>46120</v>
      </c>
      <c r="D265" s="5">
        <v>3208</v>
      </c>
      <c r="E265" s="5">
        <v>320</v>
      </c>
      <c r="F265" s="5">
        <v>1</v>
      </c>
      <c r="G265" s="5">
        <v>4</v>
      </c>
      <c r="H265" s="5">
        <v>81495</v>
      </c>
      <c r="I265" s="5" t="s">
        <v>16</v>
      </c>
      <c r="J265" s="5">
        <v>82895392</v>
      </c>
      <c r="K265" s="5" t="s">
        <v>351</v>
      </c>
      <c r="L265" s="5" t="s">
        <v>357</v>
      </c>
      <c r="M265" s="6">
        <v>329900</v>
      </c>
      <c r="N265" s="7">
        <v>0.9</v>
      </c>
      <c r="O265" s="6">
        <f t="shared" si="12"/>
        <v>32990</v>
      </c>
      <c r="P265" s="5" t="s">
        <v>504</v>
      </c>
    </row>
    <row r="266" spans="1:16" x14ac:dyDescent="0.35">
      <c r="A266" s="5" t="str">
        <f t="shared" si="11"/>
        <v>2023 H2 All Items D90</v>
      </c>
      <c r="B266" s="8">
        <f>'ALL 2024 H2 D80'!$B$2</f>
        <v>46114</v>
      </c>
      <c r="C266" s="8">
        <f>'ALL 2024 H2 D80'!$C$2</f>
        <v>46120</v>
      </c>
      <c r="D266" s="5">
        <v>3208</v>
      </c>
      <c r="E266" s="5">
        <v>320</v>
      </c>
      <c r="F266" s="5">
        <v>1</v>
      </c>
      <c r="G266" s="5">
        <v>4</v>
      </c>
      <c r="H266" s="5">
        <v>81495</v>
      </c>
      <c r="I266" s="5" t="s">
        <v>16</v>
      </c>
      <c r="J266" s="5">
        <v>82895409</v>
      </c>
      <c r="K266" s="5" t="s">
        <v>351</v>
      </c>
      <c r="L266" s="5" t="s">
        <v>358</v>
      </c>
      <c r="M266" s="6">
        <v>329900</v>
      </c>
      <c r="N266" s="7">
        <v>0.9</v>
      </c>
      <c r="O266" s="6">
        <f t="shared" si="12"/>
        <v>32990</v>
      </c>
      <c r="P266" s="5" t="s">
        <v>504</v>
      </c>
    </row>
    <row r="267" spans="1:16" x14ac:dyDescent="0.35">
      <c r="A267" s="5" t="str">
        <f t="shared" si="11"/>
        <v>2023 H2 All Items D90</v>
      </c>
      <c r="B267" s="8">
        <f>'ALL 2024 H2 D80'!$B$2</f>
        <v>46114</v>
      </c>
      <c r="C267" s="8">
        <f>'ALL 2024 H2 D80'!$C$2</f>
        <v>46120</v>
      </c>
      <c r="D267" s="5">
        <v>3208</v>
      </c>
      <c r="E267" s="5">
        <v>320</v>
      </c>
      <c r="F267" s="5">
        <v>1</v>
      </c>
      <c r="G267" s="5">
        <v>4</v>
      </c>
      <c r="H267" s="5">
        <v>81495</v>
      </c>
      <c r="I267" s="5" t="s">
        <v>16</v>
      </c>
      <c r="J267" s="5">
        <v>82895418</v>
      </c>
      <c r="K267" s="5" t="s">
        <v>351</v>
      </c>
      <c r="L267" s="5" t="s">
        <v>359</v>
      </c>
      <c r="M267" s="6">
        <v>329900</v>
      </c>
      <c r="N267" s="7">
        <v>0.9</v>
      </c>
      <c r="O267" s="6">
        <f t="shared" si="12"/>
        <v>32990</v>
      </c>
      <c r="P267" s="5" t="s">
        <v>504</v>
      </c>
    </row>
    <row r="268" spans="1:16" x14ac:dyDescent="0.35">
      <c r="A268" s="5" t="str">
        <f t="shared" si="11"/>
        <v>2023 H2 All Items D90</v>
      </c>
      <c r="B268" s="8">
        <f>'ALL 2024 H2 D80'!$B$2</f>
        <v>46114</v>
      </c>
      <c r="C268" s="8">
        <f>'ALL 2024 H2 D80'!$C$2</f>
        <v>46120</v>
      </c>
      <c r="D268" s="5">
        <v>3208</v>
      </c>
      <c r="E268" s="5">
        <v>320</v>
      </c>
      <c r="F268" s="5">
        <v>1</v>
      </c>
      <c r="G268" s="5">
        <v>4</v>
      </c>
      <c r="H268" s="5">
        <v>81495</v>
      </c>
      <c r="I268" s="5" t="s">
        <v>16</v>
      </c>
      <c r="J268" s="5">
        <v>84499530</v>
      </c>
      <c r="K268" s="5" t="s">
        <v>360</v>
      </c>
      <c r="L268" s="5" t="s">
        <v>361</v>
      </c>
      <c r="M268" s="6">
        <v>299900</v>
      </c>
      <c r="N268" s="7">
        <v>0.9</v>
      </c>
      <c r="O268" s="6">
        <f t="shared" si="12"/>
        <v>29990</v>
      </c>
      <c r="P268" s="5" t="s">
        <v>504</v>
      </c>
    </row>
    <row r="269" spans="1:16" x14ac:dyDescent="0.35">
      <c r="A269" s="5" t="str">
        <f t="shared" si="11"/>
        <v>2023 H2 All Items D90</v>
      </c>
      <c r="B269" s="8">
        <f>'ALL 2024 H2 D80'!$B$2</f>
        <v>46114</v>
      </c>
      <c r="C269" s="8">
        <f>'ALL 2024 H2 D80'!$C$2</f>
        <v>46120</v>
      </c>
      <c r="D269" s="5">
        <v>3208</v>
      </c>
      <c r="E269" s="5">
        <v>320</v>
      </c>
      <c r="F269" s="5">
        <v>1</v>
      </c>
      <c r="G269" s="5">
        <v>4</v>
      </c>
      <c r="H269" s="5">
        <v>81495</v>
      </c>
      <c r="I269" s="5" t="s">
        <v>16</v>
      </c>
      <c r="J269" s="5">
        <v>84499549</v>
      </c>
      <c r="K269" s="5" t="s">
        <v>360</v>
      </c>
      <c r="L269" s="5" t="s">
        <v>362</v>
      </c>
      <c r="M269" s="6">
        <v>299900</v>
      </c>
      <c r="N269" s="7">
        <v>0.9</v>
      </c>
      <c r="O269" s="6">
        <f t="shared" si="12"/>
        <v>29990</v>
      </c>
      <c r="P269" s="5" t="s">
        <v>504</v>
      </c>
    </row>
    <row r="270" spans="1:16" x14ac:dyDescent="0.35">
      <c r="A270" s="5" t="str">
        <f t="shared" si="11"/>
        <v>2023 H2 All Items D90</v>
      </c>
      <c r="B270" s="8">
        <f>'ALL 2024 H2 D80'!$B$2</f>
        <v>46114</v>
      </c>
      <c r="C270" s="8">
        <f>'ALL 2024 H2 D80'!$C$2</f>
        <v>46120</v>
      </c>
      <c r="D270" s="5">
        <v>3208</v>
      </c>
      <c r="E270" s="5">
        <v>320</v>
      </c>
      <c r="F270" s="5">
        <v>1</v>
      </c>
      <c r="G270" s="5">
        <v>4</v>
      </c>
      <c r="H270" s="5">
        <v>81495</v>
      </c>
      <c r="I270" s="5" t="s">
        <v>16</v>
      </c>
      <c r="J270" s="5">
        <v>84499558</v>
      </c>
      <c r="K270" s="5" t="s">
        <v>360</v>
      </c>
      <c r="L270" s="5" t="s">
        <v>363</v>
      </c>
      <c r="M270" s="6">
        <v>299900</v>
      </c>
      <c r="N270" s="7">
        <v>0.9</v>
      </c>
      <c r="O270" s="6">
        <f t="shared" si="12"/>
        <v>29990</v>
      </c>
      <c r="P270" s="5" t="s">
        <v>504</v>
      </c>
    </row>
    <row r="271" spans="1:16" x14ac:dyDescent="0.35">
      <c r="A271" s="5" t="str">
        <f t="shared" si="11"/>
        <v>2023 H2 All Items D90</v>
      </c>
      <c r="B271" s="8">
        <f>'ALL 2024 H2 D80'!$B$2</f>
        <v>46114</v>
      </c>
      <c r="C271" s="8">
        <f>'ALL 2024 H2 D80'!$C$2</f>
        <v>46120</v>
      </c>
      <c r="D271" s="5">
        <v>3208</v>
      </c>
      <c r="E271" s="5">
        <v>320</v>
      </c>
      <c r="F271" s="5">
        <v>1</v>
      </c>
      <c r="G271" s="5">
        <v>4</v>
      </c>
      <c r="H271" s="5">
        <v>81495</v>
      </c>
      <c r="I271" s="5" t="s">
        <v>16</v>
      </c>
      <c r="J271" s="5">
        <v>84499567</v>
      </c>
      <c r="K271" s="5" t="s">
        <v>360</v>
      </c>
      <c r="L271" s="5" t="s">
        <v>364</v>
      </c>
      <c r="M271" s="6">
        <v>299900</v>
      </c>
      <c r="N271" s="7">
        <v>0.9</v>
      </c>
      <c r="O271" s="6">
        <f t="shared" si="12"/>
        <v>29990</v>
      </c>
      <c r="P271" s="5" t="s">
        <v>504</v>
      </c>
    </row>
    <row r="272" spans="1:16" x14ac:dyDescent="0.35">
      <c r="A272" s="5" t="str">
        <f t="shared" si="11"/>
        <v>2023 H2 All Items D90</v>
      </c>
      <c r="B272" s="8">
        <f>'ALL 2024 H2 D80'!$B$2</f>
        <v>46114</v>
      </c>
      <c r="C272" s="8">
        <f>'ALL 2024 H2 D80'!$C$2</f>
        <v>46120</v>
      </c>
      <c r="D272" s="5">
        <v>3208</v>
      </c>
      <c r="E272" s="5">
        <v>320</v>
      </c>
      <c r="F272" s="5">
        <v>1</v>
      </c>
      <c r="G272" s="5">
        <v>4</v>
      </c>
      <c r="H272" s="5">
        <v>81495</v>
      </c>
      <c r="I272" s="5" t="s">
        <v>16</v>
      </c>
      <c r="J272" s="5">
        <v>84499576</v>
      </c>
      <c r="K272" s="5" t="s">
        <v>360</v>
      </c>
      <c r="L272" s="5" t="s">
        <v>365</v>
      </c>
      <c r="M272" s="6">
        <v>299900</v>
      </c>
      <c r="N272" s="7">
        <v>0.9</v>
      </c>
      <c r="O272" s="6">
        <f t="shared" si="12"/>
        <v>29990</v>
      </c>
      <c r="P272" s="5" t="s">
        <v>504</v>
      </c>
    </row>
    <row r="273" spans="1:16" x14ac:dyDescent="0.35">
      <c r="A273" s="5" t="str">
        <f t="shared" si="11"/>
        <v>2023 H2 All Items D90</v>
      </c>
      <c r="B273" s="8">
        <f>'ALL 2024 H2 D80'!$B$2</f>
        <v>46114</v>
      </c>
      <c r="C273" s="8">
        <f>'ALL 2024 H2 D80'!$C$2</f>
        <v>46120</v>
      </c>
      <c r="D273" s="5">
        <v>3208</v>
      </c>
      <c r="E273" s="5">
        <v>320</v>
      </c>
      <c r="F273" s="5">
        <v>1</v>
      </c>
      <c r="G273" s="5">
        <v>4</v>
      </c>
      <c r="H273" s="5">
        <v>81495</v>
      </c>
      <c r="I273" s="5" t="s">
        <v>16</v>
      </c>
      <c r="J273" s="5">
        <v>84499585</v>
      </c>
      <c r="K273" s="5" t="s">
        <v>360</v>
      </c>
      <c r="L273" s="5" t="s">
        <v>366</v>
      </c>
      <c r="M273" s="6">
        <v>299900</v>
      </c>
      <c r="N273" s="7">
        <v>0.9</v>
      </c>
      <c r="O273" s="6">
        <f t="shared" si="12"/>
        <v>29990</v>
      </c>
      <c r="P273" s="5" t="s">
        <v>504</v>
      </c>
    </row>
    <row r="274" spans="1:16" x14ac:dyDescent="0.35">
      <c r="A274" s="5" t="str">
        <f t="shared" si="11"/>
        <v>2023 H2 All Items D90</v>
      </c>
      <c r="B274" s="8">
        <f>'ALL 2024 H2 D80'!$B$2</f>
        <v>46114</v>
      </c>
      <c r="C274" s="8">
        <f>'ALL 2024 H2 D80'!$C$2</f>
        <v>46120</v>
      </c>
      <c r="D274" s="5">
        <v>3208</v>
      </c>
      <c r="E274" s="5">
        <v>320</v>
      </c>
      <c r="F274" s="5">
        <v>1</v>
      </c>
      <c r="G274" s="5">
        <v>4</v>
      </c>
      <c r="H274" s="5">
        <v>81495</v>
      </c>
      <c r="I274" s="5" t="s">
        <v>16</v>
      </c>
      <c r="J274" s="5">
        <v>84499594</v>
      </c>
      <c r="K274" s="5" t="s">
        <v>360</v>
      </c>
      <c r="L274" s="5" t="s">
        <v>367</v>
      </c>
      <c r="M274" s="6">
        <v>299900</v>
      </c>
      <c r="N274" s="7">
        <v>0.9</v>
      </c>
      <c r="O274" s="6">
        <f t="shared" si="12"/>
        <v>29990</v>
      </c>
      <c r="P274" s="5" t="s">
        <v>504</v>
      </c>
    </row>
    <row r="275" spans="1:16" x14ac:dyDescent="0.35">
      <c r="A275" s="5" t="str">
        <f t="shared" si="11"/>
        <v>2023 H2 All Items D90</v>
      </c>
      <c r="B275" s="8">
        <f>'ALL 2024 H2 D80'!$B$2</f>
        <v>46114</v>
      </c>
      <c r="C275" s="8">
        <f>'ALL 2024 H2 D80'!$C$2</f>
        <v>46120</v>
      </c>
      <c r="D275" s="5">
        <v>3208</v>
      </c>
      <c r="E275" s="5">
        <v>320</v>
      </c>
      <c r="F275" s="5">
        <v>1</v>
      </c>
      <c r="G275" s="5">
        <v>4</v>
      </c>
      <c r="H275" s="5">
        <v>81495</v>
      </c>
      <c r="I275" s="5" t="s">
        <v>16</v>
      </c>
      <c r="J275" s="5">
        <v>84499601</v>
      </c>
      <c r="K275" s="5" t="s">
        <v>360</v>
      </c>
      <c r="L275" s="5" t="s">
        <v>368</v>
      </c>
      <c r="M275" s="6">
        <v>299900</v>
      </c>
      <c r="N275" s="7">
        <v>0.9</v>
      </c>
      <c r="O275" s="6">
        <f t="shared" si="12"/>
        <v>29990</v>
      </c>
      <c r="P275" s="5" t="s">
        <v>504</v>
      </c>
    </row>
    <row r="276" spans="1:16" x14ac:dyDescent="0.35">
      <c r="A276" s="5" t="str">
        <f t="shared" si="11"/>
        <v>2023 H2 All Items D90</v>
      </c>
      <c r="B276" s="8">
        <f>'ALL 2024 H2 D80'!$B$2</f>
        <v>46114</v>
      </c>
      <c r="C276" s="8">
        <f>'ALL 2024 H2 D80'!$C$2</f>
        <v>46120</v>
      </c>
      <c r="D276" s="5">
        <v>3208</v>
      </c>
      <c r="E276" s="5">
        <v>320</v>
      </c>
      <c r="F276" s="5">
        <v>1</v>
      </c>
      <c r="G276" s="5">
        <v>4</v>
      </c>
      <c r="H276" s="5">
        <v>81736</v>
      </c>
      <c r="I276" s="5" t="s">
        <v>16</v>
      </c>
      <c r="J276" s="5">
        <v>87543477</v>
      </c>
      <c r="K276" s="5" t="s">
        <v>369</v>
      </c>
      <c r="L276" s="5" t="s">
        <v>370</v>
      </c>
      <c r="M276" s="6">
        <v>329900</v>
      </c>
      <c r="N276" s="7">
        <v>0.9</v>
      </c>
      <c r="O276" s="6">
        <f t="shared" si="12"/>
        <v>32990</v>
      </c>
      <c r="P276" s="5" t="s">
        <v>504</v>
      </c>
    </row>
    <row r="277" spans="1:16" x14ac:dyDescent="0.35">
      <c r="A277" s="5" t="str">
        <f t="shared" si="11"/>
        <v>2023 H2 All Items D90</v>
      </c>
      <c r="B277" s="8">
        <f>'ALL 2024 H2 D80'!$B$2</f>
        <v>46114</v>
      </c>
      <c r="C277" s="8">
        <f>'ALL 2024 H2 D80'!$C$2</f>
        <v>46120</v>
      </c>
      <c r="D277" s="5">
        <v>3208</v>
      </c>
      <c r="E277" s="5">
        <v>320</v>
      </c>
      <c r="F277" s="5">
        <v>1</v>
      </c>
      <c r="G277" s="5">
        <v>4</v>
      </c>
      <c r="H277" s="5">
        <v>81736</v>
      </c>
      <c r="I277" s="5" t="s">
        <v>16</v>
      </c>
      <c r="J277" s="5">
        <v>87543486</v>
      </c>
      <c r="K277" s="5" t="s">
        <v>369</v>
      </c>
      <c r="L277" s="5" t="s">
        <v>371</v>
      </c>
      <c r="M277" s="6">
        <v>329900</v>
      </c>
      <c r="N277" s="7">
        <v>0.9</v>
      </c>
      <c r="O277" s="6">
        <f t="shared" si="12"/>
        <v>32990</v>
      </c>
      <c r="P277" s="5" t="s">
        <v>504</v>
      </c>
    </row>
    <row r="278" spans="1:16" x14ac:dyDescent="0.35">
      <c r="A278" s="5" t="str">
        <f t="shared" si="11"/>
        <v>2023 H2 All Items D90</v>
      </c>
      <c r="B278" s="8">
        <f>'ALL 2024 H2 D80'!$B$2</f>
        <v>46114</v>
      </c>
      <c r="C278" s="8">
        <f>'ALL 2024 H2 D80'!$C$2</f>
        <v>46120</v>
      </c>
      <c r="D278" s="5">
        <v>3208</v>
      </c>
      <c r="E278" s="5">
        <v>320</v>
      </c>
      <c r="F278" s="5">
        <v>1</v>
      </c>
      <c r="G278" s="5">
        <v>4</v>
      </c>
      <c r="H278" s="5">
        <v>81736</v>
      </c>
      <c r="I278" s="5" t="s">
        <v>16</v>
      </c>
      <c r="J278" s="5">
        <v>87543495</v>
      </c>
      <c r="K278" s="5" t="s">
        <v>369</v>
      </c>
      <c r="L278" s="5" t="s">
        <v>372</v>
      </c>
      <c r="M278" s="6">
        <v>329900</v>
      </c>
      <c r="N278" s="7">
        <v>0.9</v>
      </c>
      <c r="O278" s="6">
        <f t="shared" si="12"/>
        <v>32990</v>
      </c>
      <c r="P278" s="5" t="s">
        <v>504</v>
      </c>
    </row>
    <row r="279" spans="1:16" x14ac:dyDescent="0.35">
      <c r="A279" s="5" t="str">
        <f t="shared" si="11"/>
        <v>2023 H2 All Items D90</v>
      </c>
      <c r="B279" s="8">
        <f>'ALL 2024 H2 D80'!$B$2</f>
        <v>46114</v>
      </c>
      <c r="C279" s="8">
        <f>'ALL 2024 H2 D80'!$C$2</f>
        <v>46120</v>
      </c>
      <c r="D279" s="5">
        <v>3208</v>
      </c>
      <c r="E279" s="5">
        <v>320</v>
      </c>
      <c r="F279" s="5">
        <v>1</v>
      </c>
      <c r="G279" s="5">
        <v>4</v>
      </c>
      <c r="H279" s="5">
        <v>81736</v>
      </c>
      <c r="I279" s="5" t="s">
        <v>16</v>
      </c>
      <c r="J279" s="5">
        <v>87543502</v>
      </c>
      <c r="K279" s="5" t="s">
        <v>369</v>
      </c>
      <c r="L279" s="5" t="s">
        <v>373</v>
      </c>
      <c r="M279" s="6">
        <v>329900</v>
      </c>
      <c r="N279" s="7">
        <v>0.9</v>
      </c>
      <c r="O279" s="6">
        <f t="shared" si="12"/>
        <v>32990</v>
      </c>
      <c r="P279" s="5" t="s">
        <v>504</v>
      </c>
    </row>
    <row r="280" spans="1:16" x14ac:dyDescent="0.35">
      <c r="A280" s="5" t="str">
        <f t="shared" si="11"/>
        <v>2023 H2 All Items D90</v>
      </c>
      <c r="B280" s="8">
        <f>'ALL 2024 H2 D80'!$B$2</f>
        <v>46114</v>
      </c>
      <c r="C280" s="8">
        <f>'ALL 2024 H2 D80'!$C$2</f>
        <v>46120</v>
      </c>
      <c r="D280" s="5">
        <v>3208</v>
      </c>
      <c r="E280" s="5">
        <v>320</v>
      </c>
      <c r="F280" s="5">
        <v>1</v>
      </c>
      <c r="G280" s="5">
        <v>4</v>
      </c>
      <c r="H280" s="5">
        <v>81736</v>
      </c>
      <c r="I280" s="5" t="s">
        <v>16</v>
      </c>
      <c r="J280" s="5">
        <v>87543511</v>
      </c>
      <c r="K280" s="5" t="s">
        <v>369</v>
      </c>
      <c r="L280" s="5" t="s">
        <v>374</v>
      </c>
      <c r="M280" s="6">
        <v>329900</v>
      </c>
      <c r="N280" s="7">
        <v>0.9</v>
      </c>
      <c r="O280" s="6">
        <f t="shared" si="12"/>
        <v>32990</v>
      </c>
      <c r="P280" s="5" t="s">
        <v>504</v>
      </c>
    </row>
    <row r="281" spans="1:16" x14ac:dyDescent="0.35">
      <c r="A281" s="5" t="str">
        <f t="shared" si="11"/>
        <v>2023 H2 All Items D90</v>
      </c>
      <c r="B281" s="8">
        <f>'ALL 2024 H2 D80'!$B$2</f>
        <v>46114</v>
      </c>
      <c r="C281" s="8">
        <f>'ALL 2024 H2 D80'!$C$2</f>
        <v>46120</v>
      </c>
      <c r="D281" s="5">
        <v>3208</v>
      </c>
      <c r="E281" s="5">
        <v>320</v>
      </c>
      <c r="F281" s="5">
        <v>1</v>
      </c>
      <c r="G281" s="5">
        <v>4</v>
      </c>
      <c r="H281" s="5">
        <v>81736</v>
      </c>
      <c r="I281" s="5" t="s">
        <v>16</v>
      </c>
      <c r="J281" s="5">
        <v>87543520</v>
      </c>
      <c r="K281" s="5" t="s">
        <v>369</v>
      </c>
      <c r="L281" s="5" t="s">
        <v>375</v>
      </c>
      <c r="M281" s="6">
        <v>329900</v>
      </c>
      <c r="N281" s="7">
        <v>0.9</v>
      </c>
      <c r="O281" s="6">
        <f t="shared" si="12"/>
        <v>32990</v>
      </c>
      <c r="P281" s="5" t="s">
        <v>504</v>
      </c>
    </row>
    <row r="282" spans="1:16" x14ac:dyDescent="0.35">
      <c r="A282" s="5" t="str">
        <f t="shared" si="11"/>
        <v>2023 H2 All Items D90</v>
      </c>
      <c r="B282" s="8">
        <f>'ALL 2024 H2 D80'!$B$2</f>
        <v>46114</v>
      </c>
      <c r="C282" s="8">
        <f>'ALL 2024 H2 D80'!$C$2</f>
        <v>46120</v>
      </c>
      <c r="D282" s="5">
        <v>3208</v>
      </c>
      <c r="E282" s="5">
        <v>320</v>
      </c>
      <c r="F282" s="5">
        <v>1</v>
      </c>
      <c r="G282" s="5">
        <v>4</v>
      </c>
      <c r="H282" s="5">
        <v>81736</v>
      </c>
      <c r="I282" s="5" t="s">
        <v>16</v>
      </c>
      <c r="J282" s="5">
        <v>87543539</v>
      </c>
      <c r="K282" s="5" t="s">
        <v>369</v>
      </c>
      <c r="L282" s="5" t="s">
        <v>376</v>
      </c>
      <c r="M282" s="6">
        <v>329900</v>
      </c>
      <c r="N282" s="7">
        <v>0.9</v>
      </c>
      <c r="O282" s="6">
        <f t="shared" si="12"/>
        <v>32990</v>
      </c>
      <c r="P282" s="5" t="s">
        <v>504</v>
      </c>
    </row>
    <row r="283" spans="1:16" x14ac:dyDescent="0.35">
      <c r="A283" s="5" t="str">
        <f t="shared" si="11"/>
        <v>2023 H2 All Items D90</v>
      </c>
      <c r="B283" s="8">
        <f>'ALL 2024 H2 D80'!$B$2</f>
        <v>46114</v>
      </c>
      <c r="C283" s="8">
        <f>'ALL 2024 H2 D80'!$C$2</f>
        <v>46120</v>
      </c>
      <c r="D283" s="5">
        <v>3208</v>
      </c>
      <c r="E283" s="5">
        <v>320</v>
      </c>
      <c r="F283" s="5">
        <v>1</v>
      </c>
      <c r="G283" s="5">
        <v>4</v>
      </c>
      <c r="H283" s="5">
        <v>81736</v>
      </c>
      <c r="I283" s="5" t="s">
        <v>16</v>
      </c>
      <c r="J283" s="5">
        <v>87543548</v>
      </c>
      <c r="K283" s="5" t="s">
        <v>369</v>
      </c>
      <c r="L283" s="5" t="s">
        <v>377</v>
      </c>
      <c r="M283" s="6">
        <v>329900</v>
      </c>
      <c r="N283" s="7">
        <v>0.9</v>
      </c>
      <c r="O283" s="6">
        <f t="shared" si="12"/>
        <v>32990</v>
      </c>
      <c r="P283" s="5" t="s">
        <v>504</v>
      </c>
    </row>
    <row r="284" spans="1:16" x14ac:dyDescent="0.35">
      <c r="A284" s="5" t="str">
        <f t="shared" si="11"/>
        <v>2023 H2 All Items D90</v>
      </c>
      <c r="B284" s="8">
        <f>'ALL 2024 H2 D80'!$B$2</f>
        <v>46114</v>
      </c>
      <c r="C284" s="8">
        <f>'ALL 2024 H2 D80'!$C$2</f>
        <v>46120</v>
      </c>
      <c r="D284" s="5">
        <v>3208</v>
      </c>
      <c r="E284" s="5">
        <v>320</v>
      </c>
      <c r="F284" s="5">
        <v>1</v>
      </c>
      <c r="G284" s="5">
        <v>5</v>
      </c>
      <c r="H284" s="5">
        <v>81044</v>
      </c>
      <c r="I284" s="5" t="s">
        <v>16</v>
      </c>
      <c r="J284" s="5">
        <v>82493763</v>
      </c>
      <c r="K284" s="5" t="s">
        <v>378</v>
      </c>
      <c r="L284" s="5" t="s">
        <v>379</v>
      </c>
      <c r="M284" s="6">
        <v>259900</v>
      </c>
      <c r="N284" s="7">
        <v>0.9</v>
      </c>
      <c r="O284" s="6">
        <f t="shared" si="12"/>
        <v>25990</v>
      </c>
      <c r="P284" s="5" t="s">
        <v>504</v>
      </c>
    </row>
    <row r="285" spans="1:16" x14ac:dyDescent="0.35">
      <c r="A285" s="5" t="str">
        <f t="shared" si="11"/>
        <v>2023 H2 All Items D90</v>
      </c>
      <c r="B285" s="8">
        <f>'ALL 2024 H2 D80'!$B$2</f>
        <v>46114</v>
      </c>
      <c r="C285" s="8">
        <f>'ALL 2024 H2 D80'!$C$2</f>
        <v>46120</v>
      </c>
      <c r="D285" s="5">
        <v>3208</v>
      </c>
      <c r="E285" s="5">
        <v>320</v>
      </c>
      <c r="F285" s="5">
        <v>1</v>
      </c>
      <c r="G285" s="5">
        <v>5</v>
      </c>
      <c r="H285" s="5">
        <v>81044</v>
      </c>
      <c r="I285" s="5" t="s">
        <v>16</v>
      </c>
      <c r="J285" s="5">
        <v>82493772</v>
      </c>
      <c r="K285" s="5" t="s">
        <v>378</v>
      </c>
      <c r="L285" s="5" t="s">
        <v>380</v>
      </c>
      <c r="M285" s="6">
        <v>259900</v>
      </c>
      <c r="N285" s="7">
        <v>0.9</v>
      </c>
      <c r="O285" s="6">
        <f t="shared" si="12"/>
        <v>25990</v>
      </c>
      <c r="P285" s="5" t="s">
        <v>504</v>
      </c>
    </row>
    <row r="286" spans="1:16" x14ac:dyDescent="0.35">
      <c r="A286" s="5" t="str">
        <f t="shared" si="11"/>
        <v>2023 H2 All Items D90</v>
      </c>
      <c r="B286" s="8">
        <f>'ALL 2024 H2 D80'!$B$2</f>
        <v>46114</v>
      </c>
      <c r="C286" s="8">
        <f>'ALL 2024 H2 D80'!$C$2</f>
        <v>46120</v>
      </c>
      <c r="D286" s="5">
        <v>3208</v>
      </c>
      <c r="E286" s="5">
        <v>320</v>
      </c>
      <c r="F286" s="5">
        <v>1</v>
      </c>
      <c r="G286" s="5">
        <v>5</v>
      </c>
      <c r="H286" s="5">
        <v>81044</v>
      </c>
      <c r="I286" s="5" t="s">
        <v>16</v>
      </c>
      <c r="J286" s="5">
        <v>82493781</v>
      </c>
      <c r="K286" s="5" t="s">
        <v>378</v>
      </c>
      <c r="L286" s="5" t="s">
        <v>381</v>
      </c>
      <c r="M286" s="6">
        <v>259900</v>
      </c>
      <c r="N286" s="7">
        <v>0.9</v>
      </c>
      <c r="O286" s="6">
        <f t="shared" si="12"/>
        <v>25990</v>
      </c>
      <c r="P286" s="5" t="s">
        <v>504</v>
      </c>
    </row>
    <row r="287" spans="1:16" x14ac:dyDescent="0.35">
      <c r="A287" s="5" t="str">
        <f t="shared" si="11"/>
        <v>2023 H2 All Items D90</v>
      </c>
      <c r="B287" s="8">
        <f>'ALL 2024 H2 D80'!$B$2</f>
        <v>46114</v>
      </c>
      <c r="C287" s="8">
        <f>'ALL 2024 H2 D80'!$C$2</f>
        <v>46120</v>
      </c>
      <c r="D287" s="5">
        <v>3208</v>
      </c>
      <c r="E287" s="5">
        <v>320</v>
      </c>
      <c r="F287" s="5">
        <v>1</v>
      </c>
      <c r="G287" s="5">
        <v>5</v>
      </c>
      <c r="H287" s="5">
        <v>81044</v>
      </c>
      <c r="I287" s="5" t="s">
        <v>16</v>
      </c>
      <c r="J287" s="5">
        <v>82493790</v>
      </c>
      <c r="K287" s="5" t="s">
        <v>378</v>
      </c>
      <c r="L287" s="5" t="s">
        <v>382</v>
      </c>
      <c r="M287" s="6">
        <v>259900</v>
      </c>
      <c r="N287" s="7">
        <v>0.9</v>
      </c>
      <c r="O287" s="6">
        <f t="shared" si="12"/>
        <v>25990</v>
      </c>
      <c r="P287" s="5" t="s">
        <v>504</v>
      </c>
    </row>
    <row r="288" spans="1:16" x14ac:dyDescent="0.35">
      <c r="A288" s="5" t="str">
        <f t="shared" si="11"/>
        <v>2023 H2 All Items D90</v>
      </c>
      <c r="B288" s="8">
        <f>'ALL 2024 H2 D80'!$B$2</f>
        <v>46114</v>
      </c>
      <c r="C288" s="8">
        <f>'ALL 2024 H2 D80'!$C$2</f>
        <v>46120</v>
      </c>
      <c r="D288" s="5">
        <v>3208</v>
      </c>
      <c r="E288" s="5">
        <v>320</v>
      </c>
      <c r="F288" s="5">
        <v>1</v>
      </c>
      <c r="G288" s="5">
        <v>5</v>
      </c>
      <c r="H288" s="5">
        <v>81044</v>
      </c>
      <c r="I288" s="5" t="s">
        <v>16</v>
      </c>
      <c r="J288" s="5">
        <v>82493807</v>
      </c>
      <c r="K288" s="5" t="s">
        <v>378</v>
      </c>
      <c r="L288" s="5" t="s">
        <v>383</v>
      </c>
      <c r="M288" s="6">
        <v>259900</v>
      </c>
      <c r="N288" s="7">
        <v>0.9</v>
      </c>
      <c r="O288" s="6">
        <f t="shared" si="12"/>
        <v>25990</v>
      </c>
      <c r="P288" s="5" t="s">
        <v>504</v>
      </c>
    </row>
    <row r="289" spans="1:16" x14ac:dyDescent="0.35">
      <c r="A289" s="5" t="str">
        <f t="shared" si="11"/>
        <v>2023 H2 All Items D90</v>
      </c>
      <c r="B289" s="8">
        <f>'ALL 2024 H2 D80'!$B$2</f>
        <v>46114</v>
      </c>
      <c r="C289" s="8">
        <f>'ALL 2024 H2 D80'!$C$2</f>
        <v>46120</v>
      </c>
      <c r="D289" s="5">
        <v>3208</v>
      </c>
      <c r="E289" s="5">
        <v>320</v>
      </c>
      <c r="F289" s="5">
        <v>1</v>
      </c>
      <c r="G289" s="5">
        <v>5</v>
      </c>
      <c r="H289" s="5">
        <v>81044</v>
      </c>
      <c r="I289" s="5" t="s">
        <v>16</v>
      </c>
      <c r="J289" s="5">
        <v>82493816</v>
      </c>
      <c r="K289" s="5" t="s">
        <v>378</v>
      </c>
      <c r="L289" s="5" t="s">
        <v>384</v>
      </c>
      <c r="M289" s="6">
        <v>259900</v>
      </c>
      <c r="N289" s="7">
        <v>0.9</v>
      </c>
      <c r="O289" s="6">
        <f t="shared" si="12"/>
        <v>25990</v>
      </c>
      <c r="P289" s="5" t="s">
        <v>504</v>
      </c>
    </row>
    <row r="290" spans="1:16" x14ac:dyDescent="0.35">
      <c r="A290" s="5" t="str">
        <f t="shared" si="11"/>
        <v>2023 H2 All Items D90</v>
      </c>
      <c r="B290" s="8">
        <f>'ALL 2024 H2 D80'!$B$2</f>
        <v>46114</v>
      </c>
      <c r="C290" s="8">
        <f>'ALL 2024 H2 D80'!$C$2</f>
        <v>46120</v>
      </c>
      <c r="D290" s="5">
        <v>3208</v>
      </c>
      <c r="E290" s="5">
        <v>320</v>
      </c>
      <c r="F290" s="5">
        <v>1</v>
      </c>
      <c r="G290" s="5">
        <v>5</v>
      </c>
      <c r="H290" s="5">
        <v>81044</v>
      </c>
      <c r="I290" s="5" t="s">
        <v>16</v>
      </c>
      <c r="J290" s="5">
        <v>82493825</v>
      </c>
      <c r="K290" s="5" t="s">
        <v>378</v>
      </c>
      <c r="L290" s="5" t="s">
        <v>385</v>
      </c>
      <c r="M290" s="6">
        <v>259900</v>
      </c>
      <c r="N290" s="7">
        <v>0.9</v>
      </c>
      <c r="O290" s="6">
        <f t="shared" si="12"/>
        <v>25990</v>
      </c>
      <c r="P290" s="5" t="s">
        <v>504</v>
      </c>
    </row>
    <row r="291" spans="1:16" x14ac:dyDescent="0.35">
      <c r="A291" s="5" t="str">
        <f t="shared" si="11"/>
        <v>2023 H2 All Items D90</v>
      </c>
      <c r="B291" s="8">
        <f>'ALL 2024 H2 D80'!$B$2</f>
        <v>46114</v>
      </c>
      <c r="C291" s="8">
        <f>'ALL 2024 H2 D80'!$C$2</f>
        <v>46120</v>
      </c>
      <c r="D291" s="5">
        <v>3208</v>
      </c>
      <c r="E291" s="5">
        <v>320</v>
      </c>
      <c r="F291" s="5">
        <v>1</v>
      </c>
      <c r="G291" s="5">
        <v>5</v>
      </c>
      <c r="H291" s="5">
        <v>81044</v>
      </c>
      <c r="I291" s="5" t="s">
        <v>16</v>
      </c>
      <c r="J291" s="5">
        <v>82493834</v>
      </c>
      <c r="K291" s="5" t="s">
        <v>378</v>
      </c>
      <c r="L291" s="5" t="s">
        <v>386</v>
      </c>
      <c r="M291" s="6">
        <v>259900</v>
      </c>
      <c r="N291" s="7">
        <v>0.9</v>
      </c>
      <c r="O291" s="6">
        <f t="shared" si="12"/>
        <v>25990</v>
      </c>
      <c r="P291" s="5" t="s">
        <v>504</v>
      </c>
    </row>
    <row r="292" spans="1:16" x14ac:dyDescent="0.35">
      <c r="A292" s="5" t="str">
        <f t="shared" si="11"/>
        <v>2023 H2 All Items D90</v>
      </c>
      <c r="B292" s="8">
        <f>'ALL 2024 H2 D80'!$B$2</f>
        <v>46114</v>
      </c>
      <c r="C292" s="8">
        <f>'ALL 2024 H2 D80'!$C$2</f>
        <v>46120</v>
      </c>
      <c r="D292" s="5">
        <v>3208</v>
      </c>
      <c r="E292" s="5">
        <v>320</v>
      </c>
      <c r="F292" s="5">
        <v>1</v>
      </c>
      <c r="G292" s="5">
        <v>5</v>
      </c>
      <c r="H292" s="5">
        <v>81044</v>
      </c>
      <c r="I292" s="5" t="s">
        <v>16</v>
      </c>
      <c r="J292" s="5">
        <v>83517619</v>
      </c>
      <c r="K292" s="5" t="s">
        <v>387</v>
      </c>
      <c r="L292" s="5" t="s">
        <v>388</v>
      </c>
      <c r="M292" s="6">
        <v>299900</v>
      </c>
      <c r="N292" s="7">
        <v>0.9</v>
      </c>
      <c r="O292" s="6">
        <f t="shared" si="12"/>
        <v>29990</v>
      </c>
      <c r="P292" s="5" t="s">
        <v>504</v>
      </c>
    </row>
    <row r="293" spans="1:16" x14ac:dyDescent="0.35">
      <c r="A293" s="5" t="str">
        <f t="shared" si="11"/>
        <v>2023 H2 All Items D90</v>
      </c>
      <c r="B293" s="8">
        <f>'ALL 2024 H2 D80'!$B$2</f>
        <v>46114</v>
      </c>
      <c r="C293" s="8">
        <f>'ALL 2024 H2 D80'!$C$2</f>
        <v>46120</v>
      </c>
      <c r="D293" s="5">
        <v>3208</v>
      </c>
      <c r="E293" s="5">
        <v>320</v>
      </c>
      <c r="F293" s="5">
        <v>1</v>
      </c>
      <c r="G293" s="5">
        <v>5</v>
      </c>
      <c r="H293" s="5">
        <v>81044</v>
      </c>
      <c r="I293" s="5" t="s">
        <v>16</v>
      </c>
      <c r="J293" s="5">
        <v>83517628</v>
      </c>
      <c r="K293" s="5" t="s">
        <v>387</v>
      </c>
      <c r="L293" s="5" t="s">
        <v>389</v>
      </c>
      <c r="M293" s="6">
        <v>299900</v>
      </c>
      <c r="N293" s="7">
        <v>0.9</v>
      </c>
      <c r="O293" s="6">
        <f t="shared" si="12"/>
        <v>29990</v>
      </c>
      <c r="P293" s="5" t="s">
        <v>504</v>
      </c>
    </row>
    <row r="294" spans="1:16" x14ac:dyDescent="0.35">
      <c r="A294" s="5" t="str">
        <f t="shared" si="11"/>
        <v>2023 H2 All Items D90</v>
      </c>
      <c r="B294" s="8">
        <f>'ALL 2024 H2 D80'!$B$2</f>
        <v>46114</v>
      </c>
      <c r="C294" s="8">
        <f>'ALL 2024 H2 D80'!$C$2</f>
        <v>46120</v>
      </c>
      <c r="D294" s="5">
        <v>3208</v>
      </c>
      <c r="E294" s="5">
        <v>320</v>
      </c>
      <c r="F294" s="5">
        <v>1</v>
      </c>
      <c r="G294" s="5">
        <v>5</v>
      </c>
      <c r="H294" s="5">
        <v>81044</v>
      </c>
      <c r="I294" s="5" t="s">
        <v>16</v>
      </c>
      <c r="J294" s="5">
        <v>83517637</v>
      </c>
      <c r="K294" s="5" t="s">
        <v>387</v>
      </c>
      <c r="L294" s="5" t="s">
        <v>390</v>
      </c>
      <c r="M294" s="6">
        <v>299900</v>
      </c>
      <c r="N294" s="7">
        <v>0.9</v>
      </c>
      <c r="O294" s="6">
        <f t="shared" si="12"/>
        <v>29990</v>
      </c>
      <c r="P294" s="5" t="s">
        <v>504</v>
      </c>
    </row>
    <row r="295" spans="1:16" x14ac:dyDescent="0.35">
      <c r="A295" s="5" t="str">
        <f t="shared" si="11"/>
        <v>2023 H2 All Items D90</v>
      </c>
      <c r="B295" s="8">
        <f>'ALL 2024 H2 D80'!$B$2</f>
        <v>46114</v>
      </c>
      <c r="C295" s="8">
        <f>'ALL 2024 H2 D80'!$C$2</f>
        <v>46120</v>
      </c>
      <c r="D295" s="5">
        <v>3208</v>
      </c>
      <c r="E295" s="5">
        <v>320</v>
      </c>
      <c r="F295" s="5">
        <v>1</v>
      </c>
      <c r="G295" s="5">
        <v>5</v>
      </c>
      <c r="H295" s="5">
        <v>81044</v>
      </c>
      <c r="I295" s="5" t="s">
        <v>16</v>
      </c>
      <c r="J295" s="5">
        <v>83517646</v>
      </c>
      <c r="K295" s="5" t="s">
        <v>387</v>
      </c>
      <c r="L295" s="5" t="s">
        <v>391</v>
      </c>
      <c r="M295" s="6">
        <v>299900</v>
      </c>
      <c r="N295" s="7">
        <v>0.9</v>
      </c>
      <c r="O295" s="6">
        <f t="shared" si="12"/>
        <v>29990</v>
      </c>
      <c r="P295" s="5" t="s">
        <v>504</v>
      </c>
    </row>
    <row r="296" spans="1:16" x14ac:dyDescent="0.35">
      <c r="A296" s="5" t="str">
        <f t="shared" si="11"/>
        <v>2023 H2 All Items D90</v>
      </c>
      <c r="B296" s="8">
        <f>'ALL 2024 H2 D80'!$B$2</f>
        <v>46114</v>
      </c>
      <c r="C296" s="8">
        <f>'ALL 2024 H2 D80'!$C$2</f>
        <v>46120</v>
      </c>
      <c r="D296" s="5">
        <v>3208</v>
      </c>
      <c r="E296" s="5">
        <v>320</v>
      </c>
      <c r="F296" s="5">
        <v>1</v>
      </c>
      <c r="G296" s="5">
        <v>5</v>
      </c>
      <c r="H296" s="5">
        <v>81044</v>
      </c>
      <c r="I296" s="5" t="s">
        <v>16</v>
      </c>
      <c r="J296" s="5">
        <v>83517655</v>
      </c>
      <c r="K296" s="5" t="s">
        <v>387</v>
      </c>
      <c r="L296" s="5" t="s">
        <v>392</v>
      </c>
      <c r="M296" s="6">
        <v>299900</v>
      </c>
      <c r="N296" s="7">
        <v>0.9</v>
      </c>
      <c r="O296" s="6">
        <f t="shared" si="12"/>
        <v>29990</v>
      </c>
      <c r="P296" s="5" t="s">
        <v>504</v>
      </c>
    </row>
    <row r="297" spans="1:16" x14ac:dyDescent="0.35">
      <c r="A297" s="5" t="str">
        <f t="shared" si="11"/>
        <v>2023 H2 All Items D90</v>
      </c>
      <c r="B297" s="8">
        <f>'ALL 2024 H2 D80'!$B$2</f>
        <v>46114</v>
      </c>
      <c r="C297" s="8">
        <f>'ALL 2024 H2 D80'!$C$2</f>
        <v>46120</v>
      </c>
      <c r="D297" s="5">
        <v>3208</v>
      </c>
      <c r="E297" s="5">
        <v>320</v>
      </c>
      <c r="F297" s="5">
        <v>1</v>
      </c>
      <c r="G297" s="5">
        <v>5</v>
      </c>
      <c r="H297" s="5">
        <v>81044</v>
      </c>
      <c r="I297" s="5" t="s">
        <v>16</v>
      </c>
      <c r="J297" s="5">
        <v>83517664</v>
      </c>
      <c r="K297" s="5" t="s">
        <v>387</v>
      </c>
      <c r="L297" s="5" t="s">
        <v>393</v>
      </c>
      <c r="M297" s="6">
        <v>299900</v>
      </c>
      <c r="N297" s="7">
        <v>0.9</v>
      </c>
      <c r="O297" s="6">
        <f t="shared" si="12"/>
        <v>29990</v>
      </c>
      <c r="P297" s="5" t="s">
        <v>504</v>
      </c>
    </row>
    <row r="298" spans="1:16" x14ac:dyDescent="0.35">
      <c r="A298" s="5" t="str">
        <f t="shared" si="11"/>
        <v>2023 H2 All Items D90</v>
      </c>
      <c r="B298" s="8">
        <f>'ALL 2024 H2 D80'!$B$2</f>
        <v>46114</v>
      </c>
      <c r="C298" s="8">
        <f>'ALL 2024 H2 D80'!$C$2</f>
        <v>46120</v>
      </c>
      <c r="D298" s="5">
        <v>3208</v>
      </c>
      <c r="E298" s="5">
        <v>320</v>
      </c>
      <c r="F298" s="5">
        <v>1</v>
      </c>
      <c r="G298" s="5">
        <v>5</v>
      </c>
      <c r="H298" s="5">
        <v>81044</v>
      </c>
      <c r="I298" s="5" t="s">
        <v>16</v>
      </c>
      <c r="J298" s="5">
        <v>83517673</v>
      </c>
      <c r="K298" s="5" t="s">
        <v>387</v>
      </c>
      <c r="L298" s="5" t="s">
        <v>394</v>
      </c>
      <c r="M298" s="6">
        <v>299900</v>
      </c>
      <c r="N298" s="7">
        <v>0.9</v>
      </c>
      <c r="O298" s="6">
        <f t="shared" si="12"/>
        <v>29990</v>
      </c>
      <c r="P298" s="5" t="s">
        <v>504</v>
      </c>
    </row>
    <row r="299" spans="1:16" x14ac:dyDescent="0.35">
      <c r="A299" s="5" t="str">
        <f t="shared" si="11"/>
        <v>2023 H2 All Items D90</v>
      </c>
      <c r="B299" s="8">
        <f>'ALL 2024 H2 D80'!$B$2</f>
        <v>46114</v>
      </c>
      <c r="C299" s="8">
        <f>'ALL 2024 H2 D80'!$C$2</f>
        <v>46120</v>
      </c>
      <c r="D299" s="5">
        <v>3208</v>
      </c>
      <c r="E299" s="5">
        <v>320</v>
      </c>
      <c r="F299" s="5">
        <v>1</v>
      </c>
      <c r="G299" s="5">
        <v>5</v>
      </c>
      <c r="H299" s="5">
        <v>81044</v>
      </c>
      <c r="I299" s="5" t="s">
        <v>16</v>
      </c>
      <c r="J299" s="5">
        <v>83517682</v>
      </c>
      <c r="K299" s="5" t="s">
        <v>387</v>
      </c>
      <c r="L299" s="5" t="s">
        <v>395</v>
      </c>
      <c r="M299" s="6">
        <v>299900</v>
      </c>
      <c r="N299" s="7">
        <v>0.9</v>
      </c>
      <c r="O299" s="6">
        <f t="shared" si="12"/>
        <v>29990</v>
      </c>
      <c r="P299" s="5" t="s">
        <v>504</v>
      </c>
    </row>
    <row r="300" spans="1:16" x14ac:dyDescent="0.35">
      <c r="A300" s="5" t="str">
        <f t="shared" si="11"/>
        <v>2023 H2 All Items D90</v>
      </c>
      <c r="B300" s="8">
        <f>'ALL 2024 H2 D80'!$B$2</f>
        <v>46114</v>
      </c>
      <c r="C300" s="8">
        <f>'ALL 2024 H2 D80'!$C$2</f>
        <v>46120</v>
      </c>
      <c r="D300" s="5">
        <v>3208</v>
      </c>
      <c r="E300" s="5">
        <v>320</v>
      </c>
      <c r="F300" s="5">
        <v>1</v>
      </c>
      <c r="G300" s="5">
        <v>5</v>
      </c>
      <c r="H300" s="5">
        <v>81495</v>
      </c>
      <c r="I300" s="5" t="s">
        <v>16</v>
      </c>
      <c r="J300" s="5">
        <v>15664310</v>
      </c>
      <c r="K300" s="5" t="s">
        <v>450</v>
      </c>
      <c r="L300" s="5" t="s">
        <v>451</v>
      </c>
      <c r="M300" s="6">
        <v>299900</v>
      </c>
      <c r="N300" s="7">
        <v>0.9</v>
      </c>
      <c r="O300" s="6">
        <f t="shared" si="12"/>
        <v>29990</v>
      </c>
      <c r="P300" s="5" t="s">
        <v>504</v>
      </c>
    </row>
    <row r="301" spans="1:16" x14ac:dyDescent="0.35">
      <c r="A301" s="5" t="str">
        <f t="shared" si="11"/>
        <v>2023 H2 All Items D90</v>
      </c>
      <c r="B301" s="8">
        <f>'ALL 2024 H2 D80'!$B$2</f>
        <v>46114</v>
      </c>
      <c r="C301" s="8">
        <f>'ALL 2024 H2 D80'!$C$2</f>
        <v>46120</v>
      </c>
      <c r="D301" s="5">
        <v>3208</v>
      </c>
      <c r="E301" s="5">
        <v>320</v>
      </c>
      <c r="F301" s="5">
        <v>1</v>
      </c>
      <c r="G301" s="5">
        <v>5</v>
      </c>
      <c r="H301" s="5">
        <v>81495</v>
      </c>
      <c r="I301" s="5" t="s">
        <v>16</v>
      </c>
      <c r="J301" s="5">
        <v>15664329</v>
      </c>
      <c r="K301" s="5" t="s">
        <v>450</v>
      </c>
      <c r="L301" s="5" t="s">
        <v>452</v>
      </c>
      <c r="M301" s="6">
        <v>299900</v>
      </c>
      <c r="N301" s="7">
        <v>0.9</v>
      </c>
      <c r="O301" s="6">
        <f t="shared" si="12"/>
        <v>29990</v>
      </c>
      <c r="P301" s="5" t="s">
        <v>504</v>
      </c>
    </row>
    <row r="302" spans="1:16" x14ac:dyDescent="0.35">
      <c r="A302" s="5" t="str">
        <f t="shared" si="11"/>
        <v>2023 H2 All Items D90</v>
      </c>
      <c r="B302" s="8">
        <f>'ALL 2024 H2 D80'!$B$2</f>
        <v>46114</v>
      </c>
      <c r="C302" s="8">
        <f>'ALL 2024 H2 D80'!$C$2</f>
        <v>46120</v>
      </c>
      <c r="D302" s="5">
        <v>3208</v>
      </c>
      <c r="E302" s="5">
        <v>320</v>
      </c>
      <c r="F302" s="5">
        <v>1</v>
      </c>
      <c r="G302" s="5">
        <v>5</v>
      </c>
      <c r="H302" s="5">
        <v>81495</v>
      </c>
      <c r="I302" s="5" t="s">
        <v>16</v>
      </c>
      <c r="J302" s="5">
        <v>15664338</v>
      </c>
      <c r="K302" s="5" t="s">
        <v>450</v>
      </c>
      <c r="L302" s="5" t="s">
        <v>453</v>
      </c>
      <c r="M302" s="6">
        <v>299900</v>
      </c>
      <c r="N302" s="7">
        <v>0.9</v>
      </c>
      <c r="O302" s="6">
        <f t="shared" si="12"/>
        <v>29990</v>
      </c>
      <c r="P302" s="5" t="s">
        <v>504</v>
      </c>
    </row>
    <row r="303" spans="1:16" x14ac:dyDescent="0.35">
      <c r="A303" s="5" t="str">
        <f t="shared" si="11"/>
        <v>2023 H2 All Items D90</v>
      </c>
      <c r="B303" s="8">
        <f>'ALL 2024 H2 D80'!$B$2</f>
        <v>46114</v>
      </c>
      <c r="C303" s="8">
        <f>'ALL 2024 H2 D80'!$C$2</f>
        <v>46120</v>
      </c>
      <c r="D303" s="5">
        <v>3208</v>
      </c>
      <c r="E303" s="5">
        <v>320</v>
      </c>
      <c r="F303" s="5">
        <v>1</v>
      </c>
      <c r="G303" s="5">
        <v>5</v>
      </c>
      <c r="H303" s="5">
        <v>81495</v>
      </c>
      <c r="I303" s="5" t="s">
        <v>16</v>
      </c>
      <c r="J303" s="5">
        <v>15664347</v>
      </c>
      <c r="K303" s="5" t="s">
        <v>450</v>
      </c>
      <c r="L303" s="5" t="s">
        <v>454</v>
      </c>
      <c r="M303" s="6">
        <v>299900</v>
      </c>
      <c r="N303" s="7">
        <v>0.9</v>
      </c>
      <c r="O303" s="6">
        <f t="shared" si="12"/>
        <v>29990</v>
      </c>
      <c r="P303" s="5" t="s">
        <v>504</v>
      </c>
    </row>
    <row r="304" spans="1:16" x14ac:dyDescent="0.35">
      <c r="A304" s="5" t="str">
        <f t="shared" si="11"/>
        <v>2023 H2 All Items D90</v>
      </c>
      <c r="B304" s="8">
        <f>'ALL 2024 H2 D80'!$B$2</f>
        <v>46114</v>
      </c>
      <c r="C304" s="8">
        <f>'ALL 2024 H2 D80'!$C$2</f>
        <v>46120</v>
      </c>
      <c r="D304" s="5">
        <v>3208</v>
      </c>
      <c r="E304" s="5">
        <v>320</v>
      </c>
      <c r="F304" s="5">
        <v>1</v>
      </c>
      <c r="G304" s="5">
        <v>5</v>
      </c>
      <c r="H304" s="5">
        <v>81495</v>
      </c>
      <c r="I304" s="5" t="s">
        <v>16</v>
      </c>
      <c r="J304" s="5">
        <v>82494084</v>
      </c>
      <c r="K304" s="5" t="s">
        <v>396</v>
      </c>
      <c r="L304" s="5" t="s">
        <v>397</v>
      </c>
      <c r="M304" s="6">
        <v>289900</v>
      </c>
      <c r="N304" s="7">
        <v>0.9</v>
      </c>
      <c r="O304" s="6">
        <f t="shared" si="12"/>
        <v>28990</v>
      </c>
      <c r="P304" s="5" t="s">
        <v>504</v>
      </c>
    </row>
    <row r="305" spans="1:16" x14ac:dyDescent="0.35">
      <c r="A305" s="5" t="str">
        <f t="shared" si="11"/>
        <v>2023 H2 All Items D90</v>
      </c>
      <c r="B305" s="8">
        <f>'ALL 2024 H2 D80'!$B$2</f>
        <v>46114</v>
      </c>
      <c r="C305" s="8">
        <f>'ALL 2024 H2 D80'!$C$2</f>
        <v>46120</v>
      </c>
      <c r="D305" s="5">
        <v>3208</v>
      </c>
      <c r="E305" s="5">
        <v>320</v>
      </c>
      <c r="F305" s="5">
        <v>1</v>
      </c>
      <c r="G305" s="5">
        <v>5</v>
      </c>
      <c r="H305" s="5">
        <v>81495</v>
      </c>
      <c r="I305" s="5" t="s">
        <v>16</v>
      </c>
      <c r="J305" s="5">
        <v>82494093</v>
      </c>
      <c r="K305" s="5" t="s">
        <v>396</v>
      </c>
      <c r="L305" s="5" t="s">
        <v>398</v>
      </c>
      <c r="M305" s="6">
        <v>289900</v>
      </c>
      <c r="N305" s="7">
        <v>0.9</v>
      </c>
      <c r="O305" s="6">
        <f t="shared" si="12"/>
        <v>28990</v>
      </c>
      <c r="P305" s="5" t="s">
        <v>504</v>
      </c>
    </row>
    <row r="306" spans="1:16" x14ac:dyDescent="0.35">
      <c r="A306" s="5" t="str">
        <f t="shared" si="11"/>
        <v>2023 H2 All Items D90</v>
      </c>
      <c r="B306" s="8">
        <f>'ALL 2024 H2 D80'!$B$2</f>
        <v>46114</v>
      </c>
      <c r="C306" s="8">
        <f>'ALL 2024 H2 D80'!$C$2</f>
        <v>46120</v>
      </c>
      <c r="D306" s="5">
        <v>3208</v>
      </c>
      <c r="E306" s="5">
        <v>320</v>
      </c>
      <c r="F306" s="5">
        <v>1</v>
      </c>
      <c r="G306" s="5">
        <v>5</v>
      </c>
      <c r="H306" s="5">
        <v>81495</v>
      </c>
      <c r="I306" s="5" t="s">
        <v>16</v>
      </c>
      <c r="J306" s="5">
        <v>82494100</v>
      </c>
      <c r="K306" s="5" t="s">
        <v>396</v>
      </c>
      <c r="L306" s="5" t="s">
        <v>399</v>
      </c>
      <c r="M306" s="6">
        <v>289900</v>
      </c>
      <c r="N306" s="7">
        <v>0.9</v>
      </c>
      <c r="O306" s="6">
        <f t="shared" si="12"/>
        <v>28990</v>
      </c>
      <c r="P306" s="5" t="s">
        <v>504</v>
      </c>
    </row>
    <row r="307" spans="1:16" x14ac:dyDescent="0.35">
      <c r="A307" s="5" t="str">
        <f t="shared" si="11"/>
        <v>2023 H2 All Items D90</v>
      </c>
      <c r="B307" s="8">
        <f>'ALL 2024 H2 D80'!$B$2</f>
        <v>46114</v>
      </c>
      <c r="C307" s="8">
        <f>'ALL 2024 H2 D80'!$C$2</f>
        <v>46120</v>
      </c>
      <c r="D307" s="5">
        <v>3208</v>
      </c>
      <c r="E307" s="5">
        <v>320</v>
      </c>
      <c r="F307" s="5">
        <v>1</v>
      </c>
      <c r="G307" s="5">
        <v>5</v>
      </c>
      <c r="H307" s="5">
        <v>81495</v>
      </c>
      <c r="I307" s="5" t="s">
        <v>16</v>
      </c>
      <c r="J307" s="5">
        <v>82494119</v>
      </c>
      <c r="K307" s="5" t="s">
        <v>396</v>
      </c>
      <c r="L307" s="5" t="s">
        <v>400</v>
      </c>
      <c r="M307" s="6">
        <v>289900</v>
      </c>
      <c r="N307" s="7">
        <v>0.9</v>
      </c>
      <c r="O307" s="6">
        <f t="shared" si="12"/>
        <v>28990</v>
      </c>
      <c r="P307" s="5" t="s">
        <v>504</v>
      </c>
    </row>
    <row r="308" spans="1:16" x14ac:dyDescent="0.35">
      <c r="A308" s="5" t="str">
        <f t="shared" si="11"/>
        <v>2023 H2 All Items D90</v>
      </c>
      <c r="B308" s="8">
        <f>'ALL 2024 H2 D80'!$B$2</f>
        <v>46114</v>
      </c>
      <c r="C308" s="8">
        <f>'ALL 2024 H2 D80'!$C$2</f>
        <v>46120</v>
      </c>
      <c r="D308" s="5">
        <v>3208</v>
      </c>
      <c r="E308" s="5">
        <v>320</v>
      </c>
      <c r="F308" s="5">
        <v>1</v>
      </c>
      <c r="G308" s="5">
        <v>5</v>
      </c>
      <c r="H308" s="5">
        <v>81495</v>
      </c>
      <c r="I308" s="5" t="s">
        <v>16</v>
      </c>
      <c r="J308" s="5">
        <v>82494128</v>
      </c>
      <c r="K308" s="5" t="s">
        <v>396</v>
      </c>
      <c r="L308" s="5" t="s">
        <v>401</v>
      </c>
      <c r="M308" s="6">
        <v>289900</v>
      </c>
      <c r="N308" s="7">
        <v>0.9</v>
      </c>
      <c r="O308" s="6">
        <f t="shared" si="12"/>
        <v>28990</v>
      </c>
      <c r="P308" s="5" t="s">
        <v>504</v>
      </c>
    </row>
    <row r="309" spans="1:16" x14ac:dyDescent="0.35">
      <c r="A309" s="5" t="str">
        <f t="shared" si="11"/>
        <v>2023 H2 All Items D90</v>
      </c>
      <c r="B309" s="8">
        <f>'ALL 2024 H2 D80'!$B$2</f>
        <v>46114</v>
      </c>
      <c r="C309" s="8">
        <f>'ALL 2024 H2 D80'!$C$2</f>
        <v>46120</v>
      </c>
      <c r="D309" s="5">
        <v>3208</v>
      </c>
      <c r="E309" s="5">
        <v>320</v>
      </c>
      <c r="F309" s="5">
        <v>1</v>
      </c>
      <c r="G309" s="5">
        <v>5</v>
      </c>
      <c r="H309" s="5">
        <v>81495</v>
      </c>
      <c r="I309" s="5" t="s">
        <v>16</v>
      </c>
      <c r="J309" s="5">
        <v>82494137</v>
      </c>
      <c r="K309" s="5" t="s">
        <v>396</v>
      </c>
      <c r="L309" s="5" t="s">
        <v>402</v>
      </c>
      <c r="M309" s="6">
        <v>289900</v>
      </c>
      <c r="N309" s="7">
        <v>0.9</v>
      </c>
      <c r="O309" s="6">
        <f t="shared" si="12"/>
        <v>28990</v>
      </c>
      <c r="P309" s="5" t="s">
        <v>504</v>
      </c>
    </row>
    <row r="310" spans="1:16" x14ac:dyDescent="0.35">
      <c r="A310" s="5" t="str">
        <f t="shared" si="11"/>
        <v>2023 H2 All Items D90</v>
      </c>
      <c r="B310" s="8">
        <f>'ALL 2024 H2 D80'!$B$2</f>
        <v>46114</v>
      </c>
      <c r="C310" s="8">
        <f>'ALL 2024 H2 D80'!$C$2</f>
        <v>46120</v>
      </c>
      <c r="D310" s="5">
        <v>3208</v>
      </c>
      <c r="E310" s="5">
        <v>320</v>
      </c>
      <c r="F310" s="5">
        <v>1</v>
      </c>
      <c r="G310" s="5">
        <v>5</v>
      </c>
      <c r="H310" s="5">
        <v>81495</v>
      </c>
      <c r="I310" s="5" t="s">
        <v>16</v>
      </c>
      <c r="J310" s="5">
        <v>82494146</v>
      </c>
      <c r="K310" s="5" t="s">
        <v>396</v>
      </c>
      <c r="L310" s="5" t="s">
        <v>403</v>
      </c>
      <c r="M310" s="6">
        <v>289900</v>
      </c>
      <c r="N310" s="7">
        <v>0.9</v>
      </c>
      <c r="O310" s="6">
        <f t="shared" si="12"/>
        <v>28990</v>
      </c>
      <c r="P310" s="5" t="s">
        <v>504</v>
      </c>
    </row>
    <row r="311" spans="1:16" x14ac:dyDescent="0.35">
      <c r="A311" s="5" t="str">
        <f t="shared" si="11"/>
        <v>2023 H2 All Items D90</v>
      </c>
      <c r="B311" s="8">
        <f>'ALL 2024 H2 D80'!$B$2</f>
        <v>46114</v>
      </c>
      <c r="C311" s="8">
        <f>'ALL 2024 H2 D80'!$C$2</f>
        <v>46120</v>
      </c>
      <c r="D311" s="5">
        <v>3208</v>
      </c>
      <c r="E311" s="5">
        <v>320</v>
      </c>
      <c r="F311" s="5">
        <v>1</v>
      </c>
      <c r="G311" s="5">
        <v>5</v>
      </c>
      <c r="H311" s="5">
        <v>81495</v>
      </c>
      <c r="I311" s="5" t="s">
        <v>16</v>
      </c>
      <c r="J311" s="5">
        <v>82494155</v>
      </c>
      <c r="K311" s="5" t="s">
        <v>396</v>
      </c>
      <c r="L311" s="5" t="s">
        <v>404</v>
      </c>
      <c r="M311" s="6">
        <v>289900</v>
      </c>
      <c r="N311" s="7">
        <v>0.9</v>
      </c>
      <c r="O311" s="6">
        <f t="shared" si="12"/>
        <v>28990</v>
      </c>
      <c r="P311" s="5" t="s">
        <v>504</v>
      </c>
    </row>
    <row r="312" spans="1:16" x14ac:dyDescent="0.35">
      <c r="A312" s="5" t="str">
        <f t="shared" si="11"/>
        <v>2023 H2 All Items D90</v>
      </c>
      <c r="B312" s="8">
        <f>'ALL 2024 H2 D80'!$B$2</f>
        <v>46114</v>
      </c>
      <c r="C312" s="8">
        <f>'ALL 2024 H2 D80'!$C$2</f>
        <v>46120</v>
      </c>
      <c r="D312" s="5">
        <v>3208</v>
      </c>
      <c r="E312" s="5">
        <v>320</v>
      </c>
      <c r="F312" s="5">
        <v>1</v>
      </c>
      <c r="G312" s="5">
        <v>5</v>
      </c>
      <c r="H312" s="5">
        <v>81495</v>
      </c>
      <c r="I312" s="5" t="s">
        <v>16</v>
      </c>
      <c r="J312" s="5">
        <v>84499414</v>
      </c>
      <c r="K312" s="5" t="s">
        <v>405</v>
      </c>
      <c r="L312" s="5" t="s">
        <v>406</v>
      </c>
      <c r="M312" s="6">
        <v>279900</v>
      </c>
      <c r="N312" s="7">
        <v>0.9</v>
      </c>
      <c r="O312" s="6">
        <f t="shared" si="12"/>
        <v>27990</v>
      </c>
      <c r="P312" s="5" t="s">
        <v>504</v>
      </c>
    </row>
    <row r="313" spans="1:16" x14ac:dyDescent="0.35">
      <c r="A313" s="5" t="str">
        <f t="shared" si="11"/>
        <v>2023 H2 All Items D90</v>
      </c>
      <c r="B313" s="8">
        <f>'ALL 2024 H2 D80'!$B$2</f>
        <v>46114</v>
      </c>
      <c r="C313" s="8">
        <f>'ALL 2024 H2 D80'!$C$2</f>
        <v>46120</v>
      </c>
      <c r="D313" s="5">
        <v>3208</v>
      </c>
      <c r="E313" s="5">
        <v>320</v>
      </c>
      <c r="F313" s="5">
        <v>1</v>
      </c>
      <c r="G313" s="5">
        <v>5</v>
      </c>
      <c r="H313" s="5">
        <v>81495</v>
      </c>
      <c r="I313" s="5" t="s">
        <v>16</v>
      </c>
      <c r="J313" s="5">
        <v>84499423</v>
      </c>
      <c r="K313" s="5" t="s">
        <v>405</v>
      </c>
      <c r="L313" s="5" t="s">
        <v>407</v>
      </c>
      <c r="M313" s="6">
        <v>279900</v>
      </c>
      <c r="N313" s="7">
        <v>0.9</v>
      </c>
      <c r="O313" s="6">
        <f t="shared" si="12"/>
        <v>27990</v>
      </c>
      <c r="P313" s="5" t="s">
        <v>504</v>
      </c>
    </row>
    <row r="314" spans="1:16" x14ac:dyDescent="0.35">
      <c r="A314" s="5" t="str">
        <f t="shared" si="11"/>
        <v>2023 H2 All Items D90</v>
      </c>
      <c r="B314" s="8">
        <f>'ALL 2024 H2 D80'!$B$2</f>
        <v>46114</v>
      </c>
      <c r="C314" s="8">
        <f>'ALL 2024 H2 D80'!$C$2</f>
        <v>46120</v>
      </c>
      <c r="D314" s="5">
        <v>3208</v>
      </c>
      <c r="E314" s="5">
        <v>320</v>
      </c>
      <c r="F314" s="5">
        <v>1</v>
      </c>
      <c r="G314" s="5">
        <v>5</v>
      </c>
      <c r="H314" s="5">
        <v>81495</v>
      </c>
      <c r="I314" s="5" t="s">
        <v>16</v>
      </c>
      <c r="J314" s="5">
        <v>84499432</v>
      </c>
      <c r="K314" s="5" t="s">
        <v>405</v>
      </c>
      <c r="L314" s="5" t="s">
        <v>408</v>
      </c>
      <c r="M314" s="6">
        <v>279900</v>
      </c>
      <c r="N314" s="7">
        <v>0.9</v>
      </c>
      <c r="O314" s="6">
        <f t="shared" si="12"/>
        <v>27990</v>
      </c>
      <c r="P314" s="5" t="s">
        <v>504</v>
      </c>
    </row>
    <row r="315" spans="1:16" x14ac:dyDescent="0.35">
      <c r="A315" s="5" t="str">
        <f t="shared" si="11"/>
        <v>2023 H2 All Items D90</v>
      </c>
      <c r="B315" s="8">
        <f>'ALL 2024 H2 D80'!$B$2</f>
        <v>46114</v>
      </c>
      <c r="C315" s="8">
        <f>'ALL 2024 H2 D80'!$C$2</f>
        <v>46120</v>
      </c>
      <c r="D315" s="5">
        <v>3208</v>
      </c>
      <c r="E315" s="5">
        <v>320</v>
      </c>
      <c r="F315" s="5">
        <v>1</v>
      </c>
      <c r="G315" s="5">
        <v>5</v>
      </c>
      <c r="H315" s="5">
        <v>81495</v>
      </c>
      <c r="I315" s="5" t="s">
        <v>16</v>
      </c>
      <c r="J315" s="5">
        <v>84499441</v>
      </c>
      <c r="K315" s="5" t="s">
        <v>405</v>
      </c>
      <c r="L315" s="5" t="s">
        <v>409</v>
      </c>
      <c r="M315" s="6">
        <v>279900</v>
      </c>
      <c r="N315" s="7">
        <v>0.9</v>
      </c>
      <c r="O315" s="6">
        <f t="shared" si="12"/>
        <v>27990</v>
      </c>
      <c r="P315" s="5" t="s">
        <v>504</v>
      </c>
    </row>
    <row r="316" spans="1:16" x14ac:dyDescent="0.35">
      <c r="A316" s="5" t="str">
        <f t="shared" si="11"/>
        <v>2023 H2 All Items D90</v>
      </c>
      <c r="B316" s="8">
        <f>'ALL 2024 H2 D80'!$B$2</f>
        <v>46114</v>
      </c>
      <c r="C316" s="8">
        <f>'ALL 2024 H2 D80'!$C$2</f>
        <v>46120</v>
      </c>
      <c r="D316" s="5">
        <v>3208</v>
      </c>
      <c r="E316" s="5">
        <v>320</v>
      </c>
      <c r="F316" s="5">
        <v>1</v>
      </c>
      <c r="G316" s="5">
        <v>5</v>
      </c>
      <c r="H316" s="5">
        <v>81495</v>
      </c>
      <c r="I316" s="5" t="s">
        <v>16</v>
      </c>
      <c r="J316" s="5">
        <v>84499450</v>
      </c>
      <c r="K316" s="5" t="s">
        <v>405</v>
      </c>
      <c r="L316" s="5" t="s">
        <v>410</v>
      </c>
      <c r="M316" s="6">
        <v>279900</v>
      </c>
      <c r="N316" s="7">
        <v>0.9</v>
      </c>
      <c r="O316" s="6">
        <f t="shared" si="12"/>
        <v>27990</v>
      </c>
      <c r="P316" s="5" t="s">
        <v>504</v>
      </c>
    </row>
    <row r="317" spans="1:16" x14ac:dyDescent="0.35">
      <c r="A317" s="5" t="str">
        <f t="shared" si="11"/>
        <v>2023 H2 All Items D90</v>
      </c>
      <c r="B317" s="8">
        <f>'ALL 2024 H2 D80'!$B$2</f>
        <v>46114</v>
      </c>
      <c r="C317" s="8">
        <f>'ALL 2024 H2 D80'!$C$2</f>
        <v>46120</v>
      </c>
      <c r="D317" s="5">
        <v>3208</v>
      </c>
      <c r="E317" s="5">
        <v>320</v>
      </c>
      <c r="F317" s="5">
        <v>1</v>
      </c>
      <c r="G317" s="5">
        <v>5</v>
      </c>
      <c r="H317" s="5">
        <v>81495</v>
      </c>
      <c r="I317" s="5" t="s">
        <v>16</v>
      </c>
      <c r="J317" s="5">
        <v>84499469</v>
      </c>
      <c r="K317" s="5" t="s">
        <v>405</v>
      </c>
      <c r="L317" s="5" t="s">
        <v>411</v>
      </c>
      <c r="M317" s="6">
        <v>279900</v>
      </c>
      <c r="N317" s="7">
        <v>0.9</v>
      </c>
      <c r="O317" s="6">
        <f t="shared" si="12"/>
        <v>27990</v>
      </c>
      <c r="P317" s="5" t="s">
        <v>504</v>
      </c>
    </row>
    <row r="318" spans="1:16" x14ac:dyDescent="0.35">
      <c r="A318" s="5" t="str">
        <f t="shared" si="11"/>
        <v>2023 H2 All Items D90</v>
      </c>
      <c r="B318" s="8">
        <f>'ALL 2024 H2 D80'!$B$2</f>
        <v>46114</v>
      </c>
      <c r="C318" s="8">
        <f>'ALL 2024 H2 D80'!$C$2</f>
        <v>46120</v>
      </c>
      <c r="D318" s="5">
        <v>3208</v>
      </c>
      <c r="E318" s="5">
        <v>320</v>
      </c>
      <c r="F318" s="5">
        <v>1</v>
      </c>
      <c r="G318" s="5">
        <v>5</v>
      </c>
      <c r="H318" s="5">
        <v>81495</v>
      </c>
      <c r="I318" s="5" t="s">
        <v>16</v>
      </c>
      <c r="J318" s="5">
        <v>84499478</v>
      </c>
      <c r="K318" s="5" t="s">
        <v>405</v>
      </c>
      <c r="L318" s="5" t="s">
        <v>412</v>
      </c>
      <c r="M318" s="6">
        <v>279900</v>
      </c>
      <c r="N318" s="7">
        <v>0.9</v>
      </c>
      <c r="O318" s="6">
        <f t="shared" si="12"/>
        <v>27990</v>
      </c>
      <c r="P318" s="5" t="s">
        <v>504</v>
      </c>
    </row>
    <row r="319" spans="1:16" x14ac:dyDescent="0.35">
      <c r="A319" s="5" t="str">
        <f t="shared" si="11"/>
        <v>2023 H2 All Items D90</v>
      </c>
      <c r="B319" s="8">
        <f>'ALL 2024 H2 D80'!$B$2</f>
        <v>46114</v>
      </c>
      <c r="C319" s="8">
        <f>'ALL 2024 H2 D80'!$C$2</f>
        <v>46120</v>
      </c>
      <c r="D319" s="5">
        <v>3208</v>
      </c>
      <c r="E319" s="5">
        <v>320</v>
      </c>
      <c r="F319" s="5">
        <v>1</v>
      </c>
      <c r="G319" s="5">
        <v>5</v>
      </c>
      <c r="H319" s="5">
        <v>81495</v>
      </c>
      <c r="I319" s="5" t="s">
        <v>16</v>
      </c>
      <c r="J319" s="5">
        <v>84499487</v>
      </c>
      <c r="K319" s="5" t="s">
        <v>405</v>
      </c>
      <c r="L319" s="5" t="s">
        <v>413</v>
      </c>
      <c r="M319" s="6">
        <v>279900</v>
      </c>
      <c r="N319" s="7">
        <v>0.9</v>
      </c>
      <c r="O319" s="6">
        <f t="shared" si="12"/>
        <v>27990</v>
      </c>
      <c r="P319" s="5" t="s">
        <v>504</v>
      </c>
    </row>
    <row r="320" spans="1:16" x14ac:dyDescent="0.35">
      <c r="A320" s="5" t="str">
        <f t="shared" si="11"/>
        <v>2023 H2 All Items D90</v>
      </c>
      <c r="B320" s="8">
        <f>'ALL 2024 H2 D80'!$B$2</f>
        <v>46114</v>
      </c>
      <c r="C320" s="8">
        <f>'ALL 2024 H2 D80'!$C$2</f>
        <v>46120</v>
      </c>
      <c r="D320" s="5">
        <v>3208</v>
      </c>
      <c r="E320" s="5">
        <v>320</v>
      </c>
      <c r="F320" s="5">
        <v>1</v>
      </c>
      <c r="G320" s="5">
        <v>5</v>
      </c>
      <c r="H320" s="5">
        <v>81495</v>
      </c>
      <c r="I320" s="5" t="s">
        <v>16</v>
      </c>
      <c r="J320" s="5">
        <v>84499496</v>
      </c>
      <c r="K320" s="5" t="s">
        <v>405</v>
      </c>
      <c r="L320" s="5" t="s">
        <v>414</v>
      </c>
      <c r="M320" s="6">
        <v>279900</v>
      </c>
      <c r="N320" s="7">
        <v>0.9</v>
      </c>
      <c r="O320" s="6">
        <f t="shared" si="12"/>
        <v>27990</v>
      </c>
      <c r="P320" s="5" t="s">
        <v>504</v>
      </c>
    </row>
    <row r="321" spans="1:16" x14ac:dyDescent="0.35">
      <c r="A321" s="5" t="str">
        <f t="shared" si="11"/>
        <v>2023 H2 All Items D90</v>
      </c>
      <c r="B321" s="8">
        <f>'ALL 2024 H2 D80'!$B$2</f>
        <v>46114</v>
      </c>
      <c r="C321" s="8">
        <f>'ALL 2024 H2 D80'!$C$2</f>
        <v>46120</v>
      </c>
      <c r="D321" s="5">
        <v>3208</v>
      </c>
      <c r="E321" s="5">
        <v>320</v>
      </c>
      <c r="F321" s="5">
        <v>1</v>
      </c>
      <c r="G321" s="5">
        <v>5</v>
      </c>
      <c r="H321" s="5">
        <v>81495</v>
      </c>
      <c r="I321" s="5" t="s">
        <v>16</v>
      </c>
      <c r="J321" s="5">
        <v>84499503</v>
      </c>
      <c r="K321" s="5" t="s">
        <v>405</v>
      </c>
      <c r="L321" s="5" t="s">
        <v>415</v>
      </c>
      <c r="M321" s="6">
        <v>279900</v>
      </c>
      <c r="N321" s="7">
        <v>0.9</v>
      </c>
      <c r="O321" s="6">
        <f t="shared" si="12"/>
        <v>27990</v>
      </c>
      <c r="P321" s="5" t="s">
        <v>504</v>
      </c>
    </row>
    <row r="322" spans="1:16" x14ac:dyDescent="0.35">
      <c r="A322" s="5" t="str">
        <f t="shared" si="11"/>
        <v>2023 H2 All Items D90</v>
      </c>
      <c r="B322" s="8">
        <f>'ALL 2024 H2 D80'!$B$2</f>
        <v>46114</v>
      </c>
      <c r="C322" s="8">
        <f>'ALL 2024 H2 D80'!$C$2</f>
        <v>46120</v>
      </c>
      <c r="D322" s="5">
        <v>3208</v>
      </c>
      <c r="E322" s="5">
        <v>320</v>
      </c>
      <c r="F322" s="5">
        <v>1</v>
      </c>
      <c r="G322" s="5">
        <v>5</v>
      </c>
      <c r="H322" s="5">
        <v>81495</v>
      </c>
      <c r="I322" s="5" t="s">
        <v>16</v>
      </c>
      <c r="J322" s="5">
        <v>84499512</v>
      </c>
      <c r="K322" s="5" t="s">
        <v>405</v>
      </c>
      <c r="L322" s="5" t="s">
        <v>416</v>
      </c>
      <c r="M322" s="6">
        <v>279900</v>
      </c>
      <c r="N322" s="7">
        <v>0.9</v>
      </c>
      <c r="O322" s="6">
        <f t="shared" si="12"/>
        <v>27990</v>
      </c>
      <c r="P322" s="5" t="s">
        <v>504</v>
      </c>
    </row>
    <row r="323" spans="1:16" x14ac:dyDescent="0.35">
      <c r="A323" s="5" t="str">
        <f t="shared" si="11"/>
        <v>2023 H2 All Items D90</v>
      </c>
      <c r="B323" s="8">
        <f>'ALL 2024 H2 D80'!$B$2</f>
        <v>46114</v>
      </c>
      <c r="C323" s="8">
        <f>'ALL 2024 H2 D80'!$C$2</f>
        <v>46120</v>
      </c>
      <c r="D323" s="5">
        <v>3208</v>
      </c>
      <c r="E323" s="5">
        <v>320</v>
      </c>
      <c r="F323" s="5">
        <v>1</v>
      </c>
      <c r="G323" s="5">
        <v>5</v>
      </c>
      <c r="H323" s="5">
        <v>81495</v>
      </c>
      <c r="I323" s="5" t="s">
        <v>16</v>
      </c>
      <c r="J323" s="5">
        <v>84499521</v>
      </c>
      <c r="K323" s="5" t="s">
        <v>405</v>
      </c>
      <c r="L323" s="5" t="s">
        <v>417</v>
      </c>
      <c r="M323" s="6">
        <v>279900</v>
      </c>
      <c r="N323" s="7">
        <v>0.9</v>
      </c>
      <c r="O323" s="6">
        <f t="shared" si="12"/>
        <v>27990</v>
      </c>
      <c r="P323" s="5" t="s">
        <v>504</v>
      </c>
    </row>
    <row r="324" spans="1:16" x14ac:dyDescent="0.35">
      <c r="A324" s="5" t="str">
        <f t="shared" ref="A324:A378" si="13">$A$2</f>
        <v>2023 H2 All Items D90</v>
      </c>
      <c r="B324" s="8">
        <f>'ALL 2024 H2 D80'!$B$2</f>
        <v>46114</v>
      </c>
      <c r="C324" s="8">
        <f>'ALL 2024 H2 D80'!$C$2</f>
        <v>46120</v>
      </c>
      <c r="D324" s="5">
        <v>3208</v>
      </c>
      <c r="E324" s="5">
        <v>320</v>
      </c>
      <c r="F324" s="5">
        <v>1</v>
      </c>
      <c r="G324" s="5">
        <v>5</v>
      </c>
      <c r="H324" s="5">
        <v>81626</v>
      </c>
      <c r="I324" s="5" t="s">
        <v>16</v>
      </c>
      <c r="J324" s="5">
        <v>82494244</v>
      </c>
      <c r="K324" s="5" t="s">
        <v>418</v>
      </c>
      <c r="L324" s="5" t="s">
        <v>419</v>
      </c>
      <c r="M324" s="6">
        <v>229900</v>
      </c>
      <c r="N324" s="7">
        <v>0.9</v>
      </c>
      <c r="O324" s="6">
        <f t="shared" ref="O324:O378" si="14">M324-(M324*N324)</f>
        <v>22990</v>
      </c>
      <c r="P324" s="5" t="s">
        <v>504</v>
      </c>
    </row>
    <row r="325" spans="1:16" x14ac:dyDescent="0.35">
      <c r="A325" s="5" t="str">
        <f t="shared" si="13"/>
        <v>2023 H2 All Items D90</v>
      </c>
      <c r="B325" s="8">
        <f>'ALL 2024 H2 D80'!$B$2</f>
        <v>46114</v>
      </c>
      <c r="C325" s="8">
        <f>'ALL 2024 H2 D80'!$C$2</f>
        <v>46120</v>
      </c>
      <c r="D325" s="5">
        <v>3208</v>
      </c>
      <c r="E325" s="5">
        <v>320</v>
      </c>
      <c r="F325" s="5">
        <v>1</v>
      </c>
      <c r="G325" s="5">
        <v>5</v>
      </c>
      <c r="H325" s="5">
        <v>81626</v>
      </c>
      <c r="I325" s="5" t="s">
        <v>16</v>
      </c>
      <c r="J325" s="5">
        <v>82494253</v>
      </c>
      <c r="K325" s="5" t="s">
        <v>418</v>
      </c>
      <c r="L325" s="5" t="s">
        <v>420</v>
      </c>
      <c r="M325" s="6">
        <v>229900</v>
      </c>
      <c r="N325" s="7">
        <v>0.9</v>
      </c>
      <c r="O325" s="6">
        <f t="shared" si="14"/>
        <v>22990</v>
      </c>
      <c r="P325" s="5" t="s">
        <v>504</v>
      </c>
    </row>
    <row r="326" spans="1:16" x14ac:dyDescent="0.35">
      <c r="A326" s="5" t="str">
        <f t="shared" si="13"/>
        <v>2023 H2 All Items D90</v>
      </c>
      <c r="B326" s="8">
        <f>'ALL 2024 H2 D80'!$B$2</f>
        <v>46114</v>
      </c>
      <c r="C326" s="8">
        <f>'ALL 2024 H2 D80'!$C$2</f>
        <v>46120</v>
      </c>
      <c r="D326" s="5">
        <v>3208</v>
      </c>
      <c r="E326" s="5">
        <v>320</v>
      </c>
      <c r="F326" s="5">
        <v>1</v>
      </c>
      <c r="G326" s="5">
        <v>5</v>
      </c>
      <c r="H326" s="5">
        <v>81626</v>
      </c>
      <c r="I326" s="5" t="s">
        <v>16</v>
      </c>
      <c r="J326" s="5">
        <v>82494262</v>
      </c>
      <c r="K326" s="5" t="s">
        <v>418</v>
      </c>
      <c r="L326" s="5" t="s">
        <v>421</v>
      </c>
      <c r="M326" s="6">
        <v>229900</v>
      </c>
      <c r="N326" s="7">
        <v>0.9</v>
      </c>
      <c r="O326" s="6">
        <f t="shared" si="14"/>
        <v>22990</v>
      </c>
      <c r="P326" s="5" t="s">
        <v>504</v>
      </c>
    </row>
    <row r="327" spans="1:16" x14ac:dyDescent="0.35">
      <c r="A327" s="5" t="str">
        <f t="shared" si="13"/>
        <v>2023 H2 All Items D90</v>
      </c>
      <c r="B327" s="8">
        <f>'ALL 2024 H2 D80'!$B$2</f>
        <v>46114</v>
      </c>
      <c r="C327" s="8">
        <f>'ALL 2024 H2 D80'!$C$2</f>
        <v>46120</v>
      </c>
      <c r="D327" s="5">
        <v>3208</v>
      </c>
      <c r="E327" s="5">
        <v>320</v>
      </c>
      <c r="F327" s="5">
        <v>1</v>
      </c>
      <c r="G327" s="5">
        <v>5</v>
      </c>
      <c r="H327" s="5">
        <v>81626</v>
      </c>
      <c r="I327" s="5" t="s">
        <v>16</v>
      </c>
      <c r="J327" s="5">
        <v>82494271</v>
      </c>
      <c r="K327" s="5" t="s">
        <v>418</v>
      </c>
      <c r="L327" s="5" t="s">
        <v>422</v>
      </c>
      <c r="M327" s="6">
        <v>229900</v>
      </c>
      <c r="N327" s="7">
        <v>0.9</v>
      </c>
      <c r="O327" s="6">
        <f t="shared" si="14"/>
        <v>22990</v>
      </c>
      <c r="P327" s="5" t="s">
        <v>504</v>
      </c>
    </row>
    <row r="328" spans="1:16" x14ac:dyDescent="0.35">
      <c r="A328" s="5" t="str">
        <f t="shared" si="13"/>
        <v>2023 H2 All Items D90</v>
      </c>
      <c r="B328" s="8">
        <f>'ALL 2024 H2 D80'!$B$2</f>
        <v>46114</v>
      </c>
      <c r="C328" s="8">
        <f>'ALL 2024 H2 D80'!$C$2</f>
        <v>46120</v>
      </c>
      <c r="D328" s="5">
        <v>3208</v>
      </c>
      <c r="E328" s="5">
        <v>320</v>
      </c>
      <c r="F328" s="5">
        <v>1</v>
      </c>
      <c r="G328" s="5">
        <v>5</v>
      </c>
      <c r="H328" s="5">
        <v>81626</v>
      </c>
      <c r="I328" s="5" t="s">
        <v>16</v>
      </c>
      <c r="J328" s="5">
        <v>82494280</v>
      </c>
      <c r="K328" s="5" t="s">
        <v>423</v>
      </c>
      <c r="L328" s="5" t="s">
        <v>424</v>
      </c>
      <c r="M328" s="6">
        <v>279900</v>
      </c>
      <c r="N328" s="7">
        <v>0.9</v>
      </c>
      <c r="O328" s="6">
        <f t="shared" si="14"/>
        <v>27990</v>
      </c>
      <c r="P328" s="5" t="s">
        <v>504</v>
      </c>
    </row>
    <row r="329" spans="1:16" x14ac:dyDescent="0.35">
      <c r="A329" s="5" t="str">
        <f t="shared" si="13"/>
        <v>2023 H2 All Items D90</v>
      </c>
      <c r="B329" s="8">
        <f>'ALL 2024 H2 D80'!$B$2</f>
        <v>46114</v>
      </c>
      <c r="C329" s="8">
        <f>'ALL 2024 H2 D80'!$C$2</f>
        <v>46120</v>
      </c>
      <c r="D329" s="5">
        <v>3208</v>
      </c>
      <c r="E329" s="5">
        <v>320</v>
      </c>
      <c r="F329" s="5">
        <v>1</v>
      </c>
      <c r="G329" s="5">
        <v>5</v>
      </c>
      <c r="H329" s="5">
        <v>81626</v>
      </c>
      <c r="I329" s="5" t="s">
        <v>16</v>
      </c>
      <c r="J329" s="5">
        <v>82494299</v>
      </c>
      <c r="K329" s="5" t="s">
        <v>423</v>
      </c>
      <c r="L329" s="5" t="s">
        <v>425</v>
      </c>
      <c r="M329" s="6">
        <v>279900</v>
      </c>
      <c r="N329" s="7">
        <v>0.9</v>
      </c>
      <c r="O329" s="6">
        <f t="shared" si="14"/>
        <v>27990</v>
      </c>
      <c r="P329" s="5" t="s">
        <v>504</v>
      </c>
    </row>
    <row r="330" spans="1:16" x14ac:dyDescent="0.35">
      <c r="A330" s="5" t="str">
        <f t="shared" si="13"/>
        <v>2023 H2 All Items D90</v>
      </c>
      <c r="B330" s="8">
        <f>'ALL 2024 H2 D80'!$B$2</f>
        <v>46114</v>
      </c>
      <c r="C330" s="8">
        <f>'ALL 2024 H2 D80'!$C$2</f>
        <v>46120</v>
      </c>
      <c r="D330" s="5">
        <v>3208</v>
      </c>
      <c r="E330" s="5">
        <v>320</v>
      </c>
      <c r="F330" s="5">
        <v>1</v>
      </c>
      <c r="G330" s="5">
        <v>5</v>
      </c>
      <c r="H330" s="5">
        <v>81626</v>
      </c>
      <c r="I330" s="5" t="s">
        <v>16</v>
      </c>
      <c r="J330" s="5">
        <v>82494306</v>
      </c>
      <c r="K330" s="5" t="s">
        <v>423</v>
      </c>
      <c r="L330" s="5" t="s">
        <v>426</v>
      </c>
      <c r="M330" s="6">
        <v>279900</v>
      </c>
      <c r="N330" s="7">
        <v>0.9</v>
      </c>
      <c r="O330" s="6">
        <f t="shared" si="14"/>
        <v>27990</v>
      </c>
      <c r="P330" s="5" t="s">
        <v>504</v>
      </c>
    </row>
    <row r="331" spans="1:16" x14ac:dyDescent="0.35">
      <c r="A331" s="5" t="str">
        <f t="shared" si="13"/>
        <v>2023 H2 All Items D90</v>
      </c>
      <c r="B331" s="8">
        <f>'ALL 2024 H2 D80'!$B$2</f>
        <v>46114</v>
      </c>
      <c r="C331" s="8">
        <f>'ALL 2024 H2 D80'!$C$2</f>
        <v>46120</v>
      </c>
      <c r="D331" s="5">
        <v>3208</v>
      </c>
      <c r="E331" s="5">
        <v>320</v>
      </c>
      <c r="F331" s="5">
        <v>1</v>
      </c>
      <c r="G331" s="5">
        <v>5</v>
      </c>
      <c r="H331" s="5">
        <v>81626</v>
      </c>
      <c r="I331" s="5" t="s">
        <v>16</v>
      </c>
      <c r="J331" s="5">
        <v>82494315</v>
      </c>
      <c r="K331" s="5" t="s">
        <v>423</v>
      </c>
      <c r="L331" s="5" t="s">
        <v>427</v>
      </c>
      <c r="M331" s="6">
        <v>279900</v>
      </c>
      <c r="N331" s="7">
        <v>0.9</v>
      </c>
      <c r="O331" s="6">
        <f t="shared" si="14"/>
        <v>27990</v>
      </c>
      <c r="P331" s="5" t="s">
        <v>504</v>
      </c>
    </row>
    <row r="332" spans="1:16" x14ac:dyDescent="0.35">
      <c r="A332" s="5" t="str">
        <f t="shared" si="13"/>
        <v>2023 H2 All Items D90</v>
      </c>
      <c r="B332" s="8">
        <f>'ALL 2024 H2 D80'!$B$2</f>
        <v>46114</v>
      </c>
      <c r="C332" s="8">
        <f>'ALL 2024 H2 D80'!$C$2</f>
        <v>46120</v>
      </c>
      <c r="D332" s="5">
        <v>3208</v>
      </c>
      <c r="E332" s="5">
        <v>320</v>
      </c>
      <c r="F332" s="5">
        <v>1</v>
      </c>
      <c r="G332" s="5">
        <v>5</v>
      </c>
      <c r="H332" s="5">
        <v>81626</v>
      </c>
      <c r="I332" s="5" t="s">
        <v>16</v>
      </c>
      <c r="J332" s="5">
        <v>83028657</v>
      </c>
      <c r="K332" s="5" t="s">
        <v>2874</v>
      </c>
      <c r="L332" s="5" t="s">
        <v>2963</v>
      </c>
      <c r="M332" s="6">
        <v>279900</v>
      </c>
      <c r="N332" s="7">
        <v>0.9</v>
      </c>
      <c r="O332" s="6">
        <f t="shared" si="14"/>
        <v>27990</v>
      </c>
      <c r="P332" s="5" t="s">
        <v>504</v>
      </c>
    </row>
    <row r="333" spans="1:16" x14ac:dyDescent="0.35">
      <c r="A333" s="5" t="str">
        <f t="shared" si="13"/>
        <v>2023 H2 All Items D90</v>
      </c>
      <c r="B333" s="8">
        <f>'ALL 2024 H2 D80'!$B$2</f>
        <v>46114</v>
      </c>
      <c r="C333" s="8">
        <f>'ALL 2024 H2 D80'!$C$2</f>
        <v>46120</v>
      </c>
      <c r="D333" s="5">
        <v>3208</v>
      </c>
      <c r="E333" s="5">
        <v>320</v>
      </c>
      <c r="F333" s="5">
        <v>1</v>
      </c>
      <c r="G333" s="5">
        <v>5</v>
      </c>
      <c r="H333" s="5">
        <v>81626</v>
      </c>
      <c r="I333" s="5" t="s">
        <v>16</v>
      </c>
      <c r="J333" s="5">
        <v>83028666</v>
      </c>
      <c r="K333" s="5" t="s">
        <v>2874</v>
      </c>
      <c r="L333" s="5" t="s">
        <v>2964</v>
      </c>
      <c r="M333" s="6">
        <v>279900</v>
      </c>
      <c r="N333" s="7">
        <v>0.9</v>
      </c>
      <c r="O333" s="6">
        <f t="shared" si="14"/>
        <v>27990</v>
      </c>
      <c r="P333" s="5" t="s">
        <v>504</v>
      </c>
    </row>
    <row r="334" spans="1:16" x14ac:dyDescent="0.35">
      <c r="A334" s="5" t="str">
        <f t="shared" si="13"/>
        <v>2023 H2 All Items D90</v>
      </c>
      <c r="B334" s="8">
        <f>'ALL 2024 H2 D80'!$B$2</f>
        <v>46114</v>
      </c>
      <c r="C334" s="8">
        <f>'ALL 2024 H2 D80'!$C$2</f>
        <v>46120</v>
      </c>
      <c r="D334" s="5">
        <v>3208</v>
      </c>
      <c r="E334" s="5">
        <v>320</v>
      </c>
      <c r="F334" s="5">
        <v>1</v>
      </c>
      <c r="G334" s="5">
        <v>5</v>
      </c>
      <c r="H334" s="5">
        <v>81626</v>
      </c>
      <c r="I334" s="5" t="s">
        <v>16</v>
      </c>
      <c r="J334" s="5">
        <v>83028675</v>
      </c>
      <c r="K334" s="5" t="s">
        <v>2874</v>
      </c>
      <c r="L334" s="5" t="s">
        <v>2965</v>
      </c>
      <c r="M334" s="6">
        <v>279900</v>
      </c>
      <c r="N334" s="7">
        <v>0.9</v>
      </c>
      <c r="O334" s="6">
        <f t="shared" si="14"/>
        <v>27990</v>
      </c>
      <c r="P334" s="5" t="s">
        <v>504</v>
      </c>
    </row>
    <row r="335" spans="1:16" x14ac:dyDescent="0.35">
      <c r="A335" s="5" t="str">
        <f t="shared" si="13"/>
        <v>2023 H2 All Items D90</v>
      </c>
      <c r="B335" s="8">
        <f>'ALL 2024 H2 D80'!$B$2</f>
        <v>46114</v>
      </c>
      <c r="C335" s="8">
        <f>'ALL 2024 H2 D80'!$C$2</f>
        <v>46120</v>
      </c>
      <c r="D335" s="5">
        <v>3208</v>
      </c>
      <c r="E335" s="5">
        <v>320</v>
      </c>
      <c r="F335" s="5">
        <v>1</v>
      </c>
      <c r="G335" s="5">
        <v>5</v>
      </c>
      <c r="H335" s="5">
        <v>81626</v>
      </c>
      <c r="I335" s="5" t="s">
        <v>16</v>
      </c>
      <c r="J335" s="5">
        <v>83028684</v>
      </c>
      <c r="K335" s="5" t="s">
        <v>2874</v>
      </c>
      <c r="L335" s="5" t="s">
        <v>2966</v>
      </c>
      <c r="M335" s="6">
        <v>279900</v>
      </c>
      <c r="N335" s="7">
        <v>0.9</v>
      </c>
      <c r="O335" s="6">
        <f t="shared" si="14"/>
        <v>27990</v>
      </c>
      <c r="P335" s="5" t="s">
        <v>504</v>
      </c>
    </row>
    <row r="336" spans="1:16" x14ac:dyDescent="0.35">
      <c r="A336" s="5" t="str">
        <f t="shared" si="13"/>
        <v>2023 H2 All Items D90</v>
      </c>
      <c r="B336" s="8">
        <f>'ALL 2024 H2 D80'!$B$2</f>
        <v>46114</v>
      </c>
      <c r="C336" s="8">
        <f>'ALL 2024 H2 D80'!$C$2</f>
        <v>46120</v>
      </c>
      <c r="D336" s="5">
        <v>3208</v>
      </c>
      <c r="E336" s="5">
        <v>320</v>
      </c>
      <c r="F336" s="5">
        <v>1</v>
      </c>
      <c r="G336" s="5">
        <v>5</v>
      </c>
      <c r="H336" s="5">
        <v>81626</v>
      </c>
      <c r="I336" s="5" t="s">
        <v>16</v>
      </c>
      <c r="J336" s="5">
        <v>87543397</v>
      </c>
      <c r="K336" s="5" t="s">
        <v>455</v>
      </c>
      <c r="L336" s="5" t="s">
        <v>456</v>
      </c>
      <c r="M336" s="6">
        <v>229900</v>
      </c>
      <c r="N336" s="7">
        <v>0.9</v>
      </c>
      <c r="O336" s="6">
        <f t="shared" si="14"/>
        <v>22990</v>
      </c>
      <c r="P336" s="5" t="s">
        <v>504</v>
      </c>
    </row>
    <row r="337" spans="1:16" x14ac:dyDescent="0.35">
      <c r="A337" s="5" t="str">
        <f t="shared" si="13"/>
        <v>2023 H2 All Items D90</v>
      </c>
      <c r="B337" s="8">
        <f>'ALL 2024 H2 D80'!$B$2</f>
        <v>46114</v>
      </c>
      <c r="C337" s="8">
        <f>'ALL 2024 H2 D80'!$C$2</f>
        <v>46120</v>
      </c>
      <c r="D337" s="5">
        <v>3208</v>
      </c>
      <c r="E337" s="5">
        <v>320</v>
      </c>
      <c r="F337" s="5">
        <v>1</v>
      </c>
      <c r="G337" s="5">
        <v>5</v>
      </c>
      <c r="H337" s="5">
        <v>81626</v>
      </c>
      <c r="I337" s="5" t="s">
        <v>16</v>
      </c>
      <c r="J337" s="5">
        <v>87543404</v>
      </c>
      <c r="K337" s="5" t="s">
        <v>455</v>
      </c>
      <c r="L337" s="5" t="s">
        <v>457</v>
      </c>
      <c r="M337" s="6">
        <v>229900</v>
      </c>
      <c r="N337" s="7">
        <v>0.9</v>
      </c>
      <c r="O337" s="6">
        <f t="shared" si="14"/>
        <v>22990</v>
      </c>
      <c r="P337" s="5" t="s">
        <v>504</v>
      </c>
    </row>
    <row r="338" spans="1:16" x14ac:dyDescent="0.35">
      <c r="A338" s="5" t="str">
        <f t="shared" si="13"/>
        <v>2023 H2 All Items D90</v>
      </c>
      <c r="B338" s="8">
        <f>'ALL 2024 H2 D80'!$B$2</f>
        <v>46114</v>
      </c>
      <c r="C338" s="8">
        <f>'ALL 2024 H2 D80'!$C$2</f>
        <v>46120</v>
      </c>
      <c r="D338" s="5">
        <v>3208</v>
      </c>
      <c r="E338" s="5">
        <v>320</v>
      </c>
      <c r="F338" s="5">
        <v>1</v>
      </c>
      <c r="G338" s="5">
        <v>5</v>
      </c>
      <c r="H338" s="5">
        <v>81626</v>
      </c>
      <c r="I338" s="5" t="s">
        <v>16</v>
      </c>
      <c r="J338" s="5">
        <v>87543413</v>
      </c>
      <c r="K338" s="5" t="s">
        <v>455</v>
      </c>
      <c r="L338" s="5" t="s">
        <v>458</v>
      </c>
      <c r="M338" s="6">
        <v>229900</v>
      </c>
      <c r="N338" s="7">
        <v>0.9</v>
      </c>
      <c r="O338" s="6">
        <f t="shared" si="14"/>
        <v>22990</v>
      </c>
      <c r="P338" s="5" t="s">
        <v>504</v>
      </c>
    </row>
    <row r="339" spans="1:16" x14ac:dyDescent="0.35">
      <c r="A339" s="5" t="str">
        <f t="shared" si="13"/>
        <v>2023 H2 All Items D90</v>
      </c>
      <c r="B339" s="8">
        <f>'ALL 2024 H2 D80'!$B$2</f>
        <v>46114</v>
      </c>
      <c r="C339" s="8">
        <f>'ALL 2024 H2 D80'!$C$2</f>
        <v>46120</v>
      </c>
      <c r="D339" s="5">
        <v>3208</v>
      </c>
      <c r="E339" s="5">
        <v>320</v>
      </c>
      <c r="F339" s="5">
        <v>1</v>
      </c>
      <c r="G339" s="5">
        <v>5</v>
      </c>
      <c r="H339" s="5">
        <v>81626</v>
      </c>
      <c r="I339" s="5" t="s">
        <v>16</v>
      </c>
      <c r="J339" s="5">
        <v>87543422</v>
      </c>
      <c r="K339" s="5" t="s">
        <v>455</v>
      </c>
      <c r="L339" s="5" t="s">
        <v>459</v>
      </c>
      <c r="M339" s="6">
        <v>229900</v>
      </c>
      <c r="N339" s="7">
        <v>0.9</v>
      </c>
      <c r="O339" s="6">
        <f t="shared" si="14"/>
        <v>22990</v>
      </c>
      <c r="P339" s="5" t="s">
        <v>504</v>
      </c>
    </row>
    <row r="340" spans="1:16" x14ac:dyDescent="0.35">
      <c r="A340" s="5" t="str">
        <f t="shared" si="13"/>
        <v>2023 H2 All Items D90</v>
      </c>
      <c r="B340" s="8">
        <f>'ALL 2024 H2 D80'!$B$2</f>
        <v>46114</v>
      </c>
      <c r="C340" s="8">
        <f>'ALL 2024 H2 D80'!$C$2</f>
        <v>46120</v>
      </c>
      <c r="D340" s="5">
        <v>3208</v>
      </c>
      <c r="E340" s="5">
        <v>320</v>
      </c>
      <c r="F340" s="5">
        <v>1</v>
      </c>
      <c r="G340" s="5">
        <v>5</v>
      </c>
      <c r="H340" s="5">
        <v>81626</v>
      </c>
      <c r="I340" s="5" t="s">
        <v>16</v>
      </c>
      <c r="J340" s="5">
        <v>87543431</v>
      </c>
      <c r="K340" s="5" t="s">
        <v>455</v>
      </c>
      <c r="L340" s="5" t="s">
        <v>460</v>
      </c>
      <c r="M340" s="6">
        <v>229900</v>
      </c>
      <c r="N340" s="7">
        <v>0.9</v>
      </c>
      <c r="O340" s="6">
        <f t="shared" si="14"/>
        <v>22990</v>
      </c>
      <c r="P340" s="5" t="s">
        <v>504</v>
      </c>
    </row>
    <row r="341" spans="1:16" x14ac:dyDescent="0.35">
      <c r="A341" s="5" t="str">
        <f t="shared" si="13"/>
        <v>2023 H2 All Items D90</v>
      </c>
      <c r="B341" s="8">
        <f>'ALL 2024 H2 D80'!$B$2</f>
        <v>46114</v>
      </c>
      <c r="C341" s="8">
        <f>'ALL 2024 H2 D80'!$C$2</f>
        <v>46120</v>
      </c>
      <c r="D341" s="5">
        <v>3208</v>
      </c>
      <c r="E341" s="5">
        <v>320</v>
      </c>
      <c r="F341" s="5">
        <v>1</v>
      </c>
      <c r="G341" s="5">
        <v>5</v>
      </c>
      <c r="H341" s="5">
        <v>81626</v>
      </c>
      <c r="I341" s="5" t="s">
        <v>16</v>
      </c>
      <c r="J341" s="5">
        <v>87543440</v>
      </c>
      <c r="K341" s="5" t="s">
        <v>455</v>
      </c>
      <c r="L341" s="5" t="s">
        <v>461</v>
      </c>
      <c r="M341" s="6">
        <v>229900</v>
      </c>
      <c r="N341" s="7">
        <v>0.9</v>
      </c>
      <c r="O341" s="6">
        <f t="shared" si="14"/>
        <v>22990</v>
      </c>
      <c r="P341" s="5" t="s">
        <v>504</v>
      </c>
    </row>
    <row r="342" spans="1:16" x14ac:dyDescent="0.35">
      <c r="A342" s="5" t="str">
        <f t="shared" si="13"/>
        <v>2023 H2 All Items D90</v>
      </c>
      <c r="B342" s="8">
        <f>'ALL 2024 H2 D80'!$B$2</f>
        <v>46114</v>
      </c>
      <c r="C342" s="8">
        <f>'ALL 2024 H2 D80'!$C$2</f>
        <v>46120</v>
      </c>
      <c r="D342" s="5">
        <v>3208</v>
      </c>
      <c r="E342" s="5">
        <v>320</v>
      </c>
      <c r="F342" s="5">
        <v>1</v>
      </c>
      <c r="G342" s="5">
        <v>5</v>
      </c>
      <c r="H342" s="5">
        <v>81626</v>
      </c>
      <c r="I342" s="5" t="s">
        <v>16</v>
      </c>
      <c r="J342" s="5">
        <v>87543459</v>
      </c>
      <c r="K342" s="5" t="s">
        <v>455</v>
      </c>
      <c r="L342" s="5" t="s">
        <v>462</v>
      </c>
      <c r="M342" s="6">
        <v>229900</v>
      </c>
      <c r="N342" s="7">
        <v>0.9</v>
      </c>
      <c r="O342" s="6">
        <f t="shared" si="14"/>
        <v>22990</v>
      </c>
      <c r="P342" s="5" t="s">
        <v>504</v>
      </c>
    </row>
    <row r="343" spans="1:16" x14ac:dyDescent="0.35">
      <c r="A343" s="5" t="str">
        <f t="shared" si="13"/>
        <v>2023 H2 All Items D90</v>
      </c>
      <c r="B343" s="8">
        <f>'ALL 2024 H2 D80'!$B$2</f>
        <v>46114</v>
      </c>
      <c r="C343" s="8">
        <f>'ALL 2024 H2 D80'!$C$2</f>
        <v>46120</v>
      </c>
      <c r="D343" s="5">
        <v>3208</v>
      </c>
      <c r="E343" s="5">
        <v>320</v>
      </c>
      <c r="F343" s="5">
        <v>1</v>
      </c>
      <c r="G343" s="5">
        <v>5</v>
      </c>
      <c r="H343" s="5">
        <v>81626</v>
      </c>
      <c r="I343" s="5" t="s">
        <v>16</v>
      </c>
      <c r="J343" s="5">
        <v>87543468</v>
      </c>
      <c r="K343" s="5" t="s">
        <v>455</v>
      </c>
      <c r="L343" s="5" t="s">
        <v>463</v>
      </c>
      <c r="M343" s="6">
        <v>229900</v>
      </c>
      <c r="N343" s="7">
        <v>0.9</v>
      </c>
      <c r="O343" s="6">
        <f t="shared" si="14"/>
        <v>22990</v>
      </c>
      <c r="P343" s="5" t="s">
        <v>504</v>
      </c>
    </row>
    <row r="344" spans="1:16" x14ac:dyDescent="0.35">
      <c r="A344" s="5" t="str">
        <f t="shared" si="13"/>
        <v>2023 H2 All Items D90</v>
      </c>
      <c r="B344" s="8">
        <f>'ALL 2024 H2 D80'!$B$2</f>
        <v>46114</v>
      </c>
      <c r="C344" s="8">
        <f>'ALL 2024 H2 D80'!$C$2</f>
        <v>46120</v>
      </c>
      <c r="D344" s="5">
        <v>3208</v>
      </c>
      <c r="E344" s="5">
        <v>320</v>
      </c>
      <c r="F344" s="5">
        <v>1</v>
      </c>
      <c r="G344" s="5">
        <v>5</v>
      </c>
      <c r="H344" s="5">
        <v>81045</v>
      </c>
      <c r="I344" s="5" t="s">
        <v>16</v>
      </c>
      <c r="J344" s="5">
        <v>14274930</v>
      </c>
      <c r="K344" s="5" t="s">
        <v>464</v>
      </c>
      <c r="L344" s="5" t="s">
        <v>465</v>
      </c>
      <c r="M344" s="6">
        <v>289900</v>
      </c>
      <c r="N344" s="7">
        <v>0.9</v>
      </c>
      <c r="O344" s="6">
        <f t="shared" si="14"/>
        <v>28990</v>
      </c>
      <c r="P344" s="5" t="s">
        <v>504</v>
      </c>
    </row>
    <row r="345" spans="1:16" x14ac:dyDescent="0.35">
      <c r="A345" s="5" t="str">
        <f t="shared" si="13"/>
        <v>2023 H2 All Items D90</v>
      </c>
      <c r="B345" s="8">
        <f>'ALL 2024 H2 D80'!$B$2</f>
        <v>46114</v>
      </c>
      <c r="C345" s="8">
        <f>'ALL 2024 H2 D80'!$C$2</f>
        <v>46120</v>
      </c>
      <c r="D345" s="5">
        <v>3208</v>
      </c>
      <c r="E345" s="5">
        <v>320</v>
      </c>
      <c r="F345" s="5">
        <v>1</v>
      </c>
      <c r="G345" s="5">
        <v>5</v>
      </c>
      <c r="H345" s="5">
        <v>81045</v>
      </c>
      <c r="I345" s="5" t="s">
        <v>16</v>
      </c>
      <c r="J345" s="5">
        <v>14274949</v>
      </c>
      <c r="K345" s="5" t="s">
        <v>464</v>
      </c>
      <c r="L345" s="5" t="s">
        <v>466</v>
      </c>
      <c r="M345" s="6">
        <v>289900</v>
      </c>
      <c r="N345" s="7">
        <v>0.9</v>
      </c>
      <c r="O345" s="6">
        <f t="shared" si="14"/>
        <v>28990</v>
      </c>
      <c r="P345" s="5" t="s">
        <v>504</v>
      </c>
    </row>
    <row r="346" spans="1:16" x14ac:dyDescent="0.35">
      <c r="A346" s="5" t="str">
        <f t="shared" si="13"/>
        <v>2023 H2 All Items D90</v>
      </c>
      <c r="B346" s="8">
        <f>'ALL 2024 H2 D80'!$B$2</f>
        <v>46114</v>
      </c>
      <c r="C346" s="8">
        <f>'ALL 2024 H2 D80'!$C$2</f>
        <v>46120</v>
      </c>
      <c r="D346" s="5">
        <v>3208</v>
      </c>
      <c r="E346" s="5">
        <v>320</v>
      </c>
      <c r="F346" s="5">
        <v>1</v>
      </c>
      <c r="G346" s="5">
        <v>5</v>
      </c>
      <c r="H346" s="5">
        <v>81045</v>
      </c>
      <c r="I346" s="5" t="s">
        <v>16</v>
      </c>
      <c r="J346" s="5">
        <v>14274958</v>
      </c>
      <c r="K346" s="5" t="s">
        <v>464</v>
      </c>
      <c r="L346" s="5" t="s">
        <v>467</v>
      </c>
      <c r="M346" s="6">
        <v>289900</v>
      </c>
      <c r="N346" s="7">
        <v>0.9</v>
      </c>
      <c r="O346" s="6">
        <f t="shared" si="14"/>
        <v>28990</v>
      </c>
      <c r="P346" s="5" t="s">
        <v>504</v>
      </c>
    </row>
    <row r="347" spans="1:16" x14ac:dyDescent="0.35">
      <c r="A347" s="5" t="str">
        <f t="shared" si="13"/>
        <v>2023 H2 All Items D90</v>
      </c>
      <c r="B347" s="8">
        <f>'ALL 2024 H2 D80'!$B$2</f>
        <v>46114</v>
      </c>
      <c r="C347" s="8">
        <f>'ALL 2024 H2 D80'!$C$2</f>
        <v>46120</v>
      </c>
      <c r="D347" s="5">
        <v>3208</v>
      </c>
      <c r="E347" s="5">
        <v>320</v>
      </c>
      <c r="F347" s="5">
        <v>1</v>
      </c>
      <c r="G347" s="5">
        <v>5</v>
      </c>
      <c r="H347" s="5">
        <v>81045</v>
      </c>
      <c r="I347" s="5" t="s">
        <v>16</v>
      </c>
      <c r="J347" s="5">
        <v>14274967</v>
      </c>
      <c r="K347" s="5" t="s">
        <v>464</v>
      </c>
      <c r="L347" s="5" t="s">
        <v>468</v>
      </c>
      <c r="M347" s="6">
        <v>289900</v>
      </c>
      <c r="N347" s="7">
        <v>0.9</v>
      </c>
      <c r="O347" s="6">
        <f t="shared" si="14"/>
        <v>28990</v>
      </c>
      <c r="P347" s="5" t="s">
        <v>504</v>
      </c>
    </row>
    <row r="348" spans="1:16" x14ac:dyDescent="0.35">
      <c r="A348" s="5" t="str">
        <f t="shared" si="13"/>
        <v>2023 H2 All Items D90</v>
      </c>
      <c r="B348" s="8">
        <f>'ALL 2024 H2 D80'!$B$2</f>
        <v>46114</v>
      </c>
      <c r="C348" s="8">
        <f>'ALL 2024 H2 D80'!$C$2</f>
        <v>46120</v>
      </c>
      <c r="D348" s="5">
        <v>3208</v>
      </c>
      <c r="E348" s="5">
        <v>320</v>
      </c>
      <c r="F348" s="5">
        <v>1</v>
      </c>
      <c r="G348" s="5">
        <v>5</v>
      </c>
      <c r="H348" s="5">
        <v>81045</v>
      </c>
      <c r="I348" s="5" t="s">
        <v>16</v>
      </c>
      <c r="J348" s="5">
        <v>14274976</v>
      </c>
      <c r="K348" s="5" t="s">
        <v>464</v>
      </c>
      <c r="L348" s="5" t="s">
        <v>469</v>
      </c>
      <c r="M348" s="6">
        <v>289900</v>
      </c>
      <c r="N348" s="7">
        <v>0.9</v>
      </c>
      <c r="O348" s="6">
        <f t="shared" si="14"/>
        <v>28990</v>
      </c>
      <c r="P348" s="5" t="s">
        <v>504</v>
      </c>
    </row>
    <row r="349" spans="1:16" x14ac:dyDescent="0.35">
      <c r="A349" s="5" t="str">
        <f t="shared" si="13"/>
        <v>2023 H2 All Items D90</v>
      </c>
      <c r="B349" s="8">
        <f>'ALL 2024 H2 D80'!$B$2</f>
        <v>46114</v>
      </c>
      <c r="C349" s="8">
        <f>'ALL 2024 H2 D80'!$C$2</f>
        <v>46120</v>
      </c>
      <c r="D349" s="5">
        <v>3208</v>
      </c>
      <c r="E349" s="5">
        <v>320</v>
      </c>
      <c r="F349" s="5">
        <v>1</v>
      </c>
      <c r="G349" s="5">
        <v>5</v>
      </c>
      <c r="H349" s="5">
        <v>81045</v>
      </c>
      <c r="I349" s="5" t="s">
        <v>16</v>
      </c>
      <c r="J349" s="5">
        <v>14274985</v>
      </c>
      <c r="K349" s="5" t="s">
        <v>464</v>
      </c>
      <c r="L349" s="5" t="s">
        <v>470</v>
      </c>
      <c r="M349" s="6">
        <v>289900</v>
      </c>
      <c r="N349" s="7">
        <v>0.9</v>
      </c>
      <c r="O349" s="6">
        <f t="shared" si="14"/>
        <v>28990</v>
      </c>
      <c r="P349" s="5" t="s">
        <v>504</v>
      </c>
    </row>
    <row r="350" spans="1:16" x14ac:dyDescent="0.35">
      <c r="A350" s="5" t="str">
        <f t="shared" si="13"/>
        <v>2023 H2 All Items D90</v>
      </c>
      <c r="B350" s="8">
        <f>'ALL 2024 H2 D80'!$B$2</f>
        <v>46114</v>
      </c>
      <c r="C350" s="8">
        <f>'ALL 2024 H2 D80'!$C$2</f>
        <v>46120</v>
      </c>
      <c r="D350" s="5">
        <v>3208</v>
      </c>
      <c r="E350" s="5">
        <v>320</v>
      </c>
      <c r="F350" s="5">
        <v>1</v>
      </c>
      <c r="G350" s="5">
        <v>5</v>
      </c>
      <c r="H350" s="5">
        <v>81045</v>
      </c>
      <c r="I350" s="5" t="s">
        <v>16</v>
      </c>
      <c r="J350" s="5">
        <v>14274994</v>
      </c>
      <c r="K350" s="5" t="s">
        <v>464</v>
      </c>
      <c r="L350" s="5" t="s">
        <v>471</v>
      </c>
      <c r="M350" s="6">
        <v>289900</v>
      </c>
      <c r="N350" s="7">
        <v>0.9</v>
      </c>
      <c r="O350" s="6">
        <f t="shared" si="14"/>
        <v>28990</v>
      </c>
      <c r="P350" s="5" t="s">
        <v>504</v>
      </c>
    </row>
    <row r="351" spans="1:16" x14ac:dyDescent="0.35">
      <c r="A351" s="5" t="str">
        <f t="shared" si="13"/>
        <v>2023 H2 All Items D90</v>
      </c>
      <c r="B351" s="8">
        <f>'ALL 2024 H2 D80'!$B$2</f>
        <v>46114</v>
      </c>
      <c r="C351" s="8">
        <f>'ALL 2024 H2 D80'!$C$2</f>
        <v>46120</v>
      </c>
      <c r="D351" s="5">
        <v>3208</v>
      </c>
      <c r="E351" s="5">
        <v>320</v>
      </c>
      <c r="F351" s="5">
        <v>1</v>
      </c>
      <c r="G351" s="5">
        <v>5</v>
      </c>
      <c r="H351" s="5">
        <v>81045</v>
      </c>
      <c r="I351" s="5" t="s">
        <v>16</v>
      </c>
      <c r="J351" s="5">
        <v>14275000</v>
      </c>
      <c r="K351" s="5" t="s">
        <v>464</v>
      </c>
      <c r="L351" s="5" t="s">
        <v>472</v>
      </c>
      <c r="M351" s="6">
        <v>289900</v>
      </c>
      <c r="N351" s="7">
        <v>0.9</v>
      </c>
      <c r="O351" s="6">
        <f t="shared" si="14"/>
        <v>28990</v>
      </c>
      <c r="P351" s="5" t="s">
        <v>504</v>
      </c>
    </row>
    <row r="352" spans="1:16" x14ac:dyDescent="0.35">
      <c r="A352" s="5" t="str">
        <f t="shared" si="13"/>
        <v>2023 H2 All Items D90</v>
      </c>
      <c r="B352" s="8">
        <f>'ALL 2024 H2 D80'!$B$2</f>
        <v>46114</v>
      </c>
      <c r="C352" s="8">
        <f>'ALL 2024 H2 D80'!$C$2</f>
        <v>46120</v>
      </c>
      <c r="D352" s="5">
        <v>3208</v>
      </c>
      <c r="E352" s="5">
        <v>320</v>
      </c>
      <c r="F352" s="5">
        <v>1</v>
      </c>
      <c r="G352" s="5">
        <v>5</v>
      </c>
      <c r="H352" s="5">
        <v>81045</v>
      </c>
      <c r="I352" s="5" t="s">
        <v>16</v>
      </c>
      <c r="J352" s="5">
        <v>82895267</v>
      </c>
      <c r="K352" s="5" t="s">
        <v>428</v>
      </c>
      <c r="L352" s="5" t="s">
        <v>429</v>
      </c>
      <c r="M352" s="6">
        <v>259900</v>
      </c>
      <c r="N352" s="7">
        <v>0.9</v>
      </c>
      <c r="O352" s="6">
        <f t="shared" si="14"/>
        <v>25990</v>
      </c>
      <c r="P352" s="5" t="s">
        <v>504</v>
      </c>
    </row>
    <row r="353" spans="1:16" x14ac:dyDescent="0.35">
      <c r="A353" s="5" t="str">
        <f t="shared" si="13"/>
        <v>2023 H2 All Items D90</v>
      </c>
      <c r="B353" s="8">
        <f>'ALL 2024 H2 D80'!$B$2</f>
        <v>46114</v>
      </c>
      <c r="C353" s="8">
        <f>'ALL 2024 H2 D80'!$C$2</f>
        <v>46120</v>
      </c>
      <c r="D353" s="5">
        <v>3208</v>
      </c>
      <c r="E353" s="5">
        <v>320</v>
      </c>
      <c r="F353" s="5">
        <v>1</v>
      </c>
      <c r="G353" s="5">
        <v>5</v>
      </c>
      <c r="H353" s="5">
        <v>81045</v>
      </c>
      <c r="I353" s="5" t="s">
        <v>16</v>
      </c>
      <c r="J353" s="5">
        <v>82895276</v>
      </c>
      <c r="K353" s="5" t="s">
        <v>428</v>
      </c>
      <c r="L353" s="5" t="s">
        <v>430</v>
      </c>
      <c r="M353" s="6">
        <v>259900</v>
      </c>
      <c r="N353" s="7">
        <v>0.9</v>
      </c>
      <c r="O353" s="6">
        <f t="shared" si="14"/>
        <v>25990</v>
      </c>
      <c r="P353" s="5" t="s">
        <v>504</v>
      </c>
    </row>
    <row r="354" spans="1:16" x14ac:dyDescent="0.35">
      <c r="A354" s="5" t="str">
        <f t="shared" si="13"/>
        <v>2023 H2 All Items D90</v>
      </c>
      <c r="B354" s="8">
        <f>'ALL 2024 H2 D80'!$B$2</f>
        <v>46114</v>
      </c>
      <c r="C354" s="8">
        <f>'ALL 2024 H2 D80'!$C$2</f>
        <v>46120</v>
      </c>
      <c r="D354" s="5">
        <v>3208</v>
      </c>
      <c r="E354" s="5">
        <v>320</v>
      </c>
      <c r="F354" s="5">
        <v>1</v>
      </c>
      <c r="G354" s="5">
        <v>5</v>
      </c>
      <c r="H354" s="5">
        <v>81045</v>
      </c>
      <c r="I354" s="5" t="s">
        <v>16</v>
      </c>
      <c r="J354" s="5">
        <v>82895285</v>
      </c>
      <c r="K354" s="5" t="s">
        <v>428</v>
      </c>
      <c r="L354" s="5" t="s">
        <v>431</v>
      </c>
      <c r="M354" s="6">
        <v>259900</v>
      </c>
      <c r="N354" s="7">
        <v>0.9</v>
      </c>
      <c r="O354" s="6">
        <f t="shared" si="14"/>
        <v>25990</v>
      </c>
      <c r="P354" s="5" t="s">
        <v>504</v>
      </c>
    </row>
    <row r="355" spans="1:16" x14ac:dyDescent="0.35">
      <c r="A355" s="5" t="str">
        <f t="shared" si="13"/>
        <v>2023 H2 All Items D90</v>
      </c>
      <c r="B355" s="8">
        <f>'ALL 2024 H2 D80'!$B$2</f>
        <v>46114</v>
      </c>
      <c r="C355" s="8">
        <f>'ALL 2024 H2 D80'!$C$2</f>
        <v>46120</v>
      </c>
      <c r="D355" s="5">
        <v>3208</v>
      </c>
      <c r="E355" s="5">
        <v>320</v>
      </c>
      <c r="F355" s="5">
        <v>1</v>
      </c>
      <c r="G355" s="5">
        <v>5</v>
      </c>
      <c r="H355" s="5">
        <v>81045</v>
      </c>
      <c r="I355" s="5" t="s">
        <v>16</v>
      </c>
      <c r="J355" s="5">
        <v>82895294</v>
      </c>
      <c r="K355" s="5" t="s">
        <v>428</v>
      </c>
      <c r="L355" s="5" t="s">
        <v>432</v>
      </c>
      <c r="M355" s="6">
        <v>259900</v>
      </c>
      <c r="N355" s="7">
        <v>0.9</v>
      </c>
      <c r="O355" s="6">
        <f t="shared" si="14"/>
        <v>25990</v>
      </c>
      <c r="P355" s="5" t="s">
        <v>504</v>
      </c>
    </row>
    <row r="356" spans="1:16" x14ac:dyDescent="0.35">
      <c r="A356" s="5" t="str">
        <f t="shared" si="13"/>
        <v>2023 H2 All Items D90</v>
      </c>
      <c r="B356" s="8">
        <f>'ALL 2024 H2 D80'!$B$2</f>
        <v>46114</v>
      </c>
      <c r="C356" s="8">
        <f>'ALL 2024 H2 D80'!$C$2</f>
        <v>46120</v>
      </c>
      <c r="D356" s="5">
        <v>3208</v>
      </c>
      <c r="E356" s="5">
        <v>320</v>
      </c>
      <c r="F356" s="5">
        <v>1</v>
      </c>
      <c r="G356" s="5">
        <v>5</v>
      </c>
      <c r="H356" s="5">
        <v>81045</v>
      </c>
      <c r="I356" s="5" t="s">
        <v>16</v>
      </c>
      <c r="J356" s="5">
        <v>82895301</v>
      </c>
      <c r="K356" s="5" t="s">
        <v>428</v>
      </c>
      <c r="L356" s="5" t="s">
        <v>433</v>
      </c>
      <c r="M356" s="6">
        <v>259900</v>
      </c>
      <c r="N356" s="7">
        <v>0.9</v>
      </c>
      <c r="O356" s="6">
        <f t="shared" si="14"/>
        <v>25990</v>
      </c>
      <c r="P356" s="5" t="s">
        <v>504</v>
      </c>
    </row>
    <row r="357" spans="1:16" x14ac:dyDescent="0.35">
      <c r="A357" s="5" t="str">
        <f t="shared" si="13"/>
        <v>2023 H2 All Items D90</v>
      </c>
      <c r="B357" s="8">
        <f>'ALL 2024 H2 D80'!$B$2</f>
        <v>46114</v>
      </c>
      <c r="C357" s="8">
        <f>'ALL 2024 H2 D80'!$C$2</f>
        <v>46120</v>
      </c>
      <c r="D357" s="5">
        <v>3208</v>
      </c>
      <c r="E357" s="5">
        <v>320</v>
      </c>
      <c r="F357" s="5">
        <v>1</v>
      </c>
      <c r="G357" s="5">
        <v>5</v>
      </c>
      <c r="H357" s="5">
        <v>81045</v>
      </c>
      <c r="I357" s="5" t="s">
        <v>16</v>
      </c>
      <c r="J357" s="5">
        <v>82895310</v>
      </c>
      <c r="K357" s="5" t="s">
        <v>428</v>
      </c>
      <c r="L357" s="5" t="s">
        <v>434</v>
      </c>
      <c r="M357" s="6">
        <v>259900</v>
      </c>
      <c r="N357" s="7">
        <v>0.9</v>
      </c>
      <c r="O357" s="6">
        <f t="shared" si="14"/>
        <v>25990</v>
      </c>
      <c r="P357" s="5" t="s">
        <v>504</v>
      </c>
    </row>
    <row r="358" spans="1:16" x14ac:dyDescent="0.35">
      <c r="A358" s="5" t="str">
        <f t="shared" si="13"/>
        <v>2023 H2 All Items D90</v>
      </c>
      <c r="B358" s="8">
        <f>'ALL 2024 H2 D80'!$B$2</f>
        <v>46114</v>
      </c>
      <c r="C358" s="8">
        <f>'ALL 2024 H2 D80'!$C$2</f>
        <v>46120</v>
      </c>
      <c r="D358" s="5">
        <v>3208</v>
      </c>
      <c r="E358" s="5">
        <v>320</v>
      </c>
      <c r="F358" s="5">
        <v>1</v>
      </c>
      <c r="G358" s="5">
        <v>5</v>
      </c>
      <c r="H358" s="5">
        <v>81045</v>
      </c>
      <c r="I358" s="5" t="s">
        <v>16</v>
      </c>
      <c r="J358" s="5">
        <v>82895329</v>
      </c>
      <c r="K358" s="5" t="s">
        <v>428</v>
      </c>
      <c r="L358" s="5" t="s">
        <v>435</v>
      </c>
      <c r="M358" s="6">
        <v>259900</v>
      </c>
      <c r="N358" s="7">
        <v>0.9</v>
      </c>
      <c r="O358" s="6">
        <f t="shared" si="14"/>
        <v>25990</v>
      </c>
      <c r="P358" s="5" t="s">
        <v>504</v>
      </c>
    </row>
    <row r="359" spans="1:16" x14ac:dyDescent="0.35">
      <c r="A359" s="5" t="str">
        <f t="shared" si="13"/>
        <v>2023 H2 All Items D90</v>
      </c>
      <c r="B359" s="8">
        <f>'ALL 2024 H2 D80'!$B$2</f>
        <v>46114</v>
      </c>
      <c r="C359" s="8">
        <f>'ALL 2024 H2 D80'!$C$2</f>
        <v>46120</v>
      </c>
      <c r="D359" s="5">
        <v>3208</v>
      </c>
      <c r="E359" s="5">
        <v>320</v>
      </c>
      <c r="F359" s="5">
        <v>1</v>
      </c>
      <c r="G359" s="5">
        <v>5</v>
      </c>
      <c r="H359" s="5">
        <v>81045</v>
      </c>
      <c r="I359" s="5" t="s">
        <v>16</v>
      </c>
      <c r="J359" s="5">
        <v>82895338</v>
      </c>
      <c r="K359" s="5" t="s">
        <v>428</v>
      </c>
      <c r="L359" s="5" t="s">
        <v>436</v>
      </c>
      <c r="M359" s="6">
        <v>259900</v>
      </c>
      <c r="N359" s="7">
        <v>0.9</v>
      </c>
      <c r="O359" s="6">
        <f t="shared" si="14"/>
        <v>25990</v>
      </c>
      <c r="P359" s="5" t="s">
        <v>504</v>
      </c>
    </row>
    <row r="360" spans="1:16" x14ac:dyDescent="0.35">
      <c r="A360" s="5" t="str">
        <f t="shared" si="13"/>
        <v>2023 H2 All Items D90</v>
      </c>
      <c r="B360" s="8">
        <f>'ALL 2024 H2 D80'!$B$2</f>
        <v>46114</v>
      </c>
      <c r="C360" s="8">
        <f>'ALL 2024 H2 D80'!$C$2</f>
        <v>46120</v>
      </c>
      <c r="D360" s="5">
        <v>3208</v>
      </c>
      <c r="E360" s="5">
        <v>320</v>
      </c>
      <c r="F360" s="5">
        <v>1</v>
      </c>
      <c r="G360" s="5">
        <v>5</v>
      </c>
      <c r="H360" s="5">
        <v>81045</v>
      </c>
      <c r="I360" s="5" t="s">
        <v>16</v>
      </c>
      <c r="J360" s="5">
        <v>83517691</v>
      </c>
      <c r="K360" s="5" t="s">
        <v>437</v>
      </c>
      <c r="L360" s="5" t="s">
        <v>438</v>
      </c>
      <c r="M360" s="6">
        <v>299900</v>
      </c>
      <c r="N360" s="7">
        <v>0.9</v>
      </c>
      <c r="O360" s="6">
        <f t="shared" si="14"/>
        <v>29990</v>
      </c>
      <c r="P360" s="5" t="s">
        <v>504</v>
      </c>
    </row>
    <row r="361" spans="1:16" x14ac:dyDescent="0.35">
      <c r="A361" s="5" t="str">
        <f t="shared" si="13"/>
        <v>2023 H2 All Items D90</v>
      </c>
      <c r="B361" s="8">
        <f>'ALL 2024 H2 D80'!$B$2</f>
        <v>46114</v>
      </c>
      <c r="C361" s="8">
        <f>'ALL 2024 H2 D80'!$C$2</f>
        <v>46120</v>
      </c>
      <c r="D361" s="5">
        <v>3208</v>
      </c>
      <c r="E361" s="5">
        <v>320</v>
      </c>
      <c r="F361" s="5">
        <v>1</v>
      </c>
      <c r="G361" s="5">
        <v>5</v>
      </c>
      <c r="H361" s="5">
        <v>81045</v>
      </c>
      <c r="I361" s="5" t="s">
        <v>16</v>
      </c>
      <c r="J361" s="5">
        <v>83517708</v>
      </c>
      <c r="K361" s="5" t="s">
        <v>437</v>
      </c>
      <c r="L361" s="5" t="s">
        <v>439</v>
      </c>
      <c r="M361" s="6">
        <v>299900</v>
      </c>
      <c r="N361" s="7">
        <v>0.9</v>
      </c>
      <c r="O361" s="6">
        <f t="shared" si="14"/>
        <v>29990</v>
      </c>
      <c r="P361" s="5" t="s">
        <v>504</v>
      </c>
    </row>
    <row r="362" spans="1:16" x14ac:dyDescent="0.35">
      <c r="A362" s="5" t="str">
        <f t="shared" si="13"/>
        <v>2023 H2 All Items D90</v>
      </c>
      <c r="B362" s="8">
        <f>'ALL 2024 H2 D80'!$B$2</f>
        <v>46114</v>
      </c>
      <c r="C362" s="8">
        <f>'ALL 2024 H2 D80'!$C$2</f>
        <v>46120</v>
      </c>
      <c r="D362" s="5">
        <v>3208</v>
      </c>
      <c r="E362" s="5">
        <v>320</v>
      </c>
      <c r="F362" s="5">
        <v>1</v>
      </c>
      <c r="G362" s="5">
        <v>5</v>
      </c>
      <c r="H362" s="5">
        <v>81045</v>
      </c>
      <c r="I362" s="5" t="s">
        <v>16</v>
      </c>
      <c r="J362" s="5">
        <v>83517717</v>
      </c>
      <c r="K362" s="5" t="s">
        <v>437</v>
      </c>
      <c r="L362" s="5" t="s">
        <v>440</v>
      </c>
      <c r="M362" s="6">
        <v>299900</v>
      </c>
      <c r="N362" s="7">
        <v>0.9</v>
      </c>
      <c r="O362" s="6">
        <f t="shared" si="14"/>
        <v>29990</v>
      </c>
      <c r="P362" s="5" t="s">
        <v>504</v>
      </c>
    </row>
    <row r="363" spans="1:16" x14ac:dyDescent="0.35">
      <c r="A363" s="5" t="str">
        <f t="shared" si="13"/>
        <v>2023 H2 All Items D90</v>
      </c>
      <c r="B363" s="8">
        <f>'ALL 2024 H2 D80'!$B$2</f>
        <v>46114</v>
      </c>
      <c r="C363" s="8">
        <f>'ALL 2024 H2 D80'!$C$2</f>
        <v>46120</v>
      </c>
      <c r="D363" s="5">
        <v>3208</v>
      </c>
      <c r="E363" s="5">
        <v>320</v>
      </c>
      <c r="F363" s="5">
        <v>1</v>
      </c>
      <c r="G363" s="5">
        <v>5</v>
      </c>
      <c r="H363" s="5">
        <v>81045</v>
      </c>
      <c r="I363" s="5" t="s">
        <v>16</v>
      </c>
      <c r="J363" s="5">
        <v>83517726</v>
      </c>
      <c r="K363" s="5" t="s">
        <v>437</v>
      </c>
      <c r="L363" s="5" t="s">
        <v>441</v>
      </c>
      <c r="M363" s="6">
        <v>299900</v>
      </c>
      <c r="N363" s="7">
        <v>0.9</v>
      </c>
      <c r="O363" s="6">
        <f t="shared" si="14"/>
        <v>29990</v>
      </c>
      <c r="P363" s="5" t="s">
        <v>504</v>
      </c>
    </row>
    <row r="364" spans="1:16" x14ac:dyDescent="0.35">
      <c r="A364" s="5" t="str">
        <f t="shared" si="13"/>
        <v>2023 H2 All Items D90</v>
      </c>
      <c r="B364" s="8">
        <f>'ALL 2024 H2 D80'!$B$2</f>
        <v>46114</v>
      </c>
      <c r="C364" s="8">
        <f>'ALL 2024 H2 D80'!$C$2</f>
        <v>46120</v>
      </c>
      <c r="D364" s="5">
        <v>3208</v>
      </c>
      <c r="E364" s="5">
        <v>320</v>
      </c>
      <c r="F364" s="5">
        <v>1</v>
      </c>
      <c r="G364" s="5">
        <v>5</v>
      </c>
      <c r="H364" s="5">
        <v>81045</v>
      </c>
      <c r="I364" s="5" t="s">
        <v>16</v>
      </c>
      <c r="J364" s="5">
        <v>83517735</v>
      </c>
      <c r="K364" s="5" t="s">
        <v>437</v>
      </c>
      <c r="L364" s="5" t="s">
        <v>442</v>
      </c>
      <c r="M364" s="6">
        <v>299900</v>
      </c>
      <c r="N364" s="7">
        <v>0.9</v>
      </c>
      <c r="O364" s="6">
        <f t="shared" si="14"/>
        <v>29990</v>
      </c>
      <c r="P364" s="5" t="s">
        <v>504</v>
      </c>
    </row>
    <row r="365" spans="1:16" x14ac:dyDescent="0.35">
      <c r="A365" s="5" t="str">
        <f t="shared" si="13"/>
        <v>2023 H2 All Items D90</v>
      </c>
      <c r="B365" s="8">
        <f>'ALL 2024 H2 D80'!$B$2</f>
        <v>46114</v>
      </c>
      <c r="C365" s="8">
        <f>'ALL 2024 H2 D80'!$C$2</f>
        <v>46120</v>
      </c>
      <c r="D365" s="5">
        <v>3208</v>
      </c>
      <c r="E365" s="5">
        <v>320</v>
      </c>
      <c r="F365" s="5">
        <v>1</v>
      </c>
      <c r="G365" s="5">
        <v>5</v>
      </c>
      <c r="H365" s="5">
        <v>81045</v>
      </c>
      <c r="I365" s="5" t="s">
        <v>16</v>
      </c>
      <c r="J365" s="5">
        <v>83517744</v>
      </c>
      <c r="K365" s="5" t="s">
        <v>437</v>
      </c>
      <c r="L365" s="5" t="s">
        <v>443</v>
      </c>
      <c r="M365" s="6">
        <v>299900</v>
      </c>
      <c r="N365" s="7">
        <v>0.9</v>
      </c>
      <c r="O365" s="6">
        <f t="shared" si="14"/>
        <v>29990</v>
      </c>
      <c r="P365" s="5" t="s">
        <v>504</v>
      </c>
    </row>
    <row r="366" spans="1:16" x14ac:dyDescent="0.35">
      <c r="A366" s="5" t="str">
        <f t="shared" si="13"/>
        <v>2023 H2 All Items D90</v>
      </c>
      <c r="B366" s="8">
        <f>'ALL 2024 H2 D80'!$B$2</f>
        <v>46114</v>
      </c>
      <c r="C366" s="8">
        <f>'ALL 2024 H2 D80'!$C$2</f>
        <v>46120</v>
      </c>
      <c r="D366" s="5">
        <v>3208</v>
      </c>
      <c r="E366" s="5">
        <v>320</v>
      </c>
      <c r="F366" s="5">
        <v>1</v>
      </c>
      <c r="G366" s="5">
        <v>5</v>
      </c>
      <c r="H366" s="5">
        <v>81045</v>
      </c>
      <c r="I366" s="5" t="s">
        <v>16</v>
      </c>
      <c r="J366" s="5">
        <v>83517753</v>
      </c>
      <c r="K366" s="5" t="s">
        <v>437</v>
      </c>
      <c r="L366" s="5" t="s">
        <v>444</v>
      </c>
      <c r="M366" s="6">
        <v>299900</v>
      </c>
      <c r="N366" s="7">
        <v>0.9</v>
      </c>
      <c r="O366" s="6">
        <f t="shared" si="14"/>
        <v>29990</v>
      </c>
      <c r="P366" s="5" t="s">
        <v>504</v>
      </c>
    </row>
    <row r="367" spans="1:16" x14ac:dyDescent="0.35">
      <c r="A367" s="5" t="str">
        <f t="shared" si="13"/>
        <v>2023 H2 All Items D90</v>
      </c>
      <c r="B367" s="8">
        <f>'ALL 2024 H2 D80'!$B$2</f>
        <v>46114</v>
      </c>
      <c r="C367" s="8">
        <f>'ALL 2024 H2 D80'!$C$2</f>
        <v>46120</v>
      </c>
      <c r="D367" s="5">
        <v>3208</v>
      </c>
      <c r="E367" s="5">
        <v>320</v>
      </c>
      <c r="F367" s="5">
        <v>1</v>
      </c>
      <c r="G367" s="5">
        <v>5</v>
      </c>
      <c r="H367" s="5">
        <v>81045</v>
      </c>
      <c r="I367" s="5" t="s">
        <v>16</v>
      </c>
      <c r="J367" s="5">
        <v>83517762</v>
      </c>
      <c r="K367" s="5" t="s">
        <v>437</v>
      </c>
      <c r="L367" s="5" t="s">
        <v>445</v>
      </c>
      <c r="M367" s="6">
        <v>299900</v>
      </c>
      <c r="N367" s="7">
        <v>0.9</v>
      </c>
      <c r="O367" s="6">
        <f t="shared" si="14"/>
        <v>29990</v>
      </c>
      <c r="P367" s="5" t="s">
        <v>504</v>
      </c>
    </row>
    <row r="368" spans="1:16" x14ac:dyDescent="0.35">
      <c r="A368" s="5" t="str">
        <f t="shared" si="13"/>
        <v>2023 H2 All Items D90</v>
      </c>
      <c r="B368" s="8">
        <f>'ALL 2024 H2 D80'!$B$2</f>
        <v>46114</v>
      </c>
      <c r="C368" s="8">
        <f>'ALL 2024 H2 D80'!$C$2</f>
        <v>46120</v>
      </c>
      <c r="D368" s="5">
        <v>3208</v>
      </c>
      <c r="E368" s="5">
        <v>320</v>
      </c>
      <c r="F368" s="5">
        <v>1</v>
      </c>
      <c r="G368" s="5">
        <v>5</v>
      </c>
      <c r="H368" s="5">
        <v>81045</v>
      </c>
      <c r="I368" s="5" t="s">
        <v>16</v>
      </c>
      <c r="J368" s="5">
        <v>83517771</v>
      </c>
      <c r="K368" s="5" t="s">
        <v>437</v>
      </c>
      <c r="L368" s="5" t="s">
        <v>446</v>
      </c>
      <c r="M368" s="6">
        <v>299900</v>
      </c>
      <c r="N368" s="7">
        <v>0.9</v>
      </c>
      <c r="O368" s="6">
        <f t="shared" si="14"/>
        <v>29990</v>
      </c>
      <c r="P368" s="5" t="s">
        <v>504</v>
      </c>
    </row>
    <row r="369" spans="1:16" x14ac:dyDescent="0.35">
      <c r="A369" s="5" t="str">
        <f t="shared" si="13"/>
        <v>2023 H2 All Items D90</v>
      </c>
      <c r="B369" s="8">
        <f>'ALL 2024 H2 D80'!$B$2</f>
        <v>46114</v>
      </c>
      <c r="C369" s="8">
        <f>'ALL 2024 H2 D80'!$C$2</f>
        <v>46120</v>
      </c>
      <c r="D369" s="5">
        <v>3208</v>
      </c>
      <c r="E369" s="5">
        <v>320</v>
      </c>
      <c r="F369" s="5">
        <v>1</v>
      </c>
      <c r="G369" s="5">
        <v>5</v>
      </c>
      <c r="H369" s="5">
        <v>81045</v>
      </c>
      <c r="I369" s="5" t="s">
        <v>16</v>
      </c>
      <c r="J369" s="5">
        <v>83517780</v>
      </c>
      <c r="K369" s="5" t="s">
        <v>437</v>
      </c>
      <c r="L369" s="5" t="s">
        <v>447</v>
      </c>
      <c r="M369" s="6">
        <v>299900</v>
      </c>
      <c r="N369" s="7">
        <v>0.9</v>
      </c>
      <c r="O369" s="6">
        <f t="shared" si="14"/>
        <v>29990</v>
      </c>
      <c r="P369" s="5" t="s">
        <v>504</v>
      </c>
    </row>
    <row r="370" spans="1:16" x14ac:dyDescent="0.35">
      <c r="A370" s="5" t="str">
        <f t="shared" si="13"/>
        <v>2023 H2 All Items D90</v>
      </c>
      <c r="B370" s="8">
        <f>'ALL 2024 H2 D80'!$B$2</f>
        <v>46114</v>
      </c>
      <c r="C370" s="8">
        <f>'ALL 2024 H2 D80'!$C$2</f>
        <v>46120</v>
      </c>
      <c r="D370" s="5">
        <v>3208</v>
      </c>
      <c r="E370" s="5">
        <v>320</v>
      </c>
      <c r="F370" s="5">
        <v>1</v>
      </c>
      <c r="G370" s="5">
        <v>5</v>
      </c>
      <c r="H370" s="5">
        <v>81045</v>
      </c>
      <c r="I370" s="5" t="s">
        <v>16</v>
      </c>
      <c r="J370" s="5">
        <v>83517799</v>
      </c>
      <c r="K370" s="5" t="s">
        <v>437</v>
      </c>
      <c r="L370" s="5" t="s">
        <v>448</v>
      </c>
      <c r="M370" s="6">
        <v>299900</v>
      </c>
      <c r="N370" s="7">
        <v>0.9</v>
      </c>
      <c r="O370" s="6">
        <f t="shared" si="14"/>
        <v>29990</v>
      </c>
      <c r="P370" s="5" t="s">
        <v>504</v>
      </c>
    </row>
    <row r="371" spans="1:16" x14ac:dyDescent="0.35">
      <c r="A371" s="5" t="str">
        <f t="shared" si="13"/>
        <v>2023 H2 All Items D90</v>
      </c>
      <c r="B371" s="8">
        <f>'ALL 2024 H2 D80'!$B$2</f>
        <v>46114</v>
      </c>
      <c r="C371" s="8">
        <f>'ALL 2024 H2 D80'!$C$2</f>
        <v>46120</v>
      </c>
      <c r="D371" s="5">
        <v>3208</v>
      </c>
      <c r="E371" s="5">
        <v>320</v>
      </c>
      <c r="F371" s="5">
        <v>1</v>
      </c>
      <c r="G371" s="5">
        <v>5</v>
      </c>
      <c r="H371" s="5">
        <v>81045</v>
      </c>
      <c r="I371" s="5" t="s">
        <v>16</v>
      </c>
      <c r="J371" s="5">
        <v>83517806</v>
      </c>
      <c r="K371" s="5" t="s">
        <v>437</v>
      </c>
      <c r="L371" s="5" t="s">
        <v>449</v>
      </c>
      <c r="M371" s="6">
        <v>299900</v>
      </c>
      <c r="N371" s="7">
        <v>0.9</v>
      </c>
      <c r="O371" s="6">
        <f t="shared" si="14"/>
        <v>29990</v>
      </c>
      <c r="P371" s="5" t="s">
        <v>504</v>
      </c>
    </row>
    <row r="372" spans="1:16" x14ac:dyDescent="0.35">
      <c r="A372" s="5" t="str">
        <f t="shared" si="13"/>
        <v>2023 H2 All Items D90</v>
      </c>
      <c r="B372" s="8">
        <f>'ALL 2024 H2 D80'!$B$2</f>
        <v>46114</v>
      </c>
      <c r="C372" s="8">
        <f>'ALL 2024 H2 D80'!$C$2</f>
        <v>46120</v>
      </c>
      <c r="D372" s="5">
        <v>3208</v>
      </c>
      <c r="E372" s="5">
        <v>320</v>
      </c>
      <c r="F372" s="5">
        <v>1</v>
      </c>
      <c r="G372" s="5">
        <v>5</v>
      </c>
      <c r="H372" s="5">
        <v>81045</v>
      </c>
      <c r="I372" s="5" t="s">
        <v>16</v>
      </c>
      <c r="J372" s="5">
        <v>87566425</v>
      </c>
      <c r="K372" s="5" t="s">
        <v>473</v>
      </c>
      <c r="L372" s="5" t="s">
        <v>474</v>
      </c>
      <c r="M372" s="6">
        <v>249900</v>
      </c>
      <c r="N372" s="7">
        <v>0.9</v>
      </c>
      <c r="O372" s="6">
        <f t="shared" si="14"/>
        <v>24990</v>
      </c>
      <c r="P372" s="5" t="s">
        <v>504</v>
      </c>
    </row>
    <row r="373" spans="1:16" x14ac:dyDescent="0.35">
      <c r="A373" s="5" t="str">
        <f t="shared" si="13"/>
        <v>2023 H2 All Items D90</v>
      </c>
      <c r="B373" s="8">
        <f>'ALL 2024 H2 D80'!$B$2</f>
        <v>46114</v>
      </c>
      <c r="C373" s="8">
        <f>'ALL 2024 H2 D80'!$C$2</f>
        <v>46120</v>
      </c>
      <c r="D373" s="5">
        <v>3208</v>
      </c>
      <c r="E373" s="5">
        <v>320</v>
      </c>
      <c r="F373" s="5">
        <v>1</v>
      </c>
      <c r="G373" s="5">
        <v>5</v>
      </c>
      <c r="H373" s="5">
        <v>81045</v>
      </c>
      <c r="I373" s="5" t="s">
        <v>16</v>
      </c>
      <c r="J373" s="5">
        <v>87566434</v>
      </c>
      <c r="K373" s="5" t="s">
        <v>473</v>
      </c>
      <c r="L373" s="5" t="s">
        <v>475</v>
      </c>
      <c r="M373" s="6">
        <v>249900</v>
      </c>
      <c r="N373" s="7">
        <v>0.9</v>
      </c>
      <c r="O373" s="6">
        <f t="shared" si="14"/>
        <v>24990</v>
      </c>
      <c r="P373" s="5" t="s">
        <v>504</v>
      </c>
    </row>
    <row r="374" spans="1:16" x14ac:dyDescent="0.35">
      <c r="A374" s="5" t="str">
        <f t="shared" si="13"/>
        <v>2023 H2 All Items D90</v>
      </c>
      <c r="B374" s="8">
        <f>'ALL 2024 H2 D80'!$B$2</f>
        <v>46114</v>
      </c>
      <c r="C374" s="8">
        <f>'ALL 2024 H2 D80'!$C$2</f>
        <v>46120</v>
      </c>
      <c r="D374" s="5">
        <v>3208</v>
      </c>
      <c r="E374" s="5">
        <v>320</v>
      </c>
      <c r="F374" s="5">
        <v>1</v>
      </c>
      <c r="G374" s="5">
        <v>5</v>
      </c>
      <c r="H374" s="5">
        <v>81045</v>
      </c>
      <c r="I374" s="5" t="s">
        <v>16</v>
      </c>
      <c r="J374" s="5">
        <v>87566443</v>
      </c>
      <c r="K374" s="5" t="s">
        <v>473</v>
      </c>
      <c r="L374" s="5" t="s">
        <v>476</v>
      </c>
      <c r="M374" s="6">
        <v>249900</v>
      </c>
      <c r="N374" s="7">
        <v>0.9</v>
      </c>
      <c r="O374" s="6">
        <f t="shared" si="14"/>
        <v>24990</v>
      </c>
      <c r="P374" s="5" t="s">
        <v>504</v>
      </c>
    </row>
    <row r="375" spans="1:16" x14ac:dyDescent="0.35">
      <c r="A375" s="5" t="str">
        <f t="shared" si="13"/>
        <v>2023 H2 All Items D90</v>
      </c>
      <c r="B375" s="8">
        <f>'ALL 2024 H2 D80'!$B$2</f>
        <v>46114</v>
      </c>
      <c r="C375" s="8">
        <f>'ALL 2024 H2 D80'!$C$2</f>
        <v>46120</v>
      </c>
      <c r="D375" s="5">
        <v>3208</v>
      </c>
      <c r="E375" s="5">
        <v>320</v>
      </c>
      <c r="F375" s="5">
        <v>1</v>
      </c>
      <c r="G375" s="5">
        <v>5</v>
      </c>
      <c r="H375" s="5">
        <v>81045</v>
      </c>
      <c r="I375" s="5" t="s">
        <v>16</v>
      </c>
      <c r="J375" s="5">
        <v>87566461</v>
      </c>
      <c r="K375" s="5" t="s">
        <v>473</v>
      </c>
      <c r="L375" s="5" t="s">
        <v>477</v>
      </c>
      <c r="M375" s="6">
        <v>249900</v>
      </c>
      <c r="N375" s="7">
        <v>0.9</v>
      </c>
      <c r="O375" s="6">
        <f t="shared" si="14"/>
        <v>24990</v>
      </c>
      <c r="P375" s="5" t="s">
        <v>504</v>
      </c>
    </row>
    <row r="376" spans="1:16" x14ac:dyDescent="0.35">
      <c r="A376" s="5" t="str">
        <f t="shared" si="13"/>
        <v>2023 H2 All Items D90</v>
      </c>
      <c r="B376" s="8">
        <f>'ALL 2024 H2 D80'!$B$2</f>
        <v>46114</v>
      </c>
      <c r="C376" s="8">
        <f>'ALL 2024 H2 D80'!$C$2</f>
        <v>46120</v>
      </c>
      <c r="D376" s="5">
        <v>3208</v>
      </c>
      <c r="E376" s="5">
        <v>320</v>
      </c>
      <c r="F376" s="5">
        <v>1</v>
      </c>
      <c r="G376" s="5">
        <v>5</v>
      </c>
      <c r="H376" s="5">
        <v>81045</v>
      </c>
      <c r="I376" s="5" t="s">
        <v>16</v>
      </c>
      <c r="J376" s="5">
        <v>87566470</v>
      </c>
      <c r="K376" s="5" t="s">
        <v>473</v>
      </c>
      <c r="L376" s="5" t="s">
        <v>478</v>
      </c>
      <c r="M376" s="6">
        <v>249900</v>
      </c>
      <c r="N376" s="7">
        <v>0.9</v>
      </c>
      <c r="O376" s="6">
        <f t="shared" si="14"/>
        <v>24990</v>
      </c>
      <c r="P376" s="5" t="s">
        <v>504</v>
      </c>
    </row>
    <row r="377" spans="1:16" x14ac:dyDescent="0.35">
      <c r="A377" s="5" t="str">
        <f t="shared" si="13"/>
        <v>2023 H2 All Items D90</v>
      </c>
      <c r="B377" s="8">
        <f>'ALL 2024 H2 D80'!$B$2</f>
        <v>46114</v>
      </c>
      <c r="C377" s="8">
        <f>'ALL 2024 H2 D80'!$C$2</f>
        <v>46120</v>
      </c>
      <c r="D377" s="5">
        <v>3208</v>
      </c>
      <c r="E377" s="5">
        <v>320</v>
      </c>
      <c r="F377" s="5">
        <v>1</v>
      </c>
      <c r="G377" s="5">
        <v>5</v>
      </c>
      <c r="H377" s="5">
        <v>81045</v>
      </c>
      <c r="I377" s="5" t="s">
        <v>16</v>
      </c>
      <c r="J377" s="5">
        <v>87566489</v>
      </c>
      <c r="K377" s="5" t="s">
        <v>473</v>
      </c>
      <c r="L377" s="5" t="s">
        <v>479</v>
      </c>
      <c r="M377" s="6">
        <v>249900</v>
      </c>
      <c r="N377" s="7">
        <v>0.9</v>
      </c>
      <c r="O377" s="6">
        <f t="shared" si="14"/>
        <v>24990</v>
      </c>
      <c r="P377" s="5" t="s">
        <v>504</v>
      </c>
    </row>
    <row r="378" spans="1:16" x14ac:dyDescent="0.35">
      <c r="A378" s="5" t="str">
        <f t="shared" si="13"/>
        <v>2023 H2 All Items D90</v>
      </c>
      <c r="B378" s="8">
        <f>'ALL 2024 H2 D80'!$B$2</f>
        <v>46114</v>
      </c>
      <c r="C378" s="8">
        <f>'ALL 2024 H2 D80'!$C$2</f>
        <v>46120</v>
      </c>
      <c r="D378" s="5">
        <v>3208</v>
      </c>
      <c r="E378" s="5">
        <v>320</v>
      </c>
      <c r="F378" s="5">
        <v>1</v>
      </c>
      <c r="G378" s="5">
        <v>5</v>
      </c>
      <c r="H378" s="5">
        <v>81045</v>
      </c>
      <c r="I378" s="5" t="s">
        <v>16</v>
      </c>
      <c r="J378" s="5">
        <v>87566498</v>
      </c>
      <c r="K378" s="5" t="s">
        <v>473</v>
      </c>
      <c r="L378" s="5" t="s">
        <v>480</v>
      </c>
      <c r="M378" s="6">
        <v>249900</v>
      </c>
      <c r="N378" s="7">
        <v>0.9</v>
      </c>
      <c r="O378" s="6">
        <f t="shared" si="14"/>
        <v>24990</v>
      </c>
      <c r="P378" s="5" t="s">
        <v>504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P37"/>
  <sheetViews>
    <sheetView zoomScaleNormal="100" workbookViewId="0">
      <pane ySplit="1" topLeftCell="A2" activePane="bottomLeft" state="frozen"/>
      <selection activeCell="C11" sqref="C11"/>
      <selection pane="bottomLeft" activeCell="A3" sqref="A3"/>
    </sheetView>
  </sheetViews>
  <sheetFormatPr defaultColWidth="8.7265625" defaultRowHeight="14.5" x14ac:dyDescent="0.35"/>
  <cols>
    <col min="1" max="1" width="32" style="1" bestFit="1" customWidth="1"/>
    <col min="2" max="2" width="16.1796875" style="4" bestFit="1" customWidth="1"/>
    <col min="3" max="3" width="13.26953125" style="4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6.453125" style="1" bestFit="1" customWidth="1"/>
    <col min="10" max="10" width="9.453125" style="1" bestFit="1" customWidth="1"/>
    <col min="11" max="11" width="12.453125" style="1" bestFit="1" customWidth="1"/>
    <col min="12" max="12" width="64.54296875" style="1" customWidth="1"/>
    <col min="13" max="13" width="16" style="2" bestFit="1" customWidth="1"/>
    <col min="14" max="14" width="12.453125" style="3" bestFit="1" customWidth="1"/>
    <col min="15" max="15" width="15" style="2" bestFit="1" customWidth="1"/>
    <col min="16" max="16" width="19.81640625" style="1" bestFit="1" customWidth="1"/>
    <col min="17" max="16384" width="8.7265625" style="1"/>
  </cols>
  <sheetData>
    <row r="1" spans="1:16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9" t="s">
        <v>4</v>
      </c>
      <c r="M1" s="10" t="s">
        <v>3</v>
      </c>
      <c r="N1" s="11" t="s">
        <v>2</v>
      </c>
      <c r="O1" s="10" t="s">
        <v>1</v>
      </c>
      <c r="P1" s="9" t="s">
        <v>0</v>
      </c>
    </row>
    <row r="2" spans="1:16" x14ac:dyDescent="0.35">
      <c r="A2" s="5" t="s">
        <v>3663</v>
      </c>
      <c r="B2" s="8">
        <f>'ALL 2024 H2 D80'!$B$2</f>
        <v>46114</v>
      </c>
      <c r="C2" s="8">
        <f>'ALL 2024 H2 D80'!$C$2</f>
        <v>46120</v>
      </c>
      <c r="D2" s="5">
        <v>3208</v>
      </c>
      <c r="E2" s="5">
        <v>320</v>
      </c>
      <c r="F2" s="5">
        <v>1</v>
      </c>
      <c r="G2" s="5">
        <v>1</v>
      </c>
      <c r="H2" s="5">
        <v>81495</v>
      </c>
      <c r="I2" s="5" t="s">
        <v>16</v>
      </c>
      <c r="J2" s="5">
        <v>14303121</v>
      </c>
      <c r="K2" s="5" t="s">
        <v>226</v>
      </c>
      <c r="L2" s="5" t="s">
        <v>227</v>
      </c>
      <c r="M2" s="6">
        <v>269900</v>
      </c>
      <c r="N2" s="7">
        <v>0.9</v>
      </c>
      <c r="O2" s="6">
        <f>M2-(M2*N2)</f>
        <v>26990</v>
      </c>
      <c r="P2" s="5" t="s">
        <v>504</v>
      </c>
    </row>
    <row r="3" spans="1:16" x14ac:dyDescent="0.35">
      <c r="A3" s="5" t="str">
        <f>$A$2</f>
        <v>2023 All Lebaran D90</v>
      </c>
      <c r="B3" s="8">
        <f>'ALL 2024 H2 D80'!$B$2</f>
        <v>46114</v>
      </c>
      <c r="C3" s="8">
        <f>'ALL 2024 H2 D80'!$C$2</f>
        <v>46120</v>
      </c>
      <c r="D3" s="5">
        <v>3208</v>
      </c>
      <c r="E3" s="5">
        <v>320</v>
      </c>
      <c r="F3" s="5">
        <v>1</v>
      </c>
      <c r="G3" s="5">
        <v>1</v>
      </c>
      <c r="H3" s="5">
        <v>81495</v>
      </c>
      <c r="I3" s="5" t="s">
        <v>16</v>
      </c>
      <c r="J3" s="5">
        <v>14303130</v>
      </c>
      <c r="K3" s="5" t="s">
        <v>226</v>
      </c>
      <c r="L3" s="5" t="s">
        <v>228</v>
      </c>
      <c r="M3" s="6">
        <v>269900</v>
      </c>
      <c r="N3" s="7">
        <v>0.9</v>
      </c>
      <c r="O3" s="6">
        <f t="shared" ref="O3:O16" si="0">M3-(M3*N3)</f>
        <v>26990</v>
      </c>
      <c r="P3" s="5" t="s">
        <v>504</v>
      </c>
    </row>
    <row r="4" spans="1:16" x14ac:dyDescent="0.35">
      <c r="A4" s="5" t="str">
        <f t="shared" ref="A4:A37" si="1">$A$2</f>
        <v>2023 All Lebaran D90</v>
      </c>
      <c r="B4" s="8">
        <f>'ALL 2024 H2 D80'!$B$2</f>
        <v>46114</v>
      </c>
      <c r="C4" s="8">
        <f>'ALL 2024 H2 D80'!$C$2</f>
        <v>46120</v>
      </c>
      <c r="D4" s="5">
        <v>3208</v>
      </c>
      <c r="E4" s="5">
        <v>320</v>
      </c>
      <c r="F4" s="5">
        <v>1</v>
      </c>
      <c r="G4" s="5">
        <v>1</v>
      </c>
      <c r="H4" s="5">
        <v>81495</v>
      </c>
      <c r="I4" s="5" t="s">
        <v>16</v>
      </c>
      <c r="J4" s="5">
        <v>14303149</v>
      </c>
      <c r="K4" s="5" t="s">
        <v>226</v>
      </c>
      <c r="L4" s="5" t="s">
        <v>229</v>
      </c>
      <c r="M4" s="6">
        <v>269900</v>
      </c>
      <c r="N4" s="7">
        <v>0.9</v>
      </c>
      <c r="O4" s="6">
        <f t="shared" si="0"/>
        <v>26990</v>
      </c>
      <c r="P4" s="5" t="s">
        <v>504</v>
      </c>
    </row>
    <row r="5" spans="1:16" x14ac:dyDescent="0.35">
      <c r="A5" s="5" t="str">
        <f t="shared" si="1"/>
        <v>2023 All Lebaran D90</v>
      </c>
      <c r="B5" s="8">
        <f>'ALL 2024 H2 D80'!$B$2</f>
        <v>46114</v>
      </c>
      <c r="C5" s="8">
        <f>'ALL 2024 H2 D80'!$C$2</f>
        <v>46120</v>
      </c>
      <c r="D5" s="5">
        <v>3208</v>
      </c>
      <c r="E5" s="5">
        <v>320</v>
      </c>
      <c r="F5" s="5">
        <v>1</v>
      </c>
      <c r="G5" s="5">
        <v>1</v>
      </c>
      <c r="H5" s="5">
        <v>81495</v>
      </c>
      <c r="I5" s="5" t="s">
        <v>16</v>
      </c>
      <c r="J5" s="5">
        <v>14303158</v>
      </c>
      <c r="K5" s="5" t="s">
        <v>226</v>
      </c>
      <c r="L5" s="5" t="s">
        <v>230</v>
      </c>
      <c r="M5" s="6">
        <v>269900</v>
      </c>
      <c r="N5" s="7">
        <v>0.9</v>
      </c>
      <c r="O5" s="6">
        <f t="shared" si="0"/>
        <v>26990</v>
      </c>
      <c r="P5" s="5" t="s">
        <v>504</v>
      </c>
    </row>
    <row r="6" spans="1:16" x14ac:dyDescent="0.35">
      <c r="A6" s="5" t="str">
        <f t="shared" si="1"/>
        <v>2023 All Lebaran D90</v>
      </c>
      <c r="B6" s="8">
        <f>'ALL 2024 H2 D80'!$B$2</f>
        <v>46114</v>
      </c>
      <c r="C6" s="8">
        <f>'ALL 2024 H2 D80'!$C$2</f>
        <v>46120</v>
      </c>
      <c r="D6" s="5">
        <v>3208</v>
      </c>
      <c r="E6" s="5">
        <v>320</v>
      </c>
      <c r="F6" s="5">
        <v>1</v>
      </c>
      <c r="G6" s="5">
        <v>1</v>
      </c>
      <c r="H6" s="5">
        <v>81495</v>
      </c>
      <c r="I6" s="5" t="s">
        <v>16</v>
      </c>
      <c r="J6" s="5">
        <v>79674234</v>
      </c>
      <c r="K6" s="5" t="s">
        <v>226</v>
      </c>
      <c r="L6" s="5" t="s">
        <v>231</v>
      </c>
      <c r="M6" s="6">
        <v>269900</v>
      </c>
      <c r="N6" s="7">
        <v>0.9</v>
      </c>
      <c r="O6" s="6">
        <f t="shared" si="0"/>
        <v>26990</v>
      </c>
      <c r="P6" s="5" t="s">
        <v>504</v>
      </c>
    </row>
    <row r="7" spans="1:16" x14ac:dyDescent="0.35">
      <c r="A7" s="5" t="str">
        <f t="shared" si="1"/>
        <v>2023 All Lebaran D90</v>
      </c>
      <c r="B7" s="8">
        <f>'ALL 2024 H2 D80'!$B$2</f>
        <v>46114</v>
      </c>
      <c r="C7" s="8">
        <f>'ALL 2024 H2 D80'!$C$2</f>
        <v>46120</v>
      </c>
      <c r="D7" s="5">
        <v>3208</v>
      </c>
      <c r="E7" s="5">
        <v>320</v>
      </c>
      <c r="F7" s="5">
        <v>1</v>
      </c>
      <c r="G7" s="5">
        <v>1</v>
      </c>
      <c r="H7" s="5">
        <v>81495</v>
      </c>
      <c r="I7" s="5" t="s">
        <v>16</v>
      </c>
      <c r="J7" s="5">
        <v>79674243</v>
      </c>
      <c r="K7" s="5" t="s">
        <v>226</v>
      </c>
      <c r="L7" s="5" t="s">
        <v>232</v>
      </c>
      <c r="M7" s="6">
        <v>269900</v>
      </c>
      <c r="N7" s="7">
        <v>0.9</v>
      </c>
      <c r="O7" s="6">
        <f t="shared" si="0"/>
        <v>26990</v>
      </c>
      <c r="P7" s="5" t="s">
        <v>504</v>
      </c>
    </row>
    <row r="8" spans="1:16" x14ac:dyDescent="0.35">
      <c r="A8" s="5" t="str">
        <f t="shared" si="1"/>
        <v>2023 All Lebaran D90</v>
      </c>
      <c r="B8" s="8">
        <f>'ALL 2024 H2 D80'!$B$2</f>
        <v>46114</v>
      </c>
      <c r="C8" s="8">
        <f>'ALL 2024 H2 D80'!$C$2</f>
        <v>46120</v>
      </c>
      <c r="D8" s="5">
        <v>3208</v>
      </c>
      <c r="E8" s="5">
        <v>320</v>
      </c>
      <c r="F8" s="5">
        <v>1</v>
      </c>
      <c r="G8" s="5">
        <v>1</v>
      </c>
      <c r="H8" s="5">
        <v>81495</v>
      </c>
      <c r="I8" s="5" t="s">
        <v>16</v>
      </c>
      <c r="J8" s="5">
        <v>79674252</v>
      </c>
      <c r="K8" s="5" t="s">
        <v>226</v>
      </c>
      <c r="L8" s="5" t="s">
        <v>233</v>
      </c>
      <c r="M8" s="6">
        <v>269900</v>
      </c>
      <c r="N8" s="7">
        <v>0.9</v>
      </c>
      <c r="O8" s="6">
        <f t="shared" si="0"/>
        <v>26990</v>
      </c>
      <c r="P8" s="5" t="s">
        <v>504</v>
      </c>
    </row>
    <row r="9" spans="1:16" x14ac:dyDescent="0.35">
      <c r="A9" s="5" t="str">
        <f t="shared" si="1"/>
        <v>2023 All Lebaran D90</v>
      </c>
      <c r="B9" s="8">
        <f>'ALL 2024 H2 D80'!$B$2</f>
        <v>46114</v>
      </c>
      <c r="C9" s="8">
        <f>'ALL 2024 H2 D80'!$C$2</f>
        <v>46120</v>
      </c>
      <c r="D9" s="5">
        <v>3208</v>
      </c>
      <c r="E9" s="5">
        <v>320</v>
      </c>
      <c r="F9" s="5">
        <v>1</v>
      </c>
      <c r="G9" s="5">
        <v>1</v>
      </c>
      <c r="H9" s="5">
        <v>81495</v>
      </c>
      <c r="I9" s="5" t="s">
        <v>16</v>
      </c>
      <c r="J9" s="5">
        <v>79674261</v>
      </c>
      <c r="K9" s="5" t="s">
        <v>226</v>
      </c>
      <c r="L9" s="5" t="s">
        <v>234</v>
      </c>
      <c r="M9" s="6">
        <v>269900</v>
      </c>
      <c r="N9" s="7">
        <v>0.9</v>
      </c>
      <c r="O9" s="6">
        <f t="shared" si="0"/>
        <v>26990</v>
      </c>
      <c r="P9" s="5" t="s">
        <v>504</v>
      </c>
    </row>
    <row r="10" spans="1:16" x14ac:dyDescent="0.35">
      <c r="A10" s="5" t="str">
        <f t="shared" si="1"/>
        <v>2023 All Lebaran D90</v>
      </c>
      <c r="B10" s="8">
        <f>'ALL 2024 H2 D80'!$B$2</f>
        <v>46114</v>
      </c>
      <c r="C10" s="8">
        <f>'ALL 2024 H2 D80'!$C$2</f>
        <v>46120</v>
      </c>
      <c r="D10" s="5">
        <v>3208</v>
      </c>
      <c r="E10" s="5">
        <v>320</v>
      </c>
      <c r="F10" s="5">
        <v>1</v>
      </c>
      <c r="G10" s="5">
        <v>1</v>
      </c>
      <c r="H10" s="5">
        <v>81495</v>
      </c>
      <c r="I10" s="5" t="s">
        <v>16</v>
      </c>
      <c r="J10" s="5">
        <v>79674270</v>
      </c>
      <c r="K10" s="5" t="s">
        <v>226</v>
      </c>
      <c r="L10" s="5" t="s">
        <v>235</v>
      </c>
      <c r="M10" s="6">
        <v>269900</v>
      </c>
      <c r="N10" s="7">
        <v>0.9</v>
      </c>
      <c r="O10" s="6">
        <f t="shared" si="0"/>
        <v>26990</v>
      </c>
      <c r="P10" s="5" t="s">
        <v>504</v>
      </c>
    </row>
    <row r="11" spans="1:16" x14ac:dyDescent="0.35">
      <c r="A11" s="5" t="str">
        <f t="shared" si="1"/>
        <v>2023 All Lebaran D90</v>
      </c>
      <c r="B11" s="8">
        <f>'ALL 2024 H2 D80'!$B$2</f>
        <v>46114</v>
      </c>
      <c r="C11" s="8">
        <f>'ALL 2024 H2 D80'!$C$2</f>
        <v>46120</v>
      </c>
      <c r="D11" s="5">
        <v>3208</v>
      </c>
      <c r="E11" s="5">
        <v>320</v>
      </c>
      <c r="F11" s="5">
        <v>1</v>
      </c>
      <c r="G11" s="5">
        <v>1</v>
      </c>
      <c r="H11" s="5">
        <v>81495</v>
      </c>
      <c r="I11" s="5" t="s">
        <v>16</v>
      </c>
      <c r="J11" s="5">
        <v>79674289</v>
      </c>
      <c r="K11" s="5" t="s">
        <v>226</v>
      </c>
      <c r="L11" s="5" t="s">
        <v>236</v>
      </c>
      <c r="M11" s="6">
        <v>269900</v>
      </c>
      <c r="N11" s="7">
        <v>0.9</v>
      </c>
      <c r="O11" s="6">
        <f t="shared" si="0"/>
        <v>26990</v>
      </c>
      <c r="P11" s="5" t="s">
        <v>504</v>
      </c>
    </row>
    <row r="12" spans="1:16" x14ac:dyDescent="0.35">
      <c r="A12" s="5" t="str">
        <f t="shared" si="1"/>
        <v>2023 All Lebaran D90</v>
      </c>
      <c r="B12" s="8">
        <f>'ALL 2024 H2 D80'!$B$2</f>
        <v>46114</v>
      </c>
      <c r="C12" s="8">
        <f>'ALL 2024 H2 D80'!$C$2</f>
        <v>46120</v>
      </c>
      <c r="D12" s="5">
        <v>3208</v>
      </c>
      <c r="E12" s="5">
        <v>320</v>
      </c>
      <c r="F12" s="5">
        <v>1</v>
      </c>
      <c r="G12" s="5">
        <v>1</v>
      </c>
      <c r="H12" s="5">
        <v>81495</v>
      </c>
      <c r="I12" s="5" t="s">
        <v>16</v>
      </c>
      <c r="J12" s="5">
        <v>79674298</v>
      </c>
      <c r="K12" s="5" t="s">
        <v>226</v>
      </c>
      <c r="L12" s="5" t="s">
        <v>237</v>
      </c>
      <c r="M12" s="6">
        <v>269900</v>
      </c>
      <c r="N12" s="7">
        <v>0.9</v>
      </c>
      <c r="O12" s="6">
        <f t="shared" si="0"/>
        <v>26990</v>
      </c>
      <c r="P12" s="5" t="s">
        <v>504</v>
      </c>
    </row>
    <row r="13" spans="1:16" x14ac:dyDescent="0.35">
      <c r="A13" s="5" t="str">
        <f t="shared" si="1"/>
        <v>2023 All Lebaran D90</v>
      </c>
      <c r="B13" s="8">
        <f>'ALL 2024 H2 D80'!$B$2</f>
        <v>46114</v>
      </c>
      <c r="C13" s="8">
        <f>'ALL 2024 H2 D80'!$C$2</f>
        <v>46120</v>
      </c>
      <c r="D13" s="5">
        <v>3208</v>
      </c>
      <c r="E13" s="5">
        <v>320</v>
      </c>
      <c r="F13" s="5">
        <v>1</v>
      </c>
      <c r="G13" s="5">
        <v>1</v>
      </c>
      <c r="H13" s="5">
        <v>81495</v>
      </c>
      <c r="I13" s="5" t="s">
        <v>16</v>
      </c>
      <c r="J13" s="5">
        <v>79674305</v>
      </c>
      <c r="K13" s="5" t="s">
        <v>226</v>
      </c>
      <c r="L13" s="5" t="s">
        <v>238</v>
      </c>
      <c r="M13" s="6">
        <v>269900</v>
      </c>
      <c r="N13" s="7">
        <v>0.9</v>
      </c>
      <c r="O13" s="6">
        <f t="shared" si="0"/>
        <v>26990</v>
      </c>
      <c r="P13" s="5" t="s">
        <v>504</v>
      </c>
    </row>
    <row r="14" spans="1:16" x14ac:dyDescent="0.35">
      <c r="A14" s="5" t="str">
        <f t="shared" si="1"/>
        <v>2023 All Lebaran D90</v>
      </c>
      <c r="B14" s="8">
        <f>'ALL 2024 H2 D80'!$B$2</f>
        <v>46114</v>
      </c>
      <c r="C14" s="8">
        <f>'ALL 2024 H2 D80'!$C$2</f>
        <v>46120</v>
      </c>
      <c r="D14" s="5">
        <v>3208</v>
      </c>
      <c r="E14" s="5">
        <v>320</v>
      </c>
      <c r="F14" s="5">
        <v>1</v>
      </c>
      <c r="G14" s="5">
        <v>2</v>
      </c>
      <c r="H14" s="5">
        <v>80954</v>
      </c>
      <c r="I14" s="5" t="s">
        <v>16</v>
      </c>
      <c r="J14" s="5">
        <v>79674510</v>
      </c>
      <c r="K14" s="5" t="s">
        <v>680</v>
      </c>
      <c r="L14" s="5" t="s">
        <v>681</v>
      </c>
      <c r="M14" s="6">
        <v>89900</v>
      </c>
      <c r="N14" s="7">
        <v>0.9</v>
      </c>
      <c r="O14" s="6">
        <f t="shared" si="0"/>
        <v>8990</v>
      </c>
      <c r="P14" s="5" t="s">
        <v>504</v>
      </c>
    </row>
    <row r="15" spans="1:16" x14ac:dyDescent="0.35">
      <c r="A15" s="5" t="str">
        <f t="shared" si="1"/>
        <v>2023 All Lebaran D90</v>
      </c>
      <c r="B15" s="8">
        <f>'ALL 2024 H2 D80'!$B$2</f>
        <v>46114</v>
      </c>
      <c r="C15" s="8">
        <f>'ALL 2024 H2 D80'!$C$2</f>
        <v>46120</v>
      </c>
      <c r="D15" s="5">
        <v>3208</v>
      </c>
      <c r="E15" s="5">
        <v>320</v>
      </c>
      <c r="F15" s="5">
        <v>1</v>
      </c>
      <c r="G15" s="5">
        <v>2</v>
      </c>
      <c r="H15" s="5">
        <v>80954</v>
      </c>
      <c r="I15" s="5" t="s">
        <v>16</v>
      </c>
      <c r="J15" s="5">
        <v>79674529</v>
      </c>
      <c r="K15" s="5" t="s">
        <v>680</v>
      </c>
      <c r="L15" s="5" t="s">
        <v>682</v>
      </c>
      <c r="M15" s="6">
        <v>89900</v>
      </c>
      <c r="N15" s="7">
        <v>0.9</v>
      </c>
      <c r="O15" s="6">
        <f t="shared" si="0"/>
        <v>8990</v>
      </c>
      <c r="P15" s="5" t="s">
        <v>504</v>
      </c>
    </row>
    <row r="16" spans="1:16" x14ac:dyDescent="0.35">
      <c r="A16" s="5" t="str">
        <f t="shared" si="1"/>
        <v>2023 All Lebaran D90</v>
      </c>
      <c r="B16" s="8">
        <f>'ALL 2024 H2 D80'!$B$2</f>
        <v>46114</v>
      </c>
      <c r="C16" s="8">
        <f>'ALL 2024 H2 D80'!$C$2</f>
        <v>46120</v>
      </c>
      <c r="D16" s="5">
        <v>3208</v>
      </c>
      <c r="E16" s="5">
        <v>320</v>
      </c>
      <c r="F16" s="5">
        <v>1</v>
      </c>
      <c r="G16" s="5">
        <v>2</v>
      </c>
      <c r="H16" s="5">
        <v>80954</v>
      </c>
      <c r="I16" s="5" t="s">
        <v>16</v>
      </c>
      <c r="J16" s="5">
        <v>79674538</v>
      </c>
      <c r="K16" s="5" t="s">
        <v>680</v>
      </c>
      <c r="L16" s="5" t="s">
        <v>683</v>
      </c>
      <c r="M16" s="6">
        <v>89900</v>
      </c>
      <c r="N16" s="7">
        <v>0.9</v>
      </c>
      <c r="O16" s="6">
        <f t="shared" si="0"/>
        <v>8990</v>
      </c>
      <c r="P16" s="5" t="s">
        <v>504</v>
      </c>
    </row>
    <row r="17" spans="1:16" x14ac:dyDescent="0.35">
      <c r="A17" s="5" t="str">
        <f t="shared" si="1"/>
        <v>2023 All Lebaran D90</v>
      </c>
      <c r="B17" s="8">
        <f>'ALL 2024 H2 D80'!$B$2</f>
        <v>46114</v>
      </c>
      <c r="C17" s="8">
        <f>'ALL 2024 H2 D80'!$C$2</f>
        <v>46120</v>
      </c>
      <c r="D17" s="5">
        <v>3208</v>
      </c>
      <c r="E17" s="5">
        <v>320</v>
      </c>
      <c r="F17" s="5">
        <v>1</v>
      </c>
      <c r="G17" s="5">
        <v>2</v>
      </c>
      <c r="H17" s="5">
        <v>80954</v>
      </c>
      <c r="I17" s="5" t="s">
        <v>16</v>
      </c>
      <c r="J17" s="5">
        <v>79674547</v>
      </c>
      <c r="K17" s="5" t="s">
        <v>680</v>
      </c>
      <c r="L17" s="5" t="s">
        <v>684</v>
      </c>
      <c r="M17" s="6">
        <v>89900</v>
      </c>
      <c r="N17" s="7">
        <v>0.9</v>
      </c>
      <c r="O17" s="6">
        <f t="shared" ref="O17:O37" si="2">M17-(M17*N17)</f>
        <v>8990</v>
      </c>
      <c r="P17" s="5" t="s">
        <v>504</v>
      </c>
    </row>
    <row r="18" spans="1:16" x14ac:dyDescent="0.35">
      <c r="A18" s="5" t="str">
        <f t="shared" si="1"/>
        <v>2023 All Lebaran D90</v>
      </c>
      <c r="B18" s="8">
        <f>'ALL 2024 H2 D80'!$B$2</f>
        <v>46114</v>
      </c>
      <c r="C18" s="8">
        <f>'ALL 2024 H2 D80'!$C$2</f>
        <v>46120</v>
      </c>
      <c r="D18" s="5">
        <v>3208</v>
      </c>
      <c r="E18" s="5">
        <v>320</v>
      </c>
      <c r="F18" s="5">
        <v>1</v>
      </c>
      <c r="G18" s="5">
        <v>3</v>
      </c>
      <c r="H18" s="5">
        <v>81495</v>
      </c>
      <c r="I18" s="5" t="s">
        <v>16</v>
      </c>
      <c r="J18" s="5">
        <v>79674636</v>
      </c>
      <c r="K18" s="5" t="s">
        <v>1013</v>
      </c>
      <c r="L18" s="5" t="s">
        <v>1014</v>
      </c>
      <c r="M18" s="6">
        <v>329900</v>
      </c>
      <c r="N18" s="7">
        <v>0.9</v>
      </c>
      <c r="O18" s="6">
        <f t="shared" si="2"/>
        <v>32990</v>
      </c>
      <c r="P18" s="5" t="s">
        <v>504</v>
      </c>
    </row>
    <row r="19" spans="1:16" x14ac:dyDescent="0.35">
      <c r="A19" s="5" t="str">
        <f t="shared" si="1"/>
        <v>2023 All Lebaran D90</v>
      </c>
      <c r="B19" s="8">
        <f>'ALL 2024 H2 D80'!$B$2</f>
        <v>46114</v>
      </c>
      <c r="C19" s="8">
        <f>'ALL 2024 H2 D80'!$C$2</f>
        <v>46120</v>
      </c>
      <c r="D19" s="5">
        <v>3208</v>
      </c>
      <c r="E19" s="5">
        <v>320</v>
      </c>
      <c r="F19" s="5">
        <v>1</v>
      </c>
      <c r="G19" s="5">
        <v>3</v>
      </c>
      <c r="H19" s="5">
        <v>81495</v>
      </c>
      <c r="I19" s="5" t="s">
        <v>16</v>
      </c>
      <c r="J19" s="5">
        <v>79674645</v>
      </c>
      <c r="K19" s="5" t="s">
        <v>1013</v>
      </c>
      <c r="L19" s="5" t="s">
        <v>1015</v>
      </c>
      <c r="M19" s="6">
        <v>329900</v>
      </c>
      <c r="N19" s="7">
        <v>0.9</v>
      </c>
      <c r="O19" s="6">
        <f t="shared" si="2"/>
        <v>32990</v>
      </c>
      <c r="P19" s="5" t="s">
        <v>504</v>
      </c>
    </row>
    <row r="20" spans="1:16" x14ac:dyDescent="0.35">
      <c r="A20" s="5" t="str">
        <f t="shared" si="1"/>
        <v>2023 All Lebaran D90</v>
      </c>
      <c r="B20" s="8">
        <f>'ALL 2024 H2 D80'!$B$2</f>
        <v>46114</v>
      </c>
      <c r="C20" s="8">
        <f>'ALL 2024 H2 D80'!$C$2</f>
        <v>46120</v>
      </c>
      <c r="D20" s="5">
        <v>3208</v>
      </c>
      <c r="E20" s="5">
        <v>320</v>
      </c>
      <c r="F20" s="5">
        <v>1</v>
      </c>
      <c r="G20" s="5">
        <v>3</v>
      </c>
      <c r="H20" s="5">
        <v>81495</v>
      </c>
      <c r="I20" s="5" t="s">
        <v>16</v>
      </c>
      <c r="J20" s="5">
        <v>79674654</v>
      </c>
      <c r="K20" s="5" t="s">
        <v>1013</v>
      </c>
      <c r="L20" s="5" t="s">
        <v>1016</v>
      </c>
      <c r="M20" s="6">
        <v>329900</v>
      </c>
      <c r="N20" s="7">
        <v>0.9</v>
      </c>
      <c r="O20" s="6">
        <f t="shared" si="2"/>
        <v>32990</v>
      </c>
      <c r="P20" s="5" t="s">
        <v>504</v>
      </c>
    </row>
    <row r="21" spans="1:16" x14ac:dyDescent="0.35">
      <c r="A21" s="5" t="str">
        <f t="shared" si="1"/>
        <v>2023 All Lebaran D90</v>
      </c>
      <c r="B21" s="8">
        <f>'ALL 2024 H2 D80'!$B$2</f>
        <v>46114</v>
      </c>
      <c r="C21" s="8">
        <f>'ALL 2024 H2 D80'!$C$2</f>
        <v>46120</v>
      </c>
      <c r="D21" s="5">
        <v>3208</v>
      </c>
      <c r="E21" s="5">
        <v>320</v>
      </c>
      <c r="F21" s="5">
        <v>1</v>
      </c>
      <c r="G21" s="5">
        <v>3</v>
      </c>
      <c r="H21" s="5">
        <v>81495</v>
      </c>
      <c r="I21" s="5" t="s">
        <v>16</v>
      </c>
      <c r="J21" s="5">
        <v>79674663</v>
      </c>
      <c r="K21" s="5" t="s">
        <v>1013</v>
      </c>
      <c r="L21" s="5" t="s">
        <v>1017</v>
      </c>
      <c r="M21" s="6">
        <v>329900</v>
      </c>
      <c r="N21" s="7">
        <v>0.9</v>
      </c>
      <c r="O21" s="6">
        <f t="shared" si="2"/>
        <v>32990</v>
      </c>
      <c r="P21" s="5" t="s">
        <v>504</v>
      </c>
    </row>
    <row r="22" spans="1:16" x14ac:dyDescent="0.35">
      <c r="A22" s="5" t="str">
        <f t="shared" si="1"/>
        <v>2023 All Lebaran D90</v>
      </c>
      <c r="B22" s="8">
        <f>'ALL 2024 H2 D80'!$B$2</f>
        <v>46114</v>
      </c>
      <c r="C22" s="8">
        <f>'ALL 2024 H2 D80'!$C$2</f>
        <v>46120</v>
      </c>
      <c r="D22" s="5">
        <v>3208</v>
      </c>
      <c r="E22" s="5">
        <v>320</v>
      </c>
      <c r="F22" s="5">
        <v>1</v>
      </c>
      <c r="G22" s="5">
        <v>3</v>
      </c>
      <c r="H22" s="5">
        <v>81495</v>
      </c>
      <c r="I22" s="5" t="s">
        <v>16</v>
      </c>
      <c r="J22" s="5">
        <v>79674672</v>
      </c>
      <c r="K22" s="5" t="s">
        <v>2869</v>
      </c>
      <c r="L22" s="5" t="s">
        <v>2870</v>
      </c>
      <c r="M22" s="6">
        <v>329900</v>
      </c>
      <c r="N22" s="7">
        <v>0.9</v>
      </c>
      <c r="O22" s="6">
        <f t="shared" si="2"/>
        <v>32990</v>
      </c>
      <c r="P22" s="5" t="s">
        <v>504</v>
      </c>
    </row>
    <row r="23" spans="1:16" x14ac:dyDescent="0.35">
      <c r="A23" s="5" t="str">
        <f t="shared" si="1"/>
        <v>2023 All Lebaran D90</v>
      </c>
      <c r="B23" s="8">
        <f>'ALL 2024 H2 D80'!$B$2</f>
        <v>46114</v>
      </c>
      <c r="C23" s="8">
        <f>'ALL 2024 H2 D80'!$C$2</f>
        <v>46120</v>
      </c>
      <c r="D23" s="5">
        <v>3208</v>
      </c>
      <c r="E23" s="5">
        <v>320</v>
      </c>
      <c r="F23" s="5">
        <v>1</v>
      </c>
      <c r="G23" s="5">
        <v>3</v>
      </c>
      <c r="H23" s="5">
        <v>81495</v>
      </c>
      <c r="I23" s="5" t="s">
        <v>16</v>
      </c>
      <c r="J23" s="5">
        <v>79674681</v>
      </c>
      <c r="K23" s="5" t="s">
        <v>2869</v>
      </c>
      <c r="L23" s="5" t="s">
        <v>2871</v>
      </c>
      <c r="M23" s="6">
        <v>329900</v>
      </c>
      <c r="N23" s="7">
        <v>0.9</v>
      </c>
      <c r="O23" s="6">
        <f t="shared" si="2"/>
        <v>32990</v>
      </c>
      <c r="P23" s="5" t="s">
        <v>504</v>
      </c>
    </row>
    <row r="24" spans="1:16" x14ac:dyDescent="0.35">
      <c r="A24" s="5" t="str">
        <f t="shared" si="1"/>
        <v>2023 All Lebaran D90</v>
      </c>
      <c r="B24" s="8">
        <f>'ALL 2024 H2 D80'!$B$2</f>
        <v>46114</v>
      </c>
      <c r="C24" s="8">
        <f>'ALL 2024 H2 D80'!$C$2</f>
        <v>46120</v>
      </c>
      <c r="D24" s="5">
        <v>3208</v>
      </c>
      <c r="E24" s="5">
        <v>320</v>
      </c>
      <c r="F24" s="5">
        <v>1</v>
      </c>
      <c r="G24" s="5">
        <v>3</v>
      </c>
      <c r="H24" s="5">
        <v>81495</v>
      </c>
      <c r="I24" s="5" t="s">
        <v>16</v>
      </c>
      <c r="J24" s="5">
        <v>79674690</v>
      </c>
      <c r="K24" s="5" t="s">
        <v>2869</v>
      </c>
      <c r="L24" s="5" t="s">
        <v>2872</v>
      </c>
      <c r="M24" s="6">
        <v>329900</v>
      </c>
      <c r="N24" s="7">
        <v>0.9</v>
      </c>
      <c r="O24" s="6">
        <f t="shared" si="2"/>
        <v>32990</v>
      </c>
      <c r="P24" s="5" t="s">
        <v>504</v>
      </c>
    </row>
    <row r="25" spans="1:16" x14ac:dyDescent="0.35">
      <c r="A25" s="5" t="str">
        <f t="shared" si="1"/>
        <v>2023 All Lebaran D90</v>
      </c>
      <c r="B25" s="8">
        <f>'ALL 2024 H2 D80'!$B$2</f>
        <v>46114</v>
      </c>
      <c r="C25" s="8">
        <f>'ALL 2024 H2 D80'!$C$2</f>
        <v>46120</v>
      </c>
      <c r="D25" s="5">
        <v>3208</v>
      </c>
      <c r="E25" s="5">
        <v>320</v>
      </c>
      <c r="F25" s="5">
        <v>1</v>
      </c>
      <c r="G25" s="5">
        <v>3</v>
      </c>
      <c r="H25" s="5">
        <v>81495</v>
      </c>
      <c r="I25" s="5" t="s">
        <v>16</v>
      </c>
      <c r="J25" s="5">
        <v>79674707</v>
      </c>
      <c r="K25" s="5" t="s">
        <v>2869</v>
      </c>
      <c r="L25" s="5" t="s">
        <v>2873</v>
      </c>
      <c r="M25" s="6">
        <v>329900</v>
      </c>
      <c r="N25" s="7">
        <v>0.9</v>
      </c>
      <c r="O25" s="6">
        <f t="shared" si="2"/>
        <v>32990</v>
      </c>
      <c r="P25" s="5" t="s">
        <v>504</v>
      </c>
    </row>
    <row r="26" spans="1:16" x14ac:dyDescent="0.35">
      <c r="A26" s="5" t="str">
        <f t="shared" si="1"/>
        <v>2023 All Lebaran D90</v>
      </c>
      <c r="B26" s="8">
        <f>'ALL 2024 H2 D80'!$B$2</f>
        <v>46114</v>
      </c>
      <c r="C26" s="8">
        <f>'ALL 2024 H2 D80'!$C$2</f>
        <v>46120</v>
      </c>
      <c r="D26" s="5">
        <v>3208</v>
      </c>
      <c r="E26" s="5">
        <v>320</v>
      </c>
      <c r="F26" s="5">
        <v>1</v>
      </c>
      <c r="G26" s="5">
        <v>4</v>
      </c>
      <c r="H26" s="5">
        <v>81495</v>
      </c>
      <c r="I26" s="5" t="s">
        <v>16</v>
      </c>
      <c r="J26" s="5">
        <v>79674716</v>
      </c>
      <c r="K26" s="5" t="s">
        <v>1018</v>
      </c>
      <c r="L26" s="5" t="s">
        <v>1019</v>
      </c>
      <c r="M26" s="6">
        <v>379900</v>
      </c>
      <c r="N26" s="7">
        <v>0.9</v>
      </c>
      <c r="O26" s="6">
        <f t="shared" si="2"/>
        <v>37990</v>
      </c>
      <c r="P26" s="5" t="s">
        <v>504</v>
      </c>
    </row>
    <row r="27" spans="1:16" x14ac:dyDescent="0.35">
      <c r="A27" s="5" t="str">
        <f t="shared" si="1"/>
        <v>2023 All Lebaran D90</v>
      </c>
      <c r="B27" s="8">
        <f>'ALL 2024 H2 D80'!$B$2</f>
        <v>46114</v>
      </c>
      <c r="C27" s="8">
        <f>'ALL 2024 H2 D80'!$C$2</f>
        <v>46120</v>
      </c>
      <c r="D27" s="5">
        <v>3208</v>
      </c>
      <c r="E27" s="5">
        <v>320</v>
      </c>
      <c r="F27" s="5">
        <v>1</v>
      </c>
      <c r="G27" s="5">
        <v>4</v>
      </c>
      <c r="H27" s="5">
        <v>81495</v>
      </c>
      <c r="I27" s="5" t="s">
        <v>16</v>
      </c>
      <c r="J27" s="5">
        <v>79674725</v>
      </c>
      <c r="K27" s="5" t="s">
        <v>1018</v>
      </c>
      <c r="L27" s="5" t="s">
        <v>1020</v>
      </c>
      <c r="M27" s="6">
        <v>379900</v>
      </c>
      <c r="N27" s="7">
        <v>0.9</v>
      </c>
      <c r="O27" s="6">
        <f t="shared" si="2"/>
        <v>37990</v>
      </c>
      <c r="P27" s="5" t="s">
        <v>504</v>
      </c>
    </row>
    <row r="28" spans="1:16" x14ac:dyDescent="0.35">
      <c r="A28" s="5" t="str">
        <f t="shared" si="1"/>
        <v>2023 All Lebaran D90</v>
      </c>
      <c r="B28" s="8">
        <f>'ALL 2024 H2 D80'!$B$2</f>
        <v>46114</v>
      </c>
      <c r="C28" s="8">
        <f>'ALL 2024 H2 D80'!$C$2</f>
        <v>46120</v>
      </c>
      <c r="D28" s="5">
        <v>3208</v>
      </c>
      <c r="E28" s="5">
        <v>320</v>
      </c>
      <c r="F28" s="5">
        <v>1</v>
      </c>
      <c r="G28" s="5">
        <v>4</v>
      </c>
      <c r="H28" s="5">
        <v>81495</v>
      </c>
      <c r="I28" s="5" t="s">
        <v>16</v>
      </c>
      <c r="J28" s="5">
        <v>79674734</v>
      </c>
      <c r="K28" s="5" t="s">
        <v>1018</v>
      </c>
      <c r="L28" s="5" t="s">
        <v>1021</v>
      </c>
      <c r="M28" s="6">
        <v>379900</v>
      </c>
      <c r="N28" s="7">
        <v>0.9</v>
      </c>
      <c r="O28" s="6">
        <f t="shared" si="2"/>
        <v>37990</v>
      </c>
      <c r="P28" s="5" t="s">
        <v>504</v>
      </c>
    </row>
    <row r="29" spans="1:16" x14ac:dyDescent="0.35">
      <c r="A29" s="5" t="str">
        <f t="shared" si="1"/>
        <v>2023 All Lebaran D90</v>
      </c>
      <c r="B29" s="8">
        <f>'ALL 2024 H2 D80'!$B$2</f>
        <v>46114</v>
      </c>
      <c r="C29" s="8">
        <f>'ALL 2024 H2 D80'!$C$2</f>
        <v>46120</v>
      </c>
      <c r="D29" s="5">
        <v>3208</v>
      </c>
      <c r="E29" s="5">
        <v>320</v>
      </c>
      <c r="F29" s="5">
        <v>1</v>
      </c>
      <c r="G29" s="5">
        <v>4</v>
      </c>
      <c r="H29" s="5">
        <v>81495</v>
      </c>
      <c r="I29" s="5" t="s">
        <v>16</v>
      </c>
      <c r="J29" s="5">
        <v>79674743</v>
      </c>
      <c r="K29" s="5" t="s">
        <v>1018</v>
      </c>
      <c r="L29" s="5" t="s">
        <v>1022</v>
      </c>
      <c r="M29" s="6">
        <v>379900</v>
      </c>
      <c r="N29" s="7">
        <v>0.9</v>
      </c>
      <c r="O29" s="6">
        <f t="shared" si="2"/>
        <v>37990</v>
      </c>
      <c r="P29" s="5" t="s">
        <v>504</v>
      </c>
    </row>
    <row r="30" spans="1:16" x14ac:dyDescent="0.35">
      <c r="A30" s="5" t="str">
        <f t="shared" si="1"/>
        <v>2023 All Lebaran D90</v>
      </c>
      <c r="B30" s="8">
        <f>'ALL 2024 H2 D80'!$B$2</f>
        <v>46114</v>
      </c>
      <c r="C30" s="8">
        <f>'ALL 2024 H2 D80'!$C$2</f>
        <v>46120</v>
      </c>
      <c r="D30" s="5">
        <v>3208</v>
      </c>
      <c r="E30" s="5">
        <v>320</v>
      </c>
      <c r="F30" s="5">
        <v>1</v>
      </c>
      <c r="G30" s="5">
        <v>5</v>
      </c>
      <c r="H30" s="5">
        <v>81495</v>
      </c>
      <c r="I30" s="5" t="s">
        <v>16</v>
      </c>
      <c r="J30" s="5">
        <v>79674752</v>
      </c>
      <c r="K30" s="5" t="s">
        <v>1023</v>
      </c>
      <c r="L30" s="5" t="s">
        <v>1024</v>
      </c>
      <c r="M30" s="6">
        <v>299900</v>
      </c>
      <c r="N30" s="7">
        <v>0.9</v>
      </c>
      <c r="O30" s="6">
        <f t="shared" si="2"/>
        <v>29990</v>
      </c>
      <c r="P30" s="5" t="s">
        <v>504</v>
      </c>
    </row>
    <row r="31" spans="1:16" x14ac:dyDescent="0.35">
      <c r="A31" s="5" t="str">
        <f t="shared" si="1"/>
        <v>2023 All Lebaran D90</v>
      </c>
      <c r="B31" s="8">
        <f>'ALL 2024 H2 D80'!$B$2</f>
        <v>46114</v>
      </c>
      <c r="C31" s="8">
        <f>'ALL 2024 H2 D80'!$C$2</f>
        <v>46120</v>
      </c>
      <c r="D31" s="5">
        <v>3208</v>
      </c>
      <c r="E31" s="5">
        <v>320</v>
      </c>
      <c r="F31" s="5">
        <v>1</v>
      </c>
      <c r="G31" s="5">
        <v>5</v>
      </c>
      <c r="H31" s="5">
        <v>81495</v>
      </c>
      <c r="I31" s="5" t="s">
        <v>16</v>
      </c>
      <c r="J31" s="5">
        <v>79674761</v>
      </c>
      <c r="K31" s="5" t="s">
        <v>1023</v>
      </c>
      <c r="L31" s="5" t="s">
        <v>1025</v>
      </c>
      <c r="M31" s="6">
        <v>299900</v>
      </c>
      <c r="N31" s="7">
        <v>0.9</v>
      </c>
      <c r="O31" s="6">
        <f t="shared" si="2"/>
        <v>29990</v>
      </c>
      <c r="P31" s="5" t="s">
        <v>504</v>
      </c>
    </row>
    <row r="32" spans="1:16" x14ac:dyDescent="0.35">
      <c r="A32" s="5" t="str">
        <f t="shared" si="1"/>
        <v>2023 All Lebaran D90</v>
      </c>
      <c r="B32" s="8">
        <f>'ALL 2024 H2 D80'!$B$2</f>
        <v>46114</v>
      </c>
      <c r="C32" s="8">
        <f>'ALL 2024 H2 D80'!$C$2</f>
        <v>46120</v>
      </c>
      <c r="D32" s="5">
        <v>3208</v>
      </c>
      <c r="E32" s="5">
        <v>320</v>
      </c>
      <c r="F32" s="5">
        <v>1</v>
      </c>
      <c r="G32" s="5">
        <v>5</v>
      </c>
      <c r="H32" s="5">
        <v>81495</v>
      </c>
      <c r="I32" s="5" t="s">
        <v>16</v>
      </c>
      <c r="J32" s="5">
        <v>79674770</v>
      </c>
      <c r="K32" s="5" t="s">
        <v>1023</v>
      </c>
      <c r="L32" s="5" t="s">
        <v>1026</v>
      </c>
      <c r="M32" s="6">
        <v>299900</v>
      </c>
      <c r="N32" s="7">
        <v>0.9</v>
      </c>
      <c r="O32" s="6">
        <f t="shared" si="2"/>
        <v>29990</v>
      </c>
      <c r="P32" s="5" t="s">
        <v>504</v>
      </c>
    </row>
    <row r="33" spans="1:16" x14ac:dyDescent="0.35">
      <c r="A33" s="5" t="str">
        <f t="shared" si="1"/>
        <v>2023 All Lebaran D90</v>
      </c>
      <c r="B33" s="8">
        <f>'ALL 2024 H2 D80'!$B$2</f>
        <v>46114</v>
      </c>
      <c r="C33" s="8">
        <f>'ALL 2024 H2 D80'!$C$2</f>
        <v>46120</v>
      </c>
      <c r="D33" s="5">
        <v>3208</v>
      </c>
      <c r="E33" s="5">
        <v>320</v>
      </c>
      <c r="F33" s="5">
        <v>1</v>
      </c>
      <c r="G33" s="5">
        <v>5</v>
      </c>
      <c r="H33" s="5">
        <v>81495</v>
      </c>
      <c r="I33" s="5" t="s">
        <v>16</v>
      </c>
      <c r="J33" s="5">
        <v>79674789</v>
      </c>
      <c r="K33" s="5" t="s">
        <v>1023</v>
      </c>
      <c r="L33" s="5" t="s">
        <v>1027</v>
      </c>
      <c r="M33" s="6">
        <v>299900</v>
      </c>
      <c r="N33" s="7">
        <v>0.9</v>
      </c>
      <c r="O33" s="6">
        <f t="shared" si="2"/>
        <v>29990</v>
      </c>
      <c r="P33" s="5" t="s">
        <v>504</v>
      </c>
    </row>
    <row r="34" spans="1:16" x14ac:dyDescent="0.35">
      <c r="A34" s="5" t="str">
        <f t="shared" si="1"/>
        <v>2023 All Lebaran D90</v>
      </c>
      <c r="B34" s="8">
        <f>'ALL 2024 H2 D80'!$B$2</f>
        <v>46114</v>
      </c>
      <c r="C34" s="8">
        <f>'ALL 2024 H2 D80'!$C$2</f>
        <v>46120</v>
      </c>
      <c r="D34" s="5">
        <v>3208</v>
      </c>
      <c r="E34" s="5">
        <v>320</v>
      </c>
      <c r="F34" s="5">
        <v>1</v>
      </c>
      <c r="G34" s="5">
        <v>5</v>
      </c>
      <c r="H34" s="5">
        <v>81495</v>
      </c>
      <c r="I34" s="5" t="s">
        <v>16</v>
      </c>
      <c r="J34" s="5">
        <v>80952412</v>
      </c>
      <c r="K34" s="5" t="s">
        <v>1028</v>
      </c>
      <c r="L34" s="5" t="s">
        <v>1029</v>
      </c>
      <c r="M34" s="6">
        <v>329900</v>
      </c>
      <c r="N34" s="7">
        <v>0.9</v>
      </c>
      <c r="O34" s="6">
        <f t="shared" si="2"/>
        <v>32990</v>
      </c>
      <c r="P34" s="5" t="s">
        <v>504</v>
      </c>
    </row>
    <row r="35" spans="1:16" x14ac:dyDescent="0.35">
      <c r="A35" s="5" t="str">
        <f t="shared" si="1"/>
        <v>2023 All Lebaran D90</v>
      </c>
      <c r="B35" s="8">
        <f>'ALL 2024 H2 D80'!$B$2</f>
        <v>46114</v>
      </c>
      <c r="C35" s="8">
        <f>'ALL 2024 H2 D80'!$C$2</f>
        <v>46120</v>
      </c>
      <c r="D35" s="5">
        <v>3208</v>
      </c>
      <c r="E35" s="5">
        <v>320</v>
      </c>
      <c r="F35" s="5">
        <v>1</v>
      </c>
      <c r="G35" s="5">
        <v>5</v>
      </c>
      <c r="H35" s="5">
        <v>81495</v>
      </c>
      <c r="I35" s="5" t="s">
        <v>16</v>
      </c>
      <c r="J35" s="5">
        <v>80952421</v>
      </c>
      <c r="K35" s="5" t="s">
        <v>1028</v>
      </c>
      <c r="L35" s="5" t="s">
        <v>1030</v>
      </c>
      <c r="M35" s="6">
        <v>329900</v>
      </c>
      <c r="N35" s="7">
        <v>0.9</v>
      </c>
      <c r="O35" s="6">
        <f t="shared" si="2"/>
        <v>32990</v>
      </c>
      <c r="P35" s="5" t="s">
        <v>504</v>
      </c>
    </row>
    <row r="36" spans="1:16" x14ac:dyDescent="0.35">
      <c r="A36" s="5" t="str">
        <f t="shared" si="1"/>
        <v>2023 All Lebaran D90</v>
      </c>
      <c r="B36" s="8">
        <f>'ALL 2024 H2 D80'!$B$2</f>
        <v>46114</v>
      </c>
      <c r="C36" s="8">
        <f>'ALL 2024 H2 D80'!$C$2</f>
        <v>46120</v>
      </c>
      <c r="D36" s="5">
        <v>3208</v>
      </c>
      <c r="E36" s="5">
        <v>320</v>
      </c>
      <c r="F36" s="5">
        <v>1</v>
      </c>
      <c r="G36" s="5">
        <v>5</v>
      </c>
      <c r="H36" s="5">
        <v>81495</v>
      </c>
      <c r="I36" s="5" t="s">
        <v>16</v>
      </c>
      <c r="J36" s="5">
        <v>80952430</v>
      </c>
      <c r="K36" s="5" t="s">
        <v>1028</v>
      </c>
      <c r="L36" s="5" t="s">
        <v>1031</v>
      </c>
      <c r="M36" s="6">
        <v>329900</v>
      </c>
      <c r="N36" s="7">
        <v>0.9</v>
      </c>
      <c r="O36" s="6">
        <f t="shared" si="2"/>
        <v>32990</v>
      </c>
      <c r="P36" s="5" t="s">
        <v>504</v>
      </c>
    </row>
    <row r="37" spans="1:16" x14ac:dyDescent="0.35">
      <c r="A37" s="5" t="str">
        <f t="shared" si="1"/>
        <v>2023 All Lebaran D90</v>
      </c>
      <c r="B37" s="8">
        <f>'ALL 2024 H2 D80'!$B$2</f>
        <v>46114</v>
      </c>
      <c r="C37" s="8">
        <f>'ALL 2024 H2 D80'!$C$2</f>
        <v>46120</v>
      </c>
      <c r="D37" s="5">
        <v>3208</v>
      </c>
      <c r="E37" s="5">
        <v>320</v>
      </c>
      <c r="F37" s="5">
        <v>1</v>
      </c>
      <c r="G37" s="5">
        <v>5</v>
      </c>
      <c r="H37" s="5">
        <v>81495</v>
      </c>
      <c r="I37" s="5" t="s">
        <v>16</v>
      </c>
      <c r="J37" s="5">
        <v>80952449</v>
      </c>
      <c r="K37" s="5" t="s">
        <v>1028</v>
      </c>
      <c r="L37" s="5" t="s">
        <v>1032</v>
      </c>
      <c r="M37" s="6">
        <v>329900</v>
      </c>
      <c r="N37" s="7">
        <v>0.9</v>
      </c>
      <c r="O37" s="6">
        <f t="shared" si="2"/>
        <v>32990</v>
      </c>
      <c r="P37" s="5" t="s">
        <v>504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33"/>
  <sheetViews>
    <sheetView workbookViewId="0">
      <selection activeCell="A3" sqref="A3:A533"/>
    </sheetView>
  </sheetViews>
  <sheetFormatPr defaultRowHeight="14.5" x14ac:dyDescent="0.35"/>
  <cols>
    <col min="1" max="1" width="26.54296875" customWidth="1"/>
    <col min="2" max="2" width="11.453125" bestFit="1" customWidth="1"/>
    <col min="3" max="3" width="10.453125" bestFit="1" customWidth="1"/>
    <col min="7" max="10" width="8.7265625" style="28"/>
    <col min="11" max="11" width="14.6328125" style="28" customWidth="1"/>
    <col min="12" max="12" width="64.54296875" style="32" customWidth="1"/>
    <col min="13" max="13" width="11.08984375" style="29" bestFit="1" customWidth="1"/>
    <col min="14" max="15" width="10.26953125" customWidth="1"/>
    <col min="16" max="16" width="15.1796875" bestFit="1" customWidth="1"/>
  </cols>
  <sheetData>
    <row r="1" spans="1:16" s="1" customFormat="1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33" t="s">
        <v>4</v>
      </c>
      <c r="M1" s="37" t="s">
        <v>3</v>
      </c>
      <c r="N1" s="11" t="s">
        <v>2</v>
      </c>
      <c r="O1" s="10" t="s">
        <v>1</v>
      </c>
      <c r="P1" s="9" t="s">
        <v>0</v>
      </c>
    </row>
    <row r="2" spans="1:16" s="1" customFormat="1" x14ac:dyDescent="0.35">
      <c r="A2" s="5" t="s">
        <v>3664</v>
      </c>
      <c r="B2" s="8">
        <f>'ALL 2024 H2 D80'!$B$2</f>
        <v>46114</v>
      </c>
      <c r="C2" s="8">
        <f>'ALL 2024 H2 D80'!$C$2</f>
        <v>46120</v>
      </c>
      <c r="D2" s="5">
        <v>3208</v>
      </c>
      <c r="E2" s="5">
        <v>320</v>
      </c>
      <c r="F2" s="5">
        <v>1</v>
      </c>
      <c r="G2" s="15">
        <v>1</v>
      </c>
      <c r="H2" s="15">
        <v>81044</v>
      </c>
      <c r="I2" s="5" t="s">
        <v>16</v>
      </c>
      <c r="J2" s="16">
        <v>79668330</v>
      </c>
      <c r="K2" s="16" t="s">
        <v>505</v>
      </c>
      <c r="L2" s="34" t="s">
        <v>506</v>
      </c>
      <c r="M2" s="38">
        <v>269900</v>
      </c>
      <c r="N2" s="7">
        <v>0.9</v>
      </c>
      <c r="O2" s="6">
        <f>M2-(M2*N2)</f>
        <v>26990</v>
      </c>
      <c r="P2" s="5" t="s">
        <v>504</v>
      </c>
    </row>
    <row r="3" spans="1:16" s="1" customFormat="1" x14ac:dyDescent="0.35">
      <c r="A3" s="5" t="str">
        <f>$A$2</f>
        <v>2023 H1 All Items D90</v>
      </c>
      <c r="B3" s="8">
        <f>'ALL 2024 H2 D80'!$B$2</f>
        <v>46114</v>
      </c>
      <c r="C3" s="8">
        <f>'ALL 2024 H2 D80'!$C$2</f>
        <v>46120</v>
      </c>
      <c r="D3" s="5">
        <v>3208</v>
      </c>
      <c r="E3" s="5">
        <v>320</v>
      </c>
      <c r="F3" s="5">
        <v>1</v>
      </c>
      <c r="G3" s="15">
        <v>1</v>
      </c>
      <c r="H3" s="15">
        <v>81044</v>
      </c>
      <c r="I3" s="5" t="s">
        <v>16</v>
      </c>
      <c r="J3" s="16">
        <v>79668349</v>
      </c>
      <c r="K3" s="16" t="s">
        <v>505</v>
      </c>
      <c r="L3" s="34" t="s">
        <v>507</v>
      </c>
      <c r="M3" s="38">
        <v>269900</v>
      </c>
      <c r="N3" s="7">
        <v>0.9</v>
      </c>
      <c r="O3" s="6">
        <f>M3-(M3*N3)</f>
        <v>26990</v>
      </c>
      <c r="P3" s="5" t="s">
        <v>504</v>
      </c>
    </row>
    <row r="4" spans="1:16" s="1" customFormat="1" x14ac:dyDescent="0.35">
      <c r="A4" s="5" t="str">
        <f t="shared" ref="A4:A67" si="0">$A$2</f>
        <v>2023 H1 All Items D90</v>
      </c>
      <c r="B4" s="8">
        <f>'ALL 2024 H2 D80'!$B$2</f>
        <v>46114</v>
      </c>
      <c r="C4" s="8">
        <f>'ALL 2024 H2 D80'!$C$2</f>
        <v>46120</v>
      </c>
      <c r="D4" s="5">
        <v>3208</v>
      </c>
      <c r="E4" s="5">
        <v>320</v>
      </c>
      <c r="F4" s="5">
        <v>1</v>
      </c>
      <c r="G4" s="15">
        <v>1</v>
      </c>
      <c r="H4" s="15">
        <v>81044</v>
      </c>
      <c r="I4" s="5" t="s">
        <v>16</v>
      </c>
      <c r="J4" s="16">
        <v>79673897</v>
      </c>
      <c r="K4" s="16" t="s">
        <v>508</v>
      </c>
      <c r="L4" s="34" t="s">
        <v>509</v>
      </c>
      <c r="M4" s="38">
        <v>269900</v>
      </c>
      <c r="N4" s="7">
        <v>0.9</v>
      </c>
      <c r="O4" s="6">
        <f t="shared" ref="O4:O67" si="1">M4-(M4*N4)</f>
        <v>26990</v>
      </c>
      <c r="P4" s="5" t="s">
        <v>504</v>
      </c>
    </row>
    <row r="5" spans="1:16" s="1" customFormat="1" x14ac:dyDescent="0.35">
      <c r="A5" s="5" t="str">
        <f t="shared" si="0"/>
        <v>2023 H1 All Items D90</v>
      </c>
      <c r="B5" s="8">
        <f>'ALL 2024 H2 D80'!$B$2</f>
        <v>46114</v>
      </c>
      <c r="C5" s="8">
        <f>'ALL 2024 H2 D80'!$C$2</f>
        <v>46120</v>
      </c>
      <c r="D5" s="5">
        <v>3208</v>
      </c>
      <c r="E5" s="5">
        <v>320</v>
      </c>
      <c r="F5" s="5">
        <v>1</v>
      </c>
      <c r="G5" s="15">
        <v>1</v>
      </c>
      <c r="H5" s="15">
        <v>81044</v>
      </c>
      <c r="I5" s="5" t="s">
        <v>16</v>
      </c>
      <c r="J5" s="16">
        <v>79673904</v>
      </c>
      <c r="K5" s="16" t="s">
        <v>508</v>
      </c>
      <c r="L5" s="34" t="s">
        <v>510</v>
      </c>
      <c r="M5" s="38">
        <v>269900</v>
      </c>
      <c r="N5" s="7">
        <v>0.9</v>
      </c>
      <c r="O5" s="6">
        <f t="shared" si="1"/>
        <v>26990</v>
      </c>
      <c r="P5" s="5" t="s">
        <v>504</v>
      </c>
    </row>
    <row r="6" spans="1:16" s="1" customFormat="1" x14ac:dyDescent="0.35">
      <c r="A6" s="5" t="str">
        <f t="shared" si="0"/>
        <v>2023 H1 All Items D90</v>
      </c>
      <c r="B6" s="8">
        <f>'ALL 2024 H2 D80'!$B$2</f>
        <v>46114</v>
      </c>
      <c r="C6" s="8">
        <f>'ALL 2024 H2 D80'!$C$2</f>
        <v>46120</v>
      </c>
      <c r="D6" s="5">
        <v>3208</v>
      </c>
      <c r="E6" s="5">
        <v>320</v>
      </c>
      <c r="F6" s="5">
        <v>1</v>
      </c>
      <c r="G6" s="15">
        <v>1</v>
      </c>
      <c r="H6" s="15">
        <v>81044</v>
      </c>
      <c r="I6" s="5" t="s">
        <v>16</v>
      </c>
      <c r="J6" s="16">
        <v>79673913</v>
      </c>
      <c r="K6" s="16" t="s">
        <v>508</v>
      </c>
      <c r="L6" s="34" t="s">
        <v>511</v>
      </c>
      <c r="M6" s="38">
        <v>269900</v>
      </c>
      <c r="N6" s="7">
        <v>0.9</v>
      </c>
      <c r="O6" s="6">
        <f t="shared" si="1"/>
        <v>26990</v>
      </c>
      <c r="P6" s="5" t="s">
        <v>504</v>
      </c>
    </row>
    <row r="7" spans="1:16" s="1" customFormat="1" x14ac:dyDescent="0.35">
      <c r="A7" s="5" t="str">
        <f t="shared" si="0"/>
        <v>2023 H1 All Items D90</v>
      </c>
      <c r="B7" s="8">
        <f>'ALL 2024 H2 D80'!$B$2</f>
        <v>46114</v>
      </c>
      <c r="C7" s="8">
        <f>'ALL 2024 H2 D80'!$C$2</f>
        <v>46120</v>
      </c>
      <c r="D7" s="5">
        <v>3208</v>
      </c>
      <c r="E7" s="5">
        <v>320</v>
      </c>
      <c r="F7" s="5">
        <v>1</v>
      </c>
      <c r="G7" s="15">
        <v>1</v>
      </c>
      <c r="H7" s="15">
        <v>81044</v>
      </c>
      <c r="I7" s="5" t="s">
        <v>16</v>
      </c>
      <c r="J7" s="16">
        <v>79673922</v>
      </c>
      <c r="K7" s="16" t="s">
        <v>508</v>
      </c>
      <c r="L7" s="34" t="s">
        <v>512</v>
      </c>
      <c r="M7" s="38">
        <v>269900</v>
      </c>
      <c r="N7" s="7">
        <v>0.9</v>
      </c>
      <c r="O7" s="6">
        <f t="shared" si="1"/>
        <v>26990</v>
      </c>
      <c r="P7" s="5" t="s">
        <v>504</v>
      </c>
    </row>
    <row r="8" spans="1:16" s="1" customFormat="1" x14ac:dyDescent="0.35">
      <c r="A8" s="5" t="str">
        <f t="shared" si="0"/>
        <v>2023 H1 All Items D90</v>
      </c>
      <c r="B8" s="8">
        <f>'ALL 2024 H2 D80'!$B$2</f>
        <v>46114</v>
      </c>
      <c r="C8" s="8">
        <f>'ALL 2024 H2 D80'!$C$2</f>
        <v>46120</v>
      </c>
      <c r="D8" s="5">
        <v>3208</v>
      </c>
      <c r="E8" s="5">
        <v>320</v>
      </c>
      <c r="F8" s="5">
        <v>1</v>
      </c>
      <c r="G8" s="15">
        <v>1</v>
      </c>
      <c r="H8" s="15">
        <v>81044</v>
      </c>
      <c r="I8" s="5" t="s">
        <v>16</v>
      </c>
      <c r="J8" s="16">
        <v>79673940</v>
      </c>
      <c r="K8" s="16" t="s">
        <v>508</v>
      </c>
      <c r="L8" s="34" t="s">
        <v>513</v>
      </c>
      <c r="M8" s="38">
        <v>269900</v>
      </c>
      <c r="N8" s="7">
        <v>0.9</v>
      </c>
      <c r="O8" s="6">
        <f t="shared" si="1"/>
        <v>26990</v>
      </c>
      <c r="P8" s="5" t="s">
        <v>504</v>
      </c>
    </row>
    <row r="9" spans="1:16" s="1" customFormat="1" x14ac:dyDescent="0.35">
      <c r="A9" s="5" t="str">
        <f t="shared" si="0"/>
        <v>2023 H1 All Items D90</v>
      </c>
      <c r="B9" s="8">
        <f>'ALL 2024 H2 D80'!$B$2</f>
        <v>46114</v>
      </c>
      <c r="C9" s="8">
        <f>'ALL 2024 H2 D80'!$C$2</f>
        <v>46120</v>
      </c>
      <c r="D9" s="5">
        <v>3208</v>
      </c>
      <c r="E9" s="5">
        <v>320</v>
      </c>
      <c r="F9" s="5">
        <v>1</v>
      </c>
      <c r="G9" s="15">
        <v>1</v>
      </c>
      <c r="H9" s="15">
        <v>81044</v>
      </c>
      <c r="I9" s="5" t="s">
        <v>16</v>
      </c>
      <c r="J9" s="16">
        <v>79673959</v>
      </c>
      <c r="K9" s="16" t="s">
        <v>508</v>
      </c>
      <c r="L9" s="34" t="s">
        <v>514</v>
      </c>
      <c r="M9" s="38">
        <v>269900</v>
      </c>
      <c r="N9" s="7">
        <v>0.9</v>
      </c>
      <c r="O9" s="6">
        <f t="shared" si="1"/>
        <v>26990</v>
      </c>
      <c r="P9" s="5" t="s">
        <v>504</v>
      </c>
    </row>
    <row r="10" spans="1:16" s="1" customFormat="1" x14ac:dyDescent="0.35">
      <c r="A10" s="5" t="str">
        <f t="shared" si="0"/>
        <v>2023 H1 All Items D90</v>
      </c>
      <c r="B10" s="8">
        <f>'ALL 2024 H2 D80'!$B$2</f>
        <v>46114</v>
      </c>
      <c r="C10" s="8">
        <f>'ALL 2024 H2 D80'!$C$2</f>
        <v>46120</v>
      </c>
      <c r="D10" s="5">
        <v>3208</v>
      </c>
      <c r="E10" s="5">
        <v>320</v>
      </c>
      <c r="F10" s="5">
        <v>1</v>
      </c>
      <c r="G10" s="15">
        <v>1</v>
      </c>
      <c r="H10" s="15">
        <v>81044</v>
      </c>
      <c r="I10" s="5" t="s">
        <v>16</v>
      </c>
      <c r="J10" s="16">
        <v>79673968</v>
      </c>
      <c r="K10" s="16" t="s">
        <v>508</v>
      </c>
      <c r="L10" s="34" t="s">
        <v>515</v>
      </c>
      <c r="M10" s="38">
        <v>269900</v>
      </c>
      <c r="N10" s="7">
        <v>0.9</v>
      </c>
      <c r="O10" s="6">
        <f t="shared" si="1"/>
        <v>26990</v>
      </c>
      <c r="P10" s="5" t="s">
        <v>504</v>
      </c>
    </row>
    <row r="11" spans="1:16" s="1" customFormat="1" x14ac:dyDescent="0.35">
      <c r="A11" s="5" t="str">
        <f t="shared" si="0"/>
        <v>2023 H1 All Items D90</v>
      </c>
      <c r="B11" s="8">
        <f>'ALL 2024 H2 D80'!$B$2</f>
        <v>46114</v>
      </c>
      <c r="C11" s="8">
        <f>'ALL 2024 H2 D80'!$C$2</f>
        <v>46120</v>
      </c>
      <c r="D11" s="5">
        <v>3208</v>
      </c>
      <c r="E11" s="5">
        <v>320</v>
      </c>
      <c r="F11" s="5">
        <v>1</v>
      </c>
      <c r="G11" s="15">
        <v>1</v>
      </c>
      <c r="H11" s="15">
        <v>81044</v>
      </c>
      <c r="I11" s="5" t="s">
        <v>16</v>
      </c>
      <c r="J11" s="16">
        <v>79673977</v>
      </c>
      <c r="K11" s="16" t="s">
        <v>508</v>
      </c>
      <c r="L11" s="34" t="s">
        <v>516</v>
      </c>
      <c r="M11" s="38">
        <v>269900</v>
      </c>
      <c r="N11" s="7">
        <v>0.9</v>
      </c>
      <c r="O11" s="6">
        <f t="shared" si="1"/>
        <v>26990</v>
      </c>
      <c r="P11" s="5" t="s">
        <v>504</v>
      </c>
    </row>
    <row r="12" spans="1:16" s="1" customFormat="1" x14ac:dyDescent="0.35">
      <c r="A12" s="5" t="str">
        <f t="shared" si="0"/>
        <v>2023 H1 All Items D90</v>
      </c>
      <c r="B12" s="8">
        <f>'ALL 2024 H2 D80'!$B$2</f>
        <v>46114</v>
      </c>
      <c r="C12" s="8">
        <f>'ALL 2024 H2 D80'!$C$2</f>
        <v>46120</v>
      </c>
      <c r="D12" s="5">
        <v>3208</v>
      </c>
      <c r="E12" s="5">
        <v>320</v>
      </c>
      <c r="F12" s="5">
        <v>1</v>
      </c>
      <c r="G12" s="15">
        <v>1</v>
      </c>
      <c r="H12" s="15">
        <v>81044</v>
      </c>
      <c r="I12" s="5" t="s">
        <v>16</v>
      </c>
      <c r="J12" s="16">
        <v>79674190</v>
      </c>
      <c r="K12" s="16" t="s">
        <v>521</v>
      </c>
      <c r="L12" s="34" t="s">
        <v>522</v>
      </c>
      <c r="M12" s="38">
        <v>249900</v>
      </c>
      <c r="N12" s="7">
        <v>0.9</v>
      </c>
      <c r="O12" s="6">
        <f t="shared" si="1"/>
        <v>24990</v>
      </c>
      <c r="P12" s="5" t="s">
        <v>504</v>
      </c>
    </row>
    <row r="13" spans="1:16" s="1" customFormat="1" x14ac:dyDescent="0.35">
      <c r="A13" s="5" t="str">
        <f t="shared" si="0"/>
        <v>2023 H1 All Items D90</v>
      </c>
      <c r="B13" s="8">
        <f>'ALL 2024 H2 D80'!$B$2</f>
        <v>46114</v>
      </c>
      <c r="C13" s="8">
        <f>'ALL 2024 H2 D80'!$C$2</f>
        <v>46120</v>
      </c>
      <c r="D13" s="5">
        <v>3208</v>
      </c>
      <c r="E13" s="5">
        <v>320</v>
      </c>
      <c r="F13" s="5">
        <v>1</v>
      </c>
      <c r="G13" s="15">
        <v>1</v>
      </c>
      <c r="H13" s="15">
        <v>81044</v>
      </c>
      <c r="I13" s="5" t="s">
        <v>16</v>
      </c>
      <c r="J13" s="16">
        <v>79674207</v>
      </c>
      <c r="K13" s="16" t="s">
        <v>521</v>
      </c>
      <c r="L13" s="34" t="s">
        <v>523</v>
      </c>
      <c r="M13" s="38">
        <v>249900</v>
      </c>
      <c r="N13" s="7">
        <v>0.9</v>
      </c>
      <c r="O13" s="6">
        <f t="shared" si="1"/>
        <v>24990</v>
      </c>
      <c r="P13" s="5" t="s">
        <v>504</v>
      </c>
    </row>
    <row r="14" spans="1:16" s="1" customFormat="1" x14ac:dyDescent="0.35">
      <c r="A14" s="5" t="str">
        <f t="shared" si="0"/>
        <v>2023 H1 All Items D90</v>
      </c>
      <c r="B14" s="8">
        <f>'ALL 2024 H2 D80'!$B$2</f>
        <v>46114</v>
      </c>
      <c r="C14" s="8">
        <f>'ALL 2024 H2 D80'!$C$2</f>
        <v>46120</v>
      </c>
      <c r="D14" s="5">
        <v>3208</v>
      </c>
      <c r="E14" s="5">
        <v>320</v>
      </c>
      <c r="F14" s="5">
        <v>1</v>
      </c>
      <c r="G14" s="15">
        <v>1</v>
      </c>
      <c r="H14" s="15">
        <v>81044</v>
      </c>
      <c r="I14" s="5" t="s">
        <v>16</v>
      </c>
      <c r="J14" s="16">
        <v>79674216</v>
      </c>
      <c r="K14" s="16" t="s">
        <v>521</v>
      </c>
      <c r="L14" s="34" t="s">
        <v>524</v>
      </c>
      <c r="M14" s="38">
        <v>249900</v>
      </c>
      <c r="N14" s="7">
        <v>0.9</v>
      </c>
      <c r="O14" s="6">
        <f t="shared" si="1"/>
        <v>24990</v>
      </c>
      <c r="P14" s="5" t="s">
        <v>504</v>
      </c>
    </row>
    <row r="15" spans="1:16" s="1" customFormat="1" x14ac:dyDescent="0.35">
      <c r="A15" s="5" t="str">
        <f t="shared" si="0"/>
        <v>2023 H1 All Items D90</v>
      </c>
      <c r="B15" s="8">
        <f>'ALL 2024 H2 D80'!$B$2</f>
        <v>46114</v>
      </c>
      <c r="C15" s="8">
        <f>'ALL 2024 H2 D80'!$C$2</f>
        <v>46120</v>
      </c>
      <c r="D15" s="5">
        <v>3208</v>
      </c>
      <c r="E15" s="5">
        <v>320</v>
      </c>
      <c r="F15" s="5">
        <v>1</v>
      </c>
      <c r="G15" s="15">
        <v>1</v>
      </c>
      <c r="H15" s="15">
        <v>81044</v>
      </c>
      <c r="I15" s="5" t="s">
        <v>16</v>
      </c>
      <c r="J15" s="16">
        <v>79674225</v>
      </c>
      <c r="K15" s="16" t="s">
        <v>521</v>
      </c>
      <c r="L15" s="34" t="s">
        <v>525</v>
      </c>
      <c r="M15" s="38">
        <v>249900</v>
      </c>
      <c r="N15" s="7">
        <v>0.9</v>
      </c>
      <c r="O15" s="6">
        <f t="shared" si="1"/>
        <v>24990</v>
      </c>
      <c r="P15" s="5" t="s">
        <v>504</v>
      </c>
    </row>
    <row r="16" spans="1:16" s="1" customFormat="1" x14ac:dyDescent="0.35">
      <c r="A16" s="5" t="str">
        <f t="shared" si="0"/>
        <v>2023 H1 All Items D90</v>
      </c>
      <c r="B16" s="8">
        <f>'ALL 2024 H2 D80'!$B$2</f>
        <v>46114</v>
      </c>
      <c r="C16" s="8">
        <f>'ALL 2024 H2 D80'!$C$2</f>
        <v>46120</v>
      </c>
      <c r="D16" s="5">
        <v>3208</v>
      </c>
      <c r="E16" s="5">
        <v>320</v>
      </c>
      <c r="F16" s="5">
        <v>1</v>
      </c>
      <c r="G16" s="15">
        <v>1</v>
      </c>
      <c r="H16" s="15">
        <v>81044</v>
      </c>
      <c r="I16" s="5" t="s">
        <v>16</v>
      </c>
      <c r="J16" s="16">
        <v>79674314</v>
      </c>
      <c r="K16" s="16" t="s">
        <v>526</v>
      </c>
      <c r="L16" s="34" t="s">
        <v>527</v>
      </c>
      <c r="M16" s="38">
        <v>269900</v>
      </c>
      <c r="N16" s="7">
        <v>0.9</v>
      </c>
      <c r="O16" s="6">
        <f t="shared" si="1"/>
        <v>26990</v>
      </c>
      <c r="P16" s="5" t="s">
        <v>504</v>
      </c>
    </row>
    <row r="17" spans="1:16" s="1" customFormat="1" x14ac:dyDescent="0.35">
      <c r="A17" s="5" t="str">
        <f t="shared" si="0"/>
        <v>2023 H1 All Items D90</v>
      </c>
      <c r="B17" s="8">
        <f>'ALL 2024 H2 D80'!$B$2</f>
        <v>46114</v>
      </c>
      <c r="C17" s="8">
        <f>'ALL 2024 H2 D80'!$C$2</f>
        <v>46120</v>
      </c>
      <c r="D17" s="5">
        <v>3208</v>
      </c>
      <c r="E17" s="5">
        <v>320</v>
      </c>
      <c r="F17" s="5">
        <v>1</v>
      </c>
      <c r="G17" s="15">
        <v>1</v>
      </c>
      <c r="H17" s="15">
        <v>81044</v>
      </c>
      <c r="I17" s="5" t="s">
        <v>16</v>
      </c>
      <c r="J17" s="16">
        <v>79674323</v>
      </c>
      <c r="K17" s="16" t="s">
        <v>526</v>
      </c>
      <c r="L17" s="34" t="s">
        <v>528</v>
      </c>
      <c r="M17" s="38">
        <v>269900</v>
      </c>
      <c r="N17" s="7">
        <v>0.9</v>
      </c>
      <c r="O17" s="6">
        <f t="shared" si="1"/>
        <v>26990</v>
      </c>
      <c r="P17" s="5" t="s">
        <v>504</v>
      </c>
    </row>
    <row r="18" spans="1:16" s="1" customFormat="1" x14ac:dyDescent="0.35">
      <c r="A18" s="5" t="str">
        <f t="shared" si="0"/>
        <v>2023 H1 All Items D90</v>
      </c>
      <c r="B18" s="8">
        <f>'ALL 2024 H2 D80'!$B$2</f>
        <v>46114</v>
      </c>
      <c r="C18" s="8">
        <f>'ALL 2024 H2 D80'!$C$2</f>
        <v>46120</v>
      </c>
      <c r="D18" s="5">
        <v>3208</v>
      </c>
      <c r="E18" s="5">
        <v>320</v>
      </c>
      <c r="F18" s="5">
        <v>1</v>
      </c>
      <c r="G18" s="15">
        <v>1</v>
      </c>
      <c r="H18" s="15">
        <v>81044</v>
      </c>
      <c r="I18" s="5" t="s">
        <v>16</v>
      </c>
      <c r="J18" s="16">
        <v>79674332</v>
      </c>
      <c r="K18" s="16" t="s">
        <v>526</v>
      </c>
      <c r="L18" s="34" t="s">
        <v>529</v>
      </c>
      <c r="M18" s="38">
        <v>269900</v>
      </c>
      <c r="N18" s="7">
        <v>0.9</v>
      </c>
      <c r="O18" s="6">
        <f t="shared" si="1"/>
        <v>26990</v>
      </c>
      <c r="P18" s="5" t="s">
        <v>504</v>
      </c>
    </row>
    <row r="19" spans="1:16" s="1" customFormat="1" x14ac:dyDescent="0.35">
      <c r="A19" s="5" t="str">
        <f t="shared" si="0"/>
        <v>2023 H1 All Items D90</v>
      </c>
      <c r="B19" s="8">
        <f>'ALL 2024 H2 D80'!$B$2</f>
        <v>46114</v>
      </c>
      <c r="C19" s="8">
        <f>'ALL 2024 H2 D80'!$C$2</f>
        <v>46120</v>
      </c>
      <c r="D19" s="5">
        <v>3208</v>
      </c>
      <c r="E19" s="5">
        <v>320</v>
      </c>
      <c r="F19" s="5">
        <v>1</v>
      </c>
      <c r="G19" s="15">
        <v>1</v>
      </c>
      <c r="H19" s="15">
        <v>81044</v>
      </c>
      <c r="I19" s="5" t="s">
        <v>16</v>
      </c>
      <c r="J19" s="16">
        <v>79674341</v>
      </c>
      <c r="K19" s="16" t="s">
        <v>526</v>
      </c>
      <c r="L19" s="34" t="s">
        <v>530</v>
      </c>
      <c r="M19" s="38">
        <v>269900</v>
      </c>
      <c r="N19" s="7">
        <v>0.9</v>
      </c>
      <c r="O19" s="6">
        <f t="shared" si="1"/>
        <v>26990</v>
      </c>
      <c r="P19" s="5" t="s">
        <v>504</v>
      </c>
    </row>
    <row r="20" spans="1:16" s="1" customFormat="1" x14ac:dyDescent="0.35">
      <c r="A20" s="5" t="str">
        <f t="shared" si="0"/>
        <v>2023 H1 All Items D90</v>
      </c>
      <c r="B20" s="8">
        <f>'ALL 2024 H2 D80'!$B$2</f>
        <v>46114</v>
      </c>
      <c r="C20" s="8">
        <f>'ALL 2024 H2 D80'!$C$2</f>
        <v>46120</v>
      </c>
      <c r="D20" s="5">
        <v>3208</v>
      </c>
      <c r="E20" s="5">
        <v>320</v>
      </c>
      <c r="F20" s="5">
        <v>1</v>
      </c>
      <c r="G20" s="15">
        <v>1</v>
      </c>
      <c r="H20" s="15">
        <v>81044</v>
      </c>
      <c r="I20" s="5" t="s">
        <v>16</v>
      </c>
      <c r="J20" s="16">
        <v>79867928</v>
      </c>
      <c r="K20" s="16" t="s">
        <v>531</v>
      </c>
      <c r="L20" s="34" t="s">
        <v>532</v>
      </c>
      <c r="M20" s="38">
        <v>269900</v>
      </c>
      <c r="N20" s="7">
        <v>0.9</v>
      </c>
      <c r="O20" s="6">
        <f t="shared" si="1"/>
        <v>26990</v>
      </c>
      <c r="P20" s="5" t="s">
        <v>504</v>
      </c>
    </row>
    <row r="21" spans="1:16" s="1" customFormat="1" x14ac:dyDescent="0.35">
      <c r="A21" s="5" t="str">
        <f t="shared" si="0"/>
        <v>2023 H1 All Items D90</v>
      </c>
      <c r="B21" s="8">
        <f>'ALL 2024 H2 D80'!$B$2</f>
        <v>46114</v>
      </c>
      <c r="C21" s="8">
        <f>'ALL 2024 H2 D80'!$C$2</f>
        <v>46120</v>
      </c>
      <c r="D21" s="5">
        <v>3208</v>
      </c>
      <c r="E21" s="5">
        <v>320</v>
      </c>
      <c r="F21" s="5">
        <v>1</v>
      </c>
      <c r="G21" s="15">
        <v>1</v>
      </c>
      <c r="H21" s="15">
        <v>81044</v>
      </c>
      <c r="I21" s="5" t="s">
        <v>16</v>
      </c>
      <c r="J21" s="16">
        <v>79867937</v>
      </c>
      <c r="K21" s="16" t="s">
        <v>531</v>
      </c>
      <c r="L21" s="34" t="s">
        <v>533</v>
      </c>
      <c r="M21" s="38">
        <v>269900</v>
      </c>
      <c r="N21" s="7">
        <v>0.9</v>
      </c>
      <c r="O21" s="6">
        <f t="shared" si="1"/>
        <v>26990</v>
      </c>
      <c r="P21" s="5" t="s">
        <v>504</v>
      </c>
    </row>
    <row r="22" spans="1:16" s="1" customFormat="1" x14ac:dyDescent="0.35">
      <c r="A22" s="5" t="str">
        <f t="shared" si="0"/>
        <v>2023 H1 All Items D90</v>
      </c>
      <c r="B22" s="8">
        <f>'ALL 2024 H2 D80'!$B$2</f>
        <v>46114</v>
      </c>
      <c r="C22" s="8">
        <f>'ALL 2024 H2 D80'!$C$2</f>
        <v>46120</v>
      </c>
      <c r="D22" s="5">
        <v>3208</v>
      </c>
      <c r="E22" s="5">
        <v>320</v>
      </c>
      <c r="F22" s="5">
        <v>1</v>
      </c>
      <c r="G22" s="15">
        <v>1</v>
      </c>
      <c r="H22" s="15">
        <v>81044</v>
      </c>
      <c r="I22" s="5" t="s">
        <v>16</v>
      </c>
      <c r="J22" s="16">
        <v>79867946</v>
      </c>
      <c r="K22" s="16" t="s">
        <v>531</v>
      </c>
      <c r="L22" s="34" t="s">
        <v>534</v>
      </c>
      <c r="M22" s="38">
        <v>269900</v>
      </c>
      <c r="N22" s="7">
        <v>0.9</v>
      </c>
      <c r="O22" s="6">
        <f t="shared" si="1"/>
        <v>26990</v>
      </c>
      <c r="P22" s="5" t="s">
        <v>504</v>
      </c>
    </row>
    <row r="23" spans="1:16" s="1" customFormat="1" x14ac:dyDescent="0.35">
      <c r="A23" s="5" t="str">
        <f t="shared" si="0"/>
        <v>2023 H1 All Items D90</v>
      </c>
      <c r="B23" s="8">
        <f>'ALL 2024 H2 D80'!$B$2</f>
        <v>46114</v>
      </c>
      <c r="C23" s="8">
        <f>'ALL 2024 H2 D80'!$C$2</f>
        <v>46120</v>
      </c>
      <c r="D23" s="5">
        <v>3208</v>
      </c>
      <c r="E23" s="5">
        <v>320</v>
      </c>
      <c r="F23" s="5">
        <v>1</v>
      </c>
      <c r="G23" s="15">
        <v>1</v>
      </c>
      <c r="H23" s="15">
        <v>81044</v>
      </c>
      <c r="I23" s="5" t="s">
        <v>16</v>
      </c>
      <c r="J23" s="16">
        <v>79867955</v>
      </c>
      <c r="K23" s="16" t="s">
        <v>531</v>
      </c>
      <c r="L23" s="34" t="s">
        <v>535</v>
      </c>
      <c r="M23" s="38">
        <v>269900</v>
      </c>
      <c r="N23" s="7">
        <v>0.9</v>
      </c>
      <c r="O23" s="6">
        <f t="shared" si="1"/>
        <v>26990</v>
      </c>
      <c r="P23" s="5" t="s">
        <v>504</v>
      </c>
    </row>
    <row r="24" spans="1:16" s="1" customFormat="1" x14ac:dyDescent="0.35">
      <c r="A24" s="5" t="str">
        <f t="shared" si="0"/>
        <v>2023 H1 All Items D90</v>
      </c>
      <c r="B24" s="8">
        <f>'ALL 2024 H2 D80'!$B$2</f>
        <v>46114</v>
      </c>
      <c r="C24" s="8">
        <f>'ALL 2024 H2 D80'!$C$2</f>
        <v>46120</v>
      </c>
      <c r="D24" s="5">
        <v>3208</v>
      </c>
      <c r="E24" s="5">
        <v>320</v>
      </c>
      <c r="F24" s="5">
        <v>1</v>
      </c>
      <c r="G24" s="15">
        <v>1</v>
      </c>
      <c r="H24" s="15">
        <v>81044</v>
      </c>
      <c r="I24" s="5" t="s">
        <v>16</v>
      </c>
      <c r="J24" s="16">
        <v>79867964</v>
      </c>
      <c r="K24" s="16" t="s">
        <v>531</v>
      </c>
      <c r="L24" s="34" t="s">
        <v>536</v>
      </c>
      <c r="M24" s="38">
        <v>269900</v>
      </c>
      <c r="N24" s="7">
        <v>0.9</v>
      </c>
      <c r="O24" s="6">
        <f t="shared" si="1"/>
        <v>26990</v>
      </c>
      <c r="P24" s="5" t="s">
        <v>504</v>
      </c>
    </row>
    <row r="25" spans="1:16" s="1" customFormat="1" x14ac:dyDescent="0.35">
      <c r="A25" s="5" t="str">
        <f t="shared" si="0"/>
        <v>2023 H1 All Items D90</v>
      </c>
      <c r="B25" s="8">
        <f>'ALL 2024 H2 D80'!$B$2</f>
        <v>46114</v>
      </c>
      <c r="C25" s="8">
        <f>'ALL 2024 H2 D80'!$C$2</f>
        <v>46120</v>
      </c>
      <c r="D25" s="5">
        <v>3208</v>
      </c>
      <c r="E25" s="5">
        <v>320</v>
      </c>
      <c r="F25" s="5">
        <v>1</v>
      </c>
      <c r="G25" s="15">
        <v>1</v>
      </c>
      <c r="H25" s="15">
        <v>81044</v>
      </c>
      <c r="I25" s="5" t="s">
        <v>16</v>
      </c>
      <c r="J25" s="16">
        <v>79867973</v>
      </c>
      <c r="K25" s="16" t="s">
        <v>531</v>
      </c>
      <c r="L25" s="34" t="s">
        <v>537</v>
      </c>
      <c r="M25" s="38">
        <v>269900</v>
      </c>
      <c r="N25" s="7">
        <v>0.9</v>
      </c>
      <c r="O25" s="6">
        <f t="shared" si="1"/>
        <v>26990</v>
      </c>
      <c r="P25" s="5" t="s">
        <v>504</v>
      </c>
    </row>
    <row r="26" spans="1:16" s="1" customFormat="1" x14ac:dyDescent="0.35">
      <c r="A26" s="5" t="str">
        <f t="shared" si="0"/>
        <v>2023 H1 All Items D90</v>
      </c>
      <c r="B26" s="8">
        <f>'ALL 2024 H2 D80'!$B$2</f>
        <v>46114</v>
      </c>
      <c r="C26" s="8">
        <f>'ALL 2024 H2 D80'!$C$2</f>
        <v>46120</v>
      </c>
      <c r="D26" s="5">
        <v>3208</v>
      </c>
      <c r="E26" s="5">
        <v>320</v>
      </c>
      <c r="F26" s="5">
        <v>1</v>
      </c>
      <c r="G26" s="15">
        <v>1</v>
      </c>
      <c r="H26" s="15">
        <v>81044</v>
      </c>
      <c r="I26" s="5" t="s">
        <v>16</v>
      </c>
      <c r="J26" s="16">
        <v>79867982</v>
      </c>
      <c r="K26" s="16" t="s">
        <v>531</v>
      </c>
      <c r="L26" s="34" t="s">
        <v>538</v>
      </c>
      <c r="M26" s="38">
        <v>269900</v>
      </c>
      <c r="N26" s="7">
        <v>0.9</v>
      </c>
      <c r="O26" s="6">
        <f t="shared" si="1"/>
        <v>26990</v>
      </c>
      <c r="P26" s="5" t="s">
        <v>504</v>
      </c>
    </row>
    <row r="27" spans="1:16" s="1" customFormat="1" x14ac:dyDescent="0.35">
      <c r="A27" s="5" t="str">
        <f t="shared" si="0"/>
        <v>2023 H1 All Items D90</v>
      </c>
      <c r="B27" s="8">
        <f>'ALL 2024 H2 D80'!$B$2</f>
        <v>46114</v>
      </c>
      <c r="C27" s="8">
        <f>'ALL 2024 H2 D80'!$C$2</f>
        <v>46120</v>
      </c>
      <c r="D27" s="5">
        <v>3208</v>
      </c>
      <c r="E27" s="5">
        <v>320</v>
      </c>
      <c r="F27" s="5">
        <v>1</v>
      </c>
      <c r="G27" s="15">
        <v>1</v>
      </c>
      <c r="H27" s="15">
        <v>81044</v>
      </c>
      <c r="I27" s="5" t="s">
        <v>16</v>
      </c>
      <c r="J27" s="16">
        <v>79867991</v>
      </c>
      <c r="K27" s="16" t="s">
        <v>531</v>
      </c>
      <c r="L27" s="34" t="s">
        <v>539</v>
      </c>
      <c r="M27" s="38">
        <v>269900</v>
      </c>
      <c r="N27" s="7">
        <v>0.9</v>
      </c>
      <c r="O27" s="6">
        <f t="shared" si="1"/>
        <v>26990</v>
      </c>
      <c r="P27" s="5" t="s">
        <v>504</v>
      </c>
    </row>
    <row r="28" spans="1:16" s="1" customFormat="1" x14ac:dyDescent="0.35">
      <c r="A28" s="5" t="str">
        <f t="shared" si="0"/>
        <v>2023 H1 All Items D90</v>
      </c>
      <c r="B28" s="8">
        <f>'ALL 2024 H2 D80'!$B$2</f>
        <v>46114</v>
      </c>
      <c r="C28" s="8">
        <f>'ALL 2024 H2 D80'!$C$2</f>
        <v>46120</v>
      </c>
      <c r="D28" s="5">
        <v>3208</v>
      </c>
      <c r="E28" s="5">
        <v>320</v>
      </c>
      <c r="F28" s="5">
        <v>1</v>
      </c>
      <c r="G28" s="15">
        <v>1</v>
      </c>
      <c r="H28" s="15">
        <v>81044</v>
      </c>
      <c r="I28" s="5" t="s">
        <v>16</v>
      </c>
      <c r="J28" s="16">
        <v>80907195</v>
      </c>
      <c r="K28" s="16" t="s">
        <v>213</v>
      </c>
      <c r="L28" s="34" t="s">
        <v>540</v>
      </c>
      <c r="M28" s="38">
        <v>269900</v>
      </c>
      <c r="N28" s="7">
        <v>0.9</v>
      </c>
      <c r="O28" s="6">
        <f t="shared" si="1"/>
        <v>26990</v>
      </c>
      <c r="P28" s="5" t="s">
        <v>504</v>
      </c>
    </row>
    <row r="29" spans="1:16" s="1" customFormat="1" x14ac:dyDescent="0.35">
      <c r="A29" s="5" t="str">
        <f t="shared" si="0"/>
        <v>2023 H1 All Items D90</v>
      </c>
      <c r="B29" s="8">
        <f>'ALL 2024 H2 D80'!$B$2</f>
        <v>46114</v>
      </c>
      <c r="C29" s="8">
        <f>'ALL 2024 H2 D80'!$C$2</f>
        <v>46120</v>
      </c>
      <c r="D29" s="5">
        <v>3208</v>
      </c>
      <c r="E29" s="5">
        <v>320</v>
      </c>
      <c r="F29" s="5">
        <v>1</v>
      </c>
      <c r="G29" s="15">
        <v>1</v>
      </c>
      <c r="H29" s="15">
        <v>81044</v>
      </c>
      <c r="I29" s="5" t="s">
        <v>16</v>
      </c>
      <c r="J29" s="16">
        <v>80907202</v>
      </c>
      <c r="K29" s="16" t="s">
        <v>213</v>
      </c>
      <c r="L29" s="34" t="s">
        <v>541</v>
      </c>
      <c r="M29" s="38">
        <v>269900</v>
      </c>
      <c r="N29" s="7">
        <v>0.9</v>
      </c>
      <c r="O29" s="6">
        <f t="shared" si="1"/>
        <v>26990</v>
      </c>
      <c r="P29" s="5" t="s">
        <v>504</v>
      </c>
    </row>
    <row r="30" spans="1:16" s="1" customFormat="1" x14ac:dyDescent="0.35">
      <c r="A30" s="5" t="str">
        <f t="shared" si="0"/>
        <v>2023 H1 All Items D90</v>
      </c>
      <c r="B30" s="8">
        <f>'ALL 2024 H2 D80'!$B$2</f>
        <v>46114</v>
      </c>
      <c r="C30" s="8">
        <f>'ALL 2024 H2 D80'!$C$2</f>
        <v>46120</v>
      </c>
      <c r="D30" s="5">
        <v>3208</v>
      </c>
      <c r="E30" s="5">
        <v>320</v>
      </c>
      <c r="F30" s="5">
        <v>1</v>
      </c>
      <c r="G30" s="15">
        <v>1</v>
      </c>
      <c r="H30" s="15">
        <v>81044</v>
      </c>
      <c r="I30" s="5" t="s">
        <v>16</v>
      </c>
      <c r="J30" s="16">
        <v>80907211</v>
      </c>
      <c r="K30" s="16" t="s">
        <v>213</v>
      </c>
      <c r="L30" s="34" t="s">
        <v>542</v>
      </c>
      <c r="M30" s="38">
        <v>269900</v>
      </c>
      <c r="N30" s="7">
        <v>0.9</v>
      </c>
      <c r="O30" s="6">
        <f t="shared" si="1"/>
        <v>26990</v>
      </c>
      <c r="P30" s="5" t="s">
        <v>504</v>
      </c>
    </row>
    <row r="31" spans="1:16" s="1" customFormat="1" x14ac:dyDescent="0.35">
      <c r="A31" s="5" t="str">
        <f t="shared" si="0"/>
        <v>2023 H1 All Items D90</v>
      </c>
      <c r="B31" s="8">
        <f>'ALL 2024 H2 D80'!$B$2</f>
        <v>46114</v>
      </c>
      <c r="C31" s="8">
        <f>'ALL 2024 H2 D80'!$C$2</f>
        <v>46120</v>
      </c>
      <c r="D31" s="5">
        <v>3208</v>
      </c>
      <c r="E31" s="5">
        <v>320</v>
      </c>
      <c r="F31" s="5">
        <v>1</v>
      </c>
      <c r="G31" s="15">
        <v>1</v>
      </c>
      <c r="H31" s="15">
        <v>81044</v>
      </c>
      <c r="I31" s="5" t="s">
        <v>16</v>
      </c>
      <c r="J31" s="16">
        <v>80907220</v>
      </c>
      <c r="K31" s="16" t="s">
        <v>213</v>
      </c>
      <c r="L31" s="34" t="s">
        <v>543</v>
      </c>
      <c r="M31" s="38">
        <v>269900</v>
      </c>
      <c r="N31" s="7">
        <v>0.9</v>
      </c>
      <c r="O31" s="6">
        <f t="shared" si="1"/>
        <v>26990</v>
      </c>
      <c r="P31" s="5" t="s">
        <v>504</v>
      </c>
    </row>
    <row r="32" spans="1:16" s="1" customFormat="1" x14ac:dyDescent="0.35">
      <c r="A32" s="5" t="str">
        <f t="shared" si="0"/>
        <v>2023 H1 All Items D90</v>
      </c>
      <c r="B32" s="8">
        <f>'ALL 2024 H2 D80'!$B$2</f>
        <v>46114</v>
      </c>
      <c r="C32" s="8">
        <f>'ALL 2024 H2 D80'!$C$2</f>
        <v>46120</v>
      </c>
      <c r="D32" s="5">
        <v>3208</v>
      </c>
      <c r="E32" s="5">
        <v>320</v>
      </c>
      <c r="F32" s="5">
        <v>1</v>
      </c>
      <c r="G32" s="15">
        <v>1</v>
      </c>
      <c r="H32" s="15">
        <v>81044</v>
      </c>
      <c r="I32" s="5" t="s">
        <v>16</v>
      </c>
      <c r="J32" s="16">
        <v>80907239</v>
      </c>
      <c r="K32" s="16" t="s">
        <v>544</v>
      </c>
      <c r="L32" s="34" t="s">
        <v>545</v>
      </c>
      <c r="M32" s="38">
        <v>269900</v>
      </c>
      <c r="N32" s="7">
        <v>0.9</v>
      </c>
      <c r="O32" s="6">
        <f t="shared" si="1"/>
        <v>26990</v>
      </c>
      <c r="P32" s="5" t="s">
        <v>504</v>
      </c>
    </row>
    <row r="33" spans="1:16" s="1" customFormat="1" x14ac:dyDescent="0.35">
      <c r="A33" s="5" t="str">
        <f t="shared" si="0"/>
        <v>2023 H1 All Items D90</v>
      </c>
      <c r="B33" s="8">
        <f>'ALL 2024 H2 D80'!$B$2</f>
        <v>46114</v>
      </c>
      <c r="C33" s="8">
        <f>'ALL 2024 H2 D80'!$C$2</f>
        <v>46120</v>
      </c>
      <c r="D33" s="5">
        <v>3208</v>
      </c>
      <c r="E33" s="5">
        <v>320</v>
      </c>
      <c r="F33" s="5">
        <v>1</v>
      </c>
      <c r="G33" s="15">
        <v>1</v>
      </c>
      <c r="H33" s="15">
        <v>81044</v>
      </c>
      <c r="I33" s="5" t="s">
        <v>16</v>
      </c>
      <c r="J33" s="16">
        <v>80907248</v>
      </c>
      <c r="K33" s="16" t="s">
        <v>544</v>
      </c>
      <c r="L33" s="34" t="s">
        <v>546</v>
      </c>
      <c r="M33" s="38">
        <v>269900</v>
      </c>
      <c r="N33" s="7">
        <v>0.9</v>
      </c>
      <c r="O33" s="6">
        <f t="shared" si="1"/>
        <v>26990</v>
      </c>
      <c r="P33" s="5" t="s">
        <v>504</v>
      </c>
    </row>
    <row r="34" spans="1:16" s="1" customFormat="1" x14ac:dyDescent="0.35">
      <c r="A34" s="5" t="str">
        <f t="shared" si="0"/>
        <v>2023 H1 All Items D90</v>
      </c>
      <c r="B34" s="8">
        <f>'ALL 2024 H2 D80'!$B$2</f>
        <v>46114</v>
      </c>
      <c r="C34" s="8">
        <f>'ALL 2024 H2 D80'!$C$2</f>
        <v>46120</v>
      </c>
      <c r="D34" s="5">
        <v>3208</v>
      </c>
      <c r="E34" s="5">
        <v>320</v>
      </c>
      <c r="F34" s="5">
        <v>1</v>
      </c>
      <c r="G34" s="15">
        <v>1</v>
      </c>
      <c r="H34" s="15">
        <v>81044</v>
      </c>
      <c r="I34" s="5" t="s">
        <v>16</v>
      </c>
      <c r="J34" s="16">
        <v>80907257</v>
      </c>
      <c r="K34" s="16" t="s">
        <v>544</v>
      </c>
      <c r="L34" s="34" t="s">
        <v>547</v>
      </c>
      <c r="M34" s="38">
        <v>269900</v>
      </c>
      <c r="N34" s="7">
        <v>0.9</v>
      </c>
      <c r="O34" s="6">
        <f t="shared" si="1"/>
        <v>26990</v>
      </c>
      <c r="P34" s="5" t="s">
        <v>504</v>
      </c>
    </row>
    <row r="35" spans="1:16" s="1" customFormat="1" x14ac:dyDescent="0.35">
      <c r="A35" s="5" t="str">
        <f t="shared" si="0"/>
        <v>2023 H1 All Items D90</v>
      </c>
      <c r="B35" s="8">
        <f>'ALL 2024 H2 D80'!$B$2</f>
        <v>46114</v>
      </c>
      <c r="C35" s="8">
        <f>'ALL 2024 H2 D80'!$C$2</f>
        <v>46120</v>
      </c>
      <c r="D35" s="5">
        <v>3208</v>
      </c>
      <c r="E35" s="5">
        <v>320</v>
      </c>
      <c r="F35" s="5">
        <v>1</v>
      </c>
      <c r="G35" s="15">
        <v>1</v>
      </c>
      <c r="H35" s="15">
        <v>81044</v>
      </c>
      <c r="I35" s="5" t="s">
        <v>16</v>
      </c>
      <c r="J35" s="16">
        <v>80907266</v>
      </c>
      <c r="K35" s="16" t="s">
        <v>544</v>
      </c>
      <c r="L35" s="34" t="s">
        <v>548</v>
      </c>
      <c r="M35" s="38">
        <v>269900</v>
      </c>
      <c r="N35" s="7">
        <v>0.9</v>
      </c>
      <c r="O35" s="6">
        <f t="shared" si="1"/>
        <v>26990</v>
      </c>
      <c r="P35" s="5" t="s">
        <v>504</v>
      </c>
    </row>
    <row r="36" spans="1:16" s="1" customFormat="1" x14ac:dyDescent="0.35">
      <c r="A36" s="5" t="str">
        <f t="shared" si="0"/>
        <v>2023 H1 All Items D90</v>
      </c>
      <c r="B36" s="8">
        <f>'ALL 2024 H2 D80'!$B$2</f>
        <v>46114</v>
      </c>
      <c r="C36" s="8">
        <f>'ALL 2024 H2 D80'!$C$2</f>
        <v>46120</v>
      </c>
      <c r="D36" s="5">
        <v>3208</v>
      </c>
      <c r="E36" s="5">
        <v>320</v>
      </c>
      <c r="F36" s="5">
        <v>1</v>
      </c>
      <c r="G36" s="15">
        <v>1</v>
      </c>
      <c r="H36" s="15">
        <v>81044</v>
      </c>
      <c r="I36" s="5" t="s">
        <v>16</v>
      </c>
      <c r="J36" s="16">
        <v>80907275</v>
      </c>
      <c r="K36" s="16" t="s">
        <v>544</v>
      </c>
      <c r="L36" s="34" t="s">
        <v>549</v>
      </c>
      <c r="M36" s="38">
        <v>269900</v>
      </c>
      <c r="N36" s="7">
        <v>0.9</v>
      </c>
      <c r="O36" s="6">
        <f t="shared" si="1"/>
        <v>26990</v>
      </c>
      <c r="P36" s="5" t="s">
        <v>504</v>
      </c>
    </row>
    <row r="37" spans="1:16" s="1" customFormat="1" x14ac:dyDescent="0.35">
      <c r="A37" s="5" t="str">
        <f t="shared" si="0"/>
        <v>2023 H1 All Items D90</v>
      </c>
      <c r="B37" s="8">
        <f>'ALL 2024 H2 D80'!$B$2</f>
        <v>46114</v>
      </c>
      <c r="C37" s="8">
        <f>'ALL 2024 H2 D80'!$C$2</f>
        <v>46120</v>
      </c>
      <c r="D37" s="5">
        <v>3208</v>
      </c>
      <c r="E37" s="5">
        <v>320</v>
      </c>
      <c r="F37" s="5">
        <v>1</v>
      </c>
      <c r="G37" s="15">
        <v>1</v>
      </c>
      <c r="H37" s="15">
        <v>81044</v>
      </c>
      <c r="I37" s="5" t="s">
        <v>16</v>
      </c>
      <c r="J37" s="16">
        <v>80907284</v>
      </c>
      <c r="K37" s="16" t="s">
        <v>544</v>
      </c>
      <c r="L37" s="34" t="s">
        <v>550</v>
      </c>
      <c r="M37" s="38">
        <v>269900</v>
      </c>
      <c r="N37" s="7">
        <v>0.9</v>
      </c>
      <c r="O37" s="6">
        <f t="shared" si="1"/>
        <v>26990</v>
      </c>
      <c r="P37" s="5" t="s">
        <v>504</v>
      </c>
    </row>
    <row r="38" spans="1:16" s="1" customFormat="1" x14ac:dyDescent="0.35">
      <c r="A38" s="5" t="str">
        <f t="shared" si="0"/>
        <v>2023 H1 All Items D90</v>
      </c>
      <c r="B38" s="8">
        <f>'ALL 2024 H2 D80'!$B$2</f>
        <v>46114</v>
      </c>
      <c r="C38" s="8">
        <f>'ALL 2024 H2 D80'!$C$2</f>
        <v>46120</v>
      </c>
      <c r="D38" s="5">
        <v>3208</v>
      </c>
      <c r="E38" s="5">
        <v>320</v>
      </c>
      <c r="F38" s="5">
        <v>1</v>
      </c>
      <c r="G38" s="15">
        <v>1</v>
      </c>
      <c r="H38" s="15">
        <v>81044</v>
      </c>
      <c r="I38" s="5" t="s">
        <v>16</v>
      </c>
      <c r="J38" s="16">
        <v>80907293</v>
      </c>
      <c r="K38" s="16" t="s">
        <v>544</v>
      </c>
      <c r="L38" s="34" t="s">
        <v>551</v>
      </c>
      <c r="M38" s="38">
        <v>269900</v>
      </c>
      <c r="N38" s="7">
        <v>0.9</v>
      </c>
      <c r="O38" s="6">
        <f t="shared" si="1"/>
        <v>26990</v>
      </c>
      <c r="P38" s="5" t="s">
        <v>504</v>
      </c>
    </row>
    <row r="39" spans="1:16" s="1" customFormat="1" x14ac:dyDescent="0.35">
      <c r="A39" s="5" t="str">
        <f t="shared" si="0"/>
        <v>2023 H1 All Items D90</v>
      </c>
      <c r="B39" s="8">
        <f>'ALL 2024 H2 D80'!$B$2</f>
        <v>46114</v>
      </c>
      <c r="C39" s="8">
        <f>'ALL 2024 H2 D80'!$C$2</f>
        <v>46120</v>
      </c>
      <c r="D39" s="5">
        <v>3208</v>
      </c>
      <c r="E39" s="5">
        <v>320</v>
      </c>
      <c r="F39" s="5">
        <v>1</v>
      </c>
      <c r="G39" s="15">
        <v>1</v>
      </c>
      <c r="H39" s="15">
        <v>81044</v>
      </c>
      <c r="I39" s="5" t="s">
        <v>16</v>
      </c>
      <c r="J39" s="16">
        <v>80907300</v>
      </c>
      <c r="K39" s="16" t="s">
        <v>544</v>
      </c>
      <c r="L39" s="34" t="s">
        <v>552</v>
      </c>
      <c r="M39" s="38">
        <v>269900</v>
      </c>
      <c r="N39" s="7">
        <v>0.9</v>
      </c>
      <c r="O39" s="6">
        <f t="shared" si="1"/>
        <v>26990</v>
      </c>
      <c r="P39" s="5" t="s">
        <v>504</v>
      </c>
    </row>
    <row r="40" spans="1:16" s="1" customFormat="1" x14ac:dyDescent="0.35">
      <c r="A40" s="5" t="str">
        <f t="shared" si="0"/>
        <v>2023 H1 All Items D90</v>
      </c>
      <c r="B40" s="8">
        <f>'ALL 2024 H2 D80'!$B$2</f>
        <v>46114</v>
      </c>
      <c r="C40" s="8">
        <f>'ALL 2024 H2 D80'!$C$2</f>
        <v>46120</v>
      </c>
      <c r="D40" s="5">
        <v>3208</v>
      </c>
      <c r="E40" s="5">
        <v>320</v>
      </c>
      <c r="F40" s="5">
        <v>1</v>
      </c>
      <c r="G40" s="15">
        <v>1</v>
      </c>
      <c r="H40" s="15">
        <v>81044</v>
      </c>
      <c r="I40" s="5" t="s">
        <v>16</v>
      </c>
      <c r="J40" s="16">
        <v>81289432</v>
      </c>
      <c r="K40" s="16" t="s">
        <v>553</v>
      </c>
      <c r="L40" s="34" t="s">
        <v>554</v>
      </c>
      <c r="M40" s="38">
        <v>279900</v>
      </c>
      <c r="N40" s="7">
        <v>0.9</v>
      </c>
      <c r="O40" s="6">
        <f t="shared" si="1"/>
        <v>27990</v>
      </c>
      <c r="P40" s="5" t="s">
        <v>504</v>
      </c>
    </row>
    <row r="41" spans="1:16" s="1" customFormat="1" x14ac:dyDescent="0.35">
      <c r="A41" s="5" t="str">
        <f t="shared" si="0"/>
        <v>2023 H1 All Items D90</v>
      </c>
      <c r="B41" s="8">
        <f>'ALL 2024 H2 D80'!$B$2</f>
        <v>46114</v>
      </c>
      <c r="C41" s="8">
        <f>'ALL 2024 H2 D80'!$C$2</f>
        <v>46120</v>
      </c>
      <c r="D41" s="5">
        <v>3208</v>
      </c>
      <c r="E41" s="5">
        <v>320</v>
      </c>
      <c r="F41" s="5">
        <v>1</v>
      </c>
      <c r="G41" s="15">
        <v>1</v>
      </c>
      <c r="H41" s="15">
        <v>81044</v>
      </c>
      <c r="I41" s="5" t="s">
        <v>16</v>
      </c>
      <c r="J41" s="16">
        <v>81289441</v>
      </c>
      <c r="K41" s="16" t="s">
        <v>553</v>
      </c>
      <c r="L41" s="34" t="s">
        <v>555</v>
      </c>
      <c r="M41" s="38">
        <v>279900</v>
      </c>
      <c r="N41" s="7">
        <v>0.9</v>
      </c>
      <c r="O41" s="6">
        <f t="shared" si="1"/>
        <v>27990</v>
      </c>
      <c r="P41" s="5" t="s">
        <v>504</v>
      </c>
    </row>
    <row r="42" spans="1:16" s="1" customFormat="1" x14ac:dyDescent="0.35">
      <c r="A42" s="5" t="str">
        <f t="shared" si="0"/>
        <v>2023 H1 All Items D90</v>
      </c>
      <c r="B42" s="8">
        <f>'ALL 2024 H2 D80'!$B$2</f>
        <v>46114</v>
      </c>
      <c r="C42" s="8">
        <f>'ALL 2024 H2 D80'!$C$2</f>
        <v>46120</v>
      </c>
      <c r="D42" s="5">
        <v>3208</v>
      </c>
      <c r="E42" s="5">
        <v>320</v>
      </c>
      <c r="F42" s="5">
        <v>1</v>
      </c>
      <c r="G42" s="15">
        <v>1</v>
      </c>
      <c r="H42" s="15">
        <v>81044</v>
      </c>
      <c r="I42" s="5" t="s">
        <v>16</v>
      </c>
      <c r="J42" s="16">
        <v>81289450</v>
      </c>
      <c r="K42" s="16" t="s">
        <v>553</v>
      </c>
      <c r="L42" s="34" t="s">
        <v>556</v>
      </c>
      <c r="M42" s="38">
        <v>279900</v>
      </c>
      <c r="N42" s="7">
        <v>0.9</v>
      </c>
      <c r="O42" s="6">
        <f t="shared" si="1"/>
        <v>27990</v>
      </c>
      <c r="P42" s="5" t="s">
        <v>504</v>
      </c>
    </row>
    <row r="43" spans="1:16" s="1" customFormat="1" x14ac:dyDescent="0.35">
      <c r="A43" s="5" t="str">
        <f t="shared" si="0"/>
        <v>2023 H1 All Items D90</v>
      </c>
      <c r="B43" s="8">
        <f>'ALL 2024 H2 D80'!$B$2</f>
        <v>46114</v>
      </c>
      <c r="C43" s="8">
        <f>'ALL 2024 H2 D80'!$C$2</f>
        <v>46120</v>
      </c>
      <c r="D43" s="5">
        <v>3208</v>
      </c>
      <c r="E43" s="5">
        <v>320</v>
      </c>
      <c r="F43" s="5">
        <v>1</v>
      </c>
      <c r="G43" s="15">
        <v>1</v>
      </c>
      <c r="H43" s="15">
        <v>81044</v>
      </c>
      <c r="I43" s="5" t="s">
        <v>16</v>
      </c>
      <c r="J43" s="16">
        <v>81289469</v>
      </c>
      <c r="K43" s="16" t="s">
        <v>553</v>
      </c>
      <c r="L43" s="34" t="s">
        <v>557</v>
      </c>
      <c r="M43" s="38">
        <v>279900</v>
      </c>
      <c r="N43" s="7">
        <v>0.9</v>
      </c>
      <c r="O43" s="6">
        <f t="shared" si="1"/>
        <v>27990</v>
      </c>
      <c r="P43" s="5" t="s">
        <v>504</v>
      </c>
    </row>
    <row r="44" spans="1:16" s="1" customFormat="1" x14ac:dyDescent="0.35">
      <c r="A44" s="5" t="str">
        <f t="shared" si="0"/>
        <v>2023 H1 All Items D90</v>
      </c>
      <c r="B44" s="8">
        <f>'ALL 2024 H2 D80'!$B$2</f>
        <v>46114</v>
      </c>
      <c r="C44" s="8">
        <f>'ALL 2024 H2 D80'!$C$2</f>
        <v>46120</v>
      </c>
      <c r="D44" s="5">
        <v>3208</v>
      </c>
      <c r="E44" s="5">
        <v>320</v>
      </c>
      <c r="F44" s="5">
        <v>1</v>
      </c>
      <c r="G44" s="15">
        <v>1</v>
      </c>
      <c r="H44" s="15">
        <v>81044</v>
      </c>
      <c r="I44" s="5" t="s">
        <v>16</v>
      </c>
      <c r="J44" s="16">
        <v>81289478</v>
      </c>
      <c r="K44" s="16" t="s">
        <v>553</v>
      </c>
      <c r="L44" s="34" t="s">
        <v>558</v>
      </c>
      <c r="M44" s="38">
        <v>279900</v>
      </c>
      <c r="N44" s="7">
        <v>0.9</v>
      </c>
      <c r="O44" s="6">
        <f t="shared" si="1"/>
        <v>27990</v>
      </c>
      <c r="P44" s="5" t="s">
        <v>504</v>
      </c>
    </row>
    <row r="45" spans="1:16" s="1" customFormat="1" x14ac:dyDescent="0.35">
      <c r="A45" s="5" t="str">
        <f t="shared" si="0"/>
        <v>2023 H1 All Items D90</v>
      </c>
      <c r="B45" s="8">
        <f>'ALL 2024 H2 D80'!$B$2</f>
        <v>46114</v>
      </c>
      <c r="C45" s="8">
        <f>'ALL 2024 H2 D80'!$C$2</f>
        <v>46120</v>
      </c>
      <c r="D45" s="5">
        <v>3208</v>
      </c>
      <c r="E45" s="5">
        <v>320</v>
      </c>
      <c r="F45" s="5">
        <v>1</v>
      </c>
      <c r="G45" s="15">
        <v>1</v>
      </c>
      <c r="H45" s="15">
        <v>81044</v>
      </c>
      <c r="I45" s="5" t="s">
        <v>16</v>
      </c>
      <c r="J45" s="16">
        <v>81289487</v>
      </c>
      <c r="K45" s="16" t="s">
        <v>553</v>
      </c>
      <c r="L45" s="34" t="s">
        <v>559</v>
      </c>
      <c r="M45" s="38">
        <v>279900</v>
      </c>
      <c r="N45" s="7">
        <v>0.9</v>
      </c>
      <c r="O45" s="6">
        <f t="shared" si="1"/>
        <v>27990</v>
      </c>
      <c r="P45" s="5" t="s">
        <v>504</v>
      </c>
    </row>
    <row r="46" spans="1:16" s="1" customFormat="1" x14ac:dyDescent="0.35">
      <c r="A46" s="5" t="str">
        <f t="shared" si="0"/>
        <v>2023 H1 All Items D90</v>
      </c>
      <c r="B46" s="8">
        <f>'ALL 2024 H2 D80'!$B$2</f>
        <v>46114</v>
      </c>
      <c r="C46" s="8">
        <f>'ALL 2024 H2 D80'!$C$2</f>
        <v>46120</v>
      </c>
      <c r="D46" s="5">
        <v>3208</v>
      </c>
      <c r="E46" s="5">
        <v>320</v>
      </c>
      <c r="F46" s="5">
        <v>1</v>
      </c>
      <c r="G46" s="15">
        <v>1</v>
      </c>
      <c r="H46" s="15">
        <v>81044</v>
      </c>
      <c r="I46" s="5" t="s">
        <v>16</v>
      </c>
      <c r="J46" s="16">
        <v>81289496</v>
      </c>
      <c r="K46" s="16" t="s">
        <v>553</v>
      </c>
      <c r="L46" s="34" t="s">
        <v>560</v>
      </c>
      <c r="M46" s="38">
        <v>279900</v>
      </c>
      <c r="N46" s="7">
        <v>0.9</v>
      </c>
      <c r="O46" s="6">
        <f t="shared" si="1"/>
        <v>27990</v>
      </c>
      <c r="P46" s="5" t="s">
        <v>504</v>
      </c>
    </row>
    <row r="47" spans="1:16" s="1" customFormat="1" x14ac:dyDescent="0.35">
      <c r="A47" s="5" t="str">
        <f t="shared" si="0"/>
        <v>2023 H1 All Items D90</v>
      </c>
      <c r="B47" s="8">
        <f>'ALL 2024 H2 D80'!$B$2</f>
        <v>46114</v>
      </c>
      <c r="C47" s="8">
        <f>'ALL 2024 H2 D80'!$C$2</f>
        <v>46120</v>
      </c>
      <c r="D47" s="5">
        <v>3208</v>
      </c>
      <c r="E47" s="5">
        <v>320</v>
      </c>
      <c r="F47" s="5">
        <v>1</v>
      </c>
      <c r="G47" s="15">
        <v>1</v>
      </c>
      <c r="H47" s="15">
        <v>81044</v>
      </c>
      <c r="I47" s="5" t="s">
        <v>16</v>
      </c>
      <c r="J47" s="16">
        <v>81289503</v>
      </c>
      <c r="K47" s="16" t="s">
        <v>553</v>
      </c>
      <c r="L47" s="34" t="s">
        <v>561</v>
      </c>
      <c r="M47" s="38">
        <v>279900</v>
      </c>
      <c r="N47" s="7">
        <v>0.9</v>
      </c>
      <c r="O47" s="6">
        <f t="shared" si="1"/>
        <v>27990</v>
      </c>
      <c r="P47" s="5" t="s">
        <v>504</v>
      </c>
    </row>
    <row r="48" spans="1:16" s="1" customFormat="1" x14ac:dyDescent="0.35">
      <c r="A48" s="5" t="str">
        <f t="shared" si="0"/>
        <v>2023 H1 All Items D90</v>
      </c>
      <c r="B48" s="8">
        <f>'ALL 2024 H2 D80'!$B$2</f>
        <v>46114</v>
      </c>
      <c r="C48" s="8">
        <f>'ALL 2024 H2 D80'!$C$2</f>
        <v>46120</v>
      </c>
      <c r="D48" s="5">
        <v>3208</v>
      </c>
      <c r="E48" s="5">
        <v>320</v>
      </c>
      <c r="F48" s="5">
        <v>1</v>
      </c>
      <c r="G48" s="15">
        <v>1</v>
      </c>
      <c r="H48" s="15">
        <v>81044</v>
      </c>
      <c r="I48" s="5" t="s">
        <v>16</v>
      </c>
      <c r="J48" s="16">
        <v>81294935</v>
      </c>
      <c r="K48" s="16" t="s">
        <v>562</v>
      </c>
      <c r="L48" s="34" t="s">
        <v>563</v>
      </c>
      <c r="M48" s="38">
        <v>279900</v>
      </c>
      <c r="N48" s="7">
        <v>0.9</v>
      </c>
      <c r="O48" s="6">
        <f t="shared" si="1"/>
        <v>27990</v>
      </c>
      <c r="P48" s="5" t="s">
        <v>504</v>
      </c>
    </row>
    <row r="49" spans="1:16" s="1" customFormat="1" x14ac:dyDescent="0.35">
      <c r="A49" s="5" t="str">
        <f t="shared" si="0"/>
        <v>2023 H1 All Items D90</v>
      </c>
      <c r="B49" s="8">
        <f>'ALL 2024 H2 D80'!$B$2</f>
        <v>46114</v>
      </c>
      <c r="C49" s="8">
        <f>'ALL 2024 H2 D80'!$C$2</f>
        <v>46120</v>
      </c>
      <c r="D49" s="5">
        <v>3208</v>
      </c>
      <c r="E49" s="5">
        <v>320</v>
      </c>
      <c r="F49" s="5">
        <v>1</v>
      </c>
      <c r="G49" s="15">
        <v>1</v>
      </c>
      <c r="H49" s="15">
        <v>81044</v>
      </c>
      <c r="I49" s="5" t="s">
        <v>16</v>
      </c>
      <c r="J49" s="16">
        <v>81294944</v>
      </c>
      <c r="K49" s="16" t="s">
        <v>562</v>
      </c>
      <c r="L49" s="34" t="s">
        <v>564</v>
      </c>
      <c r="M49" s="38">
        <v>279900</v>
      </c>
      <c r="N49" s="7">
        <v>0.9</v>
      </c>
      <c r="O49" s="6">
        <f t="shared" si="1"/>
        <v>27990</v>
      </c>
      <c r="P49" s="5" t="s">
        <v>504</v>
      </c>
    </row>
    <row r="50" spans="1:16" s="1" customFormat="1" x14ac:dyDescent="0.35">
      <c r="A50" s="5" t="str">
        <f t="shared" si="0"/>
        <v>2023 H1 All Items D90</v>
      </c>
      <c r="B50" s="8">
        <f>'ALL 2024 H2 D80'!$B$2</f>
        <v>46114</v>
      </c>
      <c r="C50" s="8">
        <f>'ALL 2024 H2 D80'!$C$2</f>
        <v>46120</v>
      </c>
      <c r="D50" s="5">
        <v>3208</v>
      </c>
      <c r="E50" s="5">
        <v>320</v>
      </c>
      <c r="F50" s="5">
        <v>1</v>
      </c>
      <c r="G50" s="15">
        <v>1</v>
      </c>
      <c r="H50" s="15">
        <v>81044</v>
      </c>
      <c r="I50" s="5" t="s">
        <v>16</v>
      </c>
      <c r="J50" s="16">
        <v>81294953</v>
      </c>
      <c r="K50" s="16" t="s">
        <v>562</v>
      </c>
      <c r="L50" s="34" t="s">
        <v>565</v>
      </c>
      <c r="M50" s="38">
        <v>279900</v>
      </c>
      <c r="N50" s="7">
        <v>0.9</v>
      </c>
      <c r="O50" s="6">
        <f t="shared" si="1"/>
        <v>27990</v>
      </c>
      <c r="P50" s="5" t="s">
        <v>504</v>
      </c>
    </row>
    <row r="51" spans="1:16" s="1" customFormat="1" x14ac:dyDescent="0.35">
      <c r="A51" s="5" t="str">
        <f t="shared" si="0"/>
        <v>2023 H1 All Items D90</v>
      </c>
      <c r="B51" s="8">
        <f>'ALL 2024 H2 D80'!$B$2</f>
        <v>46114</v>
      </c>
      <c r="C51" s="8">
        <f>'ALL 2024 H2 D80'!$C$2</f>
        <v>46120</v>
      </c>
      <c r="D51" s="5">
        <v>3208</v>
      </c>
      <c r="E51" s="5">
        <v>320</v>
      </c>
      <c r="F51" s="5">
        <v>1</v>
      </c>
      <c r="G51" s="15">
        <v>1</v>
      </c>
      <c r="H51" s="15">
        <v>81044</v>
      </c>
      <c r="I51" s="5" t="s">
        <v>16</v>
      </c>
      <c r="J51" s="16">
        <v>81294962</v>
      </c>
      <c r="K51" s="16" t="s">
        <v>562</v>
      </c>
      <c r="L51" s="34" t="s">
        <v>566</v>
      </c>
      <c r="M51" s="38">
        <v>279900</v>
      </c>
      <c r="N51" s="7">
        <v>0.9</v>
      </c>
      <c r="O51" s="6">
        <f t="shared" si="1"/>
        <v>27990</v>
      </c>
      <c r="P51" s="5" t="s">
        <v>504</v>
      </c>
    </row>
    <row r="52" spans="1:16" s="1" customFormat="1" x14ac:dyDescent="0.35">
      <c r="A52" s="5" t="str">
        <f t="shared" si="0"/>
        <v>2023 H1 All Items D90</v>
      </c>
      <c r="B52" s="8">
        <f>'ALL 2024 H2 D80'!$B$2</f>
        <v>46114</v>
      </c>
      <c r="C52" s="8">
        <f>'ALL 2024 H2 D80'!$C$2</f>
        <v>46120</v>
      </c>
      <c r="D52" s="5">
        <v>3208</v>
      </c>
      <c r="E52" s="5">
        <v>320</v>
      </c>
      <c r="F52" s="5">
        <v>1</v>
      </c>
      <c r="G52" s="15">
        <v>1</v>
      </c>
      <c r="H52" s="15">
        <v>81044</v>
      </c>
      <c r="I52" s="5" t="s">
        <v>16</v>
      </c>
      <c r="J52" s="16">
        <v>81294971</v>
      </c>
      <c r="K52" s="16" t="s">
        <v>562</v>
      </c>
      <c r="L52" s="34" t="s">
        <v>567</v>
      </c>
      <c r="M52" s="38">
        <v>279900</v>
      </c>
      <c r="N52" s="7">
        <v>0.9</v>
      </c>
      <c r="O52" s="6">
        <f t="shared" si="1"/>
        <v>27990</v>
      </c>
      <c r="P52" s="5" t="s">
        <v>504</v>
      </c>
    </row>
    <row r="53" spans="1:16" s="1" customFormat="1" x14ac:dyDescent="0.35">
      <c r="A53" s="5" t="str">
        <f t="shared" si="0"/>
        <v>2023 H1 All Items D90</v>
      </c>
      <c r="B53" s="8">
        <f>'ALL 2024 H2 D80'!$B$2</f>
        <v>46114</v>
      </c>
      <c r="C53" s="8">
        <f>'ALL 2024 H2 D80'!$C$2</f>
        <v>46120</v>
      </c>
      <c r="D53" s="5">
        <v>3208</v>
      </c>
      <c r="E53" s="5">
        <v>320</v>
      </c>
      <c r="F53" s="5">
        <v>1</v>
      </c>
      <c r="G53" s="15">
        <v>1</v>
      </c>
      <c r="H53" s="15">
        <v>81044</v>
      </c>
      <c r="I53" s="5" t="s">
        <v>16</v>
      </c>
      <c r="J53" s="16">
        <v>81294980</v>
      </c>
      <c r="K53" s="16" t="s">
        <v>562</v>
      </c>
      <c r="L53" s="34" t="s">
        <v>568</v>
      </c>
      <c r="M53" s="38">
        <v>279900</v>
      </c>
      <c r="N53" s="7">
        <v>0.9</v>
      </c>
      <c r="O53" s="6">
        <f t="shared" si="1"/>
        <v>27990</v>
      </c>
      <c r="P53" s="5" t="s">
        <v>504</v>
      </c>
    </row>
    <row r="54" spans="1:16" s="1" customFormat="1" x14ac:dyDescent="0.35">
      <c r="A54" s="5" t="str">
        <f t="shared" si="0"/>
        <v>2023 H1 All Items D90</v>
      </c>
      <c r="B54" s="8">
        <f>'ALL 2024 H2 D80'!$B$2</f>
        <v>46114</v>
      </c>
      <c r="C54" s="8">
        <f>'ALL 2024 H2 D80'!$C$2</f>
        <v>46120</v>
      </c>
      <c r="D54" s="5">
        <v>3208</v>
      </c>
      <c r="E54" s="5">
        <v>320</v>
      </c>
      <c r="F54" s="5">
        <v>1</v>
      </c>
      <c r="G54" s="15">
        <v>1</v>
      </c>
      <c r="H54" s="15">
        <v>81044</v>
      </c>
      <c r="I54" s="5" t="s">
        <v>16</v>
      </c>
      <c r="J54" s="16">
        <v>81294999</v>
      </c>
      <c r="K54" s="16" t="s">
        <v>562</v>
      </c>
      <c r="L54" s="34" t="s">
        <v>569</v>
      </c>
      <c r="M54" s="38">
        <v>279900</v>
      </c>
      <c r="N54" s="7">
        <v>0.9</v>
      </c>
      <c r="O54" s="6">
        <f t="shared" si="1"/>
        <v>27990</v>
      </c>
      <c r="P54" s="5" t="s">
        <v>504</v>
      </c>
    </row>
    <row r="55" spans="1:16" s="1" customFormat="1" x14ac:dyDescent="0.35">
      <c r="A55" s="5" t="str">
        <f t="shared" si="0"/>
        <v>2023 H1 All Items D90</v>
      </c>
      <c r="B55" s="8">
        <f>'ALL 2024 H2 D80'!$B$2</f>
        <v>46114</v>
      </c>
      <c r="C55" s="8">
        <f>'ALL 2024 H2 D80'!$C$2</f>
        <v>46120</v>
      </c>
      <c r="D55" s="5">
        <v>3208</v>
      </c>
      <c r="E55" s="5">
        <v>320</v>
      </c>
      <c r="F55" s="5">
        <v>1</v>
      </c>
      <c r="G55" s="15">
        <v>1</v>
      </c>
      <c r="H55" s="15">
        <v>81044</v>
      </c>
      <c r="I55" s="5" t="s">
        <v>16</v>
      </c>
      <c r="J55" s="16">
        <v>81295005</v>
      </c>
      <c r="K55" s="16" t="s">
        <v>562</v>
      </c>
      <c r="L55" s="34" t="s">
        <v>570</v>
      </c>
      <c r="M55" s="38">
        <v>279900</v>
      </c>
      <c r="N55" s="7">
        <v>0.9</v>
      </c>
      <c r="O55" s="6">
        <f t="shared" si="1"/>
        <v>27990</v>
      </c>
      <c r="P55" s="5" t="s">
        <v>504</v>
      </c>
    </row>
    <row r="56" spans="1:16" s="1" customFormat="1" x14ac:dyDescent="0.35">
      <c r="A56" s="5" t="str">
        <f t="shared" si="0"/>
        <v>2023 H1 All Items D90</v>
      </c>
      <c r="B56" s="8">
        <f>'ALL 2024 H2 D80'!$B$2</f>
        <v>46114</v>
      </c>
      <c r="C56" s="8">
        <f>'ALL 2024 H2 D80'!$C$2</f>
        <v>46120</v>
      </c>
      <c r="D56" s="5">
        <v>3208</v>
      </c>
      <c r="E56" s="5">
        <v>320</v>
      </c>
      <c r="F56" s="5">
        <v>1</v>
      </c>
      <c r="G56" s="15">
        <v>1</v>
      </c>
      <c r="H56" s="15">
        <v>81044</v>
      </c>
      <c r="I56" s="5" t="s">
        <v>16</v>
      </c>
      <c r="J56" s="16">
        <v>81802500</v>
      </c>
      <c r="K56" s="16" t="s">
        <v>571</v>
      </c>
      <c r="L56" s="34" t="s">
        <v>572</v>
      </c>
      <c r="M56" s="38">
        <v>299900</v>
      </c>
      <c r="N56" s="7">
        <v>0.9</v>
      </c>
      <c r="O56" s="6">
        <f t="shared" si="1"/>
        <v>29990</v>
      </c>
      <c r="P56" s="5" t="s">
        <v>504</v>
      </c>
    </row>
    <row r="57" spans="1:16" s="1" customFormat="1" x14ac:dyDescent="0.35">
      <c r="A57" s="5" t="str">
        <f t="shared" si="0"/>
        <v>2023 H1 All Items D90</v>
      </c>
      <c r="B57" s="8">
        <f>'ALL 2024 H2 D80'!$B$2</f>
        <v>46114</v>
      </c>
      <c r="C57" s="8">
        <f>'ALL 2024 H2 D80'!$C$2</f>
        <v>46120</v>
      </c>
      <c r="D57" s="5">
        <v>3208</v>
      </c>
      <c r="E57" s="5">
        <v>320</v>
      </c>
      <c r="F57" s="5">
        <v>1</v>
      </c>
      <c r="G57" s="15">
        <v>1</v>
      </c>
      <c r="H57" s="15">
        <v>81044</v>
      </c>
      <c r="I57" s="5" t="s">
        <v>16</v>
      </c>
      <c r="J57" s="16">
        <v>81802519</v>
      </c>
      <c r="K57" s="16" t="s">
        <v>571</v>
      </c>
      <c r="L57" s="34" t="s">
        <v>573</v>
      </c>
      <c r="M57" s="38">
        <v>299900</v>
      </c>
      <c r="N57" s="7">
        <v>0.9</v>
      </c>
      <c r="O57" s="6">
        <f t="shared" si="1"/>
        <v>29990</v>
      </c>
      <c r="P57" s="5" t="s">
        <v>504</v>
      </c>
    </row>
    <row r="58" spans="1:16" s="1" customFormat="1" x14ac:dyDescent="0.35">
      <c r="A58" s="5" t="str">
        <f t="shared" si="0"/>
        <v>2023 H1 All Items D90</v>
      </c>
      <c r="B58" s="8">
        <f>'ALL 2024 H2 D80'!$B$2</f>
        <v>46114</v>
      </c>
      <c r="C58" s="8">
        <f>'ALL 2024 H2 D80'!$C$2</f>
        <v>46120</v>
      </c>
      <c r="D58" s="5">
        <v>3208</v>
      </c>
      <c r="E58" s="5">
        <v>320</v>
      </c>
      <c r="F58" s="5">
        <v>1</v>
      </c>
      <c r="G58" s="15">
        <v>1</v>
      </c>
      <c r="H58" s="15">
        <v>81044</v>
      </c>
      <c r="I58" s="5" t="s">
        <v>16</v>
      </c>
      <c r="J58" s="16">
        <v>81802528</v>
      </c>
      <c r="K58" s="16" t="s">
        <v>571</v>
      </c>
      <c r="L58" s="34" t="s">
        <v>574</v>
      </c>
      <c r="M58" s="38">
        <v>299900</v>
      </c>
      <c r="N58" s="7">
        <v>0.9</v>
      </c>
      <c r="O58" s="6">
        <f t="shared" si="1"/>
        <v>29990</v>
      </c>
      <c r="P58" s="5" t="s">
        <v>504</v>
      </c>
    </row>
    <row r="59" spans="1:16" s="1" customFormat="1" x14ac:dyDescent="0.35">
      <c r="A59" s="5" t="str">
        <f t="shared" si="0"/>
        <v>2023 H1 All Items D90</v>
      </c>
      <c r="B59" s="8">
        <f>'ALL 2024 H2 D80'!$B$2</f>
        <v>46114</v>
      </c>
      <c r="C59" s="8">
        <f>'ALL 2024 H2 D80'!$C$2</f>
        <v>46120</v>
      </c>
      <c r="D59" s="5">
        <v>3208</v>
      </c>
      <c r="E59" s="5">
        <v>320</v>
      </c>
      <c r="F59" s="5">
        <v>1</v>
      </c>
      <c r="G59" s="15">
        <v>1</v>
      </c>
      <c r="H59" s="15">
        <v>81044</v>
      </c>
      <c r="I59" s="5" t="s">
        <v>16</v>
      </c>
      <c r="J59" s="16">
        <v>81802537</v>
      </c>
      <c r="K59" s="16" t="s">
        <v>571</v>
      </c>
      <c r="L59" s="34" t="s">
        <v>575</v>
      </c>
      <c r="M59" s="38">
        <v>299900</v>
      </c>
      <c r="N59" s="7">
        <v>0.9</v>
      </c>
      <c r="O59" s="6">
        <f t="shared" si="1"/>
        <v>29990</v>
      </c>
      <c r="P59" s="5" t="s">
        <v>504</v>
      </c>
    </row>
    <row r="60" spans="1:16" s="1" customFormat="1" x14ac:dyDescent="0.35">
      <c r="A60" s="5" t="str">
        <f t="shared" si="0"/>
        <v>2023 H1 All Items D90</v>
      </c>
      <c r="B60" s="8">
        <f>'ALL 2024 H2 D80'!$B$2</f>
        <v>46114</v>
      </c>
      <c r="C60" s="8">
        <f>'ALL 2024 H2 D80'!$C$2</f>
        <v>46120</v>
      </c>
      <c r="D60" s="5">
        <v>3208</v>
      </c>
      <c r="E60" s="5">
        <v>320</v>
      </c>
      <c r="F60" s="5">
        <v>1</v>
      </c>
      <c r="G60" s="15">
        <v>1</v>
      </c>
      <c r="H60" s="15">
        <v>81044</v>
      </c>
      <c r="I60" s="5" t="s">
        <v>16</v>
      </c>
      <c r="J60" s="16">
        <v>81802546</v>
      </c>
      <c r="K60" s="16" t="s">
        <v>571</v>
      </c>
      <c r="L60" s="34" t="s">
        <v>576</v>
      </c>
      <c r="M60" s="38">
        <v>299900</v>
      </c>
      <c r="N60" s="7">
        <v>0.9</v>
      </c>
      <c r="O60" s="6">
        <f t="shared" si="1"/>
        <v>29990</v>
      </c>
      <c r="P60" s="5" t="s">
        <v>504</v>
      </c>
    </row>
    <row r="61" spans="1:16" s="1" customFormat="1" x14ac:dyDescent="0.35">
      <c r="A61" s="5" t="str">
        <f t="shared" si="0"/>
        <v>2023 H1 All Items D90</v>
      </c>
      <c r="B61" s="8">
        <f>'ALL 2024 H2 D80'!$B$2</f>
        <v>46114</v>
      </c>
      <c r="C61" s="8">
        <f>'ALL 2024 H2 D80'!$C$2</f>
        <v>46120</v>
      </c>
      <c r="D61" s="5">
        <v>3208</v>
      </c>
      <c r="E61" s="5">
        <v>320</v>
      </c>
      <c r="F61" s="5">
        <v>1</v>
      </c>
      <c r="G61" s="15">
        <v>1</v>
      </c>
      <c r="H61" s="15">
        <v>81044</v>
      </c>
      <c r="I61" s="5" t="s">
        <v>16</v>
      </c>
      <c r="J61" s="16">
        <v>81802555</v>
      </c>
      <c r="K61" s="16" t="s">
        <v>571</v>
      </c>
      <c r="L61" s="34" t="s">
        <v>577</v>
      </c>
      <c r="M61" s="38">
        <v>299900</v>
      </c>
      <c r="N61" s="7">
        <v>0.9</v>
      </c>
      <c r="O61" s="6">
        <f t="shared" si="1"/>
        <v>29990</v>
      </c>
      <c r="P61" s="5" t="s">
        <v>504</v>
      </c>
    </row>
    <row r="62" spans="1:16" s="1" customFormat="1" x14ac:dyDescent="0.35">
      <c r="A62" s="5" t="str">
        <f t="shared" si="0"/>
        <v>2023 H1 All Items D90</v>
      </c>
      <c r="B62" s="8">
        <f>'ALL 2024 H2 D80'!$B$2</f>
        <v>46114</v>
      </c>
      <c r="C62" s="8">
        <f>'ALL 2024 H2 D80'!$C$2</f>
        <v>46120</v>
      </c>
      <c r="D62" s="5">
        <v>3208</v>
      </c>
      <c r="E62" s="5">
        <v>320</v>
      </c>
      <c r="F62" s="5">
        <v>1</v>
      </c>
      <c r="G62" s="15">
        <v>1</v>
      </c>
      <c r="H62" s="15">
        <v>81044</v>
      </c>
      <c r="I62" s="5" t="s">
        <v>16</v>
      </c>
      <c r="J62" s="16">
        <v>81802564</v>
      </c>
      <c r="K62" s="16" t="s">
        <v>571</v>
      </c>
      <c r="L62" s="34" t="s">
        <v>578</v>
      </c>
      <c r="M62" s="38">
        <v>299900</v>
      </c>
      <c r="N62" s="7">
        <v>0.9</v>
      </c>
      <c r="O62" s="6">
        <f t="shared" si="1"/>
        <v>29990</v>
      </c>
      <c r="P62" s="5" t="s">
        <v>504</v>
      </c>
    </row>
    <row r="63" spans="1:16" s="1" customFormat="1" x14ac:dyDescent="0.35">
      <c r="A63" s="5" t="str">
        <f t="shared" si="0"/>
        <v>2023 H1 All Items D90</v>
      </c>
      <c r="B63" s="8">
        <f>'ALL 2024 H2 D80'!$B$2</f>
        <v>46114</v>
      </c>
      <c r="C63" s="8">
        <f>'ALL 2024 H2 D80'!$C$2</f>
        <v>46120</v>
      </c>
      <c r="D63" s="5">
        <v>3208</v>
      </c>
      <c r="E63" s="5">
        <v>320</v>
      </c>
      <c r="F63" s="5">
        <v>1</v>
      </c>
      <c r="G63" s="15">
        <v>1</v>
      </c>
      <c r="H63" s="15">
        <v>81044</v>
      </c>
      <c r="I63" s="5" t="s">
        <v>16</v>
      </c>
      <c r="J63" s="16">
        <v>81802573</v>
      </c>
      <c r="K63" s="16" t="s">
        <v>571</v>
      </c>
      <c r="L63" s="34" t="s">
        <v>579</v>
      </c>
      <c r="M63" s="38">
        <v>299900</v>
      </c>
      <c r="N63" s="7">
        <v>0.9</v>
      </c>
      <c r="O63" s="6">
        <f t="shared" si="1"/>
        <v>29990</v>
      </c>
      <c r="P63" s="5" t="s">
        <v>504</v>
      </c>
    </row>
    <row r="64" spans="1:16" s="1" customFormat="1" x14ac:dyDescent="0.35">
      <c r="A64" s="5" t="str">
        <f t="shared" si="0"/>
        <v>2023 H1 All Items D90</v>
      </c>
      <c r="B64" s="8">
        <f>'ALL 2024 H2 D80'!$B$2</f>
        <v>46114</v>
      </c>
      <c r="C64" s="8">
        <f>'ALL 2024 H2 D80'!$C$2</f>
        <v>46120</v>
      </c>
      <c r="D64" s="5">
        <v>3208</v>
      </c>
      <c r="E64" s="5">
        <v>320</v>
      </c>
      <c r="F64" s="5">
        <v>1</v>
      </c>
      <c r="G64" s="15">
        <v>1</v>
      </c>
      <c r="H64" s="15">
        <v>81044</v>
      </c>
      <c r="I64" s="5" t="s">
        <v>16</v>
      </c>
      <c r="J64" s="16">
        <v>82238379</v>
      </c>
      <c r="K64" s="16" t="s">
        <v>580</v>
      </c>
      <c r="L64" s="34" t="s">
        <v>581</v>
      </c>
      <c r="M64" s="38">
        <v>299900</v>
      </c>
      <c r="N64" s="7">
        <v>0.9</v>
      </c>
      <c r="O64" s="6">
        <f t="shared" si="1"/>
        <v>29990</v>
      </c>
      <c r="P64" s="5" t="s">
        <v>504</v>
      </c>
    </row>
    <row r="65" spans="1:16" s="1" customFormat="1" x14ac:dyDescent="0.35">
      <c r="A65" s="5" t="str">
        <f t="shared" si="0"/>
        <v>2023 H1 All Items D90</v>
      </c>
      <c r="B65" s="8">
        <f>'ALL 2024 H2 D80'!$B$2</f>
        <v>46114</v>
      </c>
      <c r="C65" s="8">
        <f>'ALL 2024 H2 D80'!$C$2</f>
        <v>46120</v>
      </c>
      <c r="D65" s="5">
        <v>3208</v>
      </c>
      <c r="E65" s="5">
        <v>320</v>
      </c>
      <c r="F65" s="5">
        <v>1</v>
      </c>
      <c r="G65" s="15">
        <v>1</v>
      </c>
      <c r="H65" s="15">
        <v>81044</v>
      </c>
      <c r="I65" s="5" t="s">
        <v>16</v>
      </c>
      <c r="J65" s="16">
        <v>82238388</v>
      </c>
      <c r="K65" s="16" t="s">
        <v>580</v>
      </c>
      <c r="L65" s="34" t="s">
        <v>582</v>
      </c>
      <c r="M65" s="38">
        <v>299900</v>
      </c>
      <c r="N65" s="7">
        <v>0.9</v>
      </c>
      <c r="O65" s="6">
        <f t="shared" si="1"/>
        <v>29990</v>
      </c>
      <c r="P65" s="5" t="s">
        <v>504</v>
      </c>
    </row>
    <row r="66" spans="1:16" s="1" customFormat="1" x14ac:dyDescent="0.35">
      <c r="A66" s="5" t="str">
        <f t="shared" si="0"/>
        <v>2023 H1 All Items D90</v>
      </c>
      <c r="B66" s="8">
        <f>'ALL 2024 H2 D80'!$B$2</f>
        <v>46114</v>
      </c>
      <c r="C66" s="8">
        <f>'ALL 2024 H2 D80'!$C$2</f>
        <v>46120</v>
      </c>
      <c r="D66" s="5">
        <v>3208</v>
      </c>
      <c r="E66" s="5">
        <v>320</v>
      </c>
      <c r="F66" s="5">
        <v>1</v>
      </c>
      <c r="G66" s="15">
        <v>1</v>
      </c>
      <c r="H66" s="15">
        <v>81044</v>
      </c>
      <c r="I66" s="5" t="s">
        <v>16</v>
      </c>
      <c r="J66" s="16">
        <v>82238397</v>
      </c>
      <c r="K66" s="16" t="s">
        <v>580</v>
      </c>
      <c r="L66" s="34" t="s">
        <v>583</v>
      </c>
      <c r="M66" s="38">
        <v>299900</v>
      </c>
      <c r="N66" s="7">
        <v>0.9</v>
      </c>
      <c r="O66" s="6">
        <f t="shared" si="1"/>
        <v>29990</v>
      </c>
      <c r="P66" s="5" t="s">
        <v>504</v>
      </c>
    </row>
    <row r="67" spans="1:16" s="1" customFormat="1" x14ac:dyDescent="0.35">
      <c r="A67" s="5" t="str">
        <f t="shared" si="0"/>
        <v>2023 H1 All Items D90</v>
      </c>
      <c r="B67" s="8">
        <f>'ALL 2024 H2 D80'!$B$2</f>
        <v>46114</v>
      </c>
      <c r="C67" s="8">
        <f>'ALL 2024 H2 D80'!$C$2</f>
        <v>46120</v>
      </c>
      <c r="D67" s="5">
        <v>3208</v>
      </c>
      <c r="E67" s="5">
        <v>320</v>
      </c>
      <c r="F67" s="5">
        <v>1</v>
      </c>
      <c r="G67" s="15">
        <v>1</v>
      </c>
      <c r="H67" s="15">
        <v>81044</v>
      </c>
      <c r="I67" s="5" t="s">
        <v>16</v>
      </c>
      <c r="J67" s="16">
        <v>82238404</v>
      </c>
      <c r="K67" s="16" t="s">
        <v>580</v>
      </c>
      <c r="L67" s="34" t="s">
        <v>584</v>
      </c>
      <c r="M67" s="38">
        <v>299900</v>
      </c>
      <c r="N67" s="7">
        <v>0.9</v>
      </c>
      <c r="O67" s="6">
        <f t="shared" si="1"/>
        <v>29990</v>
      </c>
      <c r="P67" s="5" t="s">
        <v>504</v>
      </c>
    </row>
    <row r="68" spans="1:16" s="1" customFormat="1" x14ac:dyDescent="0.35">
      <c r="A68" s="5" t="str">
        <f t="shared" ref="A68:A131" si="2">$A$2</f>
        <v>2023 H1 All Items D90</v>
      </c>
      <c r="B68" s="8">
        <f>'ALL 2024 H2 D80'!$B$2</f>
        <v>46114</v>
      </c>
      <c r="C68" s="8">
        <f>'ALL 2024 H2 D80'!$C$2</f>
        <v>46120</v>
      </c>
      <c r="D68" s="5">
        <v>3208</v>
      </c>
      <c r="E68" s="5">
        <v>320</v>
      </c>
      <c r="F68" s="5">
        <v>1</v>
      </c>
      <c r="G68" s="15">
        <v>1</v>
      </c>
      <c r="H68" s="15">
        <v>81044</v>
      </c>
      <c r="I68" s="5" t="s">
        <v>16</v>
      </c>
      <c r="J68" s="16">
        <v>82238413</v>
      </c>
      <c r="K68" s="16" t="s">
        <v>580</v>
      </c>
      <c r="L68" s="34" t="s">
        <v>585</v>
      </c>
      <c r="M68" s="38">
        <v>299900</v>
      </c>
      <c r="N68" s="7">
        <v>0.9</v>
      </c>
      <c r="O68" s="6">
        <f t="shared" ref="O68:O131" si="3">M68-(M68*N68)</f>
        <v>29990</v>
      </c>
      <c r="P68" s="5" t="s">
        <v>504</v>
      </c>
    </row>
    <row r="69" spans="1:16" s="1" customFormat="1" x14ac:dyDescent="0.35">
      <c r="A69" s="5" t="str">
        <f t="shared" si="2"/>
        <v>2023 H1 All Items D90</v>
      </c>
      <c r="B69" s="8">
        <f>'ALL 2024 H2 D80'!$B$2</f>
        <v>46114</v>
      </c>
      <c r="C69" s="8">
        <f>'ALL 2024 H2 D80'!$C$2</f>
        <v>46120</v>
      </c>
      <c r="D69" s="5">
        <v>3208</v>
      </c>
      <c r="E69" s="5">
        <v>320</v>
      </c>
      <c r="F69" s="5">
        <v>1</v>
      </c>
      <c r="G69" s="15">
        <v>1</v>
      </c>
      <c r="H69" s="15">
        <v>81044</v>
      </c>
      <c r="I69" s="5" t="s">
        <v>16</v>
      </c>
      <c r="J69" s="16">
        <v>82238422</v>
      </c>
      <c r="K69" s="16" t="s">
        <v>580</v>
      </c>
      <c r="L69" s="34" t="s">
        <v>586</v>
      </c>
      <c r="M69" s="38">
        <v>299900</v>
      </c>
      <c r="N69" s="7">
        <v>0.9</v>
      </c>
      <c r="O69" s="6">
        <f t="shared" si="3"/>
        <v>29990</v>
      </c>
      <c r="P69" s="5" t="s">
        <v>504</v>
      </c>
    </row>
    <row r="70" spans="1:16" s="1" customFormat="1" x14ac:dyDescent="0.35">
      <c r="A70" s="5" t="str">
        <f t="shared" si="2"/>
        <v>2023 H1 All Items D90</v>
      </c>
      <c r="B70" s="8">
        <f>'ALL 2024 H2 D80'!$B$2</f>
        <v>46114</v>
      </c>
      <c r="C70" s="8">
        <f>'ALL 2024 H2 D80'!$C$2</f>
        <v>46120</v>
      </c>
      <c r="D70" s="5">
        <v>3208</v>
      </c>
      <c r="E70" s="5">
        <v>320</v>
      </c>
      <c r="F70" s="5">
        <v>1</v>
      </c>
      <c r="G70" s="15">
        <v>1</v>
      </c>
      <c r="H70" s="15">
        <v>81044</v>
      </c>
      <c r="I70" s="5" t="s">
        <v>16</v>
      </c>
      <c r="J70" s="16">
        <v>82238431</v>
      </c>
      <c r="K70" s="16" t="s">
        <v>580</v>
      </c>
      <c r="L70" s="34" t="s">
        <v>587</v>
      </c>
      <c r="M70" s="38">
        <v>299900</v>
      </c>
      <c r="N70" s="7">
        <v>0.9</v>
      </c>
      <c r="O70" s="6">
        <f t="shared" si="3"/>
        <v>29990</v>
      </c>
      <c r="P70" s="5" t="s">
        <v>504</v>
      </c>
    </row>
    <row r="71" spans="1:16" s="1" customFormat="1" x14ac:dyDescent="0.35">
      <c r="A71" s="5" t="str">
        <f t="shared" si="2"/>
        <v>2023 H1 All Items D90</v>
      </c>
      <c r="B71" s="8">
        <f>'ALL 2024 H2 D80'!$B$2</f>
        <v>46114</v>
      </c>
      <c r="C71" s="8">
        <f>'ALL 2024 H2 D80'!$C$2</f>
        <v>46120</v>
      </c>
      <c r="D71" s="5">
        <v>3208</v>
      </c>
      <c r="E71" s="5">
        <v>320</v>
      </c>
      <c r="F71" s="5">
        <v>1</v>
      </c>
      <c r="G71" s="15">
        <v>1</v>
      </c>
      <c r="H71" s="15">
        <v>81044</v>
      </c>
      <c r="I71" s="5" t="s">
        <v>16</v>
      </c>
      <c r="J71" s="16">
        <v>82238440</v>
      </c>
      <c r="K71" s="16" t="s">
        <v>580</v>
      </c>
      <c r="L71" s="34" t="s">
        <v>588</v>
      </c>
      <c r="M71" s="38">
        <v>299900</v>
      </c>
      <c r="N71" s="7">
        <v>0.9</v>
      </c>
      <c r="O71" s="6">
        <f t="shared" si="3"/>
        <v>29990</v>
      </c>
      <c r="P71" s="5" t="s">
        <v>504</v>
      </c>
    </row>
    <row r="72" spans="1:16" s="1" customFormat="1" x14ac:dyDescent="0.35">
      <c r="A72" s="5" t="str">
        <f t="shared" si="2"/>
        <v>2023 H1 All Items D90</v>
      </c>
      <c r="B72" s="8">
        <f>'ALL 2024 H2 D80'!$B$2</f>
        <v>46114</v>
      </c>
      <c r="C72" s="8">
        <f>'ALL 2024 H2 D80'!$C$2</f>
        <v>46120</v>
      </c>
      <c r="D72" s="5">
        <v>3208</v>
      </c>
      <c r="E72" s="5">
        <v>320</v>
      </c>
      <c r="F72" s="5">
        <v>1</v>
      </c>
      <c r="G72" s="15">
        <v>1</v>
      </c>
      <c r="H72" s="15">
        <v>81495</v>
      </c>
      <c r="I72" s="5" t="s">
        <v>16</v>
      </c>
      <c r="J72" s="16">
        <v>74561052</v>
      </c>
      <c r="K72" s="16" t="s">
        <v>173</v>
      </c>
      <c r="L72" s="34" t="s">
        <v>589</v>
      </c>
      <c r="M72" s="38">
        <v>269900</v>
      </c>
      <c r="N72" s="7">
        <v>0.9</v>
      </c>
      <c r="O72" s="6">
        <f t="shared" si="3"/>
        <v>26990</v>
      </c>
      <c r="P72" s="5" t="s">
        <v>504</v>
      </c>
    </row>
    <row r="73" spans="1:16" s="1" customFormat="1" x14ac:dyDescent="0.35">
      <c r="A73" s="5" t="str">
        <f t="shared" si="2"/>
        <v>2023 H1 All Items D90</v>
      </c>
      <c r="B73" s="8">
        <f>'ALL 2024 H2 D80'!$B$2</f>
        <v>46114</v>
      </c>
      <c r="C73" s="8">
        <f>'ALL 2024 H2 D80'!$C$2</f>
        <v>46120</v>
      </c>
      <c r="D73" s="5">
        <v>3208</v>
      </c>
      <c r="E73" s="5">
        <v>320</v>
      </c>
      <c r="F73" s="5">
        <v>1</v>
      </c>
      <c r="G73" s="15">
        <v>1</v>
      </c>
      <c r="H73" s="15">
        <v>81495</v>
      </c>
      <c r="I73" s="5" t="s">
        <v>16</v>
      </c>
      <c r="J73" s="16">
        <v>79666127</v>
      </c>
      <c r="K73" s="16" t="s">
        <v>590</v>
      </c>
      <c r="L73" s="34" t="s">
        <v>591</v>
      </c>
      <c r="M73" s="38">
        <v>249900</v>
      </c>
      <c r="N73" s="7">
        <v>0.9</v>
      </c>
      <c r="O73" s="6">
        <f t="shared" si="3"/>
        <v>24990</v>
      </c>
      <c r="P73" s="5" t="s">
        <v>504</v>
      </c>
    </row>
    <row r="74" spans="1:16" s="1" customFormat="1" x14ac:dyDescent="0.35">
      <c r="A74" s="5" t="str">
        <f t="shared" si="2"/>
        <v>2023 H1 All Items D90</v>
      </c>
      <c r="B74" s="8">
        <f>'ALL 2024 H2 D80'!$B$2</f>
        <v>46114</v>
      </c>
      <c r="C74" s="8">
        <f>'ALL 2024 H2 D80'!$C$2</f>
        <v>46120</v>
      </c>
      <c r="D74" s="5">
        <v>3208</v>
      </c>
      <c r="E74" s="5">
        <v>320</v>
      </c>
      <c r="F74" s="5">
        <v>1</v>
      </c>
      <c r="G74" s="15">
        <v>1</v>
      </c>
      <c r="H74" s="15">
        <v>81495</v>
      </c>
      <c r="I74" s="5" t="s">
        <v>16</v>
      </c>
      <c r="J74" s="16">
        <v>79666136</v>
      </c>
      <c r="K74" s="16" t="s">
        <v>590</v>
      </c>
      <c r="L74" s="34" t="s">
        <v>592</v>
      </c>
      <c r="M74" s="38">
        <v>249900</v>
      </c>
      <c r="N74" s="7">
        <v>0.9</v>
      </c>
      <c r="O74" s="6">
        <f t="shared" si="3"/>
        <v>24990</v>
      </c>
      <c r="P74" s="5" t="s">
        <v>504</v>
      </c>
    </row>
    <row r="75" spans="1:16" s="1" customFormat="1" x14ac:dyDescent="0.35">
      <c r="A75" s="5" t="str">
        <f t="shared" si="2"/>
        <v>2023 H1 All Items D90</v>
      </c>
      <c r="B75" s="8">
        <f>'ALL 2024 H2 D80'!$B$2</f>
        <v>46114</v>
      </c>
      <c r="C75" s="8">
        <f>'ALL 2024 H2 D80'!$C$2</f>
        <v>46120</v>
      </c>
      <c r="D75" s="5">
        <v>3208</v>
      </c>
      <c r="E75" s="5">
        <v>320</v>
      </c>
      <c r="F75" s="5">
        <v>1</v>
      </c>
      <c r="G75" s="15">
        <v>1</v>
      </c>
      <c r="H75" s="15">
        <v>81495</v>
      </c>
      <c r="I75" s="5" t="s">
        <v>16</v>
      </c>
      <c r="J75" s="16">
        <v>79666145</v>
      </c>
      <c r="K75" s="16" t="s">
        <v>590</v>
      </c>
      <c r="L75" s="34" t="s">
        <v>593</v>
      </c>
      <c r="M75" s="38">
        <v>249900</v>
      </c>
      <c r="N75" s="7">
        <v>0.9</v>
      </c>
      <c r="O75" s="6">
        <f t="shared" si="3"/>
        <v>24990</v>
      </c>
      <c r="P75" s="5" t="s">
        <v>504</v>
      </c>
    </row>
    <row r="76" spans="1:16" s="1" customFormat="1" x14ac:dyDescent="0.35">
      <c r="A76" s="5" t="str">
        <f t="shared" si="2"/>
        <v>2023 H1 All Items D90</v>
      </c>
      <c r="B76" s="8">
        <f>'ALL 2024 H2 D80'!$B$2</f>
        <v>46114</v>
      </c>
      <c r="C76" s="8">
        <f>'ALL 2024 H2 D80'!$C$2</f>
        <v>46120</v>
      </c>
      <c r="D76" s="5">
        <v>3208</v>
      </c>
      <c r="E76" s="5">
        <v>320</v>
      </c>
      <c r="F76" s="5">
        <v>1</v>
      </c>
      <c r="G76" s="15">
        <v>1</v>
      </c>
      <c r="H76" s="15">
        <v>81495</v>
      </c>
      <c r="I76" s="5" t="s">
        <v>16</v>
      </c>
      <c r="J76" s="16">
        <v>79666154</v>
      </c>
      <c r="K76" s="16" t="s">
        <v>590</v>
      </c>
      <c r="L76" s="34" t="s">
        <v>594</v>
      </c>
      <c r="M76" s="38">
        <v>249900</v>
      </c>
      <c r="N76" s="7">
        <v>0.9</v>
      </c>
      <c r="O76" s="6">
        <f t="shared" si="3"/>
        <v>24990</v>
      </c>
      <c r="P76" s="5" t="s">
        <v>504</v>
      </c>
    </row>
    <row r="77" spans="1:16" s="1" customFormat="1" x14ac:dyDescent="0.35">
      <c r="A77" s="5" t="str">
        <f t="shared" si="2"/>
        <v>2023 H1 All Items D90</v>
      </c>
      <c r="B77" s="8">
        <f>'ALL 2024 H2 D80'!$B$2</f>
        <v>46114</v>
      </c>
      <c r="C77" s="8">
        <f>'ALL 2024 H2 D80'!$C$2</f>
        <v>46120</v>
      </c>
      <c r="D77" s="5">
        <v>3208</v>
      </c>
      <c r="E77" s="5">
        <v>320</v>
      </c>
      <c r="F77" s="5">
        <v>1</v>
      </c>
      <c r="G77" s="15">
        <v>1</v>
      </c>
      <c r="H77" s="15">
        <v>81495</v>
      </c>
      <c r="I77" s="5" t="s">
        <v>16</v>
      </c>
      <c r="J77" s="16">
        <v>79666163</v>
      </c>
      <c r="K77" s="16" t="s">
        <v>590</v>
      </c>
      <c r="L77" s="34" t="s">
        <v>595</v>
      </c>
      <c r="M77" s="38">
        <v>249900</v>
      </c>
      <c r="N77" s="7">
        <v>0.9</v>
      </c>
      <c r="O77" s="6">
        <f t="shared" si="3"/>
        <v>24990</v>
      </c>
      <c r="P77" s="5" t="s">
        <v>504</v>
      </c>
    </row>
    <row r="78" spans="1:16" s="1" customFormat="1" x14ac:dyDescent="0.35">
      <c r="A78" s="5" t="str">
        <f t="shared" si="2"/>
        <v>2023 H1 All Items D90</v>
      </c>
      <c r="B78" s="8">
        <f>'ALL 2024 H2 D80'!$B$2</f>
        <v>46114</v>
      </c>
      <c r="C78" s="8">
        <f>'ALL 2024 H2 D80'!$C$2</f>
        <v>46120</v>
      </c>
      <c r="D78" s="5">
        <v>3208</v>
      </c>
      <c r="E78" s="5">
        <v>320</v>
      </c>
      <c r="F78" s="5">
        <v>1</v>
      </c>
      <c r="G78" s="15">
        <v>1</v>
      </c>
      <c r="H78" s="15">
        <v>81495</v>
      </c>
      <c r="I78" s="5" t="s">
        <v>16</v>
      </c>
      <c r="J78" s="16">
        <v>79666172</v>
      </c>
      <c r="K78" s="16" t="s">
        <v>590</v>
      </c>
      <c r="L78" s="34" t="s">
        <v>596</v>
      </c>
      <c r="M78" s="38">
        <v>249900</v>
      </c>
      <c r="N78" s="7">
        <v>0.9</v>
      </c>
      <c r="O78" s="6">
        <f t="shared" si="3"/>
        <v>24990</v>
      </c>
      <c r="P78" s="5" t="s">
        <v>504</v>
      </c>
    </row>
    <row r="79" spans="1:16" s="1" customFormat="1" x14ac:dyDescent="0.35">
      <c r="A79" s="5" t="str">
        <f t="shared" si="2"/>
        <v>2023 H1 All Items D90</v>
      </c>
      <c r="B79" s="8">
        <f>'ALL 2024 H2 D80'!$B$2</f>
        <v>46114</v>
      </c>
      <c r="C79" s="8">
        <f>'ALL 2024 H2 D80'!$C$2</f>
        <v>46120</v>
      </c>
      <c r="D79" s="5">
        <v>3208</v>
      </c>
      <c r="E79" s="5">
        <v>320</v>
      </c>
      <c r="F79" s="5">
        <v>1</v>
      </c>
      <c r="G79" s="15">
        <v>1</v>
      </c>
      <c r="H79" s="15">
        <v>81495</v>
      </c>
      <c r="I79" s="5" t="s">
        <v>16</v>
      </c>
      <c r="J79" s="16">
        <v>79666181</v>
      </c>
      <c r="K79" s="16" t="s">
        <v>590</v>
      </c>
      <c r="L79" s="34" t="s">
        <v>597</v>
      </c>
      <c r="M79" s="38">
        <v>249900</v>
      </c>
      <c r="N79" s="7">
        <v>0.9</v>
      </c>
      <c r="O79" s="6">
        <f t="shared" si="3"/>
        <v>24990</v>
      </c>
      <c r="P79" s="5" t="s">
        <v>504</v>
      </c>
    </row>
    <row r="80" spans="1:16" s="1" customFormat="1" x14ac:dyDescent="0.35">
      <c r="A80" s="5" t="str">
        <f t="shared" si="2"/>
        <v>2023 H1 All Items D90</v>
      </c>
      <c r="B80" s="8">
        <f>'ALL 2024 H2 D80'!$B$2</f>
        <v>46114</v>
      </c>
      <c r="C80" s="8">
        <f>'ALL 2024 H2 D80'!$C$2</f>
        <v>46120</v>
      </c>
      <c r="D80" s="5">
        <v>3208</v>
      </c>
      <c r="E80" s="5">
        <v>320</v>
      </c>
      <c r="F80" s="5">
        <v>1</v>
      </c>
      <c r="G80" s="15">
        <v>1</v>
      </c>
      <c r="H80" s="15">
        <v>81495</v>
      </c>
      <c r="I80" s="5" t="s">
        <v>16</v>
      </c>
      <c r="J80" s="16">
        <v>79666190</v>
      </c>
      <c r="K80" s="16" t="s">
        <v>590</v>
      </c>
      <c r="L80" s="34" t="s">
        <v>598</v>
      </c>
      <c r="M80" s="38">
        <v>249900</v>
      </c>
      <c r="N80" s="7">
        <v>0.9</v>
      </c>
      <c r="O80" s="6">
        <f t="shared" si="3"/>
        <v>24990</v>
      </c>
      <c r="P80" s="5" t="s">
        <v>504</v>
      </c>
    </row>
    <row r="81" spans="1:16" s="1" customFormat="1" x14ac:dyDescent="0.35">
      <c r="A81" s="5" t="str">
        <f t="shared" si="2"/>
        <v>2023 H1 All Items D90</v>
      </c>
      <c r="B81" s="8">
        <f>'ALL 2024 H2 D80'!$B$2</f>
        <v>46114</v>
      </c>
      <c r="C81" s="8">
        <f>'ALL 2024 H2 D80'!$C$2</f>
        <v>46120</v>
      </c>
      <c r="D81" s="5">
        <v>3208</v>
      </c>
      <c r="E81" s="5">
        <v>320</v>
      </c>
      <c r="F81" s="5">
        <v>1</v>
      </c>
      <c r="G81" s="15">
        <v>1</v>
      </c>
      <c r="H81" s="15">
        <v>81495</v>
      </c>
      <c r="I81" s="5" t="s">
        <v>16</v>
      </c>
      <c r="J81" s="16">
        <v>79990106</v>
      </c>
      <c r="K81" s="16" t="s">
        <v>599</v>
      </c>
      <c r="L81" s="34" t="s">
        <v>600</v>
      </c>
      <c r="M81" s="38">
        <v>249900</v>
      </c>
      <c r="N81" s="7">
        <v>0.9</v>
      </c>
      <c r="O81" s="6">
        <f t="shared" si="3"/>
        <v>24990</v>
      </c>
      <c r="P81" s="5" t="s">
        <v>504</v>
      </c>
    </row>
    <row r="82" spans="1:16" s="1" customFormat="1" x14ac:dyDescent="0.35">
      <c r="A82" s="5" t="str">
        <f t="shared" si="2"/>
        <v>2023 H1 All Items D90</v>
      </c>
      <c r="B82" s="8">
        <f>'ALL 2024 H2 D80'!$B$2</f>
        <v>46114</v>
      </c>
      <c r="C82" s="8">
        <f>'ALL 2024 H2 D80'!$C$2</f>
        <v>46120</v>
      </c>
      <c r="D82" s="5">
        <v>3208</v>
      </c>
      <c r="E82" s="5">
        <v>320</v>
      </c>
      <c r="F82" s="5">
        <v>1</v>
      </c>
      <c r="G82" s="15">
        <v>1</v>
      </c>
      <c r="H82" s="15">
        <v>81495</v>
      </c>
      <c r="I82" s="5" t="s">
        <v>16</v>
      </c>
      <c r="J82" s="16">
        <v>79990115</v>
      </c>
      <c r="K82" s="16" t="s">
        <v>599</v>
      </c>
      <c r="L82" s="34" t="s">
        <v>601</v>
      </c>
      <c r="M82" s="38">
        <v>249900</v>
      </c>
      <c r="N82" s="7">
        <v>0.9</v>
      </c>
      <c r="O82" s="6">
        <f t="shared" si="3"/>
        <v>24990</v>
      </c>
      <c r="P82" s="5" t="s">
        <v>504</v>
      </c>
    </row>
    <row r="83" spans="1:16" s="1" customFormat="1" x14ac:dyDescent="0.35">
      <c r="A83" s="5" t="str">
        <f t="shared" si="2"/>
        <v>2023 H1 All Items D90</v>
      </c>
      <c r="B83" s="8">
        <f>'ALL 2024 H2 D80'!$B$2</f>
        <v>46114</v>
      </c>
      <c r="C83" s="8">
        <f>'ALL 2024 H2 D80'!$C$2</f>
        <v>46120</v>
      </c>
      <c r="D83" s="5">
        <v>3208</v>
      </c>
      <c r="E83" s="5">
        <v>320</v>
      </c>
      <c r="F83" s="5">
        <v>1</v>
      </c>
      <c r="G83" s="15">
        <v>1</v>
      </c>
      <c r="H83" s="15">
        <v>81495</v>
      </c>
      <c r="I83" s="5" t="s">
        <v>16</v>
      </c>
      <c r="J83" s="16">
        <v>79990124</v>
      </c>
      <c r="K83" s="16" t="s">
        <v>599</v>
      </c>
      <c r="L83" s="34" t="s">
        <v>602</v>
      </c>
      <c r="M83" s="38">
        <v>249900</v>
      </c>
      <c r="N83" s="7">
        <v>0.9</v>
      </c>
      <c r="O83" s="6">
        <f t="shared" si="3"/>
        <v>24990</v>
      </c>
      <c r="P83" s="5" t="s">
        <v>504</v>
      </c>
    </row>
    <row r="84" spans="1:16" s="1" customFormat="1" x14ac:dyDescent="0.35">
      <c r="A84" s="5" t="str">
        <f t="shared" si="2"/>
        <v>2023 H1 All Items D90</v>
      </c>
      <c r="B84" s="8">
        <f>'ALL 2024 H2 D80'!$B$2</f>
        <v>46114</v>
      </c>
      <c r="C84" s="8">
        <f>'ALL 2024 H2 D80'!$C$2</f>
        <v>46120</v>
      </c>
      <c r="D84" s="5">
        <v>3208</v>
      </c>
      <c r="E84" s="5">
        <v>320</v>
      </c>
      <c r="F84" s="5">
        <v>1</v>
      </c>
      <c r="G84" s="15">
        <v>1</v>
      </c>
      <c r="H84" s="15">
        <v>81495</v>
      </c>
      <c r="I84" s="5" t="s">
        <v>16</v>
      </c>
      <c r="J84" s="16">
        <v>79990133</v>
      </c>
      <c r="K84" s="16" t="s">
        <v>599</v>
      </c>
      <c r="L84" s="34" t="s">
        <v>603</v>
      </c>
      <c r="M84" s="38">
        <v>249900</v>
      </c>
      <c r="N84" s="7">
        <v>0.9</v>
      </c>
      <c r="O84" s="6">
        <f t="shared" si="3"/>
        <v>24990</v>
      </c>
      <c r="P84" s="5" t="s">
        <v>504</v>
      </c>
    </row>
    <row r="85" spans="1:16" s="1" customFormat="1" x14ac:dyDescent="0.35">
      <c r="A85" s="5" t="str">
        <f t="shared" si="2"/>
        <v>2023 H1 All Items D90</v>
      </c>
      <c r="B85" s="8">
        <f>'ALL 2024 H2 D80'!$B$2</f>
        <v>46114</v>
      </c>
      <c r="C85" s="8">
        <f>'ALL 2024 H2 D80'!$C$2</f>
        <v>46120</v>
      </c>
      <c r="D85" s="5">
        <v>3208</v>
      </c>
      <c r="E85" s="5">
        <v>320</v>
      </c>
      <c r="F85" s="5">
        <v>1</v>
      </c>
      <c r="G85" s="15">
        <v>1</v>
      </c>
      <c r="H85" s="15">
        <v>81495</v>
      </c>
      <c r="I85" s="5" t="s">
        <v>16</v>
      </c>
      <c r="J85" s="16">
        <v>80907551</v>
      </c>
      <c r="K85" s="16" t="s">
        <v>604</v>
      </c>
      <c r="L85" s="34" t="s">
        <v>605</v>
      </c>
      <c r="M85" s="38">
        <v>269900</v>
      </c>
      <c r="N85" s="7">
        <v>0.9</v>
      </c>
      <c r="O85" s="6">
        <f t="shared" si="3"/>
        <v>26990</v>
      </c>
      <c r="P85" s="5" t="s">
        <v>504</v>
      </c>
    </row>
    <row r="86" spans="1:16" s="1" customFormat="1" x14ac:dyDescent="0.35">
      <c r="A86" s="5" t="str">
        <f t="shared" si="2"/>
        <v>2023 H1 All Items D90</v>
      </c>
      <c r="B86" s="8">
        <f>'ALL 2024 H2 D80'!$B$2</f>
        <v>46114</v>
      </c>
      <c r="C86" s="8">
        <f>'ALL 2024 H2 D80'!$C$2</f>
        <v>46120</v>
      </c>
      <c r="D86" s="5">
        <v>3208</v>
      </c>
      <c r="E86" s="5">
        <v>320</v>
      </c>
      <c r="F86" s="5">
        <v>1</v>
      </c>
      <c r="G86" s="15">
        <v>1</v>
      </c>
      <c r="H86" s="15">
        <v>81495</v>
      </c>
      <c r="I86" s="5" t="s">
        <v>16</v>
      </c>
      <c r="J86" s="16">
        <v>80907560</v>
      </c>
      <c r="K86" s="16" t="s">
        <v>604</v>
      </c>
      <c r="L86" s="34" t="s">
        <v>606</v>
      </c>
      <c r="M86" s="38">
        <v>269900</v>
      </c>
      <c r="N86" s="7">
        <v>0.9</v>
      </c>
      <c r="O86" s="6">
        <f t="shared" si="3"/>
        <v>26990</v>
      </c>
      <c r="P86" s="5" t="s">
        <v>504</v>
      </c>
    </row>
    <row r="87" spans="1:16" s="1" customFormat="1" x14ac:dyDescent="0.35">
      <c r="A87" s="5" t="str">
        <f t="shared" si="2"/>
        <v>2023 H1 All Items D90</v>
      </c>
      <c r="B87" s="8">
        <f>'ALL 2024 H2 D80'!$B$2</f>
        <v>46114</v>
      </c>
      <c r="C87" s="8">
        <f>'ALL 2024 H2 D80'!$C$2</f>
        <v>46120</v>
      </c>
      <c r="D87" s="5">
        <v>3208</v>
      </c>
      <c r="E87" s="5">
        <v>320</v>
      </c>
      <c r="F87" s="5">
        <v>1</v>
      </c>
      <c r="G87" s="15">
        <v>1</v>
      </c>
      <c r="H87" s="15">
        <v>81495</v>
      </c>
      <c r="I87" s="5" t="s">
        <v>16</v>
      </c>
      <c r="J87" s="16">
        <v>80907579</v>
      </c>
      <c r="K87" s="16" t="s">
        <v>604</v>
      </c>
      <c r="L87" s="34" t="s">
        <v>607</v>
      </c>
      <c r="M87" s="38">
        <v>269900</v>
      </c>
      <c r="N87" s="7">
        <v>0.9</v>
      </c>
      <c r="O87" s="6">
        <f t="shared" si="3"/>
        <v>26990</v>
      </c>
      <c r="P87" s="5" t="s">
        <v>504</v>
      </c>
    </row>
    <row r="88" spans="1:16" s="1" customFormat="1" x14ac:dyDescent="0.35">
      <c r="A88" s="5" t="str">
        <f t="shared" si="2"/>
        <v>2023 H1 All Items D90</v>
      </c>
      <c r="B88" s="8">
        <f>'ALL 2024 H2 D80'!$B$2</f>
        <v>46114</v>
      </c>
      <c r="C88" s="8">
        <f>'ALL 2024 H2 D80'!$C$2</f>
        <v>46120</v>
      </c>
      <c r="D88" s="5">
        <v>3208</v>
      </c>
      <c r="E88" s="5">
        <v>320</v>
      </c>
      <c r="F88" s="5">
        <v>1</v>
      </c>
      <c r="G88" s="15">
        <v>1</v>
      </c>
      <c r="H88" s="15">
        <v>81495</v>
      </c>
      <c r="I88" s="5" t="s">
        <v>16</v>
      </c>
      <c r="J88" s="16">
        <v>80907588</v>
      </c>
      <c r="K88" s="16" t="s">
        <v>604</v>
      </c>
      <c r="L88" s="34" t="s">
        <v>608</v>
      </c>
      <c r="M88" s="38">
        <v>269900</v>
      </c>
      <c r="N88" s="7">
        <v>0.9</v>
      </c>
      <c r="O88" s="6">
        <f t="shared" si="3"/>
        <v>26990</v>
      </c>
      <c r="P88" s="5" t="s">
        <v>504</v>
      </c>
    </row>
    <row r="89" spans="1:16" s="1" customFormat="1" x14ac:dyDescent="0.35">
      <c r="A89" s="5" t="str">
        <f t="shared" si="2"/>
        <v>2023 H1 All Items D90</v>
      </c>
      <c r="B89" s="8">
        <f>'ALL 2024 H2 D80'!$B$2</f>
        <v>46114</v>
      </c>
      <c r="C89" s="8">
        <f>'ALL 2024 H2 D80'!$C$2</f>
        <v>46120</v>
      </c>
      <c r="D89" s="5">
        <v>3208</v>
      </c>
      <c r="E89" s="5">
        <v>320</v>
      </c>
      <c r="F89" s="5">
        <v>1</v>
      </c>
      <c r="G89" s="15">
        <v>1</v>
      </c>
      <c r="H89" s="15">
        <v>81495</v>
      </c>
      <c r="I89" s="5" t="s">
        <v>16</v>
      </c>
      <c r="J89" s="16">
        <v>80907597</v>
      </c>
      <c r="K89" s="16" t="s">
        <v>604</v>
      </c>
      <c r="L89" s="34" t="s">
        <v>609</v>
      </c>
      <c r="M89" s="38">
        <v>269900</v>
      </c>
      <c r="N89" s="7">
        <v>0.9</v>
      </c>
      <c r="O89" s="6">
        <f t="shared" si="3"/>
        <v>26990</v>
      </c>
      <c r="P89" s="5" t="s">
        <v>504</v>
      </c>
    </row>
    <row r="90" spans="1:16" s="1" customFormat="1" x14ac:dyDescent="0.35">
      <c r="A90" s="5" t="str">
        <f t="shared" si="2"/>
        <v>2023 H1 All Items D90</v>
      </c>
      <c r="B90" s="8">
        <f>'ALL 2024 H2 D80'!$B$2</f>
        <v>46114</v>
      </c>
      <c r="C90" s="8">
        <f>'ALL 2024 H2 D80'!$C$2</f>
        <v>46120</v>
      </c>
      <c r="D90" s="5">
        <v>3208</v>
      </c>
      <c r="E90" s="5">
        <v>320</v>
      </c>
      <c r="F90" s="5">
        <v>1</v>
      </c>
      <c r="G90" s="15">
        <v>1</v>
      </c>
      <c r="H90" s="15">
        <v>81495</v>
      </c>
      <c r="I90" s="5" t="s">
        <v>16</v>
      </c>
      <c r="J90" s="16">
        <v>80907604</v>
      </c>
      <c r="K90" s="16" t="s">
        <v>604</v>
      </c>
      <c r="L90" s="34" t="s">
        <v>610</v>
      </c>
      <c r="M90" s="38">
        <v>269900</v>
      </c>
      <c r="N90" s="7">
        <v>0.9</v>
      </c>
      <c r="O90" s="6">
        <f t="shared" si="3"/>
        <v>26990</v>
      </c>
      <c r="P90" s="5" t="s">
        <v>504</v>
      </c>
    </row>
    <row r="91" spans="1:16" s="1" customFormat="1" x14ac:dyDescent="0.35">
      <c r="A91" s="5" t="str">
        <f t="shared" si="2"/>
        <v>2023 H1 All Items D90</v>
      </c>
      <c r="B91" s="8">
        <f>'ALL 2024 H2 D80'!$B$2</f>
        <v>46114</v>
      </c>
      <c r="C91" s="8">
        <f>'ALL 2024 H2 D80'!$C$2</f>
        <v>46120</v>
      </c>
      <c r="D91" s="5">
        <v>3208</v>
      </c>
      <c r="E91" s="5">
        <v>320</v>
      </c>
      <c r="F91" s="5">
        <v>1</v>
      </c>
      <c r="G91" s="15">
        <v>1</v>
      </c>
      <c r="H91" s="15">
        <v>81495</v>
      </c>
      <c r="I91" s="5" t="s">
        <v>16</v>
      </c>
      <c r="J91" s="16">
        <v>80907613</v>
      </c>
      <c r="K91" s="16" t="s">
        <v>604</v>
      </c>
      <c r="L91" s="34" t="s">
        <v>611</v>
      </c>
      <c r="M91" s="38">
        <v>269900</v>
      </c>
      <c r="N91" s="7">
        <v>0.9</v>
      </c>
      <c r="O91" s="6">
        <f t="shared" si="3"/>
        <v>26990</v>
      </c>
      <c r="P91" s="5" t="s">
        <v>504</v>
      </c>
    </row>
    <row r="92" spans="1:16" s="1" customFormat="1" x14ac:dyDescent="0.35">
      <c r="A92" s="5" t="str">
        <f t="shared" si="2"/>
        <v>2023 H1 All Items D90</v>
      </c>
      <c r="B92" s="8">
        <f>'ALL 2024 H2 D80'!$B$2</f>
        <v>46114</v>
      </c>
      <c r="C92" s="8">
        <f>'ALL 2024 H2 D80'!$C$2</f>
        <v>46120</v>
      </c>
      <c r="D92" s="5">
        <v>3208</v>
      </c>
      <c r="E92" s="5">
        <v>320</v>
      </c>
      <c r="F92" s="5">
        <v>1</v>
      </c>
      <c r="G92" s="15">
        <v>1</v>
      </c>
      <c r="H92" s="15">
        <v>81495</v>
      </c>
      <c r="I92" s="5" t="s">
        <v>16</v>
      </c>
      <c r="J92" s="16">
        <v>80907622</v>
      </c>
      <c r="K92" s="16" t="s">
        <v>604</v>
      </c>
      <c r="L92" s="34" t="s">
        <v>612</v>
      </c>
      <c r="M92" s="38">
        <v>269900</v>
      </c>
      <c r="N92" s="7">
        <v>0.9</v>
      </c>
      <c r="O92" s="6">
        <f t="shared" si="3"/>
        <v>26990</v>
      </c>
      <c r="P92" s="5" t="s">
        <v>504</v>
      </c>
    </row>
    <row r="93" spans="1:16" s="1" customFormat="1" x14ac:dyDescent="0.35">
      <c r="A93" s="5" t="str">
        <f t="shared" si="2"/>
        <v>2023 H1 All Items D90</v>
      </c>
      <c r="B93" s="8">
        <f>'ALL 2024 H2 D80'!$B$2</f>
        <v>46114</v>
      </c>
      <c r="C93" s="8">
        <f>'ALL 2024 H2 D80'!$C$2</f>
        <v>46120</v>
      </c>
      <c r="D93" s="5">
        <v>3208</v>
      </c>
      <c r="E93" s="5">
        <v>320</v>
      </c>
      <c r="F93" s="5">
        <v>1</v>
      </c>
      <c r="G93" s="15">
        <v>1</v>
      </c>
      <c r="H93" s="15">
        <v>81495</v>
      </c>
      <c r="I93" s="5" t="s">
        <v>16</v>
      </c>
      <c r="J93" s="16">
        <v>80907757</v>
      </c>
      <c r="K93" s="16" t="s">
        <v>613</v>
      </c>
      <c r="L93" s="34" t="s">
        <v>614</v>
      </c>
      <c r="M93" s="38">
        <v>269900</v>
      </c>
      <c r="N93" s="7">
        <v>0.9</v>
      </c>
      <c r="O93" s="6">
        <f t="shared" si="3"/>
        <v>26990</v>
      </c>
      <c r="P93" s="5" t="s">
        <v>504</v>
      </c>
    </row>
    <row r="94" spans="1:16" s="1" customFormat="1" x14ac:dyDescent="0.35">
      <c r="A94" s="5" t="str">
        <f t="shared" si="2"/>
        <v>2023 H1 All Items D90</v>
      </c>
      <c r="B94" s="8">
        <f>'ALL 2024 H2 D80'!$B$2</f>
        <v>46114</v>
      </c>
      <c r="C94" s="8">
        <f>'ALL 2024 H2 D80'!$C$2</f>
        <v>46120</v>
      </c>
      <c r="D94" s="5">
        <v>3208</v>
      </c>
      <c r="E94" s="5">
        <v>320</v>
      </c>
      <c r="F94" s="5">
        <v>1</v>
      </c>
      <c r="G94" s="15">
        <v>1</v>
      </c>
      <c r="H94" s="15">
        <v>81495</v>
      </c>
      <c r="I94" s="5" t="s">
        <v>16</v>
      </c>
      <c r="J94" s="16">
        <v>80907766</v>
      </c>
      <c r="K94" s="16" t="s">
        <v>613</v>
      </c>
      <c r="L94" s="34" t="s">
        <v>615</v>
      </c>
      <c r="M94" s="38">
        <v>269900</v>
      </c>
      <c r="N94" s="7">
        <v>0.9</v>
      </c>
      <c r="O94" s="6">
        <f t="shared" si="3"/>
        <v>26990</v>
      </c>
      <c r="P94" s="5" t="s">
        <v>504</v>
      </c>
    </row>
    <row r="95" spans="1:16" s="1" customFormat="1" x14ac:dyDescent="0.35">
      <c r="A95" s="5" t="str">
        <f t="shared" si="2"/>
        <v>2023 H1 All Items D90</v>
      </c>
      <c r="B95" s="8">
        <f>'ALL 2024 H2 D80'!$B$2</f>
        <v>46114</v>
      </c>
      <c r="C95" s="8">
        <f>'ALL 2024 H2 D80'!$C$2</f>
        <v>46120</v>
      </c>
      <c r="D95" s="5">
        <v>3208</v>
      </c>
      <c r="E95" s="5">
        <v>320</v>
      </c>
      <c r="F95" s="5">
        <v>1</v>
      </c>
      <c r="G95" s="15">
        <v>1</v>
      </c>
      <c r="H95" s="15">
        <v>81495</v>
      </c>
      <c r="I95" s="5" t="s">
        <v>16</v>
      </c>
      <c r="J95" s="16">
        <v>80907775</v>
      </c>
      <c r="K95" s="16" t="s">
        <v>613</v>
      </c>
      <c r="L95" s="34" t="s">
        <v>616</v>
      </c>
      <c r="M95" s="38">
        <v>269900</v>
      </c>
      <c r="N95" s="7">
        <v>0.9</v>
      </c>
      <c r="O95" s="6">
        <f t="shared" si="3"/>
        <v>26990</v>
      </c>
      <c r="P95" s="5" t="s">
        <v>504</v>
      </c>
    </row>
    <row r="96" spans="1:16" s="1" customFormat="1" x14ac:dyDescent="0.35">
      <c r="A96" s="5" t="str">
        <f t="shared" si="2"/>
        <v>2023 H1 All Items D90</v>
      </c>
      <c r="B96" s="8">
        <f>'ALL 2024 H2 D80'!$B$2</f>
        <v>46114</v>
      </c>
      <c r="C96" s="8">
        <f>'ALL 2024 H2 D80'!$C$2</f>
        <v>46120</v>
      </c>
      <c r="D96" s="5">
        <v>3208</v>
      </c>
      <c r="E96" s="5">
        <v>320</v>
      </c>
      <c r="F96" s="5">
        <v>1</v>
      </c>
      <c r="G96" s="15">
        <v>1</v>
      </c>
      <c r="H96" s="15">
        <v>81495</v>
      </c>
      <c r="I96" s="5" t="s">
        <v>16</v>
      </c>
      <c r="J96" s="16">
        <v>80907784</v>
      </c>
      <c r="K96" s="16" t="s">
        <v>613</v>
      </c>
      <c r="L96" s="34" t="s">
        <v>617</v>
      </c>
      <c r="M96" s="38">
        <v>269900</v>
      </c>
      <c r="N96" s="7">
        <v>0.9</v>
      </c>
      <c r="O96" s="6">
        <f t="shared" si="3"/>
        <v>26990</v>
      </c>
      <c r="P96" s="5" t="s">
        <v>504</v>
      </c>
    </row>
    <row r="97" spans="1:16" s="1" customFormat="1" x14ac:dyDescent="0.35">
      <c r="A97" s="5" t="str">
        <f t="shared" si="2"/>
        <v>2023 H1 All Items D90</v>
      </c>
      <c r="B97" s="8">
        <f>'ALL 2024 H2 D80'!$B$2</f>
        <v>46114</v>
      </c>
      <c r="C97" s="8">
        <f>'ALL 2024 H2 D80'!$C$2</f>
        <v>46120</v>
      </c>
      <c r="D97" s="5">
        <v>3208</v>
      </c>
      <c r="E97" s="5">
        <v>320</v>
      </c>
      <c r="F97" s="5">
        <v>1</v>
      </c>
      <c r="G97" s="15">
        <v>1</v>
      </c>
      <c r="H97" s="15">
        <v>81495</v>
      </c>
      <c r="I97" s="5" t="s">
        <v>16</v>
      </c>
      <c r="J97" s="16">
        <v>81289512</v>
      </c>
      <c r="K97" s="16" t="s">
        <v>618</v>
      </c>
      <c r="L97" s="34" t="s">
        <v>619</v>
      </c>
      <c r="M97" s="38">
        <v>279900</v>
      </c>
      <c r="N97" s="7">
        <v>0.9</v>
      </c>
      <c r="O97" s="6">
        <f t="shared" si="3"/>
        <v>27990</v>
      </c>
      <c r="P97" s="5" t="s">
        <v>504</v>
      </c>
    </row>
    <row r="98" spans="1:16" s="1" customFormat="1" x14ac:dyDescent="0.35">
      <c r="A98" s="5" t="str">
        <f t="shared" si="2"/>
        <v>2023 H1 All Items D90</v>
      </c>
      <c r="B98" s="8">
        <f>'ALL 2024 H2 D80'!$B$2</f>
        <v>46114</v>
      </c>
      <c r="C98" s="8">
        <f>'ALL 2024 H2 D80'!$C$2</f>
        <v>46120</v>
      </c>
      <c r="D98" s="5">
        <v>3208</v>
      </c>
      <c r="E98" s="5">
        <v>320</v>
      </c>
      <c r="F98" s="5">
        <v>1</v>
      </c>
      <c r="G98" s="15">
        <v>1</v>
      </c>
      <c r="H98" s="15">
        <v>81495</v>
      </c>
      <c r="I98" s="5" t="s">
        <v>16</v>
      </c>
      <c r="J98" s="16">
        <v>81289521</v>
      </c>
      <c r="K98" s="16" t="s">
        <v>618</v>
      </c>
      <c r="L98" s="34" t="s">
        <v>620</v>
      </c>
      <c r="M98" s="38">
        <v>279900</v>
      </c>
      <c r="N98" s="7">
        <v>0.9</v>
      </c>
      <c r="O98" s="6">
        <f t="shared" si="3"/>
        <v>27990</v>
      </c>
      <c r="P98" s="5" t="s">
        <v>504</v>
      </c>
    </row>
    <row r="99" spans="1:16" s="1" customFormat="1" x14ac:dyDescent="0.35">
      <c r="A99" s="5" t="str">
        <f t="shared" si="2"/>
        <v>2023 H1 All Items D90</v>
      </c>
      <c r="B99" s="8">
        <f>'ALL 2024 H2 D80'!$B$2</f>
        <v>46114</v>
      </c>
      <c r="C99" s="8">
        <f>'ALL 2024 H2 D80'!$C$2</f>
        <v>46120</v>
      </c>
      <c r="D99" s="5">
        <v>3208</v>
      </c>
      <c r="E99" s="5">
        <v>320</v>
      </c>
      <c r="F99" s="5">
        <v>1</v>
      </c>
      <c r="G99" s="15">
        <v>1</v>
      </c>
      <c r="H99" s="15">
        <v>81495</v>
      </c>
      <c r="I99" s="5" t="s">
        <v>16</v>
      </c>
      <c r="J99" s="16">
        <v>81289530</v>
      </c>
      <c r="K99" s="16" t="s">
        <v>618</v>
      </c>
      <c r="L99" s="34" t="s">
        <v>621</v>
      </c>
      <c r="M99" s="38">
        <v>279900</v>
      </c>
      <c r="N99" s="7">
        <v>0.9</v>
      </c>
      <c r="O99" s="6">
        <f t="shared" si="3"/>
        <v>27990</v>
      </c>
      <c r="P99" s="5" t="s">
        <v>504</v>
      </c>
    </row>
    <row r="100" spans="1:16" s="1" customFormat="1" x14ac:dyDescent="0.35">
      <c r="A100" s="5" t="str">
        <f t="shared" si="2"/>
        <v>2023 H1 All Items D90</v>
      </c>
      <c r="B100" s="8">
        <f>'ALL 2024 H2 D80'!$B$2</f>
        <v>46114</v>
      </c>
      <c r="C100" s="8">
        <f>'ALL 2024 H2 D80'!$C$2</f>
        <v>46120</v>
      </c>
      <c r="D100" s="5">
        <v>3208</v>
      </c>
      <c r="E100" s="5">
        <v>320</v>
      </c>
      <c r="F100" s="5">
        <v>1</v>
      </c>
      <c r="G100" s="15">
        <v>1</v>
      </c>
      <c r="H100" s="15">
        <v>81495</v>
      </c>
      <c r="I100" s="5" t="s">
        <v>16</v>
      </c>
      <c r="J100" s="16">
        <v>81289549</v>
      </c>
      <c r="K100" s="16" t="s">
        <v>618</v>
      </c>
      <c r="L100" s="34" t="s">
        <v>622</v>
      </c>
      <c r="M100" s="38">
        <v>279900</v>
      </c>
      <c r="N100" s="7">
        <v>0.9</v>
      </c>
      <c r="O100" s="6">
        <f t="shared" si="3"/>
        <v>27990</v>
      </c>
      <c r="P100" s="5" t="s">
        <v>504</v>
      </c>
    </row>
    <row r="101" spans="1:16" s="1" customFormat="1" x14ac:dyDescent="0.35">
      <c r="A101" s="5" t="str">
        <f t="shared" si="2"/>
        <v>2023 H1 All Items D90</v>
      </c>
      <c r="B101" s="8">
        <f>'ALL 2024 H2 D80'!$B$2</f>
        <v>46114</v>
      </c>
      <c r="C101" s="8">
        <f>'ALL 2024 H2 D80'!$C$2</f>
        <v>46120</v>
      </c>
      <c r="D101" s="5">
        <v>3208</v>
      </c>
      <c r="E101" s="5">
        <v>320</v>
      </c>
      <c r="F101" s="5">
        <v>1</v>
      </c>
      <c r="G101" s="15">
        <v>1</v>
      </c>
      <c r="H101" s="15">
        <v>81495</v>
      </c>
      <c r="I101" s="5" t="s">
        <v>16</v>
      </c>
      <c r="J101" s="16">
        <v>81289558</v>
      </c>
      <c r="K101" s="16" t="s">
        <v>623</v>
      </c>
      <c r="L101" s="34" t="s">
        <v>624</v>
      </c>
      <c r="M101" s="38">
        <v>299900</v>
      </c>
      <c r="N101" s="7">
        <v>0.9</v>
      </c>
      <c r="O101" s="6">
        <f t="shared" si="3"/>
        <v>29990</v>
      </c>
      <c r="P101" s="5" t="s">
        <v>504</v>
      </c>
    </row>
    <row r="102" spans="1:16" s="1" customFormat="1" x14ac:dyDescent="0.35">
      <c r="A102" s="5" t="str">
        <f t="shared" si="2"/>
        <v>2023 H1 All Items D90</v>
      </c>
      <c r="B102" s="8">
        <f>'ALL 2024 H2 D80'!$B$2</f>
        <v>46114</v>
      </c>
      <c r="C102" s="8">
        <f>'ALL 2024 H2 D80'!$C$2</f>
        <v>46120</v>
      </c>
      <c r="D102" s="5">
        <v>3208</v>
      </c>
      <c r="E102" s="5">
        <v>320</v>
      </c>
      <c r="F102" s="5">
        <v>1</v>
      </c>
      <c r="G102" s="15">
        <v>1</v>
      </c>
      <c r="H102" s="15">
        <v>81495</v>
      </c>
      <c r="I102" s="5" t="s">
        <v>16</v>
      </c>
      <c r="J102" s="16">
        <v>81289567</v>
      </c>
      <c r="K102" s="16" t="s">
        <v>623</v>
      </c>
      <c r="L102" s="34" t="s">
        <v>625</v>
      </c>
      <c r="M102" s="38">
        <v>299900</v>
      </c>
      <c r="N102" s="7">
        <v>0.9</v>
      </c>
      <c r="O102" s="6">
        <f t="shared" si="3"/>
        <v>29990</v>
      </c>
      <c r="P102" s="5" t="s">
        <v>504</v>
      </c>
    </row>
    <row r="103" spans="1:16" s="1" customFormat="1" x14ac:dyDescent="0.35">
      <c r="A103" s="5" t="str">
        <f t="shared" si="2"/>
        <v>2023 H1 All Items D90</v>
      </c>
      <c r="B103" s="8">
        <f>'ALL 2024 H2 D80'!$B$2</f>
        <v>46114</v>
      </c>
      <c r="C103" s="8">
        <f>'ALL 2024 H2 D80'!$C$2</f>
        <v>46120</v>
      </c>
      <c r="D103" s="5">
        <v>3208</v>
      </c>
      <c r="E103" s="5">
        <v>320</v>
      </c>
      <c r="F103" s="5">
        <v>1</v>
      </c>
      <c r="G103" s="15">
        <v>1</v>
      </c>
      <c r="H103" s="15">
        <v>81495</v>
      </c>
      <c r="I103" s="5" t="s">
        <v>16</v>
      </c>
      <c r="J103" s="16">
        <v>81289576</v>
      </c>
      <c r="K103" s="16" t="s">
        <v>623</v>
      </c>
      <c r="L103" s="34" t="s">
        <v>626</v>
      </c>
      <c r="M103" s="38">
        <v>299900</v>
      </c>
      <c r="N103" s="7">
        <v>0.9</v>
      </c>
      <c r="O103" s="6">
        <f t="shared" si="3"/>
        <v>29990</v>
      </c>
      <c r="P103" s="5" t="s">
        <v>504</v>
      </c>
    </row>
    <row r="104" spans="1:16" s="1" customFormat="1" x14ac:dyDescent="0.35">
      <c r="A104" s="5" t="str">
        <f t="shared" si="2"/>
        <v>2023 H1 All Items D90</v>
      </c>
      <c r="B104" s="8">
        <f>'ALL 2024 H2 D80'!$B$2</f>
        <v>46114</v>
      </c>
      <c r="C104" s="8">
        <f>'ALL 2024 H2 D80'!$C$2</f>
        <v>46120</v>
      </c>
      <c r="D104" s="5">
        <v>3208</v>
      </c>
      <c r="E104" s="5">
        <v>320</v>
      </c>
      <c r="F104" s="5">
        <v>1</v>
      </c>
      <c r="G104" s="15">
        <v>1</v>
      </c>
      <c r="H104" s="15">
        <v>81495</v>
      </c>
      <c r="I104" s="5" t="s">
        <v>16</v>
      </c>
      <c r="J104" s="16">
        <v>81289585</v>
      </c>
      <c r="K104" s="16" t="s">
        <v>623</v>
      </c>
      <c r="L104" s="34" t="s">
        <v>627</v>
      </c>
      <c r="M104" s="38">
        <v>299900</v>
      </c>
      <c r="N104" s="7">
        <v>0.9</v>
      </c>
      <c r="O104" s="6">
        <f t="shared" si="3"/>
        <v>29990</v>
      </c>
      <c r="P104" s="5" t="s">
        <v>504</v>
      </c>
    </row>
    <row r="105" spans="1:16" s="1" customFormat="1" x14ac:dyDescent="0.35">
      <c r="A105" s="5" t="str">
        <f t="shared" si="2"/>
        <v>2023 H1 All Items D90</v>
      </c>
      <c r="B105" s="8">
        <f>'ALL 2024 H2 D80'!$B$2</f>
        <v>46114</v>
      </c>
      <c r="C105" s="8">
        <f>'ALL 2024 H2 D80'!$C$2</f>
        <v>46120</v>
      </c>
      <c r="D105" s="5">
        <v>3208</v>
      </c>
      <c r="E105" s="5">
        <v>320</v>
      </c>
      <c r="F105" s="5">
        <v>1</v>
      </c>
      <c r="G105" s="15">
        <v>1</v>
      </c>
      <c r="H105" s="15">
        <v>81495</v>
      </c>
      <c r="I105" s="5" t="s">
        <v>16</v>
      </c>
      <c r="J105" s="16">
        <v>81289594</v>
      </c>
      <c r="K105" s="16" t="s">
        <v>623</v>
      </c>
      <c r="L105" s="34" t="s">
        <v>628</v>
      </c>
      <c r="M105" s="38">
        <v>299900</v>
      </c>
      <c r="N105" s="7">
        <v>0.9</v>
      </c>
      <c r="O105" s="6">
        <f t="shared" si="3"/>
        <v>29990</v>
      </c>
      <c r="P105" s="5" t="s">
        <v>504</v>
      </c>
    </row>
    <row r="106" spans="1:16" s="1" customFormat="1" x14ac:dyDescent="0.35">
      <c r="A106" s="5" t="str">
        <f t="shared" si="2"/>
        <v>2023 H1 All Items D90</v>
      </c>
      <c r="B106" s="8">
        <f>'ALL 2024 H2 D80'!$B$2</f>
        <v>46114</v>
      </c>
      <c r="C106" s="8">
        <f>'ALL 2024 H2 D80'!$C$2</f>
        <v>46120</v>
      </c>
      <c r="D106" s="5">
        <v>3208</v>
      </c>
      <c r="E106" s="5">
        <v>320</v>
      </c>
      <c r="F106" s="5">
        <v>1</v>
      </c>
      <c r="G106" s="15">
        <v>1</v>
      </c>
      <c r="H106" s="15">
        <v>81495</v>
      </c>
      <c r="I106" s="5" t="s">
        <v>16</v>
      </c>
      <c r="J106" s="16">
        <v>81289629</v>
      </c>
      <c r="K106" s="16" t="s">
        <v>623</v>
      </c>
      <c r="L106" s="34" t="s">
        <v>629</v>
      </c>
      <c r="M106" s="38">
        <v>299900</v>
      </c>
      <c r="N106" s="7">
        <v>0.9</v>
      </c>
      <c r="O106" s="6">
        <f t="shared" si="3"/>
        <v>29990</v>
      </c>
      <c r="P106" s="5" t="s">
        <v>504</v>
      </c>
    </row>
    <row r="107" spans="1:16" s="1" customFormat="1" x14ac:dyDescent="0.35">
      <c r="A107" s="5" t="str">
        <f t="shared" si="2"/>
        <v>2023 H1 All Items D90</v>
      </c>
      <c r="B107" s="8">
        <f>'ALL 2024 H2 D80'!$B$2</f>
        <v>46114</v>
      </c>
      <c r="C107" s="8">
        <f>'ALL 2024 H2 D80'!$C$2</f>
        <v>46120</v>
      </c>
      <c r="D107" s="5">
        <v>3208</v>
      </c>
      <c r="E107" s="5">
        <v>320</v>
      </c>
      <c r="F107" s="5">
        <v>1</v>
      </c>
      <c r="G107" s="15">
        <v>1</v>
      </c>
      <c r="H107" s="15">
        <v>81495</v>
      </c>
      <c r="I107" s="5" t="s">
        <v>16</v>
      </c>
      <c r="J107" s="16">
        <v>81889721</v>
      </c>
      <c r="K107" s="16" t="s">
        <v>630</v>
      </c>
      <c r="L107" s="34" t="s">
        <v>631</v>
      </c>
      <c r="M107" s="38">
        <v>249900</v>
      </c>
      <c r="N107" s="7">
        <v>0.9</v>
      </c>
      <c r="O107" s="6">
        <f t="shared" si="3"/>
        <v>24990</v>
      </c>
      <c r="P107" s="5" t="s">
        <v>504</v>
      </c>
    </row>
    <row r="108" spans="1:16" s="1" customFormat="1" x14ac:dyDescent="0.35">
      <c r="A108" s="5" t="str">
        <f t="shared" si="2"/>
        <v>2023 H1 All Items D90</v>
      </c>
      <c r="B108" s="8">
        <f>'ALL 2024 H2 D80'!$B$2</f>
        <v>46114</v>
      </c>
      <c r="C108" s="8">
        <f>'ALL 2024 H2 D80'!$C$2</f>
        <v>46120</v>
      </c>
      <c r="D108" s="5">
        <v>3208</v>
      </c>
      <c r="E108" s="5">
        <v>320</v>
      </c>
      <c r="F108" s="5">
        <v>1</v>
      </c>
      <c r="G108" s="15">
        <v>1</v>
      </c>
      <c r="H108" s="15">
        <v>81495</v>
      </c>
      <c r="I108" s="5" t="s">
        <v>16</v>
      </c>
      <c r="J108" s="16">
        <v>81889730</v>
      </c>
      <c r="K108" s="16" t="s">
        <v>630</v>
      </c>
      <c r="L108" s="34" t="s">
        <v>632</v>
      </c>
      <c r="M108" s="38">
        <v>249900</v>
      </c>
      <c r="N108" s="7">
        <v>0.9</v>
      </c>
      <c r="O108" s="6">
        <f t="shared" si="3"/>
        <v>24990</v>
      </c>
      <c r="P108" s="5" t="s">
        <v>504</v>
      </c>
    </row>
    <row r="109" spans="1:16" s="1" customFormat="1" x14ac:dyDescent="0.35">
      <c r="A109" s="5" t="str">
        <f t="shared" si="2"/>
        <v>2023 H1 All Items D90</v>
      </c>
      <c r="B109" s="8">
        <f>'ALL 2024 H2 D80'!$B$2</f>
        <v>46114</v>
      </c>
      <c r="C109" s="8">
        <f>'ALL 2024 H2 D80'!$C$2</f>
        <v>46120</v>
      </c>
      <c r="D109" s="5">
        <v>3208</v>
      </c>
      <c r="E109" s="5">
        <v>320</v>
      </c>
      <c r="F109" s="5">
        <v>1</v>
      </c>
      <c r="G109" s="15">
        <v>1</v>
      </c>
      <c r="H109" s="15">
        <v>81495</v>
      </c>
      <c r="I109" s="5" t="s">
        <v>16</v>
      </c>
      <c r="J109" s="16">
        <v>81889749</v>
      </c>
      <c r="K109" s="16" t="s">
        <v>630</v>
      </c>
      <c r="L109" s="34" t="s">
        <v>633</v>
      </c>
      <c r="M109" s="38">
        <v>249900</v>
      </c>
      <c r="N109" s="7">
        <v>0.9</v>
      </c>
      <c r="O109" s="6">
        <f t="shared" si="3"/>
        <v>24990</v>
      </c>
      <c r="P109" s="5" t="s">
        <v>504</v>
      </c>
    </row>
    <row r="110" spans="1:16" s="1" customFormat="1" x14ac:dyDescent="0.35">
      <c r="A110" s="5" t="str">
        <f t="shared" si="2"/>
        <v>2023 H1 All Items D90</v>
      </c>
      <c r="B110" s="8">
        <f>'ALL 2024 H2 D80'!$B$2</f>
        <v>46114</v>
      </c>
      <c r="C110" s="8">
        <f>'ALL 2024 H2 D80'!$C$2</f>
        <v>46120</v>
      </c>
      <c r="D110" s="5">
        <v>3208</v>
      </c>
      <c r="E110" s="5">
        <v>320</v>
      </c>
      <c r="F110" s="5">
        <v>1</v>
      </c>
      <c r="G110" s="15">
        <v>1</v>
      </c>
      <c r="H110" s="15">
        <v>81495</v>
      </c>
      <c r="I110" s="5" t="s">
        <v>16</v>
      </c>
      <c r="J110" s="16">
        <v>81889758</v>
      </c>
      <c r="K110" s="16" t="s">
        <v>630</v>
      </c>
      <c r="L110" s="34" t="s">
        <v>634</v>
      </c>
      <c r="M110" s="38">
        <v>249900</v>
      </c>
      <c r="N110" s="7">
        <v>0.9</v>
      </c>
      <c r="O110" s="6">
        <f t="shared" si="3"/>
        <v>24990</v>
      </c>
      <c r="P110" s="5" t="s">
        <v>504</v>
      </c>
    </row>
    <row r="111" spans="1:16" s="1" customFormat="1" x14ac:dyDescent="0.35">
      <c r="A111" s="5" t="str">
        <f t="shared" si="2"/>
        <v>2023 H1 All Items D90</v>
      </c>
      <c r="B111" s="8">
        <f>'ALL 2024 H2 D80'!$B$2</f>
        <v>46114</v>
      </c>
      <c r="C111" s="8">
        <f>'ALL 2024 H2 D80'!$C$2</f>
        <v>46120</v>
      </c>
      <c r="D111" s="5">
        <v>3208</v>
      </c>
      <c r="E111" s="5">
        <v>320</v>
      </c>
      <c r="F111" s="5">
        <v>1</v>
      </c>
      <c r="G111" s="15">
        <v>1</v>
      </c>
      <c r="H111" s="15">
        <v>81507</v>
      </c>
      <c r="I111" s="5" t="s">
        <v>16</v>
      </c>
      <c r="J111" s="16">
        <v>79665735</v>
      </c>
      <c r="K111" s="16" t="s">
        <v>635</v>
      </c>
      <c r="L111" s="34" t="s">
        <v>636</v>
      </c>
      <c r="M111" s="38">
        <v>249900</v>
      </c>
      <c r="N111" s="7">
        <v>0.9</v>
      </c>
      <c r="O111" s="6">
        <f t="shared" si="3"/>
        <v>24990</v>
      </c>
      <c r="P111" s="5" t="s">
        <v>504</v>
      </c>
    </row>
    <row r="112" spans="1:16" s="1" customFormat="1" x14ac:dyDescent="0.35">
      <c r="A112" s="5" t="str">
        <f t="shared" si="2"/>
        <v>2023 H1 All Items D90</v>
      </c>
      <c r="B112" s="8">
        <f>'ALL 2024 H2 D80'!$B$2</f>
        <v>46114</v>
      </c>
      <c r="C112" s="8">
        <f>'ALL 2024 H2 D80'!$C$2</f>
        <v>46120</v>
      </c>
      <c r="D112" s="5">
        <v>3208</v>
      </c>
      <c r="E112" s="5">
        <v>320</v>
      </c>
      <c r="F112" s="5">
        <v>1</v>
      </c>
      <c r="G112" s="15">
        <v>1</v>
      </c>
      <c r="H112" s="15">
        <v>81507</v>
      </c>
      <c r="I112" s="5" t="s">
        <v>16</v>
      </c>
      <c r="J112" s="16">
        <v>79665753</v>
      </c>
      <c r="K112" s="16" t="s">
        <v>635</v>
      </c>
      <c r="L112" s="34" t="s">
        <v>637</v>
      </c>
      <c r="M112" s="38">
        <v>249900</v>
      </c>
      <c r="N112" s="7">
        <v>0.9</v>
      </c>
      <c r="O112" s="6">
        <f t="shared" si="3"/>
        <v>24990</v>
      </c>
      <c r="P112" s="5" t="s">
        <v>504</v>
      </c>
    </row>
    <row r="113" spans="1:16" s="1" customFormat="1" x14ac:dyDescent="0.35">
      <c r="A113" s="5" t="str">
        <f t="shared" si="2"/>
        <v>2023 H1 All Items D90</v>
      </c>
      <c r="B113" s="8">
        <f>'ALL 2024 H2 D80'!$B$2</f>
        <v>46114</v>
      </c>
      <c r="C113" s="8">
        <f>'ALL 2024 H2 D80'!$C$2</f>
        <v>46120</v>
      </c>
      <c r="D113" s="5">
        <v>3208</v>
      </c>
      <c r="E113" s="5">
        <v>320</v>
      </c>
      <c r="F113" s="5">
        <v>1</v>
      </c>
      <c r="G113" s="15">
        <v>1</v>
      </c>
      <c r="H113" s="15">
        <v>81078</v>
      </c>
      <c r="I113" s="5" t="s">
        <v>16</v>
      </c>
      <c r="J113" s="16">
        <v>81889561</v>
      </c>
      <c r="K113" s="16" t="s">
        <v>638</v>
      </c>
      <c r="L113" s="34" t="s">
        <v>639</v>
      </c>
      <c r="M113" s="38">
        <v>269900</v>
      </c>
      <c r="N113" s="7">
        <v>0.9</v>
      </c>
      <c r="O113" s="6">
        <f t="shared" si="3"/>
        <v>26990</v>
      </c>
      <c r="P113" s="5" t="s">
        <v>504</v>
      </c>
    </row>
    <row r="114" spans="1:16" s="1" customFormat="1" x14ac:dyDescent="0.35">
      <c r="A114" s="5" t="str">
        <f t="shared" si="2"/>
        <v>2023 H1 All Items D90</v>
      </c>
      <c r="B114" s="8">
        <f>'ALL 2024 H2 D80'!$B$2</f>
        <v>46114</v>
      </c>
      <c r="C114" s="8">
        <f>'ALL 2024 H2 D80'!$C$2</f>
        <v>46120</v>
      </c>
      <c r="D114" s="5">
        <v>3208</v>
      </c>
      <c r="E114" s="5">
        <v>320</v>
      </c>
      <c r="F114" s="5">
        <v>1</v>
      </c>
      <c r="G114" s="15">
        <v>1</v>
      </c>
      <c r="H114" s="15">
        <v>81078</v>
      </c>
      <c r="I114" s="5" t="s">
        <v>16</v>
      </c>
      <c r="J114" s="16">
        <v>81889570</v>
      </c>
      <c r="K114" s="16" t="s">
        <v>638</v>
      </c>
      <c r="L114" s="34" t="s">
        <v>640</v>
      </c>
      <c r="M114" s="38">
        <v>269900</v>
      </c>
      <c r="N114" s="7">
        <v>0.9</v>
      </c>
      <c r="O114" s="6">
        <f t="shared" si="3"/>
        <v>26990</v>
      </c>
      <c r="P114" s="5" t="s">
        <v>504</v>
      </c>
    </row>
    <row r="115" spans="1:16" s="1" customFormat="1" x14ac:dyDescent="0.35">
      <c r="A115" s="5" t="str">
        <f t="shared" si="2"/>
        <v>2023 H1 All Items D90</v>
      </c>
      <c r="B115" s="8">
        <f>'ALL 2024 H2 D80'!$B$2</f>
        <v>46114</v>
      </c>
      <c r="C115" s="8">
        <f>'ALL 2024 H2 D80'!$C$2</f>
        <v>46120</v>
      </c>
      <c r="D115" s="5">
        <v>3208</v>
      </c>
      <c r="E115" s="5">
        <v>320</v>
      </c>
      <c r="F115" s="5">
        <v>1</v>
      </c>
      <c r="G115" s="15">
        <v>1</v>
      </c>
      <c r="H115" s="15">
        <v>81078</v>
      </c>
      <c r="I115" s="5" t="s">
        <v>16</v>
      </c>
      <c r="J115" s="16">
        <v>81889589</v>
      </c>
      <c r="K115" s="16" t="s">
        <v>638</v>
      </c>
      <c r="L115" s="34" t="s">
        <v>641</v>
      </c>
      <c r="M115" s="38">
        <v>269900</v>
      </c>
      <c r="N115" s="7">
        <v>0.9</v>
      </c>
      <c r="O115" s="6">
        <f t="shared" si="3"/>
        <v>26990</v>
      </c>
      <c r="P115" s="5" t="s">
        <v>504</v>
      </c>
    </row>
    <row r="116" spans="1:16" s="1" customFormat="1" x14ac:dyDescent="0.35">
      <c r="A116" s="5" t="str">
        <f t="shared" si="2"/>
        <v>2023 H1 All Items D90</v>
      </c>
      <c r="B116" s="8">
        <f>'ALL 2024 H2 D80'!$B$2</f>
        <v>46114</v>
      </c>
      <c r="C116" s="8">
        <f>'ALL 2024 H2 D80'!$C$2</f>
        <v>46120</v>
      </c>
      <c r="D116" s="5">
        <v>3208</v>
      </c>
      <c r="E116" s="5">
        <v>320</v>
      </c>
      <c r="F116" s="5">
        <v>1</v>
      </c>
      <c r="G116" s="15">
        <v>1</v>
      </c>
      <c r="H116" s="15">
        <v>81078</v>
      </c>
      <c r="I116" s="5" t="s">
        <v>16</v>
      </c>
      <c r="J116" s="16">
        <v>81889598</v>
      </c>
      <c r="K116" s="16" t="s">
        <v>638</v>
      </c>
      <c r="L116" s="34" t="s">
        <v>642</v>
      </c>
      <c r="M116" s="38">
        <v>269900</v>
      </c>
      <c r="N116" s="7">
        <v>0.9</v>
      </c>
      <c r="O116" s="6">
        <f t="shared" si="3"/>
        <v>26990</v>
      </c>
      <c r="P116" s="5" t="s">
        <v>504</v>
      </c>
    </row>
    <row r="117" spans="1:16" s="1" customFormat="1" x14ac:dyDescent="0.35">
      <c r="A117" s="5" t="str">
        <f t="shared" si="2"/>
        <v>2023 H1 All Items D90</v>
      </c>
      <c r="B117" s="8">
        <f>'ALL 2024 H2 D80'!$B$2</f>
        <v>46114</v>
      </c>
      <c r="C117" s="8">
        <f>'ALL 2024 H2 D80'!$C$2</f>
        <v>46120</v>
      </c>
      <c r="D117" s="5">
        <v>3208</v>
      </c>
      <c r="E117" s="5">
        <v>320</v>
      </c>
      <c r="F117" s="5">
        <v>1</v>
      </c>
      <c r="G117" s="15">
        <v>1</v>
      </c>
      <c r="H117" s="15">
        <v>81239</v>
      </c>
      <c r="I117" s="5" t="s">
        <v>16</v>
      </c>
      <c r="J117" s="16">
        <v>82237852</v>
      </c>
      <c r="K117" s="16" t="s">
        <v>643</v>
      </c>
      <c r="L117" s="34" t="s">
        <v>644</v>
      </c>
      <c r="M117" s="38">
        <v>249900</v>
      </c>
      <c r="N117" s="7">
        <v>0.9</v>
      </c>
      <c r="O117" s="6">
        <f t="shared" si="3"/>
        <v>24990</v>
      </c>
      <c r="P117" s="5" t="s">
        <v>504</v>
      </c>
    </row>
    <row r="118" spans="1:16" s="1" customFormat="1" x14ac:dyDescent="0.35">
      <c r="A118" s="5" t="str">
        <f t="shared" si="2"/>
        <v>2023 H1 All Items D90</v>
      </c>
      <c r="B118" s="8">
        <f>'ALL 2024 H2 D80'!$B$2</f>
        <v>46114</v>
      </c>
      <c r="C118" s="8">
        <f>'ALL 2024 H2 D80'!$C$2</f>
        <v>46120</v>
      </c>
      <c r="D118" s="5">
        <v>3208</v>
      </c>
      <c r="E118" s="5">
        <v>320</v>
      </c>
      <c r="F118" s="5">
        <v>1</v>
      </c>
      <c r="G118" s="15">
        <v>1</v>
      </c>
      <c r="H118" s="15">
        <v>81239</v>
      </c>
      <c r="I118" s="5" t="s">
        <v>16</v>
      </c>
      <c r="J118" s="16">
        <v>82237861</v>
      </c>
      <c r="K118" s="16" t="s">
        <v>643</v>
      </c>
      <c r="L118" s="34" t="s">
        <v>645</v>
      </c>
      <c r="M118" s="38">
        <v>249900</v>
      </c>
      <c r="N118" s="7">
        <v>0.9</v>
      </c>
      <c r="O118" s="6">
        <f t="shared" si="3"/>
        <v>24990</v>
      </c>
      <c r="P118" s="5" t="s">
        <v>504</v>
      </c>
    </row>
    <row r="119" spans="1:16" s="1" customFormat="1" x14ac:dyDescent="0.35">
      <c r="A119" s="5" t="str">
        <f t="shared" si="2"/>
        <v>2023 H1 All Items D90</v>
      </c>
      <c r="B119" s="8">
        <f>'ALL 2024 H2 D80'!$B$2</f>
        <v>46114</v>
      </c>
      <c r="C119" s="8">
        <f>'ALL 2024 H2 D80'!$C$2</f>
        <v>46120</v>
      </c>
      <c r="D119" s="5">
        <v>3208</v>
      </c>
      <c r="E119" s="5">
        <v>320</v>
      </c>
      <c r="F119" s="5">
        <v>1</v>
      </c>
      <c r="G119" s="15">
        <v>1</v>
      </c>
      <c r="H119" s="15">
        <v>81239</v>
      </c>
      <c r="I119" s="5" t="s">
        <v>16</v>
      </c>
      <c r="J119" s="16">
        <v>82237870</v>
      </c>
      <c r="K119" s="16" t="s">
        <v>643</v>
      </c>
      <c r="L119" s="34" t="s">
        <v>646</v>
      </c>
      <c r="M119" s="38">
        <v>249900</v>
      </c>
      <c r="N119" s="7">
        <v>0.9</v>
      </c>
      <c r="O119" s="6">
        <f t="shared" si="3"/>
        <v>24990</v>
      </c>
      <c r="P119" s="5" t="s">
        <v>504</v>
      </c>
    </row>
    <row r="120" spans="1:16" s="1" customFormat="1" x14ac:dyDescent="0.35">
      <c r="A120" s="5" t="str">
        <f t="shared" si="2"/>
        <v>2023 H1 All Items D90</v>
      </c>
      <c r="B120" s="8">
        <f>'ALL 2024 H2 D80'!$B$2</f>
        <v>46114</v>
      </c>
      <c r="C120" s="8">
        <f>'ALL 2024 H2 D80'!$C$2</f>
        <v>46120</v>
      </c>
      <c r="D120" s="5">
        <v>3208</v>
      </c>
      <c r="E120" s="5">
        <v>320</v>
      </c>
      <c r="F120" s="5">
        <v>1</v>
      </c>
      <c r="G120" s="15">
        <v>1</v>
      </c>
      <c r="H120" s="15">
        <v>81239</v>
      </c>
      <c r="I120" s="5" t="s">
        <v>16</v>
      </c>
      <c r="J120" s="16">
        <v>82237889</v>
      </c>
      <c r="K120" s="16" t="s">
        <v>643</v>
      </c>
      <c r="L120" s="34" t="s">
        <v>647</v>
      </c>
      <c r="M120" s="38">
        <v>249900</v>
      </c>
      <c r="N120" s="7">
        <v>0.9</v>
      </c>
      <c r="O120" s="6">
        <f t="shared" si="3"/>
        <v>24990</v>
      </c>
      <c r="P120" s="5" t="s">
        <v>504</v>
      </c>
    </row>
    <row r="121" spans="1:16" s="1" customFormat="1" x14ac:dyDescent="0.35">
      <c r="A121" s="5" t="str">
        <f t="shared" si="2"/>
        <v>2023 H1 All Items D90</v>
      </c>
      <c r="B121" s="8">
        <f>'ALL 2024 H2 D80'!$B$2</f>
        <v>46114</v>
      </c>
      <c r="C121" s="8">
        <f>'ALL 2024 H2 D80'!$C$2</f>
        <v>46120</v>
      </c>
      <c r="D121" s="5">
        <v>3208</v>
      </c>
      <c r="E121" s="5">
        <v>320</v>
      </c>
      <c r="F121" s="5">
        <v>1</v>
      </c>
      <c r="G121" s="15">
        <v>1</v>
      </c>
      <c r="H121" s="15">
        <v>81239</v>
      </c>
      <c r="I121" s="5" t="s">
        <v>16</v>
      </c>
      <c r="J121" s="16">
        <v>82237898</v>
      </c>
      <c r="K121" s="16" t="s">
        <v>643</v>
      </c>
      <c r="L121" s="34" t="s">
        <v>648</v>
      </c>
      <c r="M121" s="38">
        <v>249900</v>
      </c>
      <c r="N121" s="7">
        <v>0.9</v>
      </c>
      <c r="O121" s="6">
        <f t="shared" si="3"/>
        <v>24990</v>
      </c>
      <c r="P121" s="5" t="s">
        <v>504</v>
      </c>
    </row>
    <row r="122" spans="1:16" s="1" customFormat="1" x14ac:dyDescent="0.35">
      <c r="A122" s="5" t="str">
        <f t="shared" si="2"/>
        <v>2023 H1 All Items D90</v>
      </c>
      <c r="B122" s="8">
        <f>'ALL 2024 H2 D80'!$B$2</f>
        <v>46114</v>
      </c>
      <c r="C122" s="8">
        <f>'ALL 2024 H2 D80'!$C$2</f>
        <v>46120</v>
      </c>
      <c r="D122" s="5">
        <v>3208</v>
      </c>
      <c r="E122" s="5">
        <v>320</v>
      </c>
      <c r="F122" s="5">
        <v>1</v>
      </c>
      <c r="G122" s="15">
        <v>1</v>
      </c>
      <c r="H122" s="15">
        <v>81239</v>
      </c>
      <c r="I122" s="5" t="s">
        <v>16</v>
      </c>
      <c r="J122" s="16">
        <v>82237905</v>
      </c>
      <c r="K122" s="16" t="s">
        <v>643</v>
      </c>
      <c r="L122" s="34" t="s">
        <v>649</v>
      </c>
      <c r="M122" s="38">
        <v>249900</v>
      </c>
      <c r="N122" s="7">
        <v>0.9</v>
      </c>
      <c r="O122" s="6">
        <f t="shared" si="3"/>
        <v>24990</v>
      </c>
      <c r="P122" s="5" t="s">
        <v>504</v>
      </c>
    </row>
    <row r="123" spans="1:16" s="1" customFormat="1" x14ac:dyDescent="0.35">
      <c r="A123" s="5" t="str">
        <f t="shared" si="2"/>
        <v>2023 H1 All Items D90</v>
      </c>
      <c r="B123" s="8">
        <f>'ALL 2024 H2 D80'!$B$2</f>
        <v>46114</v>
      </c>
      <c r="C123" s="8">
        <f>'ALL 2024 H2 D80'!$C$2</f>
        <v>46120</v>
      </c>
      <c r="D123" s="5">
        <v>3208</v>
      </c>
      <c r="E123" s="5">
        <v>320</v>
      </c>
      <c r="F123" s="5">
        <v>1</v>
      </c>
      <c r="G123" s="15">
        <v>1</v>
      </c>
      <c r="H123" s="15">
        <v>81239</v>
      </c>
      <c r="I123" s="5" t="s">
        <v>16</v>
      </c>
      <c r="J123" s="16">
        <v>82237914</v>
      </c>
      <c r="K123" s="16" t="s">
        <v>643</v>
      </c>
      <c r="L123" s="34" t="s">
        <v>650</v>
      </c>
      <c r="M123" s="38">
        <v>249900</v>
      </c>
      <c r="N123" s="7">
        <v>0.9</v>
      </c>
      <c r="O123" s="6">
        <f t="shared" si="3"/>
        <v>24990</v>
      </c>
      <c r="P123" s="5" t="s">
        <v>504</v>
      </c>
    </row>
    <row r="124" spans="1:16" s="1" customFormat="1" x14ac:dyDescent="0.35">
      <c r="A124" s="5" t="str">
        <f t="shared" si="2"/>
        <v>2023 H1 All Items D90</v>
      </c>
      <c r="B124" s="8">
        <f>'ALL 2024 H2 D80'!$B$2</f>
        <v>46114</v>
      </c>
      <c r="C124" s="8">
        <f>'ALL 2024 H2 D80'!$C$2</f>
        <v>46120</v>
      </c>
      <c r="D124" s="5">
        <v>3208</v>
      </c>
      <c r="E124" s="5">
        <v>320</v>
      </c>
      <c r="F124" s="5">
        <v>1</v>
      </c>
      <c r="G124" s="15">
        <v>1</v>
      </c>
      <c r="H124" s="15">
        <v>81239</v>
      </c>
      <c r="I124" s="5" t="s">
        <v>16</v>
      </c>
      <c r="J124" s="16">
        <v>82237923</v>
      </c>
      <c r="K124" s="16" t="s">
        <v>643</v>
      </c>
      <c r="L124" s="34" t="s">
        <v>651</v>
      </c>
      <c r="M124" s="38">
        <v>249900</v>
      </c>
      <c r="N124" s="7">
        <v>0.9</v>
      </c>
      <c r="O124" s="6">
        <f t="shared" si="3"/>
        <v>24990</v>
      </c>
      <c r="P124" s="5" t="s">
        <v>504</v>
      </c>
    </row>
    <row r="125" spans="1:16" s="1" customFormat="1" x14ac:dyDescent="0.35">
      <c r="A125" s="5" t="str">
        <f t="shared" si="2"/>
        <v>2023 H1 All Items D90</v>
      </c>
      <c r="B125" s="8">
        <f>'ALL 2024 H2 D80'!$B$2</f>
        <v>46114</v>
      </c>
      <c r="C125" s="8">
        <f>'ALL 2024 H2 D80'!$C$2</f>
        <v>46120</v>
      </c>
      <c r="D125" s="5">
        <v>3208</v>
      </c>
      <c r="E125" s="5">
        <v>320</v>
      </c>
      <c r="F125" s="5">
        <v>1</v>
      </c>
      <c r="G125" s="15">
        <v>1</v>
      </c>
      <c r="H125" s="15">
        <v>81809</v>
      </c>
      <c r="I125" s="5" t="s">
        <v>16</v>
      </c>
      <c r="J125" s="16">
        <v>79674136</v>
      </c>
      <c r="K125" s="16" t="s">
        <v>517</v>
      </c>
      <c r="L125" s="34" t="s">
        <v>518</v>
      </c>
      <c r="M125" s="38">
        <v>229900</v>
      </c>
      <c r="N125" s="7">
        <v>0.9</v>
      </c>
      <c r="O125" s="6">
        <f t="shared" si="3"/>
        <v>22990</v>
      </c>
      <c r="P125" s="5" t="s">
        <v>504</v>
      </c>
    </row>
    <row r="126" spans="1:16" s="1" customFormat="1" x14ac:dyDescent="0.35">
      <c r="A126" s="5" t="str">
        <f t="shared" si="2"/>
        <v>2023 H1 All Items D90</v>
      </c>
      <c r="B126" s="8">
        <f>'ALL 2024 H2 D80'!$B$2</f>
        <v>46114</v>
      </c>
      <c r="C126" s="8">
        <f>'ALL 2024 H2 D80'!$C$2</f>
        <v>46120</v>
      </c>
      <c r="D126" s="5">
        <v>3208</v>
      </c>
      <c r="E126" s="5">
        <v>320</v>
      </c>
      <c r="F126" s="5">
        <v>1</v>
      </c>
      <c r="G126" s="15">
        <v>1</v>
      </c>
      <c r="H126" s="15">
        <v>81809</v>
      </c>
      <c r="I126" s="5" t="s">
        <v>16</v>
      </c>
      <c r="J126" s="16">
        <v>79674154</v>
      </c>
      <c r="K126" s="16" t="s">
        <v>517</v>
      </c>
      <c r="L126" s="34" t="s">
        <v>519</v>
      </c>
      <c r="M126" s="38">
        <v>229900</v>
      </c>
      <c r="N126" s="7">
        <v>0.9</v>
      </c>
      <c r="O126" s="6">
        <f t="shared" si="3"/>
        <v>22990</v>
      </c>
      <c r="P126" s="5" t="s">
        <v>504</v>
      </c>
    </row>
    <row r="127" spans="1:16" s="1" customFormat="1" x14ac:dyDescent="0.35">
      <c r="A127" s="5" t="str">
        <f t="shared" si="2"/>
        <v>2023 H1 All Items D90</v>
      </c>
      <c r="B127" s="8">
        <f>'ALL 2024 H2 D80'!$B$2</f>
        <v>46114</v>
      </c>
      <c r="C127" s="8">
        <f>'ALL 2024 H2 D80'!$C$2</f>
        <v>46120</v>
      </c>
      <c r="D127" s="5">
        <v>3208</v>
      </c>
      <c r="E127" s="5">
        <v>320</v>
      </c>
      <c r="F127" s="5">
        <v>1</v>
      </c>
      <c r="G127" s="15">
        <v>1</v>
      </c>
      <c r="H127" s="15">
        <v>81809</v>
      </c>
      <c r="I127" s="5" t="s">
        <v>16</v>
      </c>
      <c r="J127" s="16">
        <v>79674181</v>
      </c>
      <c r="K127" s="16" t="s">
        <v>517</v>
      </c>
      <c r="L127" s="34" t="s">
        <v>520</v>
      </c>
      <c r="M127" s="38">
        <v>229900</v>
      </c>
      <c r="N127" s="7">
        <v>0.9</v>
      </c>
      <c r="O127" s="6">
        <f t="shared" si="3"/>
        <v>22990</v>
      </c>
      <c r="P127" s="5" t="s">
        <v>504</v>
      </c>
    </row>
    <row r="128" spans="1:16" s="1" customFormat="1" x14ac:dyDescent="0.35">
      <c r="A128" s="5" t="str">
        <f t="shared" si="2"/>
        <v>2023 H1 All Items D90</v>
      </c>
      <c r="B128" s="8">
        <f>'ALL 2024 H2 D80'!$B$2</f>
        <v>46114</v>
      </c>
      <c r="C128" s="8">
        <f>'ALL 2024 H2 D80'!$C$2</f>
        <v>46120</v>
      </c>
      <c r="D128" s="5">
        <v>3208</v>
      </c>
      <c r="E128" s="5">
        <v>320</v>
      </c>
      <c r="F128" s="5">
        <v>1</v>
      </c>
      <c r="G128" s="15">
        <v>2</v>
      </c>
      <c r="H128" s="15">
        <v>81736</v>
      </c>
      <c r="I128" s="5" t="s">
        <v>16</v>
      </c>
      <c r="J128" s="16">
        <v>33260712</v>
      </c>
      <c r="K128" s="16" t="s">
        <v>652</v>
      </c>
      <c r="L128" s="34" t="s">
        <v>653</v>
      </c>
      <c r="M128" s="38">
        <v>199900</v>
      </c>
      <c r="N128" s="7">
        <v>0.9</v>
      </c>
      <c r="O128" s="6">
        <f t="shared" si="3"/>
        <v>19990</v>
      </c>
      <c r="P128" s="5" t="s">
        <v>504</v>
      </c>
    </row>
    <row r="129" spans="1:16" s="1" customFormat="1" x14ac:dyDescent="0.35">
      <c r="A129" s="5" t="str">
        <f t="shared" si="2"/>
        <v>2023 H1 All Items D90</v>
      </c>
      <c r="B129" s="8">
        <f>'ALL 2024 H2 D80'!$B$2</f>
        <v>46114</v>
      </c>
      <c r="C129" s="8">
        <f>'ALL 2024 H2 D80'!$C$2</f>
        <v>46120</v>
      </c>
      <c r="D129" s="5">
        <v>3208</v>
      </c>
      <c r="E129" s="5">
        <v>320</v>
      </c>
      <c r="F129" s="5">
        <v>1</v>
      </c>
      <c r="G129" s="15">
        <v>2</v>
      </c>
      <c r="H129" s="15">
        <v>81736</v>
      </c>
      <c r="I129" s="5" t="s">
        <v>16</v>
      </c>
      <c r="J129" s="16">
        <v>33260721</v>
      </c>
      <c r="K129" s="16" t="s">
        <v>652</v>
      </c>
      <c r="L129" s="34" t="s">
        <v>654</v>
      </c>
      <c r="M129" s="38">
        <v>199900</v>
      </c>
      <c r="N129" s="7">
        <v>0.9</v>
      </c>
      <c r="O129" s="6">
        <f t="shared" si="3"/>
        <v>19990</v>
      </c>
      <c r="P129" s="5" t="s">
        <v>504</v>
      </c>
    </row>
    <row r="130" spans="1:16" s="1" customFormat="1" x14ac:dyDescent="0.35">
      <c r="A130" s="5" t="str">
        <f t="shared" si="2"/>
        <v>2023 H1 All Items D90</v>
      </c>
      <c r="B130" s="8">
        <f>'ALL 2024 H2 D80'!$B$2</f>
        <v>46114</v>
      </c>
      <c r="C130" s="8">
        <f>'ALL 2024 H2 D80'!$C$2</f>
        <v>46120</v>
      </c>
      <c r="D130" s="5">
        <v>3208</v>
      </c>
      <c r="E130" s="5">
        <v>320</v>
      </c>
      <c r="F130" s="5">
        <v>1</v>
      </c>
      <c r="G130" s="15">
        <v>2</v>
      </c>
      <c r="H130" s="15">
        <v>81736</v>
      </c>
      <c r="I130" s="5" t="s">
        <v>16</v>
      </c>
      <c r="J130" s="16">
        <v>33260730</v>
      </c>
      <c r="K130" s="16" t="s">
        <v>652</v>
      </c>
      <c r="L130" s="34" t="s">
        <v>655</v>
      </c>
      <c r="M130" s="38">
        <v>199900</v>
      </c>
      <c r="N130" s="7">
        <v>0.9</v>
      </c>
      <c r="O130" s="6">
        <f t="shared" si="3"/>
        <v>19990</v>
      </c>
      <c r="P130" s="5" t="s">
        <v>504</v>
      </c>
    </row>
    <row r="131" spans="1:16" s="1" customFormat="1" x14ac:dyDescent="0.35">
      <c r="A131" s="5" t="str">
        <f t="shared" si="2"/>
        <v>2023 H1 All Items D90</v>
      </c>
      <c r="B131" s="8">
        <f>'ALL 2024 H2 D80'!$B$2</f>
        <v>46114</v>
      </c>
      <c r="C131" s="8">
        <f>'ALL 2024 H2 D80'!$C$2</f>
        <v>46120</v>
      </c>
      <c r="D131" s="5">
        <v>3208</v>
      </c>
      <c r="E131" s="5">
        <v>320</v>
      </c>
      <c r="F131" s="5">
        <v>1</v>
      </c>
      <c r="G131" s="15">
        <v>2</v>
      </c>
      <c r="H131" s="15">
        <v>81736</v>
      </c>
      <c r="I131" s="5" t="s">
        <v>16</v>
      </c>
      <c r="J131" s="16">
        <v>33260749</v>
      </c>
      <c r="K131" s="16" t="s">
        <v>652</v>
      </c>
      <c r="L131" s="34" t="s">
        <v>656</v>
      </c>
      <c r="M131" s="38">
        <v>199900</v>
      </c>
      <c r="N131" s="7">
        <v>0.9</v>
      </c>
      <c r="O131" s="6">
        <f t="shared" si="3"/>
        <v>19990</v>
      </c>
      <c r="P131" s="5" t="s">
        <v>504</v>
      </c>
    </row>
    <row r="132" spans="1:16" s="1" customFormat="1" x14ac:dyDescent="0.35">
      <c r="A132" s="5" t="str">
        <f t="shared" ref="A132:A195" si="4">$A$2</f>
        <v>2023 H1 All Items D90</v>
      </c>
      <c r="B132" s="8">
        <f>'ALL 2024 H2 D80'!$B$2</f>
        <v>46114</v>
      </c>
      <c r="C132" s="8">
        <f>'ALL 2024 H2 D80'!$C$2</f>
        <v>46120</v>
      </c>
      <c r="D132" s="5">
        <v>3208</v>
      </c>
      <c r="E132" s="5">
        <v>320</v>
      </c>
      <c r="F132" s="5">
        <v>1</v>
      </c>
      <c r="G132" s="15">
        <v>2</v>
      </c>
      <c r="H132" s="15">
        <v>81736</v>
      </c>
      <c r="I132" s="5" t="s">
        <v>16</v>
      </c>
      <c r="J132" s="16">
        <v>62040995</v>
      </c>
      <c r="K132" s="16" t="s">
        <v>723</v>
      </c>
      <c r="L132" s="34" t="s">
        <v>724</v>
      </c>
      <c r="M132" s="38">
        <v>229900</v>
      </c>
      <c r="N132" s="7">
        <v>0.9</v>
      </c>
      <c r="O132" s="6">
        <f t="shared" ref="O132:O195" si="5">M132-(M132*N132)</f>
        <v>22990</v>
      </c>
      <c r="P132" s="5" t="s">
        <v>504</v>
      </c>
    </row>
    <row r="133" spans="1:16" s="1" customFormat="1" x14ac:dyDescent="0.35">
      <c r="A133" s="5" t="str">
        <f t="shared" si="4"/>
        <v>2023 H1 All Items D90</v>
      </c>
      <c r="B133" s="8">
        <f>'ALL 2024 H2 D80'!$B$2</f>
        <v>46114</v>
      </c>
      <c r="C133" s="8">
        <f>'ALL 2024 H2 D80'!$C$2</f>
        <v>46120</v>
      </c>
      <c r="D133" s="5">
        <v>3208</v>
      </c>
      <c r="E133" s="5">
        <v>320</v>
      </c>
      <c r="F133" s="5">
        <v>1</v>
      </c>
      <c r="G133" s="15">
        <v>2</v>
      </c>
      <c r="H133" s="15">
        <v>81736</v>
      </c>
      <c r="I133" s="5" t="s">
        <v>16</v>
      </c>
      <c r="J133" s="16">
        <v>62041001</v>
      </c>
      <c r="K133" s="16" t="s">
        <v>723</v>
      </c>
      <c r="L133" s="34" t="s">
        <v>725</v>
      </c>
      <c r="M133" s="38">
        <v>229900</v>
      </c>
      <c r="N133" s="7">
        <v>0.9</v>
      </c>
      <c r="O133" s="6">
        <f t="shared" si="5"/>
        <v>22990</v>
      </c>
      <c r="P133" s="5" t="s">
        <v>504</v>
      </c>
    </row>
    <row r="134" spans="1:16" s="1" customFormat="1" x14ac:dyDescent="0.35">
      <c r="A134" s="5" t="str">
        <f t="shared" si="4"/>
        <v>2023 H1 All Items D90</v>
      </c>
      <c r="B134" s="8">
        <f>'ALL 2024 H2 D80'!$B$2</f>
        <v>46114</v>
      </c>
      <c r="C134" s="8">
        <f>'ALL 2024 H2 D80'!$C$2</f>
        <v>46120</v>
      </c>
      <c r="D134" s="5">
        <v>3208</v>
      </c>
      <c r="E134" s="5">
        <v>320</v>
      </c>
      <c r="F134" s="5">
        <v>1</v>
      </c>
      <c r="G134" s="15">
        <v>2</v>
      </c>
      <c r="H134" s="15">
        <v>81736</v>
      </c>
      <c r="I134" s="5" t="s">
        <v>16</v>
      </c>
      <c r="J134" s="16">
        <v>62041029</v>
      </c>
      <c r="K134" s="16" t="s">
        <v>723</v>
      </c>
      <c r="L134" s="34" t="s">
        <v>726</v>
      </c>
      <c r="M134" s="38">
        <v>229900</v>
      </c>
      <c r="N134" s="7">
        <v>0.9</v>
      </c>
      <c r="O134" s="6">
        <f t="shared" si="5"/>
        <v>22990</v>
      </c>
      <c r="P134" s="5" t="s">
        <v>504</v>
      </c>
    </row>
    <row r="135" spans="1:16" s="1" customFormat="1" x14ac:dyDescent="0.35">
      <c r="A135" s="5" t="str">
        <f t="shared" si="4"/>
        <v>2023 H1 All Items D90</v>
      </c>
      <c r="B135" s="8">
        <f>'ALL 2024 H2 D80'!$B$2</f>
        <v>46114</v>
      </c>
      <c r="C135" s="8">
        <f>'ALL 2024 H2 D80'!$C$2</f>
        <v>46120</v>
      </c>
      <c r="D135" s="5">
        <v>3208</v>
      </c>
      <c r="E135" s="5">
        <v>320</v>
      </c>
      <c r="F135" s="5">
        <v>1</v>
      </c>
      <c r="G135" s="15">
        <v>2</v>
      </c>
      <c r="H135" s="15">
        <v>81736</v>
      </c>
      <c r="I135" s="5" t="s">
        <v>16</v>
      </c>
      <c r="J135" s="16">
        <v>67441329</v>
      </c>
      <c r="K135" s="16" t="s">
        <v>727</v>
      </c>
      <c r="L135" s="34" t="s">
        <v>728</v>
      </c>
      <c r="M135" s="38">
        <v>229900</v>
      </c>
      <c r="N135" s="7">
        <v>0.9</v>
      </c>
      <c r="O135" s="6">
        <f t="shared" si="5"/>
        <v>22990</v>
      </c>
      <c r="P135" s="5" t="s">
        <v>504</v>
      </c>
    </row>
    <row r="136" spans="1:16" s="1" customFormat="1" x14ac:dyDescent="0.35">
      <c r="A136" s="5" t="str">
        <f t="shared" si="4"/>
        <v>2023 H1 All Items D90</v>
      </c>
      <c r="B136" s="8">
        <f>'ALL 2024 H2 D80'!$B$2</f>
        <v>46114</v>
      </c>
      <c r="C136" s="8">
        <f>'ALL 2024 H2 D80'!$C$2</f>
        <v>46120</v>
      </c>
      <c r="D136" s="5">
        <v>3208</v>
      </c>
      <c r="E136" s="5">
        <v>320</v>
      </c>
      <c r="F136" s="5">
        <v>1</v>
      </c>
      <c r="G136" s="15">
        <v>2</v>
      </c>
      <c r="H136" s="15">
        <v>81736</v>
      </c>
      <c r="I136" s="5" t="s">
        <v>16</v>
      </c>
      <c r="J136" s="16">
        <v>67441338</v>
      </c>
      <c r="K136" s="16" t="s">
        <v>727</v>
      </c>
      <c r="L136" s="34" t="s">
        <v>729</v>
      </c>
      <c r="M136" s="38">
        <v>229900</v>
      </c>
      <c r="N136" s="7">
        <v>0.9</v>
      </c>
      <c r="O136" s="6">
        <f t="shared" si="5"/>
        <v>22990</v>
      </c>
      <c r="P136" s="5" t="s">
        <v>504</v>
      </c>
    </row>
    <row r="137" spans="1:16" s="1" customFormat="1" x14ac:dyDescent="0.35">
      <c r="A137" s="5" t="str">
        <f t="shared" si="4"/>
        <v>2023 H1 All Items D90</v>
      </c>
      <c r="B137" s="8">
        <f>'ALL 2024 H2 D80'!$B$2</f>
        <v>46114</v>
      </c>
      <c r="C137" s="8">
        <f>'ALL 2024 H2 D80'!$C$2</f>
        <v>46120</v>
      </c>
      <c r="D137" s="5">
        <v>3208</v>
      </c>
      <c r="E137" s="5">
        <v>320</v>
      </c>
      <c r="F137" s="5">
        <v>1</v>
      </c>
      <c r="G137" s="15">
        <v>2</v>
      </c>
      <c r="H137" s="15">
        <v>81736</v>
      </c>
      <c r="I137" s="5" t="s">
        <v>16</v>
      </c>
      <c r="J137" s="16">
        <v>67441347</v>
      </c>
      <c r="K137" s="16" t="s">
        <v>727</v>
      </c>
      <c r="L137" s="34" t="s">
        <v>730</v>
      </c>
      <c r="M137" s="38">
        <v>229900</v>
      </c>
      <c r="N137" s="7">
        <v>0.9</v>
      </c>
      <c r="O137" s="6">
        <f t="shared" si="5"/>
        <v>22990</v>
      </c>
      <c r="P137" s="5" t="s">
        <v>504</v>
      </c>
    </row>
    <row r="138" spans="1:16" s="1" customFormat="1" x14ac:dyDescent="0.35">
      <c r="A138" s="5" t="str">
        <f t="shared" si="4"/>
        <v>2023 H1 All Items D90</v>
      </c>
      <c r="B138" s="8">
        <f>'ALL 2024 H2 D80'!$B$2</f>
        <v>46114</v>
      </c>
      <c r="C138" s="8">
        <f>'ALL 2024 H2 D80'!$C$2</f>
        <v>46120</v>
      </c>
      <c r="D138" s="5">
        <v>3208</v>
      </c>
      <c r="E138" s="5">
        <v>320</v>
      </c>
      <c r="F138" s="5">
        <v>1</v>
      </c>
      <c r="G138" s="15">
        <v>2</v>
      </c>
      <c r="H138" s="15">
        <v>81736</v>
      </c>
      <c r="I138" s="5" t="s">
        <v>16</v>
      </c>
      <c r="J138" s="16">
        <v>67441356</v>
      </c>
      <c r="K138" s="16" t="s">
        <v>727</v>
      </c>
      <c r="L138" s="34" t="s">
        <v>731</v>
      </c>
      <c r="M138" s="38">
        <v>229900</v>
      </c>
      <c r="N138" s="7">
        <v>0.9</v>
      </c>
      <c r="O138" s="6">
        <f t="shared" si="5"/>
        <v>22990</v>
      </c>
      <c r="P138" s="5" t="s">
        <v>504</v>
      </c>
    </row>
    <row r="139" spans="1:16" s="1" customFormat="1" x14ac:dyDescent="0.35">
      <c r="A139" s="5" t="str">
        <f t="shared" si="4"/>
        <v>2023 H1 All Items D90</v>
      </c>
      <c r="B139" s="8">
        <f>'ALL 2024 H2 D80'!$B$2</f>
        <v>46114</v>
      </c>
      <c r="C139" s="8">
        <f>'ALL 2024 H2 D80'!$C$2</f>
        <v>46120</v>
      </c>
      <c r="D139" s="5">
        <v>3208</v>
      </c>
      <c r="E139" s="5">
        <v>320</v>
      </c>
      <c r="F139" s="5">
        <v>1</v>
      </c>
      <c r="G139" s="15">
        <v>2</v>
      </c>
      <c r="H139" s="15">
        <v>81736</v>
      </c>
      <c r="I139" s="5" t="s">
        <v>16</v>
      </c>
      <c r="J139" s="16">
        <v>67441365</v>
      </c>
      <c r="K139" s="16" t="s">
        <v>727</v>
      </c>
      <c r="L139" s="34" t="s">
        <v>732</v>
      </c>
      <c r="M139" s="38">
        <v>229900</v>
      </c>
      <c r="N139" s="7">
        <v>0.9</v>
      </c>
      <c r="O139" s="6">
        <f t="shared" si="5"/>
        <v>22990</v>
      </c>
      <c r="P139" s="5" t="s">
        <v>504</v>
      </c>
    </row>
    <row r="140" spans="1:16" s="1" customFormat="1" x14ac:dyDescent="0.35">
      <c r="A140" s="5" t="str">
        <f t="shared" si="4"/>
        <v>2023 H1 All Items D90</v>
      </c>
      <c r="B140" s="8">
        <f>'ALL 2024 H2 D80'!$B$2</f>
        <v>46114</v>
      </c>
      <c r="C140" s="8">
        <f>'ALL 2024 H2 D80'!$C$2</f>
        <v>46120</v>
      </c>
      <c r="D140" s="5">
        <v>3208</v>
      </c>
      <c r="E140" s="5">
        <v>320</v>
      </c>
      <c r="F140" s="5">
        <v>1</v>
      </c>
      <c r="G140" s="15">
        <v>2</v>
      </c>
      <c r="H140" s="15">
        <v>81736</v>
      </c>
      <c r="I140" s="5" t="s">
        <v>16</v>
      </c>
      <c r="J140" s="16">
        <v>67441374</v>
      </c>
      <c r="K140" s="16" t="s">
        <v>727</v>
      </c>
      <c r="L140" s="34" t="s">
        <v>733</v>
      </c>
      <c r="M140" s="38">
        <v>229900</v>
      </c>
      <c r="N140" s="7">
        <v>0.9</v>
      </c>
      <c r="O140" s="6">
        <f t="shared" si="5"/>
        <v>22990</v>
      </c>
      <c r="P140" s="5" t="s">
        <v>504</v>
      </c>
    </row>
    <row r="141" spans="1:16" s="1" customFormat="1" x14ac:dyDescent="0.35">
      <c r="A141" s="5" t="str">
        <f t="shared" si="4"/>
        <v>2023 H1 All Items D90</v>
      </c>
      <c r="B141" s="8">
        <f>'ALL 2024 H2 D80'!$B$2</f>
        <v>46114</v>
      </c>
      <c r="C141" s="8">
        <f>'ALL 2024 H2 D80'!$C$2</f>
        <v>46120</v>
      </c>
      <c r="D141" s="5">
        <v>3208</v>
      </c>
      <c r="E141" s="5">
        <v>320</v>
      </c>
      <c r="F141" s="5">
        <v>1</v>
      </c>
      <c r="G141" s="15">
        <v>2</v>
      </c>
      <c r="H141" s="15">
        <v>81736</v>
      </c>
      <c r="I141" s="5" t="s">
        <v>16</v>
      </c>
      <c r="J141" s="16">
        <v>67441383</v>
      </c>
      <c r="K141" s="16" t="s">
        <v>727</v>
      </c>
      <c r="L141" s="34" t="s">
        <v>734</v>
      </c>
      <c r="M141" s="38">
        <v>229900</v>
      </c>
      <c r="N141" s="7">
        <v>0.9</v>
      </c>
      <c r="O141" s="6">
        <f t="shared" si="5"/>
        <v>22990</v>
      </c>
      <c r="P141" s="5" t="s">
        <v>504</v>
      </c>
    </row>
    <row r="142" spans="1:16" s="1" customFormat="1" x14ac:dyDescent="0.35">
      <c r="A142" s="5" t="str">
        <f t="shared" si="4"/>
        <v>2023 H1 All Items D90</v>
      </c>
      <c r="B142" s="8">
        <f>'ALL 2024 H2 D80'!$B$2</f>
        <v>46114</v>
      </c>
      <c r="C142" s="8">
        <f>'ALL 2024 H2 D80'!$C$2</f>
        <v>46120</v>
      </c>
      <c r="D142" s="5">
        <v>3208</v>
      </c>
      <c r="E142" s="5">
        <v>320</v>
      </c>
      <c r="F142" s="5">
        <v>1</v>
      </c>
      <c r="G142" s="15">
        <v>2</v>
      </c>
      <c r="H142" s="15">
        <v>81736</v>
      </c>
      <c r="I142" s="5" t="s">
        <v>16</v>
      </c>
      <c r="J142" s="16">
        <v>67441392</v>
      </c>
      <c r="K142" s="16" t="s">
        <v>727</v>
      </c>
      <c r="L142" s="34" t="s">
        <v>735</v>
      </c>
      <c r="M142" s="38">
        <v>229900</v>
      </c>
      <c r="N142" s="7">
        <v>0.9</v>
      </c>
      <c r="O142" s="6">
        <f t="shared" si="5"/>
        <v>22990</v>
      </c>
      <c r="P142" s="5" t="s">
        <v>504</v>
      </c>
    </row>
    <row r="143" spans="1:16" s="1" customFormat="1" x14ac:dyDescent="0.35">
      <c r="A143" s="5" t="str">
        <f t="shared" si="4"/>
        <v>2023 H1 All Items D90</v>
      </c>
      <c r="B143" s="8">
        <f>'ALL 2024 H2 D80'!$B$2</f>
        <v>46114</v>
      </c>
      <c r="C143" s="8">
        <f>'ALL 2024 H2 D80'!$C$2</f>
        <v>46120</v>
      </c>
      <c r="D143" s="5">
        <v>3208</v>
      </c>
      <c r="E143" s="5">
        <v>320</v>
      </c>
      <c r="F143" s="5">
        <v>1</v>
      </c>
      <c r="G143" s="15">
        <v>2</v>
      </c>
      <c r="H143" s="15">
        <v>81736</v>
      </c>
      <c r="I143" s="5" t="s">
        <v>16</v>
      </c>
      <c r="J143" s="16">
        <v>70042692</v>
      </c>
      <c r="K143" s="16" t="s">
        <v>736</v>
      </c>
      <c r="L143" s="34" t="s">
        <v>737</v>
      </c>
      <c r="M143" s="38">
        <v>279900</v>
      </c>
      <c r="N143" s="7">
        <v>0.9</v>
      </c>
      <c r="O143" s="6">
        <f t="shared" si="5"/>
        <v>27990</v>
      </c>
      <c r="P143" s="5" t="s">
        <v>504</v>
      </c>
    </row>
    <row r="144" spans="1:16" s="1" customFormat="1" x14ac:dyDescent="0.35">
      <c r="A144" s="5" t="str">
        <f t="shared" si="4"/>
        <v>2023 H1 All Items D90</v>
      </c>
      <c r="B144" s="8">
        <f>'ALL 2024 H2 D80'!$B$2</f>
        <v>46114</v>
      </c>
      <c r="C144" s="8">
        <f>'ALL 2024 H2 D80'!$C$2</f>
        <v>46120</v>
      </c>
      <c r="D144" s="5">
        <v>3208</v>
      </c>
      <c r="E144" s="5">
        <v>320</v>
      </c>
      <c r="F144" s="5">
        <v>1</v>
      </c>
      <c r="G144" s="15">
        <v>2</v>
      </c>
      <c r="H144" s="15">
        <v>81736</v>
      </c>
      <c r="I144" s="5" t="s">
        <v>16</v>
      </c>
      <c r="J144" s="16">
        <v>70042718</v>
      </c>
      <c r="K144" s="16" t="s">
        <v>736</v>
      </c>
      <c r="L144" s="34" t="s">
        <v>738</v>
      </c>
      <c r="M144" s="38">
        <v>279900</v>
      </c>
      <c r="N144" s="7">
        <v>0.9</v>
      </c>
      <c r="O144" s="6">
        <f t="shared" si="5"/>
        <v>27990</v>
      </c>
      <c r="P144" s="5" t="s">
        <v>504</v>
      </c>
    </row>
    <row r="145" spans="1:16" s="1" customFormat="1" x14ac:dyDescent="0.35">
      <c r="A145" s="5" t="str">
        <f t="shared" si="4"/>
        <v>2023 H1 All Items D90</v>
      </c>
      <c r="B145" s="8">
        <f>'ALL 2024 H2 D80'!$B$2</f>
        <v>46114</v>
      </c>
      <c r="C145" s="8">
        <f>'ALL 2024 H2 D80'!$C$2</f>
        <v>46120</v>
      </c>
      <c r="D145" s="5">
        <v>3208</v>
      </c>
      <c r="E145" s="5">
        <v>320</v>
      </c>
      <c r="F145" s="5">
        <v>1</v>
      </c>
      <c r="G145" s="15">
        <v>2</v>
      </c>
      <c r="H145" s="15">
        <v>81736</v>
      </c>
      <c r="I145" s="5" t="s">
        <v>16</v>
      </c>
      <c r="J145" s="16">
        <v>70042727</v>
      </c>
      <c r="K145" s="16" t="s">
        <v>736</v>
      </c>
      <c r="L145" s="34" t="s">
        <v>739</v>
      </c>
      <c r="M145" s="38">
        <v>279900</v>
      </c>
      <c r="N145" s="7">
        <v>0.9</v>
      </c>
      <c r="O145" s="6">
        <f t="shared" si="5"/>
        <v>27990</v>
      </c>
      <c r="P145" s="5" t="s">
        <v>504</v>
      </c>
    </row>
    <row r="146" spans="1:16" s="1" customFormat="1" x14ac:dyDescent="0.35">
      <c r="A146" s="5" t="str">
        <f t="shared" si="4"/>
        <v>2023 H1 All Items D90</v>
      </c>
      <c r="B146" s="8">
        <f>'ALL 2024 H2 D80'!$B$2</f>
        <v>46114</v>
      </c>
      <c r="C146" s="8">
        <f>'ALL 2024 H2 D80'!$C$2</f>
        <v>46120</v>
      </c>
      <c r="D146" s="5">
        <v>3208</v>
      </c>
      <c r="E146" s="5">
        <v>320</v>
      </c>
      <c r="F146" s="5">
        <v>1</v>
      </c>
      <c r="G146" s="15">
        <v>2</v>
      </c>
      <c r="H146" s="15">
        <v>81736</v>
      </c>
      <c r="I146" s="5" t="s">
        <v>16</v>
      </c>
      <c r="J146" s="16">
        <v>73645393</v>
      </c>
      <c r="K146" s="16" t="s">
        <v>740</v>
      </c>
      <c r="L146" s="34" t="s">
        <v>741</v>
      </c>
      <c r="M146" s="38">
        <v>249900</v>
      </c>
      <c r="N146" s="7">
        <v>0.9</v>
      </c>
      <c r="O146" s="6">
        <f t="shared" si="5"/>
        <v>24990</v>
      </c>
      <c r="P146" s="5" t="s">
        <v>504</v>
      </c>
    </row>
    <row r="147" spans="1:16" s="1" customFormat="1" x14ac:dyDescent="0.35">
      <c r="A147" s="5" t="str">
        <f t="shared" si="4"/>
        <v>2023 H1 All Items D90</v>
      </c>
      <c r="B147" s="8">
        <f>'ALL 2024 H2 D80'!$B$2</f>
        <v>46114</v>
      </c>
      <c r="C147" s="8">
        <f>'ALL 2024 H2 D80'!$C$2</f>
        <v>46120</v>
      </c>
      <c r="D147" s="5">
        <v>3208</v>
      </c>
      <c r="E147" s="5">
        <v>320</v>
      </c>
      <c r="F147" s="5">
        <v>1</v>
      </c>
      <c r="G147" s="15">
        <v>2</v>
      </c>
      <c r="H147" s="15">
        <v>81736</v>
      </c>
      <c r="I147" s="5" t="s">
        <v>16</v>
      </c>
      <c r="J147" s="16">
        <v>73645400</v>
      </c>
      <c r="K147" s="16" t="s">
        <v>740</v>
      </c>
      <c r="L147" s="34" t="s">
        <v>742</v>
      </c>
      <c r="M147" s="38">
        <v>249900</v>
      </c>
      <c r="N147" s="7">
        <v>0.9</v>
      </c>
      <c r="O147" s="6">
        <f t="shared" si="5"/>
        <v>24990</v>
      </c>
      <c r="P147" s="5" t="s">
        <v>504</v>
      </c>
    </row>
    <row r="148" spans="1:16" s="1" customFormat="1" x14ac:dyDescent="0.35">
      <c r="A148" s="5" t="str">
        <f t="shared" si="4"/>
        <v>2023 H1 All Items D90</v>
      </c>
      <c r="B148" s="8">
        <f>'ALL 2024 H2 D80'!$B$2</f>
        <v>46114</v>
      </c>
      <c r="C148" s="8">
        <f>'ALL 2024 H2 D80'!$C$2</f>
        <v>46120</v>
      </c>
      <c r="D148" s="5">
        <v>3208</v>
      </c>
      <c r="E148" s="5">
        <v>320</v>
      </c>
      <c r="F148" s="5">
        <v>1</v>
      </c>
      <c r="G148" s="15">
        <v>2</v>
      </c>
      <c r="H148" s="15">
        <v>81736</v>
      </c>
      <c r="I148" s="5" t="s">
        <v>16</v>
      </c>
      <c r="J148" s="16">
        <v>73645419</v>
      </c>
      <c r="K148" s="16" t="s">
        <v>740</v>
      </c>
      <c r="L148" s="34" t="s">
        <v>743</v>
      </c>
      <c r="M148" s="38">
        <v>249900</v>
      </c>
      <c r="N148" s="7">
        <v>0.9</v>
      </c>
      <c r="O148" s="6">
        <f t="shared" si="5"/>
        <v>24990</v>
      </c>
      <c r="P148" s="5" t="s">
        <v>504</v>
      </c>
    </row>
    <row r="149" spans="1:16" s="1" customFormat="1" x14ac:dyDescent="0.35">
      <c r="A149" s="5" t="str">
        <f t="shared" si="4"/>
        <v>2023 H1 All Items D90</v>
      </c>
      <c r="B149" s="8">
        <f>'ALL 2024 H2 D80'!$B$2</f>
        <v>46114</v>
      </c>
      <c r="C149" s="8">
        <f>'ALL 2024 H2 D80'!$C$2</f>
        <v>46120</v>
      </c>
      <c r="D149" s="5">
        <v>3208</v>
      </c>
      <c r="E149" s="5">
        <v>320</v>
      </c>
      <c r="F149" s="5">
        <v>1</v>
      </c>
      <c r="G149" s="15">
        <v>2</v>
      </c>
      <c r="H149" s="15">
        <v>81736</v>
      </c>
      <c r="I149" s="5" t="s">
        <v>16</v>
      </c>
      <c r="J149" s="16">
        <v>73645428</v>
      </c>
      <c r="K149" s="16" t="s">
        <v>740</v>
      </c>
      <c r="L149" s="34" t="s">
        <v>744</v>
      </c>
      <c r="M149" s="38">
        <v>249900</v>
      </c>
      <c r="N149" s="7">
        <v>0.9</v>
      </c>
      <c r="O149" s="6">
        <f t="shared" si="5"/>
        <v>24990</v>
      </c>
      <c r="P149" s="5" t="s">
        <v>504</v>
      </c>
    </row>
    <row r="150" spans="1:16" s="1" customFormat="1" x14ac:dyDescent="0.35">
      <c r="A150" s="5" t="str">
        <f t="shared" si="4"/>
        <v>2023 H1 All Items D90</v>
      </c>
      <c r="B150" s="8">
        <f>'ALL 2024 H2 D80'!$B$2</f>
        <v>46114</v>
      </c>
      <c r="C150" s="8">
        <f>'ALL 2024 H2 D80'!$C$2</f>
        <v>46120</v>
      </c>
      <c r="D150" s="5">
        <v>3208</v>
      </c>
      <c r="E150" s="5">
        <v>320</v>
      </c>
      <c r="F150" s="5">
        <v>1</v>
      </c>
      <c r="G150" s="15">
        <v>2</v>
      </c>
      <c r="H150" s="15">
        <v>81736</v>
      </c>
      <c r="I150" s="5" t="s">
        <v>16</v>
      </c>
      <c r="J150" s="16">
        <v>76704902</v>
      </c>
      <c r="K150" s="16" t="s">
        <v>745</v>
      </c>
      <c r="L150" s="34" t="s">
        <v>746</v>
      </c>
      <c r="M150" s="38">
        <v>199900</v>
      </c>
      <c r="N150" s="7">
        <v>0.9</v>
      </c>
      <c r="O150" s="6">
        <f t="shared" si="5"/>
        <v>19990</v>
      </c>
      <c r="P150" s="5" t="s">
        <v>504</v>
      </c>
    </row>
    <row r="151" spans="1:16" s="1" customFormat="1" x14ac:dyDescent="0.35">
      <c r="A151" s="5" t="str">
        <f t="shared" si="4"/>
        <v>2023 H1 All Items D90</v>
      </c>
      <c r="B151" s="8">
        <f>'ALL 2024 H2 D80'!$B$2</f>
        <v>46114</v>
      </c>
      <c r="C151" s="8">
        <f>'ALL 2024 H2 D80'!$C$2</f>
        <v>46120</v>
      </c>
      <c r="D151" s="5">
        <v>3208</v>
      </c>
      <c r="E151" s="5">
        <v>320</v>
      </c>
      <c r="F151" s="5">
        <v>1</v>
      </c>
      <c r="G151" s="15">
        <v>2</v>
      </c>
      <c r="H151" s="15">
        <v>81736</v>
      </c>
      <c r="I151" s="5" t="s">
        <v>16</v>
      </c>
      <c r="J151" s="16">
        <v>76704911</v>
      </c>
      <c r="K151" s="16" t="s">
        <v>745</v>
      </c>
      <c r="L151" s="34" t="s">
        <v>747</v>
      </c>
      <c r="M151" s="38">
        <v>199900</v>
      </c>
      <c r="N151" s="7">
        <v>0.9</v>
      </c>
      <c r="O151" s="6">
        <f t="shared" si="5"/>
        <v>19990</v>
      </c>
      <c r="P151" s="5" t="s">
        <v>504</v>
      </c>
    </row>
    <row r="152" spans="1:16" s="1" customFormat="1" x14ac:dyDescent="0.35">
      <c r="A152" s="5" t="str">
        <f t="shared" si="4"/>
        <v>2023 H1 All Items D90</v>
      </c>
      <c r="B152" s="8">
        <f>'ALL 2024 H2 D80'!$B$2</f>
        <v>46114</v>
      </c>
      <c r="C152" s="8">
        <f>'ALL 2024 H2 D80'!$C$2</f>
        <v>46120</v>
      </c>
      <c r="D152" s="5">
        <v>3208</v>
      </c>
      <c r="E152" s="5">
        <v>320</v>
      </c>
      <c r="F152" s="5">
        <v>1</v>
      </c>
      <c r="G152" s="15">
        <v>2</v>
      </c>
      <c r="H152" s="15">
        <v>81736</v>
      </c>
      <c r="I152" s="5" t="s">
        <v>16</v>
      </c>
      <c r="J152" s="16">
        <v>76704920</v>
      </c>
      <c r="K152" s="16" t="s">
        <v>745</v>
      </c>
      <c r="L152" s="34" t="s">
        <v>748</v>
      </c>
      <c r="M152" s="38">
        <v>199900</v>
      </c>
      <c r="N152" s="7">
        <v>0.9</v>
      </c>
      <c r="O152" s="6">
        <f t="shared" si="5"/>
        <v>19990</v>
      </c>
      <c r="P152" s="5" t="s">
        <v>504</v>
      </c>
    </row>
    <row r="153" spans="1:16" s="1" customFormat="1" x14ac:dyDescent="0.35">
      <c r="A153" s="5" t="str">
        <f t="shared" si="4"/>
        <v>2023 H1 All Items D90</v>
      </c>
      <c r="B153" s="8">
        <f>'ALL 2024 H2 D80'!$B$2</f>
        <v>46114</v>
      </c>
      <c r="C153" s="8">
        <f>'ALL 2024 H2 D80'!$C$2</f>
        <v>46120</v>
      </c>
      <c r="D153" s="5">
        <v>3208</v>
      </c>
      <c r="E153" s="5">
        <v>320</v>
      </c>
      <c r="F153" s="5">
        <v>1</v>
      </c>
      <c r="G153" s="15">
        <v>2</v>
      </c>
      <c r="H153" s="15">
        <v>81736</v>
      </c>
      <c r="I153" s="5" t="s">
        <v>16</v>
      </c>
      <c r="J153" s="16">
        <v>76704939</v>
      </c>
      <c r="K153" s="16" t="s">
        <v>745</v>
      </c>
      <c r="L153" s="34" t="s">
        <v>749</v>
      </c>
      <c r="M153" s="38">
        <v>199900</v>
      </c>
      <c r="N153" s="7">
        <v>0.9</v>
      </c>
      <c r="O153" s="6">
        <f t="shared" si="5"/>
        <v>19990</v>
      </c>
      <c r="P153" s="5" t="s">
        <v>504</v>
      </c>
    </row>
    <row r="154" spans="1:16" s="1" customFormat="1" x14ac:dyDescent="0.35">
      <c r="A154" s="5" t="str">
        <f t="shared" si="4"/>
        <v>2023 H1 All Items D90</v>
      </c>
      <c r="B154" s="8">
        <f>'ALL 2024 H2 D80'!$B$2</f>
        <v>46114</v>
      </c>
      <c r="C154" s="8">
        <f>'ALL 2024 H2 D80'!$C$2</f>
        <v>46120</v>
      </c>
      <c r="D154" s="5">
        <v>3208</v>
      </c>
      <c r="E154" s="5">
        <v>320</v>
      </c>
      <c r="F154" s="5">
        <v>1</v>
      </c>
      <c r="G154" s="15">
        <v>2</v>
      </c>
      <c r="H154" s="15">
        <v>81736</v>
      </c>
      <c r="I154" s="5" t="s">
        <v>16</v>
      </c>
      <c r="J154" s="16">
        <v>76704948</v>
      </c>
      <c r="K154" s="16" t="s">
        <v>745</v>
      </c>
      <c r="L154" s="34" t="s">
        <v>750</v>
      </c>
      <c r="M154" s="38">
        <v>199900</v>
      </c>
      <c r="N154" s="7">
        <v>0.9</v>
      </c>
      <c r="O154" s="6">
        <f t="shared" si="5"/>
        <v>19990</v>
      </c>
      <c r="P154" s="5" t="s">
        <v>504</v>
      </c>
    </row>
    <row r="155" spans="1:16" s="1" customFormat="1" x14ac:dyDescent="0.35">
      <c r="A155" s="5" t="str">
        <f t="shared" si="4"/>
        <v>2023 H1 All Items D90</v>
      </c>
      <c r="B155" s="8">
        <f>'ALL 2024 H2 D80'!$B$2</f>
        <v>46114</v>
      </c>
      <c r="C155" s="8">
        <f>'ALL 2024 H2 D80'!$C$2</f>
        <v>46120</v>
      </c>
      <c r="D155" s="5">
        <v>3208</v>
      </c>
      <c r="E155" s="5">
        <v>320</v>
      </c>
      <c r="F155" s="5">
        <v>1</v>
      </c>
      <c r="G155" s="15">
        <v>2</v>
      </c>
      <c r="H155" s="15">
        <v>81736</v>
      </c>
      <c r="I155" s="5" t="s">
        <v>16</v>
      </c>
      <c r="J155" s="16">
        <v>76704957</v>
      </c>
      <c r="K155" s="16" t="s">
        <v>745</v>
      </c>
      <c r="L155" s="34" t="s">
        <v>751</v>
      </c>
      <c r="M155" s="38">
        <v>199900</v>
      </c>
      <c r="N155" s="7">
        <v>0.9</v>
      </c>
      <c r="O155" s="6">
        <f t="shared" si="5"/>
        <v>19990</v>
      </c>
      <c r="P155" s="5" t="s">
        <v>504</v>
      </c>
    </row>
    <row r="156" spans="1:16" s="1" customFormat="1" x14ac:dyDescent="0.35">
      <c r="A156" s="5" t="str">
        <f t="shared" si="4"/>
        <v>2023 H1 All Items D90</v>
      </c>
      <c r="B156" s="8">
        <f>'ALL 2024 H2 D80'!$B$2</f>
        <v>46114</v>
      </c>
      <c r="C156" s="8">
        <f>'ALL 2024 H2 D80'!$C$2</f>
        <v>46120</v>
      </c>
      <c r="D156" s="5">
        <v>3208</v>
      </c>
      <c r="E156" s="5">
        <v>320</v>
      </c>
      <c r="F156" s="5">
        <v>1</v>
      </c>
      <c r="G156" s="15">
        <v>2</v>
      </c>
      <c r="H156" s="15">
        <v>81736</v>
      </c>
      <c r="I156" s="5" t="s">
        <v>16</v>
      </c>
      <c r="J156" s="16">
        <v>76704966</v>
      </c>
      <c r="K156" s="16" t="s">
        <v>745</v>
      </c>
      <c r="L156" s="34" t="s">
        <v>752</v>
      </c>
      <c r="M156" s="38">
        <v>199900</v>
      </c>
      <c r="N156" s="7">
        <v>0.9</v>
      </c>
      <c r="O156" s="6">
        <f t="shared" si="5"/>
        <v>19990</v>
      </c>
      <c r="P156" s="5" t="s">
        <v>504</v>
      </c>
    </row>
    <row r="157" spans="1:16" s="1" customFormat="1" x14ac:dyDescent="0.35">
      <c r="A157" s="5" t="str">
        <f t="shared" si="4"/>
        <v>2023 H1 All Items D90</v>
      </c>
      <c r="B157" s="8">
        <f>'ALL 2024 H2 D80'!$B$2</f>
        <v>46114</v>
      </c>
      <c r="C157" s="8">
        <f>'ALL 2024 H2 D80'!$C$2</f>
        <v>46120</v>
      </c>
      <c r="D157" s="5">
        <v>3208</v>
      </c>
      <c r="E157" s="5">
        <v>320</v>
      </c>
      <c r="F157" s="5">
        <v>1</v>
      </c>
      <c r="G157" s="15">
        <v>2</v>
      </c>
      <c r="H157" s="15">
        <v>81736</v>
      </c>
      <c r="I157" s="5" t="s">
        <v>16</v>
      </c>
      <c r="J157" s="16">
        <v>76704975</v>
      </c>
      <c r="K157" s="16" t="s">
        <v>745</v>
      </c>
      <c r="L157" s="34" t="s">
        <v>753</v>
      </c>
      <c r="M157" s="38">
        <v>199900</v>
      </c>
      <c r="N157" s="7">
        <v>0.9</v>
      </c>
      <c r="O157" s="6">
        <f t="shared" si="5"/>
        <v>19990</v>
      </c>
      <c r="P157" s="5" t="s">
        <v>504</v>
      </c>
    </row>
    <row r="158" spans="1:16" s="1" customFormat="1" x14ac:dyDescent="0.35">
      <c r="A158" s="5" t="str">
        <f t="shared" si="4"/>
        <v>2023 H1 All Items D90</v>
      </c>
      <c r="B158" s="8">
        <f>'ALL 2024 H2 D80'!$B$2</f>
        <v>46114</v>
      </c>
      <c r="C158" s="8">
        <f>'ALL 2024 H2 D80'!$C$2</f>
        <v>46120</v>
      </c>
      <c r="D158" s="5">
        <v>3208</v>
      </c>
      <c r="E158" s="5">
        <v>320</v>
      </c>
      <c r="F158" s="5">
        <v>1</v>
      </c>
      <c r="G158" s="15">
        <v>2</v>
      </c>
      <c r="H158" s="15">
        <v>81736</v>
      </c>
      <c r="I158" s="5" t="s">
        <v>16</v>
      </c>
      <c r="J158" s="16">
        <v>79868007</v>
      </c>
      <c r="K158" s="16" t="s">
        <v>754</v>
      </c>
      <c r="L158" s="34" t="s">
        <v>755</v>
      </c>
      <c r="M158" s="38">
        <v>249900</v>
      </c>
      <c r="N158" s="7">
        <v>0.9</v>
      </c>
      <c r="O158" s="6">
        <f t="shared" si="5"/>
        <v>24990</v>
      </c>
      <c r="P158" s="5" t="s">
        <v>504</v>
      </c>
    </row>
    <row r="159" spans="1:16" s="1" customFormat="1" x14ac:dyDescent="0.35">
      <c r="A159" s="5" t="str">
        <f t="shared" si="4"/>
        <v>2023 H1 All Items D90</v>
      </c>
      <c r="B159" s="8">
        <f>'ALL 2024 H2 D80'!$B$2</f>
        <v>46114</v>
      </c>
      <c r="C159" s="8">
        <f>'ALL 2024 H2 D80'!$C$2</f>
        <v>46120</v>
      </c>
      <c r="D159" s="5">
        <v>3208</v>
      </c>
      <c r="E159" s="5">
        <v>320</v>
      </c>
      <c r="F159" s="5">
        <v>1</v>
      </c>
      <c r="G159" s="15">
        <v>2</v>
      </c>
      <c r="H159" s="15">
        <v>81736</v>
      </c>
      <c r="I159" s="5" t="s">
        <v>16</v>
      </c>
      <c r="J159" s="16">
        <v>79868016</v>
      </c>
      <c r="K159" s="16" t="s">
        <v>754</v>
      </c>
      <c r="L159" s="34" t="s">
        <v>756</v>
      </c>
      <c r="M159" s="38">
        <v>249900</v>
      </c>
      <c r="N159" s="7">
        <v>0.9</v>
      </c>
      <c r="O159" s="6">
        <f t="shared" si="5"/>
        <v>24990</v>
      </c>
      <c r="P159" s="5" t="s">
        <v>504</v>
      </c>
    </row>
    <row r="160" spans="1:16" s="1" customFormat="1" x14ac:dyDescent="0.35">
      <c r="A160" s="5" t="str">
        <f t="shared" si="4"/>
        <v>2023 H1 All Items D90</v>
      </c>
      <c r="B160" s="8">
        <f>'ALL 2024 H2 D80'!$B$2</f>
        <v>46114</v>
      </c>
      <c r="C160" s="8">
        <f>'ALL 2024 H2 D80'!$C$2</f>
        <v>46120</v>
      </c>
      <c r="D160" s="5">
        <v>3208</v>
      </c>
      <c r="E160" s="5">
        <v>320</v>
      </c>
      <c r="F160" s="5">
        <v>1</v>
      </c>
      <c r="G160" s="15">
        <v>2</v>
      </c>
      <c r="H160" s="15">
        <v>81736</v>
      </c>
      <c r="I160" s="5" t="s">
        <v>16</v>
      </c>
      <c r="J160" s="16">
        <v>79868025</v>
      </c>
      <c r="K160" s="16" t="s">
        <v>754</v>
      </c>
      <c r="L160" s="34" t="s">
        <v>757</v>
      </c>
      <c r="M160" s="38">
        <v>249900</v>
      </c>
      <c r="N160" s="7">
        <v>0.9</v>
      </c>
      <c r="O160" s="6">
        <f t="shared" si="5"/>
        <v>24990</v>
      </c>
      <c r="P160" s="5" t="s">
        <v>504</v>
      </c>
    </row>
    <row r="161" spans="1:16" s="1" customFormat="1" x14ac:dyDescent="0.35">
      <c r="A161" s="5" t="str">
        <f t="shared" si="4"/>
        <v>2023 H1 All Items D90</v>
      </c>
      <c r="B161" s="8">
        <f>'ALL 2024 H2 D80'!$B$2</f>
        <v>46114</v>
      </c>
      <c r="C161" s="8">
        <f>'ALL 2024 H2 D80'!$C$2</f>
        <v>46120</v>
      </c>
      <c r="D161" s="5">
        <v>3208</v>
      </c>
      <c r="E161" s="5">
        <v>320</v>
      </c>
      <c r="F161" s="5">
        <v>1</v>
      </c>
      <c r="G161" s="15">
        <v>2</v>
      </c>
      <c r="H161" s="15">
        <v>81736</v>
      </c>
      <c r="I161" s="5" t="s">
        <v>16</v>
      </c>
      <c r="J161" s="16">
        <v>79868034</v>
      </c>
      <c r="K161" s="16" t="s">
        <v>754</v>
      </c>
      <c r="L161" s="34" t="s">
        <v>758</v>
      </c>
      <c r="M161" s="38">
        <v>249900</v>
      </c>
      <c r="N161" s="7">
        <v>0.9</v>
      </c>
      <c r="O161" s="6">
        <f t="shared" si="5"/>
        <v>24990</v>
      </c>
      <c r="P161" s="5" t="s">
        <v>504</v>
      </c>
    </row>
    <row r="162" spans="1:16" s="1" customFormat="1" x14ac:dyDescent="0.35">
      <c r="A162" s="5" t="str">
        <f t="shared" si="4"/>
        <v>2023 H1 All Items D90</v>
      </c>
      <c r="B162" s="8">
        <f>'ALL 2024 H2 D80'!$B$2</f>
        <v>46114</v>
      </c>
      <c r="C162" s="8">
        <f>'ALL 2024 H2 D80'!$C$2</f>
        <v>46120</v>
      </c>
      <c r="D162" s="5">
        <v>3208</v>
      </c>
      <c r="E162" s="5">
        <v>320</v>
      </c>
      <c r="F162" s="5">
        <v>1</v>
      </c>
      <c r="G162" s="15">
        <v>2</v>
      </c>
      <c r="H162" s="15">
        <v>81736</v>
      </c>
      <c r="I162" s="5" t="s">
        <v>16</v>
      </c>
      <c r="J162" s="16">
        <v>80907999</v>
      </c>
      <c r="K162" s="16" t="s">
        <v>759</v>
      </c>
      <c r="L162" s="34" t="s">
        <v>760</v>
      </c>
      <c r="M162" s="38">
        <v>279900</v>
      </c>
      <c r="N162" s="7">
        <v>0.9</v>
      </c>
      <c r="O162" s="6">
        <f t="shared" si="5"/>
        <v>27990</v>
      </c>
      <c r="P162" s="5" t="s">
        <v>504</v>
      </c>
    </row>
    <row r="163" spans="1:16" s="1" customFormat="1" x14ac:dyDescent="0.35">
      <c r="A163" s="5" t="str">
        <f t="shared" si="4"/>
        <v>2023 H1 All Items D90</v>
      </c>
      <c r="B163" s="8">
        <f>'ALL 2024 H2 D80'!$B$2</f>
        <v>46114</v>
      </c>
      <c r="C163" s="8">
        <f>'ALL 2024 H2 D80'!$C$2</f>
        <v>46120</v>
      </c>
      <c r="D163" s="5">
        <v>3208</v>
      </c>
      <c r="E163" s="5">
        <v>320</v>
      </c>
      <c r="F163" s="5">
        <v>1</v>
      </c>
      <c r="G163" s="15">
        <v>2</v>
      </c>
      <c r="H163" s="15">
        <v>81736</v>
      </c>
      <c r="I163" s="5" t="s">
        <v>16</v>
      </c>
      <c r="J163" s="16">
        <v>80908005</v>
      </c>
      <c r="K163" s="16" t="s">
        <v>759</v>
      </c>
      <c r="L163" s="34" t="s">
        <v>761</v>
      </c>
      <c r="M163" s="38">
        <v>279900</v>
      </c>
      <c r="N163" s="7">
        <v>0.9</v>
      </c>
      <c r="O163" s="6">
        <f t="shared" si="5"/>
        <v>27990</v>
      </c>
      <c r="P163" s="5" t="s">
        <v>504</v>
      </c>
    </row>
    <row r="164" spans="1:16" s="1" customFormat="1" x14ac:dyDescent="0.35">
      <c r="A164" s="5" t="str">
        <f t="shared" si="4"/>
        <v>2023 H1 All Items D90</v>
      </c>
      <c r="B164" s="8">
        <f>'ALL 2024 H2 D80'!$B$2</f>
        <v>46114</v>
      </c>
      <c r="C164" s="8">
        <f>'ALL 2024 H2 D80'!$C$2</f>
        <v>46120</v>
      </c>
      <c r="D164" s="5">
        <v>3208</v>
      </c>
      <c r="E164" s="5">
        <v>320</v>
      </c>
      <c r="F164" s="5">
        <v>1</v>
      </c>
      <c r="G164" s="15">
        <v>2</v>
      </c>
      <c r="H164" s="15">
        <v>81736</v>
      </c>
      <c r="I164" s="5" t="s">
        <v>16</v>
      </c>
      <c r="J164" s="16">
        <v>80908014</v>
      </c>
      <c r="K164" s="16" t="s">
        <v>759</v>
      </c>
      <c r="L164" s="34" t="s">
        <v>762</v>
      </c>
      <c r="M164" s="38">
        <v>279900</v>
      </c>
      <c r="N164" s="7">
        <v>0.9</v>
      </c>
      <c r="O164" s="6">
        <f t="shared" si="5"/>
        <v>27990</v>
      </c>
      <c r="P164" s="5" t="s">
        <v>504</v>
      </c>
    </row>
    <row r="165" spans="1:16" s="1" customFormat="1" x14ac:dyDescent="0.35">
      <c r="A165" s="5" t="str">
        <f t="shared" si="4"/>
        <v>2023 H1 All Items D90</v>
      </c>
      <c r="B165" s="8">
        <f>'ALL 2024 H2 D80'!$B$2</f>
        <v>46114</v>
      </c>
      <c r="C165" s="8">
        <f>'ALL 2024 H2 D80'!$C$2</f>
        <v>46120</v>
      </c>
      <c r="D165" s="5">
        <v>3208</v>
      </c>
      <c r="E165" s="5">
        <v>320</v>
      </c>
      <c r="F165" s="5">
        <v>1</v>
      </c>
      <c r="G165" s="15">
        <v>2</v>
      </c>
      <c r="H165" s="15">
        <v>81736</v>
      </c>
      <c r="I165" s="5" t="s">
        <v>16</v>
      </c>
      <c r="J165" s="16">
        <v>80908023</v>
      </c>
      <c r="K165" s="16" t="s">
        <v>759</v>
      </c>
      <c r="L165" s="34" t="s">
        <v>763</v>
      </c>
      <c r="M165" s="38">
        <v>279900</v>
      </c>
      <c r="N165" s="7">
        <v>0.9</v>
      </c>
      <c r="O165" s="6">
        <f t="shared" si="5"/>
        <v>27990</v>
      </c>
      <c r="P165" s="5" t="s">
        <v>504</v>
      </c>
    </row>
    <row r="166" spans="1:16" s="1" customFormat="1" x14ac:dyDescent="0.35">
      <c r="A166" s="5" t="str">
        <f t="shared" si="4"/>
        <v>2023 H1 All Items D90</v>
      </c>
      <c r="B166" s="8">
        <f>'ALL 2024 H2 D80'!$B$2</f>
        <v>46114</v>
      </c>
      <c r="C166" s="8">
        <f>'ALL 2024 H2 D80'!$C$2</f>
        <v>46120</v>
      </c>
      <c r="D166" s="5">
        <v>3208</v>
      </c>
      <c r="E166" s="5">
        <v>320</v>
      </c>
      <c r="F166" s="5">
        <v>1</v>
      </c>
      <c r="G166" s="15">
        <v>2</v>
      </c>
      <c r="H166" s="15">
        <v>81736</v>
      </c>
      <c r="I166" s="5" t="s">
        <v>16</v>
      </c>
      <c r="J166" s="16">
        <v>80908032</v>
      </c>
      <c r="K166" s="16" t="s">
        <v>759</v>
      </c>
      <c r="L166" s="34" t="s">
        <v>764</v>
      </c>
      <c r="M166" s="38">
        <v>279900</v>
      </c>
      <c r="N166" s="7">
        <v>0.9</v>
      </c>
      <c r="O166" s="6">
        <f t="shared" si="5"/>
        <v>27990</v>
      </c>
      <c r="P166" s="5" t="s">
        <v>504</v>
      </c>
    </row>
    <row r="167" spans="1:16" s="1" customFormat="1" x14ac:dyDescent="0.35">
      <c r="A167" s="5" t="str">
        <f t="shared" si="4"/>
        <v>2023 H1 All Items D90</v>
      </c>
      <c r="B167" s="8">
        <f>'ALL 2024 H2 D80'!$B$2</f>
        <v>46114</v>
      </c>
      <c r="C167" s="8">
        <f>'ALL 2024 H2 D80'!$C$2</f>
        <v>46120</v>
      </c>
      <c r="D167" s="5">
        <v>3208</v>
      </c>
      <c r="E167" s="5">
        <v>320</v>
      </c>
      <c r="F167" s="5">
        <v>1</v>
      </c>
      <c r="G167" s="15">
        <v>2</v>
      </c>
      <c r="H167" s="15">
        <v>81736</v>
      </c>
      <c r="I167" s="5" t="s">
        <v>16</v>
      </c>
      <c r="J167" s="16">
        <v>80908041</v>
      </c>
      <c r="K167" s="16" t="s">
        <v>759</v>
      </c>
      <c r="L167" s="34" t="s">
        <v>765</v>
      </c>
      <c r="M167" s="38">
        <v>279900</v>
      </c>
      <c r="N167" s="7">
        <v>0.9</v>
      </c>
      <c r="O167" s="6">
        <f t="shared" si="5"/>
        <v>27990</v>
      </c>
      <c r="P167" s="5" t="s">
        <v>504</v>
      </c>
    </row>
    <row r="168" spans="1:16" s="1" customFormat="1" x14ac:dyDescent="0.35">
      <c r="A168" s="5" t="str">
        <f t="shared" si="4"/>
        <v>2023 H1 All Items D90</v>
      </c>
      <c r="B168" s="8">
        <f>'ALL 2024 H2 D80'!$B$2</f>
        <v>46114</v>
      </c>
      <c r="C168" s="8">
        <f>'ALL 2024 H2 D80'!$C$2</f>
        <v>46120</v>
      </c>
      <c r="D168" s="5">
        <v>3208</v>
      </c>
      <c r="E168" s="5">
        <v>320</v>
      </c>
      <c r="F168" s="5">
        <v>1</v>
      </c>
      <c r="G168" s="15">
        <v>2</v>
      </c>
      <c r="H168" s="15">
        <v>81736</v>
      </c>
      <c r="I168" s="5" t="s">
        <v>16</v>
      </c>
      <c r="J168" s="16">
        <v>80908050</v>
      </c>
      <c r="K168" s="16" t="s">
        <v>759</v>
      </c>
      <c r="L168" s="34" t="s">
        <v>766</v>
      </c>
      <c r="M168" s="38">
        <v>279900</v>
      </c>
      <c r="N168" s="7">
        <v>0.9</v>
      </c>
      <c r="O168" s="6">
        <f t="shared" si="5"/>
        <v>27990</v>
      </c>
      <c r="P168" s="5" t="s">
        <v>504</v>
      </c>
    </row>
    <row r="169" spans="1:16" s="1" customFormat="1" x14ac:dyDescent="0.35">
      <c r="A169" s="5" t="str">
        <f t="shared" si="4"/>
        <v>2023 H1 All Items D90</v>
      </c>
      <c r="B169" s="8">
        <f>'ALL 2024 H2 D80'!$B$2</f>
        <v>46114</v>
      </c>
      <c r="C169" s="8">
        <f>'ALL 2024 H2 D80'!$C$2</f>
        <v>46120</v>
      </c>
      <c r="D169" s="5">
        <v>3208</v>
      </c>
      <c r="E169" s="5">
        <v>320</v>
      </c>
      <c r="F169" s="5">
        <v>1</v>
      </c>
      <c r="G169" s="15">
        <v>2</v>
      </c>
      <c r="H169" s="15">
        <v>81736</v>
      </c>
      <c r="I169" s="5" t="s">
        <v>16</v>
      </c>
      <c r="J169" s="16">
        <v>80908069</v>
      </c>
      <c r="K169" s="16" t="s">
        <v>759</v>
      </c>
      <c r="L169" s="34" t="s">
        <v>767</v>
      </c>
      <c r="M169" s="38">
        <v>279900</v>
      </c>
      <c r="N169" s="7">
        <v>0.9</v>
      </c>
      <c r="O169" s="6">
        <f t="shared" si="5"/>
        <v>27990</v>
      </c>
      <c r="P169" s="5" t="s">
        <v>504</v>
      </c>
    </row>
    <row r="170" spans="1:16" s="1" customFormat="1" x14ac:dyDescent="0.35">
      <c r="A170" s="5" t="str">
        <f t="shared" si="4"/>
        <v>2023 H1 All Items D90</v>
      </c>
      <c r="B170" s="8">
        <f>'ALL 2024 H2 D80'!$B$2</f>
        <v>46114</v>
      </c>
      <c r="C170" s="8">
        <f>'ALL 2024 H2 D80'!$C$2</f>
        <v>46120</v>
      </c>
      <c r="D170" s="5">
        <v>3208</v>
      </c>
      <c r="E170" s="5">
        <v>320</v>
      </c>
      <c r="F170" s="5">
        <v>1</v>
      </c>
      <c r="G170" s="15">
        <v>2</v>
      </c>
      <c r="H170" s="15">
        <v>81736</v>
      </c>
      <c r="I170" s="5" t="s">
        <v>16</v>
      </c>
      <c r="J170" s="16">
        <v>80908078</v>
      </c>
      <c r="K170" s="16" t="s">
        <v>768</v>
      </c>
      <c r="L170" s="34" t="s">
        <v>769</v>
      </c>
      <c r="M170" s="38">
        <v>279900</v>
      </c>
      <c r="N170" s="7">
        <v>0.9</v>
      </c>
      <c r="O170" s="6">
        <f t="shared" si="5"/>
        <v>27990</v>
      </c>
      <c r="P170" s="5" t="s">
        <v>504</v>
      </c>
    </row>
    <row r="171" spans="1:16" s="1" customFormat="1" x14ac:dyDescent="0.35">
      <c r="A171" s="5" t="str">
        <f t="shared" si="4"/>
        <v>2023 H1 All Items D90</v>
      </c>
      <c r="B171" s="8">
        <f>'ALL 2024 H2 D80'!$B$2</f>
        <v>46114</v>
      </c>
      <c r="C171" s="8">
        <f>'ALL 2024 H2 D80'!$C$2</f>
        <v>46120</v>
      </c>
      <c r="D171" s="5">
        <v>3208</v>
      </c>
      <c r="E171" s="5">
        <v>320</v>
      </c>
      <c r="F171" s="5">
        <v>1</v>
      </c>
      <c r="G171" s="15">
        <v>2</v>
      </c>
      <c r="H171" s="15">
        <v>81736</v>
      </c>
      <c r="I171" s="5" t="s">
        <v>16</v>
      </c>
      <c r="J171" s="16">
        <v>80908087</v>
      </c>
      <c r="K171" s="16" t="s">
        <v>768</v>
      </c>
      <c r="L171" s="34" t="s">
        <v>770</v>
      </c>
      <c r="M171" s="38">
        <v>279900</v>
      </c>
      <c r="N171" s="7">
        <v>0.9</v>
      </c>
      <c r="O171" s="6">
        <f t="shared" si="5"/>
        <v>27990</v>
      </c>
      <c r="P171" s="5" t="s">
        <v>504</v>
      </c>
    </row>
    <row r="172" spans="1:16" s="1" customFormat="1" x14ac:dyDescent="0.35">
      <c r="A172" s="5" t="str">
        <f t="shared" si="4"/>
        <v>2023 H1 All Items D90</v>
      </c>
      <c r="B172" s="8">
        <f>'ALL 2024 H2 D80'!$B$2</f>
        <v>46114</v>
      </c>
      <c r="C172" s="8">
        <f>'ALL 2024 H2 D80'!$C$2</f>
        <v>46120</v>
      </c>
      <c r="D172" s="5">
        <v>3208</v>
      </c>
      <c r="E172" s="5">
        <v>320</v>
      </c>
      <c r="F172" s="5">
        <v>1</v>
      </c>
      <c r="G172" s="15">
        <v>2</v>
      </c>
      <c r="H172" s="15">
        <v>81736</v>
      </c>
      <c r="I172" s="5" t="s">
        <v>16</v>
      </c>
      <c r="J172" s="16">
        <v>80908096</v>
      </c>
      <c r="K172" s="16" t="s">
        <v>768</v>
      </c>
      <c r="L172" s="34" t="s">
        <v>771</v>
      </c>
      <c r="M172" s="38">
        <v>279900</v>
      </c>
      <c r="N172" s="7">
        <v>0.9</v>
      </c>
      <c r="O172" s="6">
        <f t="shared" si="5"/>
        <v>27990</v>
      </c>
      <c r="P172" s="5" t="s">
        <v>504</v>
      </c>
    </row>
    <row r="173" spans="1:16" s="1" customFormat="1" x14ac:dyDescent="0.35">
      <c r="A173" s="5" t="str">
        <f t="shared" si="4"/>
        <v>2023 H1 All Items D90</v>
      </c>
      <c r="B173" s="8">
        <f>'ALL 2024 H2 D80'!$B$2</f>
        <v>46114</v>
      </c>
      <c r="C173" s="8">
        <f>'ALL 2024 H2 D80'!$C$2</f>
        <v>46120</v>
      </c>
      <c r="D173" s="5">
        <v>3208</v>
      </c>
      <c r="E173" s="5">
        <v>320</v>
      </c>
      <c r="F173" s="5">
        <v>1</v>
      </c>
      <c r="G173" s="15">
        <v>2</v>
      </c>
      <c r="H173" s="15">
        <v>81736</v>
      </c>
      <c r="I173" s="5" t="s">
        <v>16</v>
      </c>
      <c r="J173" s="16">
        <v>80908103</v>
      </c>
      <c r="K173" s="16" t="s">
        <v>768</v>
      </c>
      <c r="L173" s="34" t="s">
        <v>772</v>
      </c>
      <c r="M173" s="38">
        <v>279900</v>
      </c>
      <c r="N173" s="7">
        <v>0.9</v>
      </c>
      <c r="O173" s="6">
        <f t="shared" si="5"/>
        <v>27990</v>
      </c>
      <c r="P173" s="5" t="s">
        <v>504</v>
      </c>
    </row>
    <row r="174" spans="1:16" s="1" customFormat="1" x14ac:dyDescent="0.35">
      <c r="A174" s="5" t="str">
        <f t="shared" si="4"/>
        <v>2023 H1 All Items D90</v>
      </c>
      <c r="B174" s="8">
        <f>'ALL 2024 H2 D80'!$B$2</f>
        <v>46114</v>
      </c>
      <c r="C174" s="8">
        <f>'ALL 2024 H2 D80'!$C$2</f>
        <v>46120</v>
      </c>
      <c r="D174" s="5">
        <v>3208</v>
      </c>
      <c r="E174" s="5">
        <v>320</v>
      </c>
      <c r="F174" s="5">
        <v>1</v>
      </c>
      <c r="G174" s="15">
        <v>2</v>
      </c>
      <c r="H174" s="15">
        <v>81736</v>
      </c>
      <c r="I174" s="5" t="s">
        <v>16</v>
      </c>
      <c r="J174" s="16">
        <v>80908112</v>
      </c>
      <c r="K174" s="16" t="s">
        <v>768</v>
      </c>
      <c r="L174" s="34" t="s">
        <v>773</v>
      </c>
      <c r="M174" s="38">
        <v>279900</v>
      </c>
      <c r="N174" s="7">
        <v>0.9</v>
      </c>
      <c r="O174" s="6">
        <f t="shared" si="5"/>
        <v>27990</v>
      </c>
      <c r="P174" s="5" t="s">
        <v>504</v>
      </c>
    </row>
    <row r="175" spans="1:16" s="1" customFormat="1" x14ac:dyDescent="0.35">
      <c r="A175" s="5" t="str">
        <f t="shared" si="4"/>
        <v>2023 H1 All Items D90</v>
      </c>
      <c r="B175" s="8">
        <f>'ALL 2024 H2 D80'!$B$2</f>
        <v>46114</v>
      </c>
      <c r="C175" s="8">
        <f>'ALL 2024 H2 D80'!$C$2</f>
        <v>46120</v>
      </c>
      <c r="D175" s="5">
        <v>3208</v>
      </c>
      <c r="E175" s="5">
        <v>320</v>
      </c>
      <c r="F175" s="5">
        <v>1</v>
      </c>
      <c r="G175" s="15">
        <v>2</v>
      </c>
      <c r="H175" s="15">
        <v>81736</v>
      </c>
      <c r="I175" s="5" t="s">
        <v>16</v>
      </c>
      <c r="J175" s="16">
        <v>80908121</v>
      </c>
      <c r="K175" s="16" t="s">
        <v>768</v>
      </c>
      <c r="L175" s="34" t="s">
        <v>774</v>
      </c>
      <c r="M175" s="38">
        <v>279900</v>
      </c>
      <c r="N175" s="7">
        <v>0.9</v>
      </c>
      <c r="O175" s="6">
        <f t="shared" si="5"/>
        <v>27990</v>
      </c>
      <c r="P175" s="5" t="s">
        <v>504</v>
      </c>
    </row>
    <row r="176" spans="1:16" s="1" customFormat="1" x14ac:dyDescent="0.35">
      <c r="A176" s="5" t="str">
        <f t="shared" si="4"/>
        <v>2023 H1 All Items D90</v>
      </c>
      <c r="B176" s="8">
        <f>'ALL 2024 H2 D80'!$B$2</f>
        <v>46114</v>
      </c>
      <c r="C176" s="8">
        <f>'ALL 2024 H2 D80'!$C$2</f>
        <v>46120</v>
      </c>
      <c r="D176" s="5">
        <v>3208</v>
      </c>
      <c r="E176" s="5">
        <v>320</v>
      </c>
      <c r="F176" s="5">
        <v>1</v>
      </c>
      <c r="G176" s="15">
        <v>2</v>
      </c>
      <c r="H176" s="15">
        <v>81736</v>
      </c>
      <c r="I176" s="5" t="s">
        <v>16</v>
      </c>
      <c r="J176" s="16">
        <v>80908130</v>
      </c>
      <c r="K176" s="16" t="s">
        <v>768</v>
      </c>
      <c r="L176" s="34" t="s">
        <v>775</v>
      </c>
      <c r="M176" s="38">
        <v>279900</v>
      </c>
      <c r="N176" s="7">
        <v>0.9</v>
      </c>
      <c r="O176" s="6">
        <f t="shared" si="5"/>
        <v>27990</v>
      </c>
      <c r="P176" s="5" t="s">
        <v>504</v>
      </c>
    </row>
    <row r="177" spans="1:16" s="1" customFormat="1" x14ac:dyDescent="0.35">
      <c r="A177" s="5" t="str">
        <f t="shared" si="4"/>
        <v>2023 H1 All Items D90</v>
      </c>
      <c r="B177" s="8">
        <f>'ALL 2024 H2 D80'!$B$2</f>
        <v>46114</v>
      </c>
      <c r="C177" s="8">
        <f>'ALL 2024 H2 D80'!$C$2</f>
        <v>46120</v>
      </c>
      <c r="D177" s="5">
        <v>3208</v>
      </c>
      <c r="E177" s="5">
        <v>320</v>
      </c>
      <c r="F177" s="5">
        <v>1</v>
      </c>
      <c r="G177" s="15">
        <v>2</v>
      </c>
      <c r="H177" s="15">
        <v>81736</v>
      </c>
      <c r="I177" s="5" t="s">
        <v>16</v>
      </c>
      <c r="J177" s="16">
        <v>80908149</v>
      </c>
      <c r="K177" s="16" t="s">
        <v>768</v>
      </c>
      <c r="L177" s="34" t="s">
        <v>776</v>
      </c>
      <c r="M177" s="38">
        <v>279900</v>
      </c>
      <c r="N177" s="7">
        <v>0.9</v>
      </c>
      <c r="O177" s="6">
        <f t="shared" si="5"/>
        <v>27990</v>
      </c>
      <c r="P177" s="5" t="s">
        <v>504</v>
      </c>
    </row>
    <row r="178" spans="1:16" s="1" customFormat="1" x14ac:dyDescent="0.35">
      <c r="A178" s="5" t="str">
        <f t="shared" si="4"/>
        <v>2023 H1 All Items D90</v>
      </c>
      <c r="B178" s="8">
        <f>'ALL 2024 H2 D80'!$B$2</f>
        <v>46114</v>
      </c>
      <c r="C178" s="8">
        <f>'ALL 2024 H2 D80'!$C$2</f>
        <v>46120</v>
      </c>
      <c r="D178" s="5">
        <v>3208</v>
      </c>
      <c r="E178" s="5">
        <v>320</v>
      </c>
      <c r="F178" s="5">
        <v>1</v>
      </c>
      <c r="G178" s="15">
        <v>2</v>
      </c>
      <c r="H178" s="15">
        <v>81736</v>
      </c>
      <c r="I178" s="5" t="s">
        <v>16</v>
      </c>
      <c r="J178" s="16">
        <v>80908390</v>
      </c>
      <c r="K178" s="16" t="s">
        <v>777</v>
      </c>
      <c r="L178" s="34" t="s">
        <v>778</v>
      </c>
      <c r="M178" s="38">
        <v>269900</v>
      </c>
      <c r="N178" s="7">
        <v>0.9</v>
      </c>
      <c r="O178" s="6">
        <f t="shared" si="5"/>
        <v>26990</v>
      </c>
      <c r="P178" s="5" t="s">
        <v>504</v>
      </c>
    </row>
    <row r="179" spans="1:16" s="1" customFormat="1" x14ac:dyDescent="0.35">
      <c r="A179" s="5" t="str">
        <f t="shared" si="4"/>
        <v>2023 H1 All Items D90</v>
      </c>
      <c r="B179" s="8">
        <f>'ALL 2024 H2 D80'!$B$2</f>
        <v>46114</v>
      </c>
      <c r="C179" s="8">
        <f>'ALL 2024 H2 D80'!$C$2</f>
        <v>46120</v>
      </c>
      <c r="D179" s="5">
        <v>3208</v>
      </c>
      <c r="E179" s="5">
        <v>320</v>
      </c>
      <c r="F179" s="5">
        <v>1</v>
      </c>
      <c r="G179" s="15">
        <v>2</v>
      </c>
      <c r="H179" s="15">
        <v>81736</v>
      </c>
      <c r="I179" s="5" t="s">
        <v>16</v>
      </c>
      <c r="J179" s="16">
        <v>80908407</v>
      </c>
      <c r="K179" s="16" t="s">
        <v>777</v>
      </c>
      <c r="L179" s="34" t="s">
        <v>779</v>
      </c>
      <c r="M179" s="38">
        <v>269900</v>
      </c>
      <c r="N179" s="7">
        <v>0.9</v>
      </c>
      <c r="O179" s="6">
        <f t="shared" si="5"/>
        <v>26990</v>
      </c>
      <c r="P179" s="5" t="s">
        <v>504</v>
      </c>
    </row>
    <row r="180" spans="1:16" s="1" customFormat="1" x14ac:dyDescent="0.35">
      <c r="A180" s="5" t="str">
        <f t="shared" si="4"/>
        <v>2023 H1 All Items D90</v>
      </c>
      <c r="B180" s="8">
        <f>'ALL 2024 H2 D80'!$B$2</f>
        <v>46114</v>
      </c>
      <c r="C180" s="8">
        <f>'ALL 2024 H2 D80'!$C$2</f>
        <v>46120</v>
      </c>
      <c r="D180" s="5">
        <v>3208</v>
      </c>
      <c r="E180" s="5">
        <v>320</v>
      </c>
      <c r="F180" s="5">
        <v>1</v>
      </c>
      <c r="G180" s="15">
        <v>2</v>
      </c>
      <c r="H180" s="15">
        <v>81736</v>
      </c>
      <c r="I180" s="5" t="s">
        <v>16</v>
      </c>
      <c r="J180" s="16">
        <v>80908416</v>
      </c>
      <c r="K180" s="16" t="s">
        <v>777</v>
      </c>
      <c r="L180" s="34" t="s">
        <v>780</v>
      </c>
      <c r="M180" s="38">
        <v>269900</v>
      </c>
      <c r="N180" s="7">
        <v>0.9</v>
      </c>
      <c r="O180" s="6">
        <f t="shared" si="5"/>
        <v>26990</v>
      </c>
      <c r="P180" s="5" t="s">
        <v>504</v>
      </c>
    </row>
    <row r="181" spans="1:16" s="1" customFormat="1" x14ac:dyDescent="0.35">
      <c r="A181" s="5" t="str">
        <f t="shared" si="4"/>
        <v>2023 H1 All Items D90</v>
      </c>
      <c r="B181" s="8">
        <f>'ALL 2024 H2 D80'!$B$2</f>
        <v>46114</v>
      </c>
      <c r="C181" s="8">
        <f>'ALL 2024 H2 D80'!$C$2</f>
        <v>46120</v>
      </c>
      <c r="D181" s="5">
        <v>3208</v>
      </c>
      <c r="E181" s="5">
        <v>320</v>
      </c>
      <c r="F181" s="5">
        <v>1</v>
      </c>
      <c r="G181" s="15">
        <v>2</v>
      </c>
      <c r="H181" s="15">
        <v>81736</v>
      </c>
      <c r="I181" s="5" t="s">
        <v>16</v>
      </c>
      <c r="J181" s="16">
        <v>80908425</v>
      </c>
      <c r="K181" s="16" t="s">
        <v>777</v>
      </c>
      <c r="L181" s="34" t="s">
        <v>781</v>
      </c>
      <c r="M181" s="38">
        <v>269900</v>
      </c>
      <c r="N181" s="7">
        <v>0.9</v>
      </c>
      <c r="O181" s="6">
        <f t="shared" si="5"/>
        <v>26990</v>
      </c>
      <c r="P181" s="5" t="s">
        <v>504</v>
      </c>
    </row>
    <row r="182" spans="1:16" s="1" customFormat="1" x14ac:dyDescent="0.35">
      <c r="A182" s="5" t="str">
        <f t="shared" si="4"/>
        <v>2023 H1 All Items D90</v>
      </c>
      <c r="B182" s="8">
        <f>'ALL 2024 H2 D80'!$B$2</f>
        <v>46114</v>
      </c>
      <c r="C182" s="8">
        <f>'ALL 2024 H2 D80'!$C$2</f>
        <v>46120</v>
      </c>
      <c r="D182" s="5">
        <v>3208</v>
      </c>
      <c r="E182" s="5">
        <v>320</v>
      </c>
      <c r="F182" s="5">
        <v>1</v>
      </c>
      <c r="G182" s="15">
        <v>2</v>
      </c>
      <c r="H182" s="15">
        <v>81736</v>
      </c>
      <c r="I182" s="5" t="s">
        <v>16</v>
      </c>
      <c r="J182" s="16">
        <v>81889687</v>
      </c>
      <c r="K182" s="16" t="s">
        <v>782</v>
      </c>
      <c r="L182" s="34" t="s">
        <v>783</v>
      </c>
      <c r="M182" s="38">
        <v>259900</v>
      </c>
      <c r="N182" s="7">
        <v>0.9</v>
      </c>
      <c r="O182" s="6">
        <f t="shared" si="5"/>
        <v>25990</v>
      </c>
      <c r="P182" s="5" t="s">
        <v>504</v>
      </c>
    </row>
    <row r="183" spans="1:16" s="1" customFormat="1" x14ac:dyDescent="0.35">
      <c r="A183" s="5" t="str">
        <f t="shared" si="4"/>
        <v>2023 H1 All Items D90</v>
      </c>
      <c r="B183" s="8">
        <f>'ALL 2024 H2 D80'!$B$2</f>
        <v>46114</v>
      </c>
      <c r="C183" s="8">
        <f>'ALL 2024 H2 D80'!$C$2</f>
        <v>46120</v>
      </c>
      <c r="D183" s="5">
        <v>3208</v>
      </c>
      <c r="E183" s="5">
        <v>320</v>
      </c>
      <c r="F183" s="5">
        <v>1</v>
      </c>
      <c r="G183" s="15">
        <v>2</v>
      </c>
      <c r="H183" s="15">
        <v>81736</v>
      </c>
      <c r="I183" s="5" t="s">
        <v>16</v>
      </c>
      <c r="J183" s="16">
        <v>81889696</v>
      </c>
      <c r="K183" s="16" t="s">
        <v>782</v>
      </c>
      <c r="L183" s="34" t="s">
        <v>784</v>
      </c>
      <c r="M183" s="38">
        <v>259900</v>
      </c>
      <c r="N183" s="7">
        <v>0.9</v>
      </c>
      <c r="O183" s="6">
        <f t="shared" si="5"/>
        <v>25990</v>
      </c>
      <c r="P183" s="5" t="s">
        <v>504</v>
      </c>
    </row>
    <row r="184" spans="1:16" s="1" customFormat="1" x14ac:dyDescent="0.35">
      <c r="A184" s="5" t="str">
        <f t="shared" si="4"/>
        <v>2023 H1 All Items D90</v>
      </c>
      <c r="B184" s="8">
        <f>'ALL 2024 H2 D80'!$B$2</f>
        <v>46114</v>
      </c>
      <c r="C184" s="8">
        <f>'ALL 2024 H2 D80'!$C$2</f>
        <v>46120</v>
      </c>
      <c r="D184" s="5">
        <v>3208</v>
      </c>
      <c r="E184" s="5">
        <v>320</v>
      </c>
      <c r="F184" s="5">
        <v>1</v>
      </c>
      <c r="G184" s="15">
        <v>2</v>
      </c>
      <c r="H184" s="15">
        <v>81736</v>
      </c>
      <c r="I184" s="5" t="s">
        <v>16</v>
      </c>
      <c r="J184" s="16">
        <v>81889703</v>
      </c>
      <c r="K184" s="16" t="s">
        <v>782</v>
      </c>
      <c r="L184" s="34" t="s">
        <v>785</v>
      </c>
      <c r="M184" s="38">
        <v>259900</v>
      </c>
      <c r="N184" s="7">
        <v>0.9</v>
      </c>
      <c r="O184" s="6">
        <f t="shared" si="5"/>
        <v>25990</v>
      </c>
      <c r="P184" s="5" t="s">
        <v>504</v>
      </c>
    </row>
    <row r="185" spans="1:16" s="1" customFormat="1" x14ac:dyDescent="0.35">
      <c r="A185" s="5" t="str">
        <f t="shared" si="4"/>
        <v>2023 H1 All Items D90</v>
      </c>
      <c r="B185" s="8">
        <f>'ALL 2024 H2 D80'!$B$2</f>
        <v>46114</v>
      </c>
      <c r="C185" s="8">
        <f>'ALL 2024 H2 D80'!$C$2</f>
        <v>46120</v>
      </c>
      <c r="D185" s="5">
        <v>3208</v>
      </c>
      <c r="E185" s="5">
        <v>320</v>
      </c>
      <c r="F185" s="5">
        <v>1</v>
      </c>
      <c r="G185" s="15">
        <v>2</v>
      </c>
      <c r="H185" s="15">
        <v>81736</v>
      </c>
      <c r="I185" s="5" t="s">
        <v>16</v>
      </c>
      <c r="J185" s="16">
        <v>81889712</v>
      </c>
      <c r="K185" s="16" t="s">
        <v>782</v>
      </c>
      <c r="L185" s="34" t="s">
        <v>786</v>
      </c>
      <c r="M185" s="38">
        <v>259900</v>
      </c>
      <c r="N185" s="7">
        <v>0.9</v>
      </c>
      <c r="O185" s="6">
        <f t="shared" si="5"/>
        <v>25990</v>
      </c>
      <c r="P185" s="5" t="s">
        <v>504</v>
      </c>
    </row>
    <row r="186" spans="1:16" s="1" customFormat="1" x14ac:dyDescent="0.35">
      <c r="A186" s="5" t="str">
        <f t="shared" si="4"/>
        <v>2023 H1 All Items D90</v>
      </c>
      <c r="B186" s="8">
        <f>'ALL 2024 H2 D80'!$B$2</f>
        <v>46114</v>
      </c>
      <c r="C186" s="8">
        <f>'ALL 2024 H2 D80'!$C$2</f>
        <v>46120</v>
      </c>
      <c r="D186" s="5">
        <v>3208</v>
      </c>
      <c r="E186" s="5">
        <v>320</v>
      </c>
      <c r="F186" s="5">
        <v>1</v>
      </c>
      <c r="G186" s="15">
        <v>2</v>
      </c>
      <c r="H186" s="15">
        <v>81602</v>
      </c>
      <c r="I186" s="5" t="s">
        <v>16</v>
      </c>
      <c r="J186" s="16">
        <v>79665824</v>
      </c>
      <c r="K186" s="16" t="s">
        <v>657</v>
      </c>
      <c r="L186" s="34" t="s">
        <v>658</v>
      </c>
      <c r="M186" s="38">
        <v>109900</v>
      </c>
      <c r="N186" s="7">
        <v>0.9</v>
      </c>
      <c r="O186" s="6">
        <f t="shared" si="5"/>
        <v>10990</v>
      </c>
      <c r="P186" s="5" t="s">
        <v>504</v>
      </c>
    </row>
    <row r="187" spans="1:16" s="1" customFormat="1" x14ac:dyDescent="0.35">
      <c r="A187" s="5" t="str">
        <f t="shared" si="4"/>
        <v>2023 H1 All Items D90</v>
      </c>
      <c r="B187" s="8">
        <f>'ALL 2024 H2 D80'!$B$2</f>
        <v>46114</v>
      </c>
      <c r="C187" s="8">
        <f>'ALL 2024 H2 D80'!$C$2</f>
        <v>46120</v>
      </c>
      <c r="D187" s="5">
        <v>3208</v>
      </c>
      <c r="E187" s="5">
        <v>320</v>
      </c>
      <c r="F187" s="5">
        <v>1</v>
      </c>
      <c r="G187" s="15">
        <v>2</v>
      </c>
      <c r="H187" s="15">
        <v>81602</v>
      </c>
      <c r="I187" s="5" t="s">
        <v>16</v>
      </c>
      <c r="J187" s="16">
        <v>79665833</v>
      </c>
      <c r="K187" s="16" t="s">
        <v>657</v>
      </c>
      <c r="L187" s="34" t="s">
        <v>659</v>
      </c>
      <c r="M187" s="38">
        <v>109900</v>
      </c>
      <c r="N187" s="7">
        <v>0.9</v>
      </c>
      <c r="O187" s="6">
        <f t="shared" si="5"/>
        <v>10990</v>
      </c>
      <c r="P187" s="5" t="s">
        <v>504</v>
      </c>
    </row>
    <row r="188" spans="1:16" s="1" customFormat="1" x14ac:dyDescent="0.35">
      <c r="A188" s="5" t="str">
        <f t="shared" si="4"/>
        <v>2023 H1 All Items D90</v>
      </c>
      <c r="B188" s="8">
        <f>'ALL 2024 H2 D80'!$B$2</f>
        <v>46114</v>
      </c>
      <c r="C188" s="8">
        <f>'ALL 2024 H2 D80'!$C$2</f>
        <v>46120</v>
      </c>
      <c r="D188" s="5">
        <v>3208</v>
      </c>
      <c r="E188" s="5">
        <v>320</v>
      </c>
      <c r="F188" s="5">
        <v>1</v>
      </c>
      <c r="G188" s="15">
        <v>2</v>
      </c>
      <c r="H188" s="15">
        <v>81602</v>
      </c>
      <c r="I188" s="5" t="s">
        <v>16</v>
      </c>
      <c r="J188" s="16">
        <v>79665879</v>
      </c>
      <c r="K188" s="16" t="s">
        <v>660</v>
      </c>
      <c r="L188" s="34" t="s">
        <v>661</v>
      </c>
      <c r="M188" s="38">
        <v>109900</v>
      </c>
      <c r="N188" s="7">
        <v>0.9</v>
      </c>
      <c r="O188" s="6">
        <f t="shared" si="5"/>
        <v>10990</v>
      </c>
      <c r="P188" s="5" t="s">
        <v>504</v>
      </c>
    </row>
    <row r="189" spans="1:16" s="1" customFormat="1" x14ac:dyDescent="0.35">
      <c r="A189" s="5" t="str">
        <f t="shared" si="4"/>
        <v>2023 H1 All Items D90</v>
      </c>
      <c r="B189" s="8">
        <f>'ALL 2024 H2 D80'!$B$2</f>
        <v>46114</v>
      </c>
      <c r="C189" s="8">
        <f>'ALL 2024 H2 D80'!$C$2</f>
        <v>46120</v>
      </c>
      <c r="D189" s="5">
        <v>3208</v>
      </c>
      <c r="E189" s="5">
        <v>320</v>
      </c>
      <c r="F189" s="5">
        <v>1</v>
      </c>
      <c r="G189" s="15">
        <v>2</v>
      </c>
      <c r="H189" s="15">
        <v>81602</v>
      </c>
      <c r="I189" s="5" t="s">
        <v>16</v>
      </c>
      <c r="J189" s="16">
        <v>79665888</v>
      </c>
      <c r="K189" s="16" t="s">
        <v>662</v>
      </c>
      <c r="L189" s="34" t="s">
        <v>663</v>
      </c>
      <c r="M189" s="38">
        <v>109900</v>
      </c>
      <c r="N189" s="7">
        <v>0.9</v>
      </c>
      <c r="O189" s="6">
        <f t="shared" si="5"/>
        <v>10990</v>
      </c>
      <c r="P189" s="5" t="s">
        <v>504</v>
      </c>
    </row>
    <row r="190" spans="1:16" s="1" customFormat="1" x14ac:dyDescent="0.35">
      <c r="A190" s="5" t="str">
        <f t="shared" si="4"/>
        <v>2023 H1 All Items D90</v>
      </c>
      <c r="B190" s="8">
        <f>'ALL 2024 H2 D80'!$B$2</f>
        <v>46114</v>
      </c>
      <c r="C190" s="8">
        <f>'ALL 2024 H2 D80'!$C$2</f>
        <v>46120</v>
      </c>
      <c r="D190" s="5">
        <v>3208</v>
      </c>
      <c r="E190" s="5">
        <v>320</v>
      </c>
      <c r="F190" s="5">
        <v>1</v>
      </c>
      <c r="G190" s="15">
        <v>2</v>
      </c>
      <c r="H190" s="15">
        <v>81602</v>
      </c>
      <c r="I190" s="5" t="s">
        <v>16</v>
      </c>
      <c r="J190" s="16">
        <v>79665913</v>
      </c>
      <c r="K190" s="16" t="s">
        <v>662</v>
      </c>
      <c r="L190" s="34" t="s">
        <v>664</v>
      </c>
      <c r="M190" s="38">
        <v>109900</v>
      </c>
      <c r="N190" s="7">
        <v>0.9</v>
      </c>
      <c r="O190" s="6">
        <f t="shared" si="5"/>
        <v>10990</v>
      </c>
      <c r="P190" s="5" t="s">
        <v>504</v>
      </c>
    </row>
    <row r="191" spans="1:16" s="1" customFormat="1" x14ac:dyDescent="0.35">
      <c r="A191" s="5" t="str">
        <f t="shared" si="4"/>
        <v>2023 H1 All Items D90</v>
      </c>
      <c r="B191" s="8">
        <f>'ALL 2024 H2 D80'!$B$2</f>
        <v>46114</v>
      </c>
      <c r="C191" s="8">
        <f>'ALL 2024 H2 D80'!$C$2</f>
        <v>46120</v>
      </c>
      <c r="D191" s="5">
        <v>3208</v>
      </c>
      <c r="E191" s="5">
        <v>320</v>
      </c>
      <c r="F191" s="5">
        <v>1</v>
      </c>
      <c r="G191" s="15">
        <v>2</v>
      </c>
      <c r="H191" s="15">
        <v>80954</v>
      </c>
      <c r="I191" s="5" t="s">
        <v>16</v>
      </c>
      <c r="J191" s="16">
        <v>76705027</v>
      </c>
      <c r="K191" s="16" t="s">
        <v>665</v>
      </c>
      <c r="L191" s="34" t="s">
        <v>666</v>
      </c>
      <c r="M191" s="38">
        <v>89900</v>
      </c>
      <c r="N191" s="7">
        <v>0.9</v>
      </c>
      <c r="O191" s="6">
        <f t="shared" si="5"/>
        <v>8990</v>
      </c>
      <c r="P191" s="5" t="s">
        <v>504</v>
      </c>
    </row>
    <row r="192" spans="1:16" s="1" customFormat="1" x14ac:dyDescent="0.35">
      <c r="A192" s="5" t="str">
        <f t="shared" si="4"/>
        <v>2023 H1 All Items D90</v>
      </c>
      <c r="B192" s="8">
        <f>'ALL 2024 H2 D80'!$B$2</f>
        <v>46114</v>
      </c>
      <c r="C192" s="8">
        <f>'ALL 2024 H2 D80'!$C$2</f>
        <v>46120</v>
      </c>
      <c r="D192" s="5">
        <v>3208</v>
      </c>
      <c r="E192" s="5">
        <v>320</v>
      </c>
      <c r="F192" s="5">
        <v>1</v>
      </c>
      <c r="G192" s="15">
        <v>2</v>
      </c>
      <c r="H192" s="15">
        <v>80954</v>
      </c>
      <c r="I192" s="5" t="s">
        <v>16</v>
      </c>
      <c r="J192" s="16">
        <v>76705045</v>
      </c>
      <c r="K192" s="16" t="s">
        <v>665</v>
      </c>
      <c r="L192" s="34" t="s">
        <v>667</v>
      </c>
      <c r="M192" s="38">
        <v>89900</v>
      </c>
      <c r="N192" s="7">
        <v>0.9</v>
      </c>
      <c r="O192" s="6">
        <f t="shared" si="5"/>
        <v>8990</v>
      </c>
      <c r="P192" s="5" t="s">
        <v>504</v>
      </c>
    </row>
    <row r="193" spans="1:16" s="1" customFormat="1" x14ac:dyDescent="0.35">
      <c r="A193" s="5" t="str">
        <f t="shared" si="4"/>
        <v>2023 H1 All Items D90</v>
      </c>
      <c r="B193" s="8">
        <f>'ALL 2024 H2 D80'!$B$2</f>
        <v>46114</v>
      </c>
      <c r="C193" s="8">
        <f>'ALL 2024 H2 D80'!$C$2</f>
        <v>46120</v>
      </c>
      <c r="D193" s="5">
        <v>3208</v>
      </c>
      <c r="E193" s="5">
        <v>320</v>
      </c>
      <c r="F193" s="5">
        <v>1</v>
      </c>
      <c r="G193" s="15">
        <v>2</v>
      </c>
      <c r="H193" s="15">
        <v>80954</v>
      </c>
      <c r="I193" s="5" t="s">
        <v>16</v>
      </c>
      <c r="J193" s="16">
        <v>76705054</v>
      </c>
      <c r="K193" s="16" t="s">
        <v>665</v>
      </c>
      <c r="L193" s="34" t="s">
        <v>668</v>
      </c>
      <c r="M193" s="38">
        <v>89900</v>
      </c>
      <c r="N193" s="7">
        <v>0.9</v>
      </c>
      <c r="O193" s="6">
        <f t="shared" si="5"/>
        <v>8990</v>
      </c>
      <c r="P193" s="5" t="s">
        <v>504</v>
      </c>
    </row>
    <row r="194" spans="1:16" s="1" customFormat="1" x14ac:dyDescent="0.35">
      <c r="A194" s="5" t="str">
        <f t="shared" si="4"/>
        <v>2023 H1 All Items D90</v>
      </c>
      <c r="B194" s="8">
        <f>'ALL 2024 H2 D80'!$B$2</f>
        <v>46114</v>
      </c>
      <c r="C194" s="8">
        <f>'ALL 2024 H2 D80'!$C$2</f>
        <v>46120</v>
      </c>
      <c r="D194" s="5">
        <v>3208</v>
      </c>
      <c r="E194" s="5">
        <v>320</v>
      </c>
      <c r="F194" s="5">
        <v>1</v>
      </c>
      <c r="G194" s="15">
        <v>2</v>
      </c>
      <c r="H194" s="15">
        <v>80954</v>
      </c>
      <c r="I194" s="5" t="s">
        <v>16</v>
      </c>
      <c r="J194" s="16">
        <v>76705081</v>
      </c>
      <c r="K194" s="16" t="s">
        <v>665</v>
      </c>
      <c r="L194" s="34" t="s">
        <v>669</v>
      </c>
      <c r="M194" s="38">
        <v>89900</v>
      </c>
      <c r="N194" s="7">
        <v>0.9</v>
      </c>
      <c r="O194" s="6">
        <f t="shared" si="5"/>
        <v>8990</v>
      </c>
      <c r="P194" s="5" t="s">
        <v>504</v>
      </c>
    </row>
    <row r="195" spans="1:16" s="1" customFormat="1" x14ac:dyDescent="0.35">
      <c r="A195" s="5" t="str">
        <f t="shared" si="4"/>
        <v>2023 H1 All Items D90</v>
      </c>
      <c r="B195" s="8">
        <f>'ALL 2024 H2 D80'!$B$2</f>
        <v>46114</v>
      </c>
      <c r="C195" s="8">
        <f>'ALL 2024 H2 D80'!$C$2</f>
        <v>46120</v>
      </c>
      <c r="D195" s="5">
        <v>3208</v>
      </c>
      <c r="E195" s="5">
        <v>320</v>
      </c>
      <c r="F195" s="5">
        <v>1</v>
      </c>
      <c r="G195" s="15">
        <v>2</v>
      </c>
      <c r="H195" s="15">
        <v>80954</v>
      </c>
      <c r="I195" s="5" t="s">
        <v>16</v>
      </c>
      <c r="J195" s="16">
        <v>76705090</v>
      </c>
      <c r="K195" s="16" t="s">
        <v>665</v>
      </c>
      <c r="L195" s="34" t="s">
        <v>670</v>
      </c>
      <c r="M195" s="38">
        <v>89900</v>
      </c>
      <c r="N195" s="7">
        <v>0.9</v>
      </c>
      <c r="O195" s="6">
        <f t="shared" si="5"/>
        <v>8990</v>
      </c>
      <c r="P195" s="5" t="s">
        <v>504</v>
      </c>
    </row>
    <row r="196" spans="1:16" s="1" customFormat="1" x14ac:dyDescent="0.35">
      <c r="A196" s="5" t="str">
        <f t="shared" ref="A196:A259" si="6">$A$2</f>
        <v>2023 H1 All Items D90</v>
      </c>
      <c r="B196" s="8">
        <f>'ALL 2024 H2 D80'!$B$2</f>
        <v>46114</v>
      </c>
      <c r="C196" s="8">
        <f>'ALL 2024 H2 D80'!$C$2</f>
        <v>46120</v>
      </c>
      <c r="D196" s="5">
        <v>3208</v>
      </c>
      <c r="E196" s="5">
        <v>320</v>
      </c>
      <c r="F196" s="5">
        <v>1</v>
      </c>
      <c r="G196" s="15">
        <v>2</v>
      </c>
      <c r="H196" s="15">
        <v>80954</v>
      </c>
      <c r="I196" s="5" t="s">
        <v>16</v>
      </c>
      <c r="J196" s="16">
        <v>76705143</v>
      </c>
      <c r="K196" s="16" t="s">
        <v>671</v>
      </c>
      <c r="L196" s="34" t="s">
        <v>672</v>
      </c>
      <c r="M196" s="38">
        <v>139900</v>
      </c>
      <c r="N196" s="7">
        <v>0.9</v>
      </c>
      <c r="O196" s="6">
        <f t="shared" ref="O196:O251" si="7">M196-(M196*N196)</f>
        <v>13990</v>
      </c>
      <c r="P196" s="5" t="s">
        <v>504</v>
      </c>
    </row>
    <row r="197" spans="1:16" s="1" customFormat="1" x14ac:dyDescent="0.35">
      <c r="A197" s="5" t="str">
        <f t="shared" si="6"/>
        <v>2023 H1 All Items D90</v>
      </c>
      <c r="B197" s="8">
        <f>'ALL 2024 H2 D80'!$B$2</f>
        <v>46114</v>
      </c>
      <c r="C197" s="8">
        <f>'ALL 2024 H2 D80'!$C$2</f>
        <v>46120</v>
      </c>
      <c r="D197" s="5">
        <v>3208</v>
      </c>
      <c r="E197" s="5">
        <v>320</v>
      </c>
      <c r="F197" s="5">
        <v>1</v>
      </c>
      <c r="G197" s="15">
        <v>2</v>
      </c>
      <c r="H197" s="15">
        <v>80954</v>
      </c>
      <c r="I197" s="5" t="s">
        <v>16</v>
      </c>
      <c r="J197" s="16">
        <v>76705152</v>
      </c>
      <c r="K197" s="16" t="s">
        <v>671</v>
      </c>
      <c r="L197" s="34" t="s">
        <v>673</v>
      </c>
      <c r="M197" s="38">
        <v>139900</v>
      </c>
      <c r="N197" s="7">
        <v>0.9</v>
      </c>
      <c r="O197" s="6">
        <f t="shared" si="7"/>
        <v>13990</v>
      </c>
      <c r="P197" s="5" t="s">
        <v>504</v>
      </c>
    </row>
    <row r="198" spans="1:16" s="1" customFormat="1" x14ac:dyDescent="0.35">
      <c r="A198" s="5" t="str">
        <f t="shared" si="6"/>
        <v>2023 H1 All Items D90</v>
      </c>
      <c r="B198" s="8">
        <f>'ALL 2024 H2 D80'!$B$2</f>
        <v>46114</v>
      </c>
      <c r="C198" s="8">
        <f>'ALL 2024 H2 D80'!$C$2</f>
        <v>46120</v>
      </c>
      <c r="D198" s="5">
        <v>3208</v>
      </c>
      <c r="E198" s="5">
        <v>320</v>
      </c>
      <c r="F198" s="5">
        <v>1</v>
      </c>
      <c r="G198" s="15">
        <v>2</v>
      </c>
      <c r="H198" s="15">
        <v>80954</v>
      </c>
      <c r="I198" s="5" t="s">
        <v>16</v>
      </c>
      <c r="J198" s="16">
        <v>76705161</v>
      </c>
      <c r="K198" s="16" t="s">
        <v>671</v>
      </c>
      <c r="L198" s="34" t="s">
        <v>674</v>
      </c>
      <c r="M198" s="38">
        <v>139900</v>
      </c>
      <c r="N198" s="7">
        <v>0.9</v>
      </c>
      <c r="O198" s="6">
        <f t="shared" si="7"/>
        <v>13990</v>
      </c>
      <c r="P198" s="5" t="s">
        <v>504</v>
      </c>
    </row>
    <row r="199" spans="1:16" s="1" customFormat="1" x14ac:dyDescent="0.35">
      <c r="A199" s="5" t="str">
        <f t="shared" si="6"/>
        <v>2023 H1 All Items D90</v>
      </c>
      <c r="B199" s="8">
        <f>'ALL 2024 H2 D80'!$B$2</f>
        <v>46114</v>
      </c>
      <c r="C199" s="8">
        <f>'ALL 2024 H2 D80'!$C$2</f>
        <v>46120</v>
      </c>
      <c r="D199" s="5">
        <v>3208</v>
      </c>
      <c r="E199" s="5">
        <v>320</v>
      </c>
      <c r="F199" s="5">
        <v>1</v>
      </c>
      <c r="G199" s="15">
        <v>2</v>
      </c>
      <c r="H199" s="15">
        <v>80954</v>
      </c>
      <c r="I199" s="5" t="s">
        <v>16</v>
      </c>
      <c r="J199" s="16">
        <v>76705170</v>
      </c>
      <c r="K199" s="16" t="s">
        <v>671</v>
      </c>
      <c r="L199" s="34" t="s">
        <v>675</v>
      </c>
      <c r="M199" s="38">
        <v>139900</v>
      </c>
      <c r="N199" s="7">
        <v>0.9</v>
      </c>
      <c r="O199" s="6">
        <f t="shared" si="7"/>
        <v>13990</v>
      </c>
      <c r="P199" s="5" t="s">
        <v>504</v>
      </c>
    </row>
    <row r="200" spans="1:16" s="1" customFormat="1" x14ac:dyDescent="0.35">
      <c r="A200" s="5" t="str">
        <f t="shared" si="6"/>
        <v>2023 H1 All Items D90</v>
      </c>
      <c r="B200" s="8">
        <f>'ALL 2024 H2 D80'!$B$2</f>
        <v>46114</v>
      </c>
      <c r="C200" s="8">
        <f>'ALL 2024 H2 D80'!$C$2</f>
        <v>46120</v>
      </c>
      <c r="D200" s="5">
        <v>3208</v>
      </c>
      <c r="E200" s="5">
        <v>320</v>
      </c>
      <c r="F200" s="5">
        <v>1</v>
      </c>
      <c r="G200" s="15">
        <v>2</v>
      </c>
      <c r="H200" s="15">
        <v>80954</v>
      </c>
      <c r="I200" s="5" t="s">
        <v>16</v>
      </c>
      <c r="J200" s="16">
        <v>76705198</v>
      </c>
      <c r="K200" s="16" t="s">
        <v>2775</v>
      </c>
      <c r="L200" s="34" t="s">
        <v>2776</v>
      </c>
      <c r="M200" s="38">
        <v>89900</v>
      </c>
      <c r="N200" s="7">
        <v>0.9</v>
      </c>
      <c r="O200" s="6">
        <f t="shared" si="7"/>
        <v>8990</v>
      </c>
      <c r="P200" s="5" t="s">
        <v>504</v>
      </c>
    </row>
    <row r="201" spans="1:16" s="1" customFormat="1" x14ac:dyDescent="0.35">
      <c r="A201" s="5" t="str">
        <f t="shared" si="6"/>
        <v>2023 H1 All Items D90</v>
      </c>
      <c r="B201" s="8">
        <f>'ALL 2024 H2 D80'!$B$2</f>
        <v>46114</v>
      </c>
      <c r="C201" s="8">
        <f>'ALL 2024 H2 D80'!$C$2</f>
        <v>46120</v>
      </c>
      <c r="D201" s="5">
        <v>3208</v>
      </c>
      <c r="E201" s="5">
        <v>320</v>
      </c>
      <c r="F201" s="5">
        <v>1</v>
      </c>
      <c r="G201" s="15">
        <v>2</v>
      </c>
      <c r="H201" s="15">
        <v>80954</v>
      </c>
      <c r="I201" s="5" t="s">
        <v>16</v>
      </c>
      <c r="J201" s="16">
        <v>76705214</v>
      </c>
      <c r="K201" s="16" t="s">
        <v>2775</v>
      </c>
      <c r="L201" s="34" t="s">
        <v>2777</v>
      </c>
      <c r="M201" s="38">
        <v>89900</v>
      </c>
      <c r="N201" s="7">
        <v>0.9</v>
      </c>
      <c r="O201" s="6">
        <f t="shared" si="7"/>
        <v>8990</v>
      </c>
      <c r="P201" s="5" t="s">
        <v>504</v>
      </c>
    </row>
    <row r="202" spans="1:16" s="1" customFormat="1" x14ac:dyDescent="0.35">
      <c r="A202" s="5" t="str">
        <f t="shared" si="6"/>
        <v>2023 H1 All Items D90</v>
      </c>
      <c r="B202" s="8">
        <f>'ALL 2024 H2 D80'!$B$2</f>
        <v>46114</v>
      </c>
      <c r="C202" s="8">
        <f>'ALL 2024 H2 D80'!$C$2</f>
        <v>46120</v>
      </c>
      <c r="D202" s="5">
        <v>3208</v>
      </c>
      <c r="E202" s="5">
        <v>320</v>
      </c>
      <c r="F202" s="5">
        <v>1</v>
      </c>
      <c r="G202" s="15">
        <v>2</v>
      </c>
      <c r="H202" s="15">
        <v>80954</v>
      </c>
      <c r="I202" s="5" t="s">
        <v>16</v>
      </c>
      <c r="J202" s="16">
        <v>79666412</v>
      </c>
      <c r="K202" s="16" t="s">
        <v>676</v>
      </c>
      <c r="L202" s="34" t="s">
        <v>677</v>
      </c>
      <c r="M202" s="38">
        <v>89900</v>
      </c>
      <c r="N202" s="7">
        <v>0.9</v>
      </c>
      <c r="O202" s="6">
        <f t="shared" si="7"/>
        <v>8990</v>
      </c>
      <c r="P202" s="5" t="s">
        <v>504</v>
      </c>
    </row>
    <row r="203" spans="1:16" s="1" customFormat="1" x14ac:dyDescent="0.35">
      <c r="A203" s="5" t="str">
        <f t="shared" si="6"/>
        <v>2023 H1 All Items D90</v>
      </c>
      <c r="B203" s="8">
        <f>'ALL 2024 H2 D80'!$B$2</f>
        <v>46114</v>
      </c>
      <c r="C203" s="8">
        <f>'ALL 2024 H2 D80'!$C$2</f>
        <v>46120</v>
      </c>
      <c r="D203" s="5">
        <v>3208</v>
      </c>
      <c r="E203" s="5">
        <v>320</v>
      </c>
      <c r="F203" s="5">
        <v>1</v>
      </c>
      <c r="G203" s="15">
        <v>2</v>
      </c>
      <c r="H203" s="15">
        <v>80954</v>
      </c>
      <c r="I203" s="5" t="s">
        <v>16</v>
      </c>
      <c r="J203" s="16">
        <v>79666421</v>
      </c>
      <c r="K203" s="16" t="s">
        <v>676</v>
      </c>
      <c r="L203" s="34" t="s">
        <v>678</v>
      </c>
      <c r="M203" s="38">
        <v>89900</v>
      </c>
      <c r="N203" s="7">
        <v>0.9</v>
      </c>
      <c r="O203" s="6">
        <f t="shared" si="7"/>
        <v>8990</v>
      </c>
      <c r="P203" s="5" t="s">
        <v>504</v>
      </c>
    </row>
    <row r="204" spans="1:16" s="1" customFormat="1" x14ac:dyDescent="0.35">
      <c r="A204" s="5" t="str">
        <f t="shared" si="6"/>
        <v>2023 H1 All Items D90</v>
      </c>
      <c r="B204" s="8">
        <f>'ALL 2024 H2 D80'!$B$2</f>
        <v>46114</v>
      </c>
      <c r="C204" s="8">
        <f>'ALL 2024 H2 D80'!$C$2</f>
        <v>46120</v>
      </c>
      <c r="D204" s="5">
        <v>3208</v>
      </c>
      <c r="E204" s="5">
        <v>320</v>
      </c>
      <c r="F204" s="5">
        <v>1</v>
      </c>
      <c r="G204" s="15">
        <v>2</v>
      </c>
      <c r="H204" s="15">
        <v>80954</v>
      </c>
      <c r="I204" s="5" t="s">
        <v>16</v>
      </c>
      <c r="J204" s="16">
        <v>79666430</v>
      </c>
      <c r="K204" s="16" t="s">
        <v>676</v>
      </c>
      <c r="L204" s="34" t="s">
        <v>679</v>
      </c>
      <c r="M204" s="38">
        <v>89900</v>
      </c>
      <c r="N204" s="7">
        <v>0.9</v>
      </c>
      <c r="O204" s="6">
        <f t="shared" si="7"/>
        <v>8990</v>
      </c>
      <c r="P204" s="5" t="s">
        <v>504</v>
      </c>
    </row>
    <row r="205" spans="1:16" s="1" customFormat="1" x14ac:dyDescent="0.35">
      <c r="A205" s="5" t="str">
        <f t="shared" si="6"/>
        <v>2023 H1 All Items D90</v>
      </c>
      <c r="B205" s="8">
        <f>'ALL 2024 H2 D80'!$B$2</f>
        <v>46114</v>
      </c>
      <c r="C205" s="8">
        <f>'ALL 2024 H2 D80'!$C$2</f>
        <v>46120</v>
      </c>
      <c r="D205" s="5">
        <v>3208</v>
      </c>
      <c r="E205" s="5">
        <v>320</v>
      </c>
      <c r="F205" s="5">
        <v>1</v>
      </c>
      <c r="G205" s="15">
        <v>2</v>
      </c>
      <c r="H205" s="15">
        <v>80954</v>
      </c>
      <c r="I205" s="5" t="s">
        <v>16</v>
      </c>
      <c r="J205" s="16">
        <v>79674556</v>
      </c>
      <c r="K205" s="16" t="s">
        <v>685</v>
      </c>
      <c r="L205" s="34" t="s">
        <v>686</v>
      </c>
      <c r="M205" s="38">
        <v>89900</v>
      </c>
      <c r="N205" s="7">
        <v>0.9</v>
      </c>
      <c r="O205" s="6">
        <f t="shared" si="7"/>
        <v>8990</v>
      </c>
      <c r="P205" s="5" t="s">
        <v>504</v>
      </c>
    </row>
    <row r="206" spans="1:16" s="1" customFormat="1" x14ac:dyDescent="0.35">
      <c r="A206" s="5" t="str">
        <f t="shared" si="6"/>
        <v>2023 H1 All Items D90</v>
      </c>
      <c r="B206" s="8">
        <f>'ALL 2024 H2 D80'!$B$2</f>
        <v>46114</v>
      </c>
      <c r="C206" s="8">
        <f>'ALL 2024 H2 D80'!$C$2</f>
        <v>46120</v>
      </c>
      <c r="D206" s="5">
        <v>3208</v>
      </c>
      <c r="E206" s="5">
        <v>320</v>
      </c>
      <c r="F206" s="5">
        <v>1</v>
      </c>
      <c r="G206" s="15">
        <v>2</v>
      </c>
      <c r="H206" s="15">
        <v>80954</v>
      </c>
      <c r="I206" s="5" t="s">
        <v>16</v>
      </c>
      <c r="J206" s="16">
        <v>79674565</v>
      </c>
      <c r="K206" s="16" t="s">
        <v>685</v>
      </c>
      <c r="L206" s="34" t="s">
        <v>687</v>
      </c>
      <c r="M206" s="38">
        <v>89900</v>
      </c>
      <c r="N206" s="7">
        <v>0.9</v>
      </c>
      <c r="O206" s="6">
        <f t="shared" si="7"/>
        <v>8990</v>
      </c>
      <c r="P206" s="5" t="s">
        <v>504</v>
      </c>
    </row>
    <row r="207" spans="1:16" s="1" customFormat="1" x14ac:dyDescent="0.35">
      <c r="A207" s="5" t="str">
        <f t="shared" si="6"/>
        <v>2023 H1 All Items D90</v>
      </c>
      <c r="B207" s="8">
        <f>'ALL 2024 H2 D80'!$B$2</f>
        <v>46114</v>
      </c>
      <c r="C207" s="8">
        <f>'ALL 2024 H2 D80'!$C$2</f>
        <v>46120</v>
      </c>
      <c r="D207" s="5">
        <v>3208</v>
      </c>
      <c r="E207" s="5">
        <v>320</v>
      </c>
      <c r="F207" s="5">
        <v>1</v>
      </c>
      <c r="G207" s="15">
        <v>2</v>
      </c>
      <c r="H207" s="15">
        <v>80954</v>
      </c>
      <c r="I207" s="5" t="s">
        <v>16</v>
      </c>
      <c r="J207" s="16">
        <v>79674574</v>
      </c>
      <c r="K207" s="16" t="s">
        <v>685</v>
      </c>
      <c r="L207" s="34" t="s">
        <v>688</v>
      </c>
      <c r="M207" s="38">
        <v>89900</v>
      </c>
      <c r="N207" s="7">
        <v>0.9</v>
      </c>
      <c r="O207" s="6">
        <f t="shared" si="7"/>
        <v>8990</v>
      </c>
      <c r="P207" s="5" t="s">
        <v>504</v>
      </c>
    </row>
    <row r="208" spans="1:16" s="1" customFormat="1" x14ac:dyDescent="0.35">
      <c r="A208" s="5" t="str">
        <f t="shared" si="6"/>
        <v>2023 H1 All Items D90</v>
      </c>
      <c r="B208" s="8">
        <f>'ALL 2024 H2 D80'!$B$2</f>
        <v>46114</v>
      </c>
      <c r="C208" s="8">
        <f>'ALL 2024 H2 D80'!$C$2</f>
        <v>46120</v>
      </c>
      <c r="D208" s="5">
        <v>3208</v>
      </c>
      <c r="E208" s="5">
        <v>320</v>
      </c>
      <c r="F208" s="5">
        <v>1</v>
      </c>
      <c r="G208" s="15">
        <v>2</v>
      </c>
      <c r="H208" s="15">
        <v>80954</v>
      </c>
      <c r="I208" s="5" t="s">
        <v>16</v>
      </c>
      <c r="J208" s="16">
        <v>79674583</v>
      </c>
      <c r="K208" s="16" t="s">
        <v>685</v>
      </c>
      <c r="L208" s="34" t="s">
        <v>689</v>
      </c>
      <c r="M208" s="38">
        <v>89900</v>
      </c>
      <c r="N208" s="7">
        <v>0.9</v>
      </c>
      <c r="O208" s="6">
        <f t="shared" si="7"/>
        <v>8990</v>
      </c>
      <c r="P208" s="5" t="s">
        <v>504</v>
      </c>
    </row>
    <row r="209" spans="1:16" s="1" customFormat="1" x14ac:dyDescent="0.35">
      <c r="A209" s="5" t="str">
        <f t="shared" si="6"/>
        <v>2023 H1 All Items D90</v>
      </c>
      <c r="B209" s="8">
        <f>'ALL 2024 H2 D80'!$B$2</f>
        <v>46114</v>
      </c>
      <c r="C209" s="8">
        <f>'ALL 2024 H2 D80'!$C$2</f>
        <v>46120</v>
      </c>
      <c r="D209" s="5">
        <v>3208</v>
      </c>
      <c r="E209" s="5">
        <v>320</v>
      </c>
      <c r="F209" s="5">
        <v>1</v>
      </c>
      <c r="G209" s="15">
        <v>2</v>
      </c>
      <c r="H209" s="15">
        <v>80954</v>
      </c>
      <c r="I209" s="5" t="s">
        <v>16</v>
      </c>
      <c r="J209" s="16">
        <v>79674618</v>
      </c>
      <c r="K209" s="16" t="s">
        <v>685</v>
      </c>
      <c r="L209" s="34" t="s">
        <v>690</v>
      </c>
      <c r="M209" s="38">
        <v>89900</v>
      </c>
      <c r="N209" s="7">
        <v>0.9</v>
      </c>
      <c r="O209" s="6">
        <f t="shared" si="7"/>
        <v>8990</v>
      </c>
      <c r="P209" s="5" t="s">
        <v>504</v>
      </c>
    </row>
    <row r="210" spans="1:16" s="1" customFormat="1" x14ac:dyDescent="0.35">
      <c r="A210" s="5" t="str">
        <f t="shared" si="6"/>
        <v>2023 H1 All Items D90</v>
      </c>
      <c r="B210" s="8">
        <f>'ALL 2024 H2 D80'!$B$2</f>
        <v>46114</v>
      </c>
      <c r="C210" s="8">
        <f>'ALL 2024 H2 D80'!$C$2</f>
        <v>46120</v>
      </c>
      <c r="D210" s="5">
        <v>3208</v>
      </c>
      <c r="E210" s="5">
        <v>320</v>
      </c>
      <c r="F210" s="5">
        <v>1</v>
      </c>
      <c r="G210" s="15">
        <v>2</v>
      </c>
      <c r="H210" s="15">
        <v>80954</v>
      </c>
      <c r="I210" s="5" t="s">
        <v>16</v>
      </c>
      <c r="J210" s="16">
        <v>79674627</v>
      </c>
      <c r="K210" s="16" t="s">
        <v>685</v>
      </c>
      <c r="L210" s="34" t="s">
        <v>691</v>
      </c>
      <c r="M210" s="38">
        <v>89900</v>
      </c>
      <c r="N210" s="7">
        <v>0.9</v>
      </c>
      <c r="O210" s="6">
        <f t="shared" si="7"/>
        <v>8990</v>
      </c>
      <c r="P210" s="5" t="s">
        <v>504</v>
      </c>
    </row>
    <row r="211" spans="1:16" s="1" customFormat="1" x14ac:dyDescent="0.35">
      <c r="A211" s="5" t="str">
        <f t="shared" si="6"/>
        <v>2023 H1 All Items D90</v>
      </c>
      <c r="B211" s="8">
        <f>'ALL 2024 H2 D80'!$B$2</f>
        <v>46114</v>
      </c>
      <c r="C211" s="8">
        <f>'ALL 2024 H2 D80'!$C$2</f>
        <v>46120</v>
      </c>
      <c r="D211" s="5">
        <v>3208</v>
      </c>
      <c r="E211" s="5">
        <v>320</v>
      </c>
      <c r="F211" s="5">
        <v>1</v>
      </c>
      <c r="G211" s="15">
        <v>2</v>
      </c>
      <c r="H211" s="15">
        <v>80954</v>
      </c>
      <c r="I211" s="5" t="s">
        <v>16</v>
      </c>
      <c r="J211" s="16">
        <v>79868052</v>
      </c>
      <c r="K211" s="16" t="s">
        <v>692</v>
      </c>
      <c r="L211" s="34" t="s">
        <v>693</v>
      </c>
      <c r="M211" s="38">
        <v>89900</v>
      </c>
      <c r="N211" s="7">
        <v>0.9</v>
      </c>
      <c r="O211" s="6">
        <f t="shared" si="7"/>
        <v>8990</v>
      </c>
      <c r="P211" s="5" t="s">
        <v>504</v>
      </c>
    </row>
    <row r="212" spans="1:16" s="1" customFormat="1" x14ac:dyDescent="0.35">
      <c r="A212" s="5" t="str">
        <f t="shared" si="6"/>
        <v>2023 H1 All Items D90</v>
      </c>
      <c r="B212" s="8">
        <f>'ALL 2024 H2 D80'!$B$2</f>
        <v>46114</v>
      </c>
      <c r="C212" s="8">
        <f>'ALL 2024 H2 D80'!$C$2</f>
        <v>46120</v>
      </c>
      <c r="D212" s="5">
        <v>3208</v>
      </c>
      <c r="E212" s="5">
        <v>320</v>
      </c>
      <c r="F212" s="5">
        <v>1</v>
      </c>
      <c r="G212" s="15">
        <v>2</v>
      </c>
      <c r="H212" s="15">
        <v>80954</v>
      </c>
      <c r="I212" s="5" t="s">
        <v>16</v>
      </c>
      <c r="J212" s="16">
        <v>79868061</v>
      </c>
      <c r="K212" s="16" t="s">
        <v>692</v>
      </c>
      <c r="L212" s="34" t="s">
        <v>694</v>
      </c>
      <c r="M212" s="38">
        <v>89900</v>
      </c>
      <c r="N212" s="7">
        <v>0.9</v>
      </c>
      <c r="O212" s="6">
        <f t="shared" si="7"/>
        <v>8990</v>
      </c>
      <c r="P212" s="5" t="s">
        <v>504</v>
      </c>
    </row>
    <row r="213" spans="1:16" s="1" customFormat="1" x14ac:dyDescent="0.35">
      <c r="A213" s="5" t="str">
        <f t="shared" si="6"/>
        <v>2023 H1 All Items D90</v>
      </c>
      <c r="B213" s="8">
        <f>'ALL 2024 H2 D80'!$B$2</f>
        <v>46114</v>
      </c>
      <c r="C213" s="8">
        <f>'ALL 2024 H2 D80'!$C$2</f>
        <v>46120</v>
      </c>
      <c r="D213" s="5">
        <v>3208</v>
      </c>
      <c r="E213" s="5">
        <v>320</v>
      </c>
      <c r="F213" s="5">
        <v>1</v>
      </c>
      <c r="G213" s="15">
        <v>2</v>
      </c>
      <c r="H213" s="15">
        <v>80954</v>
      </c>
      <c r="I213" s="5" t="s">
        <v>16</v>
      </c>
      <c r="J213" s="16">
        <v>79868070</v>
      </c>
      <c r="K213" s="16" t="s">
        <v>692</v>
      </c>
      <c r="L213" s="34" t="s">
        <v>695</v>
      </c>
      <c r="M213" s="38">
        <v>89900</v>
      </c>
      <c r="N213" s="7">
        <v>0.9</v>
      </c>
      <c r="O213" s="6">
        <f t="shared" si="7"/>
        <v>8990</v>
      </c>
      <c r="P213" s="5" t="s">
        <v>504</v>
      </c>
    </row>
    <row r="214" spans="1:16" s="1" customFormat="1" x14ac:dyDescent="0.35">
      <c r="A214" s="5" t="str">
        <f t="shared" si="6"/>
        <v>2023 H1 All Items D90</v>
      </c>
      <c r="B214" s="8">
        <f>'ALL 2024 H2 D80'!$B$2</f>
        <v>46114</v>
      </c>
      <c r="C214" s="8">
        <f>'ALL 2024 H2 D80'!$C$2</f>
        <v>46120</v>
      </c>
      <c r="D214" s="5">
        <v>3208</v>
      </c>
      <c r="E214" s="5">
        <v>320</v>
      </c>
      <c r="F214" s="5">
        <v>1</v>
      </c>
      <c r="G214" s="15">
        <v>2</v>
      </c>
      <c r="H214" s="15">
        <v>80954</v>
      </c>
      <c r="I214" s="5" t="s">
        <v>16</v>
      </c>
      <c r="J214" s="16">
        <v>79868089</v>
      </c>
      <c r="K214" s="16" t="s">
        <v>692</v>
      </c>
      <c r="L214" s="34" t="s">
        <v>3641</v>
      </c>
      <c r="M214" s="38">
        <v>89900</v>
      </c>
      <c r="N214" s="7">
        <v>0.9</v>
      </c>
      <c r="O214" s="6">
        <f t="shared" si="7"/>
        <v>8990</v>
      </c>
      <c r="P214" s="5" t="s">
        <v>504</v>
      </c>
    </row>
    <row r="215" spans="1:16" s="1" customFormat="1" x14ac:dyDescent="0.35">
      <c r="A215" s="5" t="str">
        <f t="shared" si="6"/>
        <v>2023 H1 All Items D90</v>
      </c>
      <c r="B215" s="8">
        <f>'ALL 2024 H2 D80'!$B$2</f>
        <v>46114</v>
      </c>
      <c r="C215" s="8">
        <f>'ALL 2024 H2 D80'!$C$2</f>
        <v>46120</v>
      </c>
      <c r="D215" s="5">
        <v>3208</v>
      </c>
      <c r="E215" s="5">
        <v>320</v>
      </c>
      <c r="F215" s="5">
        <v>1</v>
      </c>
      <c r="G215" s="15">
        <v>2</v>
      </c>
      <c r="H215" s="15">
        <v>80954</v>
      </c>
      <c r="I215" s="5" t="s">
        <v>16</v>
      </c>
      <c r="J215" s="16">
        <v>80907793</v>
      </c>
      <c r="K215" s="16" t="s">
        <v>696</v>
      </c>
      <c r="L215" s="34" t="s">
        <v>697</v>
      </c>
      <c r="M215" s="38">
        <v>89900</v>
      </c>
      <c r="N215" s="7">
        <v>0.9</v>
      </c>
      <c r="O215" s="6">
        <f t="shared" si="7"/>
        <v>8990</v>
      </c>
      <c r="P215" s="5" t="s">
        <v>504</v>
      </c>
    </row>
    <row r="216" spans="1:16" s="1" customFormat="1" x14ac:dyDescent="0.35">
      <c r="A216" s="5" t="str">
        <f t="shared" si="6"/>
        <v>2023 H1 All Items D90</v>
      </c>
      <c r="B216" s="8">
        <f>'ALL 2024 H2 D80'!$B$2</f>
        <v>46114</v>
      </c>
      <c r="C216" s="8">
        <f>'ALL 2024 H2 D80'!$C$2</f>
        <v>46120</v>
      </c>
      <c r="D216" s="5">
        <v>3208</v>
      </c>
      <c r="E216" s="5">
        <v>320</v>
      </c>
      <c r="F216" s="5">
        <v>1</v>
      </c>
      <c r="G216" s="15">
        <v>2</v>
      </c>
      <c r="H216" s="15">
        <v>80954</v>
      </c>
      <c r="I216" s="5" t="s">
        <v>16</v>
      </c>
      <c r="J216" s="16">
        <v>80907800</v>
      </c>
      <c r="K216" s="16" t="s">
        <v>696</v>
      </c>
      <c r="L216" s="34" t="s">
        <v>698</v>
      </c>
      <c r="M216" s="38">
        <v>89900</v>
      </c>
      <c r="N216" s="7">
        <v>0.9</v>
      </c>
      <c r="O216" s="6">
        <f t="shared" si="7"/>
        <v>8990</v>
      </c>
      <c r="P216" s="5" t="s">
        <v>504</v>
      </c>
    </row>
    <row r="217" spans="1:16" s="1" customFormat="1" x14ac:dyDescent="0.35">
      <c r="A217" s="5" t="str">
        <f t="shared" si="6"/>
        <v>2023 H1 All Items D90</v>
      </c>
      <c r="B217" s="8">
        <f>'ALL 2024 H2 D80'!$B$2</f>
        <v>46114</v>
      </c>
      <c r="C217" s="8">
        <f>'ALL 2024 H2 D80'!$C$2</f>
        <v>46120</v>
      </c>
      <c r="D217" s="5">
        <v>3208</v>
      </c>
      <c r="E217" s="5">
        <v>320</v>
      </c>
      <c r="F217" s="5">
        <v>1</v>
      </c>
      <c r="G217" s="15">
        <v>2</v>
      </c>
      <c r="H217" s="15">
        <v>80954</v>
      </c>
      <c r="I217" s="5" t="s">
        <v>16</v>
      </c>
      <c r="J217" s="16">
        <v>80907819</v>
      </c>
      <c r="K217" s="16" t="s">
        <v>696</v>
      </c>
      <c r="L217" s="34" t="s">
        <v>699</v>
      </c>
      <c r="M217" s="38">
        <v>89900</v>
      </c>
      <c r="N217" s="7">
        <v>0.9</v>
      </c>
      <c r="O217" s="6">
        <f t="shared" si="7"/>
        <v>8990</v>
      </c>
      <c r="P217" s="5" t="s">
        <v>504</v>
      </c>
    </row>
    <row r="218" spans="1:16" s="1" customFormat="1" x14ac:dyDescent="0.35">
      <c r="A218" s="5" t="str">
        <f t="shared" si="6"/>
        <v>2023 H1 All Items D90</v>
      </c>
      <c r="B218" s="8">
        <f>'ALL 2024 H2 D80'!$B$2</f>
        <v>46114</v>
      </c>
      <c r="C218" s="8">
        <f>'ALL 2024 H2 D80'!$C$2</f>
        <v>46120</v>
      </c>
      <c r="D218" s="5">
        <v>3208</v>
      </c>
      <c r="E218" s="5">
        <v>320</v>
      </c>
      <c r="F218" s="5">
        <v>1</v>
      </c>
      <c r="G218" s="15">
        <v>2</v>
      </c>
      <c r="H218" s="15">
        <v>80954</v>
      </c>
      <c r="I218" s="5" t="s">
        <v>16</v>
      </c>
      <c r="J218" s="16">
        <v>80907828</v>
      </c>
      <c r="K218" s="16" t="s">
        <v>696</v>
      </c>
      <c r="L218" s="34" t="s">
        <v>700</v>
      </c>
      <c r="M218" s="38">
        <v>89900</v>
      </c>
      <c r="N218" s="7">
        <v>0.9</v>
      </c>
      <c r="O218" s="6">
        <f t="shared" si="7"/>
        <v>8990</v>
      </c>
      <c r="P218" s="5" t="s">
        <v>504</v>
      </c>
    </row>
    <row r="219" spans="1:16" s="1" customFormat="1" x14ac:dyDescent="0.35">
      <c r="A219" s="5" t="str">
        <f t="shared" si="6"/>
        <v>2023 H1 All Items D90</v>
      </c>
      <c r="B219" s="8">
        <f>'ALL 2024 H2 D80'!$B$2</f>
        <v>46114</v>
      </c>
      <c r="C219" s="8">
        <f>'ALL 2024 H2 D80'!$C$2</f>
        <v>46120</v>
      </c>
      <c r="D219" s="5">
        <v>3208</v>
      </c>
      <c r="E219" s="5">
        <v>320</v>
      </c>
      <c r="F219" s="5">
        <v>1</v>
      </c>
      <c r="G219" s="15">
        <v>2</v>
      </c>
      <c r="H219" s="15">
        <v>80954</v>
      </c>
      <c r="I219" s="5" t="s">
        <v>16</v>
      </c>
      <c r="J219" s="16">
        <v>80907837</v>
      </c>
      <c r="K219" s="16" t="s">
        <v>696</v>
      </c>
      <c r="L219" s="34" t="s">
        <v>701</v>
      </c>
      <c r="M219" s="38">
        <v>89900</v>
      </c>
      <c r="N219" s="7">
        <v>0.9</v>
      </c>
      <c r="O219" s="6">
        <f t="shared" si="7"/>
        <v>8990</v>
      </c>
      <c r="P219" s="5" t="s">
        <v>504</v>
      </c>
    </row>
    <row r="220" spans="1:16" s="1" customFormat="1" x14ac:dyDescent="0.35">
      <c r="A220" s="5" t="str">
        <f t="shared" si="6"/>
        <v>2023 H1 All Items D90</v>
      </c>
      <c r="B220" s="8">
        <f>'ALL 2024 H2 D80'!$B$2</f>
        <v>46114</v>
      </c>
      <c r="C220" s="8">
        <f>'ALL 2024 H2 D80'!$C$2</f>
        <v>46120</v>
      </c>
      <c r="D220" s="5">
        <v>3208</v>
      </c>
      <c r="E220" s="5">
        <v>320</v>
      </c>
      <c r="F220" s="5">
        <v>1</v>
      </c>
      <c r="G220" s="15">
        <v>2</v>
      </c>
      <c r="H220" s="15">
        <v>80954</v>
      </c>
      <c r="I220" s="5" t="s">
        <v>16</v>
      </c>
      <c r="J220" s="16">
        <v>80907846</v>
      </c>
      <c r="K220" s="16" t="s">
        <v>696</v>
      </c>
      <c r="L220" s="34" t="s">
        <v>702</v>
      </c>
      <c r="M220" s="38">
        <v>89900</v>
      </c>
      <c r="N220" s="7">
        <v>0.9</v>
      </c>
      <c r="O220" s="6">
        <f t="shared" si="7"/>
        <v>8990</v>
      </c>
      <c r="P220" s="5" t="s">
        <v>504</v>
      </c>
    </row>
    <row r="221" spans="1:16" s="1" customFormat="1" x14ac:dyDescent="0.35">
      <c r="A221" s="5" t="str">
        <f t="shared" si="6"/>
        <v>2023 H1 All Items D90</v>
      </c>
      <c r="B221" s="8">
        <f>'ALL 2024 H2 D80'!$B$2</f>
        <v>46114</v>
      </c>
      <c r="C221" s="8">
        <f>'ALL 2024 H2 D80'!$C$2</f>
        <v>46120</v>
      </c>
      <c r="D221" s="5">
        <v>3208</v>
      </c>
      <c r="E221" s="5">
        <v>320</v>
      </c>
      <c r="F221" s="5">
        <v>1</v>
      </c>
      <c r="G221" s="15">
        <v>2</v>
      </c>
      <c r="H221" s="15">
        <v>80954</v>
      </c>
      <c r="I221" s="5" t="s">
        <v>16</v>
      </c>
      <c r="J221" s="16">
        <v>80907864</v>
      </c>
      <c r="K221" s="16" t="s">
        <v>696</v>
      </c>
      <c r="L221" s="34" t="s">
        <v>703</v>
      </c>
      <c r="M221" s="38">
        <v>89900</v>
      </c>
      <c r="N221" s="7">
        <v>0.9</v>
      </c>
      <c r="O221" s="6">
        <f t="shared" si="7"/>
        <v>8990</v>
      </c>
      <c r="P221" s="5" t="s">
        <v>504</v>
      </c>
    </row>
    <row r="222" spans="1:16" s="1" customFormat="1" x14ac:dyDescent="0.35">
      <c r="A222" s="5" t="str">
        <f t="shared" si="6"/>
        <v>2023 H1 All Items D90</v>
      </c>
      <c r="B222" s="8">
        <f>'ALL 2024 H2 D80'!$B$2</f>
        <v>46114</v>
      </c>
      <c r="C222" s="8">
        <f>'ALL 2024 H2 D80'!$C$2</f>
        <v>46120</v>
      </c>
      <c r="D222" s="5">
        <v>3208</v>
      </c>
      <c r="E222" s="5">
        <v>320</v>
      </c>
      <c r="F222" s="5">
        <v>1</v>
      </c>
      <c r="G222" s="15">
        <v>2</v>
      </c>
      <c r="H222" s="15">
        <v>80954</v>
      </c>
      <c r="I222" s="5" t="s">
        <v>16</v>
      </c>
      <c r="J222" s="16">
        <v>80907873</v>
      </c>
      <c r="K222" s="16" t="s">
        <v>704</v>
      </c>
      <c r="L222" s="34" t="s">
        <v>705</v>
      </c>
      <c r="M222" s="38">
        <v>109900</v>
      </c>
      <c r="N222" s="7">
        <v>0.9</v>
      </c>
      <c r="O222" s="6">
        <f t="shared" si="7"/>
        <v>10990</v>
      </c>
      <c r="P222" s="5" t="s">
        <v>504</v>
      </c>
    </row>
    <row r="223" spans="1:16" s="1" customFormat="1" x14ac:dyDescent="0.35">
      <c r="A223" s="5" t="str">
        <f t="shared" si="6"/>
        <v>2023 H1 All Items D90</v>
      </c>
      <c r="B223" s="8">
        <f>'ALL 2024 H2 D80'!$B$2</f>
        <v>46114</v>
      </c>
      <c r="C223" s="8">
        <f>'ALL 2024 H2 D80'!$C$2</f>
        <v>46120</v>
      </c>
      <c r="D223" s="5">
        <v>3208</v>
      </c>
      <c r="E223" s="5">
        <v>320</v>
      </c>
      <c r="F223" s="5">
        <v>1</v>
      </c>
      <c r="G223" s="15">
        <v>2</v>
      </c>
      <c r="H223" s="15">
        <v>80954</v>
      </c>
      <c r="I223" s="5" t="s">
        <v>16</v>
      </c>
      <c r="J223" s="16">
        <v>80907882</v>
      </c>
      <c r="K223" s="16" t="s">
        <v>704</v>
      </c>
      <c r="L223" s="34" t="s">
        <v>706</v>
      </c>
      <c r="M223" s="38">
        <v>109900</v>
      </c>
      <c r="N223" s="7">
        <v>0.9</v>
      </c>
      <c r="O223" s="6">
        <f t="shared" si="7"/>
        <v>10990</v>
      </c>
      <c r="P223" s="5" t="s">
        <v>504</v>
      </c>
    </row>
    <row r="224" spans="1:16" s="1" customFormat="1" x14ac:dyDescent="0.35">
      <c r="A224" s="5" t="str">
        <f t="shared" si="6"/>
        <v>2023 H1 All Items D90</v>
      </c>
      <c r="B224" s="8">
        <f>'ALL 2024 H2 D80'!$B$2</f>
        <v>46114</v>
      </c>
      <c r="C224" s="8">
        <f>'ALL 2024 H2 D80'!$C$2</f>
        <v>46120</v>
      </c>
      <c r="D224" s="5">
        <v>3208</v>
      </c>
      <c r="E224" s="5">
        <v>320</v>
      </c>
      <c r="F224" s="5">
        <v>1</v>
      </c>
      <c r="G224" s="15">
        <v>2</v>
      </c>
      <c r="H224" s="15">
        <v>80954</v>
      </c>
      <c r="I224" s="5" t="s">
        <v>16</v>
      </c>
      <c r="J224" s="16">
        <v>80907891</v>
      </c>
      <c r="K224" s="16" t="s">
        <v>704</v>
      </c>
      <c r="L224" s="34" t="s">
        <v>707</v>
      </c>
      <c r="M224" s="38">
        <v>109900</v>
      </c>
      <c r="N224" s="7">
        <v>0.9</v>
      </c>
      <c r="O224" s="6">
        <f t="shared" si="7"/>
        <v>10990</v>
      </c>
      <c r="P224" s="5" t="s">
        <v>504</v>
      </c>
    </row>
    <row r="225" spans="1:16" s="1" customFormat="1" x14ac:dyDescent="0.35">
      <c r="A225" s="5" t="str">
        <f t="shared" si="6"/>
        <v>2023 H1 All Items D90</v>
      </c>
      <c r="B225" s="8">
        <f>'ALL 2024 H2 D80'!$B$2</f>
        <v>46114</v>
      </c>
      <c r="C225" s="8">
        <f>'ALL 2024 H2 D80'!$C$2</f>
        <v>46120</v>
      </c>
      <c r="D225" s="5">
        <v>3208</v>
      </c>
      <c r="E225" s="5">
        <v>320</v>
      </c>
      <c r="F225" s="5">
        <v>1</v>
      </c>
      <c r="G225" s="15">
        <v>2</v>
      </c>
      <c r="H225" s="15">
        <v>80954</v>
      </c>
      <c r="I225" s="5" t="s">
        <v>16</v>
      </c>
      <c r="J225" s="16">
        <v>80907908</v>
      </c>
      <c r="K225" s="16" t="s">
        <v>704</v>
      </c>
      <c r="L225" s="34" t="s">
        <v>708</v>
      </c>
      <c r="M225" s="38">
        <v>109900</v>
      </c>
      <c r="N225" s="7">
        <v>0.9</v>
      </c>
      <c r="O225" s="6">
        <f t="shared" si="7"/>
        <v>10990</v>
      </c>
      <c r="P225" s="5" t="s">
        <v>504</v>
      </c>
    </row>
    <row r="226" spans="1:16" s="1" customFormat="1" x14ac:dyDescent="0.35">
      <c r="A226" s="5" t="str">
        <f t="shared" si="6"/>
        <v>2023 H1 All Items D90</v>
      </c>
      <c r="B226" s="8">
        <f>'ALL 2024 H2 D80'!$B$2</f>
        <v>46114</v>
      </c>
      <c r="C226" s="8">
        <f>'ALL 2024 H2 D80'!$C$2</f>
        <v>46120</v>
      </c>
      <c r="D226" s="5">
        <v>3208</v>
      </c>
      <c r="E226" s="5">
        <v>320</v>
      </c>
      <c r="F226" s="5">
        <v>1</v>
      </c>
      <c r="G226" s="15">
        <v>2</v>
      </c>
      <c r="H226" s="15">
        <v>80954</v>
      </c>
      <c r="I226" s="5" t="s">
        <v>16</v>
      </c>
      <c r="J226" s="16">
        <v>80907917</v>
      </c>
      <c r="K226" s="16" t="s">
        <v>704</v>
      </c>
      <c r="L226" s="34" t="s">
        <v>709</v>
      </c>
      <c r="M226" s="38">
        <v>109900</v>
      </c>
      <c r="N226" s="7">
        <v>0.9</v>
      </c>
      <c r="O226" s="6">
        <f t="shared" si="7"/>
        <v>10990</v>
      </c>
      <c r="P226" s="5" t="s">
        <v>504</v>
      </c>
    </row>
    <row r="227" spans="1:16" s="1" customFormat="1" x14ac:dyDescent="0.35">
      <c r="A227" s="5" t="str">
        <f t="shared" si="6"/>
        <v>2023 H1 All Items D90</v>
      </c>
      <c r="B227" s="8">
        <f>'ALL 2024 H2 D80'!$B$2</f>
        <v>46114</v>
      </c>
      <c r="C227" s="8">
        <f>'ALL 2024 H2 D80'!$C$2</f>
        <v>46120</v>
      </c>
      <c r="D227" s="5">
        <v>3208</v>
      </c>
      <c r="E227" s="5">
        <v>320</v>
      </c>
      <c r="F227" s="5">
        <v>1</v>
      </c>
      <c r="G227" s="15">
        <v>2</v>
      </c>
      <c r="H227" s="15">
        <v>80954</v>
      </c>
      <c r="I227" s="5" t="s">
        <v>16</v>
      </c>
      <c r="J227" s="16">
        <v>80907926</v>
      </c>
      <c r="K227" s="16" t="s">
        <v>704</v>
      </c>
      <c r="L227" s="34" t="s">
        <v>710</v>
      </c>
      <c r="M227" s="38">
        <v>109900</v>
      </c>
      <c r="N227" s="7">
        <v>0.9</v>
      </c>
      <c r="O227" s="6">
        <f t="shared" si="7"/>
        <v>10990</v>
      </c>
      <c r="P227" s="5" t="s">
        <v>504</v>
      </c>
    </row>
    <row r="228" spans="1:16" s="1" customFormat="1" x14ac:dyDescent="0.35">
      <c r="A228" s="5" t="str">
        <f t="shared" si="6"/>
        <v>2023 H1 All Items D90</v>
      </c>
      <c r="B228" s="8">
        <f>'ALL 2024 H2 D80'!$B$2</f>
        <v>46114</v>
      </c>
      <c r="C228" s="8">
        <f>'ALL 2024 H2 D80'!$C$2</f>
        <v>46120</v>
      </c>
      <c r="D228" s="5">
        <v>3208</v>
      </c>
      <c r="E228" s="5">
        <v>320</v>
      </c>
      <c r="F228" s="5">
        <v>1</v>
      </c>
      <c r="G228" s="15">
        <v>2</v>
      </c>
      <c r="H228" s="15">
        <v>80954</v>
      </c>
      <c r="I228" s="5" t="s">
        <v>16</v>
      </c>
      <c r="J228" s="16">
        <v>80907935</v>
      </c>
      <c r="K228" s="16" t="s">
        <v>704</v>
      </c>
      <c r="L228" s="34" t="s">
        <v>711</v>
      </c>
      <c r="M228" s="38">
        <v>109900</v>
      </c>
      <c r="N228" s="7">
        <v>0.9</v>
      </c>
      <c r="O228" s="6">
        <f t="shared" si="7"/>
        <v>10990</v>
      </c>
      <c r="P228" s="5" t="s">
        <v>504</v>
      </c>
    </row>
    <row r="229" spans="1:16" s="1" customFormat="1" x14ac:dyDescent="0.35">
      <c r="A229" s="5" t="str">
        <f t="shared" si="6"/>
        <v>2023 H1 All Items D90</v>
      </c>
      <c r="B229" s="8">
        <f>'ALL 2024 H2 D80'!$B$2</f>
        <v>46114</v>
      </c>
      <c r="C229" s="8">
        <f>'ALL 2024 H2 D80'!$C$2</f>
        <v>46120</v>
      </c>
      <c r="D229" s="5">
        <v>3208</v>
      </c>
      <c r="E229" s="5">
        <v>320</v>
      </c>
      <c r="F229" s="5">
        <v>1</v>
      </c>
      <c r="G229" s="15">
        <v>2</v>
      </c>
      <c r="H229" s="15">
        <v>80954</v>
      </c>
      <c r="I229" s="5" t="s">
        <v>16</v>
      </c>
      <c r="J229" s="16">
        <v>80907944</v>
      </c>
      <c r="K229" s="16" t="s">
        <v>704</v>
      </c>
      <c r="L229" s="34" t="s">
        <v>712</v>
      </c>
      <c r="M229" s="38">
        <v>109900</v>
      </c>
      <c r="N229" s="7">
        <v>0.9</v>
      </c>
      <c r="O229" s="6">
        <f t="shared" si="7"/>
        <v>10990</v>
      </c>
      <c r="P229" s="5" t="s">
        <v>504</v>
      </c>
    </row>
    <row r="230" spans="1:16" s="1" customFormat="1" x14ac:dyDescent="0.35">
      <c r="A230" s="5" t="str">
        <f t="shared" si="6"/>
        <v>2023 H1 All Items D90</v>
      </c>
      <c r="B230" s="8">
        <f>'ALL 2024 H2 D80'!$B$2</f>
        <v>46114</v>
      </c>
      <c r="C230" s="8">
        <f>'ALL 2024 H2 D80'!$C$2</f>
        <v>46120</v>
      </c>
      <c r="D230" s="5">
        <v>3208</v>
      </c>
      <c r="E230" s="5">
        <v>320</v>
      </c>
      <c r="F230" s="5">
        <v>1</v>
      </c>
      <c r="G230" s="15">
        <v>2</v>
      </c>
      <c r="H230" s="15">
        <v>80954</v>
      </c>
      <c r="I230" s="5" t="s">
        <v>16</v>
      </c>
      <c r="J230" s="16">
        <v>80907953</v>
      </c>
      <c r="K230" s="16" t="s">
        <v>713</v>
      </c>
      <c r="L230" s="34" t="s">
        <v>714</v>
      </c>
      <c r="M230" s="38">
        <v>89900</v>
      </c>
      <c r="N230" s="7">
        <v>0.9</v>
      </c>
      <c r="O230" s="6">
        <f t="shared" si="7"/>
        <v>8990</v>
      </c>
      <c r="P230" s="5" t="s">
        <v>504</v>
      </c>
    </row>
    <row r="231" spans="1:16" s="1" customFormat="1" x14ac:dyDescent="0.35">
      <c r="A231" s="5" t="str">
        <f t="shared" si="6"/>
        <v>2023 H1 All Items D90</v>
      </c>
      <c r="B231" s="8">
        <f>'ALL 2024 H2 D80'!$B$2</f>
        <v>46114</v>
      </c>
      <c r="C231" s="8">
        <f>'ALL 2024 H2 D80'!$C$2</f>
        <v>46120</v>
      </c>
      <c r="D231" s="5">
        <v>3208</v>
      </c>
      <c r="E231" s="5">
        <v>320</v>
      </c>
      <c r="F231" s="5">
        <v>1</v>
      </c>
      <c r="G231" s="15">
        <v>2</v>
      </c>
      <c r="H231" s="15">
        <v>80954</v>
      </c>
      <c r="I231" s="5" t="s">
        <v>16</v>
      </c>
      <c r="J231" s="16">
        <v>80907962</v>
      </c>
      <c r="K231" s="16" t="s">
        <v>713</v>
      </c>
      <c r="L231" s="34" t="s">
        <v>715</v>
      </c>
      <c r="M231" s="38">
        <v>89900</v>
      </c>
      <c r="N231" s="7">
        <v>0.9</v>
      </c>
      <c r="O231" s="6">
        <f t="shared" si="7"/>
        <v>8990</v>
      </c>
      <c r="P231" s="5" t="s">
        <v>504</v>
      </c>
    </row>
    <row r="232" spans="1:16" s="1" customFormat="1" x14ac:dyDescent="0.35">
      <c r="A232" s="5" t="str">
        <f t="shared" si="6"/>
        <v>2023 H1 All Items D90</v>
      </c>
      <c r="B232" s="8">
        <f>'ALL 2024 H2 D80'!$B$2</f>
        <v>46114</v>
      </c>
      <c r="C232" s="8">
        <f>'ALL 2024 H2 D80'!$C$2</f>
        <v>46120</v>
      </c>
      <c r="D232" s="5">
        <v>3208</v>
      </c>
      <c r="E232" s="5">
        <v>320</v>
      </c>
      <c r="F232" s="5">
        <v>1</v>
      </c>
      <c r="G232" s="15">
        <v>2</v>
      </c>
      <c r="H232" s="15">
        <v>80954</v>
      </c>
      <c r="I232" s="5" t="s">
        <v>16</v>
      </c>
      <c r="J232" s="16">
        <v>80907971</v>
      </c>
      <c r="K232" s="16" t="s">
        <v>713</v>
      </c>
      <c r="L232" s="34" t="s">
        <v>716</v>
      </c>
      <c r="M232" s="38">
        <v>89900</v>
      </c>
      <c r="N232" s="7">
        <v>0.9</v>
      </c>
      <c r="O232" s="6">
        <f t="shared" si="7"/>
        <v>8990</v>
      </c>
      <c r="P232" s="5" t="s">
        <v>504</v>
      </c>
    </row>
    <row r="233" spans="1:16" s="1" customFormat="1" x14ac:dyDescent="0.35">
      <c r="A233" s="5" t="str">
        <f t="shared" si="6"/>
        <v>2023 H1 All Items D90</v>
      </c>
      <c r="B233" s="8">
        <f>'ALL 2024 H2 D80'!$B$2</f>
        <v>46114</v>
      </c>
      <c r="C233" s="8">
        <f>'ALL 2024 H2 D80'!$C$2</f>
        <v>46120</v>
      </c>
      <c r="D233" s="5">
        <v>3208</v>
      </c>
      <c r="E233" s="5">
        <v>320</v>
      </c>
      <c r="F233" s="5">
        <v>1</v>
      </c>
      <c r="G233" s="15">
        <v>2</v>
      </c>
      <c r="H233" s="15">
        <v>80954</v>
      </c>
      <c r="I233" s="5" t="s">
        <v>16</v>
      </c>
      <c r="J233" s="16">
        <v>80907980</v>
      </c>
      <c r="K233" s="16" t="s">
        <v>713</v>
      </c>
      <c r="L233" s="34" t="s">
        <v>717</v>
      </c>
      <c r="M233" s="38">
        <v>89900</v>
      </c>
      <c r="N233" s="7">
        <v>0.9</v>
      </c>
      <c r="O233" s="6">
        <f t="shared" si="7"/>
        <v>8990</v>
      </c>
      <c r="P233" s="5" t="s">
        <v>504</v>
      </c>
    </row>
    <row r="234" spans="1:16" s="1" customFormat="1" x14ac:dyDescent="0.35">
      <c r="A234" s="5" t="str">
        <f t="shared" si="6"/>
        <v>2023 H1 All Items D90</v>
      </c>
      <c r="B234" s="8">
        <f>'ALL 2024 H2 D80'!$B$2</f>
        <v>46114</v>
      </c>
      <c r="C234" s="8">
        <f>'ALL 2024 H2 D80'!$C$2</f>
        <v>46120</v>
      </c>
      <c r="D234" s="5">
        <v>3208</v>
      </c>
      <c r="E234" s="5">
        <v>320</v>
      </c>
      <c r="F234" s="5">
        <v>1</v>
      </c>
      <c r="G234" s="15">
        <v>2</v>
      </c>
      <c r="H234" s="15">
        <v>80954</v>
      </c>
      <c r="I234" s="5" t="s">
        <v>16</v>
      </c>
      <c r="J234" s="16">
        <v>80978672</v>
      </c>
      <c r="K234" s="16" t="s">
        <v>718</v>
      </c>
      <c r="L234" s="34" t="s">
        <v>719</v>
      </c>
      <c r="M234" s="38">
        <v>89900</v>
      </c>
      <c r="N234" s="7">
        <v>0.9</v>
      </c>
      <c r="O234" s="6">
        <f t="shared" si="7"/>
        <v>8990</v>
      </c>
      <c r="P234" s="5" t="s">
        <v>504</v>
      </c>
    </row>
    <row r="235" spans="1:16" s="1" customFormat="1" x14ac:dyDescent="0.35">
      <c r="A235" s="5" t="str">
        <f t="shared" si="6"/>
        <v>2023 H1 All Items D90</v>
      </c>
      <c r="B235" s="8">
        <f>'ALL 2024 H2 D80'!$B$2</f>
        <v>46114</v>
      </c>
      <c r="C235" s="8">
        <f>'ALL 2024 H2 D80'!$C$2</f>
        <v>46120</v>
      </c>
      <c r="D235" s="5">
        <v>3208</v>
      </c>
      <c r="E235" s="5">
        <v>320</v>
      </c>
      <c r="F235" s="5">
        <v>1</v>
      </c>
      <c r="G235" s="15">
        <v>2</v>
      </c>
      <c r="H235" s="15">
        <v>80954</v>
      </c>
      <c r="I235" s="5" t="s">
        <v>16</v>
      </c>
      <c r="J235" s="16">
        <v>80978681</v>
      </c>
      <c r="K235" s="16" t="s">
        <v>718</v>
      </c>
      <c r="L235" s="34" t="s">
        <v>720</v>
      </c>
      <c r="M235" s="38">
        <v>89900</v>
      </c>
      <c r="N235" s="7">
        <v>0.9</v>
      </c>
      <c r="O235" s="6">
        <f t="shared" si="7"/>
        <v>8990</v>
      </c>
      <c r="P235" s="5" t="s">
        <v>504</v>
      </c>
    </row>
    <row r="236" spans="1:16" s="1" customFormat="1" x14ac:dyDescent="0.35">
      <c r="A236" s="5" t="str">
        <f t="shared" si="6"/>
        <v>2023 H1 All Items D90</v>
      </c>
      <c r="B236" s="8">
        <f>'ALL 2024 H2 D80'!$B$2</f>
        <v>46114</v>
      </c>
      <c r="C236" s="8">
        <f>'ALL 2024 H2 D80'!$C$2</f>
        <v>46120</v>
      </c>
      <c r="D236" s="5">
        <v>3208</v>
      </c>
      <c r="E236" s="5">
        <v>320</v>
      </c>
      <c r="F236" s="5">
        <v>1</v>
      </c>
      <c r="G236" s="15">
        <v>2</v>
      </c>
      <c r="H236" s="15">
        <v>80954</v>
      </c>
      <c r="I236" s="5" t="s">
        <v>16</v>
      </c>
      <c r="J236" s="16">
        <v>80978690</v>
      </c>
      <c r="K236" s="16" t="s">
        <v>718</v>
      </c>
      <c r="L236" s="34" t="s">
        <v>721</v>
      </c>
      <c r="M236" s="38">
        <v>89900</v>
      </c>
      <c r="N236" s="7">
        <v>0.9</v>
      </c>
      <c r="O236" s="6">
        <f t="shared" si="7"/>
        <v>8990</v>
      </c>
      <c r="P236" s="5" t="s">
        <v>504</v>
      </c>
    </row>
    <row r="237" spans="1:16" s="1" customFormat="1" x14ac:dyDescent="0.35">
      <c r="A237" s="5" t="str">
        <f t="shared" si="6"/>
        <v>2023 H1 All Items D90</v>
      </c>
      <c r="B237" s="8">
        <f>'ALL 2024 H2 D80'!$B$2</f>
        <v>46114</v>
      </c>
      <c r="C237" s="8">
        <f>'ALL 2024 H2 D80'!$C$2</f>
        <v>46120</v>
      </c>
      <c r="D237" s="5">
        <v>3208</v>
      </c>
      <c r="E237" s="5">
        <v>320</v>
      </c>
      <c r="F237" s="5">
        <v>1</v>
      </c>
      <c r="G237" s="15">
        <v>2</v>
      </c>
      <c r="H237" s="15">
        <v>80954</v>
      </c>
      <c r="I237" s="5" t="s">
        <v>16</v>
      </c>
      <c r="J237" s="16">
        <v>80978707</v>
      </c>
      <c r="K237" s="16" t="s">
        <v>718</v>
      </c>
      <c r="L237" s="34" t="s">
        <v>722</v>
      </c>
      <c r="M237" s="38">
        <v>89900</v>
      </c>
      <c r="N237" s="7">
        <v>0.9</v>
      </c>
      <c r="O237" s="6">
        <f t="shared" si="7"/>
        <v>8990</v>
      </c>
      <c r="P237" s="5" t="s">
        <v>504</v>
      </c>
    </row>
    <row r="238" spans="1:16" s="1" customFormat="1" x14ac:dyDescent="0.35">
      <c r="A238" s="5" t="str">
        <f t="shared" si="6"/>
        <v>2023 H1 All Items D90</v>
      </c>
      <c r="B238" s="8">
        <f>'ALL 2024 H2 D80'!$B$2</f>
        <v>46114</v>
      </c>
      <c r="C238" s="8">
        <f>'ALL 2024 H2 D80'!$C$2</f>
        <v>46120</v>
      </c>
      <c r="D238" s="5">
        <v>3208</v>
      </c>
      <c r="E238" s="5">
        <v>320</v>
      </c>
      <c r="F238" s="5">
        <v>1</v>
      </c>
      <c r="G238" s="15">
        <v>2</v>
      </c>
      <c r="H238" s="15">
        <v>80954</v>
      </c>
      <c r="I238" s="5" t="s">
        <v>16</v>
      </c>
      <c r="J238" s="16">
        <v>81289638</v>
      </c>
      <c r="K238" s="16" t="s">
        <v>2778</v>
      </c>
      <c r="L238" s="34" t="s">
        <v>2779</v>
      </c>
      <c r="M238" s="38">
        <v>89900</v>
      </c>
      <c r="N238" s="7">
        <v>0.9</v>
      </c>
      <c r="O238" s="6">
        <f t="shared" si="7"/>
        <v>8990</v>
      </c>
      <c r="P238" s="5" t="s">
        <v>504</v>
      </c>
    </row>
    <row r="239" spans="1:16" s="1" customFormat="1" x14ac:dyDescent="0.35">
      <c r="A239" s="5" t="str">
        <f t="shared" si="6"/>
        <v>2023 H1 All Items D90</v>
      </c>
      <c r="B239" s="8">
        <f>'ALL 2024 H2 D80'!$B$2</f>
        <v>46114</v>
      </c>
      <c r="C239" s="8">
        <f>'ALL 2024 H2 D80'!$C$2</f>
        <v>46120</v>
      </c>
      <c r="D239" s="5">
        <v>3208</v>
      </c>
      <c r="E239" s="5">
        <v>320</v>
      </c>
      <c r="F239" s="5">
        <v>1</v>
      </c>
      <c r="G239" s="15">
        <v>2</v>
      </c>
      <c r="H239" s="15">
        <v>80954</v>
      </c>
      <c r="I239" s="5" t="s">
        <v>16</v>
      </c>
      <c r="J239" s="16">
        <v>81289647</v>
      </c>
      <c r="K239" s="16" t="s">
        <v>2778</v>
      </c>
      <c r="L239" s="34" t="s">
        <v>2780</v>
      </c>
      <c r="M239" s="38">
        <v>89900</v>
      </c>
      <c r="N239" s="7">
        <v>0.9</v>
      </c>
      <c r="O239" s="6">
        <f t="shared" si="7"/>
        <v>8990</v>
      </c>
      <c r="P239" s="5" t="s">
        <v>504</v>
      </c>
    </row>
    <row r="240" spans="1:16" s="1" customFormat="1" x14ac:dyDescent="0.35">
      <c r="A240" s="5" t="str">
        <f t="shared" si="6"/>
        <v>2023 H1 All Items D90</v>
      </c>
      <c r="B240" s="8">
        <f>'ALL 2024 H2 D80'!$B$2</f>
        <v>46114</v>
      </c>
      <c r="C240" s="8">
        <f>'ALL 2024 H2 D80'!$C$2</f>
        <v>46120</v>
      </c>
      <c r="D240" s="5">
        <v>3208</v>
      </c>
      <c r="E240" s="5">
        <v>320</v>
      </c>
      <c r="F240" s="5">
        <v>1</v>
      </c>
      <c r="G240" s="15">
        <v>2</v>
      </c>
      <c r="H240" s="15">
        <v>80954</v>
      </c>
      <c r="I240" s="5" t="s">
        <v>16</v>
      </c>
      <c r="J240" s="16">
        <v>81289656</v>
      </c>
      <c r="K240" s="16" t="s">
        <v>2778</v>
      </c>
      <c r="L240" s="34" t="s">
        <v>2781</v>
      </c>
      <c r="M240" s="38">
        <v>89900</v>
      </c>
      <c r="N240" s="7">
        <v>0.9</v>
      </c>
      <c r="O240" s="6">
        <f t="shared" si="7"/>
        <v>8990</v>
      </c>
      <c r="P240" s="5" t="s">
        <v>504</v>
      </c>
    </row>
    <row r="241" spans="1:16" s="1" customFormat="1" x14ac:dyDescent="0.35">
      <c r="A241" s="5" t="str">
        <f t="shared" si="6"/>
        <v>2023 H1 All Items D90</v>
      </c>
      <c r="B241" s="8">
        <f>'ALL 2024 H2 D80'!$B$2</f>
        <v>46114</v>
      </c>
      <c r="C241" s="8">
        <f>'ALL 2024 H2 D80'!$C$2</f>
        <v>46120</v>
      </c>
      <c r="D241" s="5">
        <v>3208</v>
      </c>
      <c r="E241" s="5">
        <v>320</v>
      </c>
      <c r="F241" s="5">
        <v>1</v>
      </c>
      <c r="G241" s="15">
        <v>2</v>
      </c>
      <c r="H241" s="15">
        <v>80954</v>
      </c>
      <c r="I241" s="5" t="s">
        <v>16</v>
      </c>
      <c r="J241" s="16">
        <v>81289665</v>
      </c>
      <c r="K241" s="16" t="s">
        <v>2778</v>
      </c>
      <c r="L241" s="34" t="s">
        <v>2782</v>
      </c>
      <c r="M241" s="38">
        <v>89900</v>
      </c>
      <c r="N241" s="7">
        <v>0.9</v>
      </c>
      <c r="O241" s="6">
        <f t="shared" si="7"/>
        <v>8990</v>
      </c>
      <c r="P241" s="5" t="s">
        <v>504</v>
      </c>
    </row>
    <row r="242" spans="1:16" s="1" customFormat="1" x14ac:dyDescent="0.35">
      <c r="A242" s="5" t="str">
        <f t="shared" si="6"/>
        <v>2023 H1 All Items D90</v>
      </c>
      <c r="B242" s="8">
        <f>'ALL 2024 H2 D80'!$B$2</f>
        <v>46114</v>
      </c>
      <c r="C242" s="8">
        <f>'ALL 2024 H2 D80'!$C$2</f>
        <v>46120</v>
      </c>
      <c r="D242" s="5">
        <v>3208</v>
      </c>
      <c r="E242" s="5">
        <v>320</v>
      </c>
      <c r="F242" s="5">
        <v>1</v>
      </c>
      <c r="G242" s="15">
        <v>2</v>
      </c>
      <c r="H242" s="15">
        <v>80954</v>
      </c>
      <c r="I242" s="5" t="s">
        <v>16</v>
      </c>
      <c r="J242" s="16">
        <v>81289674</v>
      </c>
      <c r="K242" s="16" t="s">
        <v>2783</v>
      </c>
      <c r="L242" s="34" t="s">
        <v>2784</v>
      </c>
      <c r="M242" s="38">
        <v>89900</v>
      </c>
      <c r="N242" s="7">
        <v>0.9</v>
      </c>
      <c r="O242" s="6">
        <f t="shared" si="7"/>
        <v>8990</v>
      </c>
      <c r="P242" s="5" t="s">
        <v>504</v>
      </c>
    </row>
    <row r="243" spans="1:16" s="1" customFormat="1" x14ac:dyDescent="0.35">
      <c r="A243" s="5" t="str">
        <f t="shared" si="6"/>
        <v>2023 H1 All Items D90</v>
      </c>
      <c r="B243" s="8">
        <f>'ALL 2024 H2 D80'!$B$2</f>
        <v>46114</v>
      </c>
      <c r="C243" s="8">
        <f>'ALL 2024 H2 D80'!$C$2</f>
        <v>46120</v>
      </c>
      <c r="D243" s="5">
        <v>3208</v>
      </c>
      <c r="E243" s="5">
        <v>320</v>
      </c>
      <c r="F243" s="5">
        <v>1</v>
      </c>
      <c r="G243" s="15">
        <v>2</v>
      </c>
      <c r="H243" s="15">
        <v>80954</v>
      </c>
      <c r="I243" s="5" t="s">
        <v>16</v>
      </c>
      <c r="J243" s="16">
        <v>81289683</v>
      </c>
      <c r="K243" s="16" t="s">
        <v>2783</v>
      </c>
      <c r="L243" s="34" t="s">
        <v>2785</v>
      </c>
      <c r="M243" s="38">
        <v>89900</v>
      </c>
      <c r="N243" s="7">
        <v>0.9</v>
      </c>
      <c r="O243" s="6">
        <f t="shared" si="7"/>
        <v>8990</v>
      </c>
      <c r="P243" s="5" t="s">
        <v>504</v>
      </c>
    </row>
    <row r="244" spans="1:16" s="1" customFormat="1" x14ac:dyDescent="0.35">
      <c r="A244" s="5" t="str">
        <f t="shared" si="6"/>
        <v>2023 H1 All Items D90</v>
      </c>
      <c r="B244" s="8">
        <f>'ALL 2024 H2 D80'!$B$2</f>
        <v>46114</v>
      </c>
      <c r="C244" s="8">
        <f>'ALL 2024 H2 D80'!$C$2</f>
        <v>46120</v>
      </c>
      <c r="D244" s="5">
        <v>3208</v>
      </c>
      <c r="E244" s="5">
        <v>320</v>
      </c>
      <c r="F244" s="5">
        <v>1</v>
      </c>
      <c r="G244" s="15">
        <v>2</v>
      </c>
      <c r="H244" s="15">
        <v>80954</v>
      </c>
      <c r="I244" s="5" t="s">
        <v>16</v>
      </c>
      <c r="J244" s="16">
        <v>81289692</v>
      </c>
      <c r="K244" s="16" t="s">
        <v>2783</v>
      </c>
      <c r="L244" s="34" t="s">
        <v>2786</v>
      </c>
      <c r="M244" s="38">
        <v>89900</v>
      </c>
      <c r="N244" s="7">
        <v>0.9</v>
      </c>
      <c r="O244" s="6">
        <f t="shared" si="7"/>
        <v>8990</v>
      </c>
      <c r="P244" s="5" t="s">
        <v>504</v>
      </c>
    </row>
    <row r="245" spans="1:16" s="1" customFormat="1" x14ac:dyDescent="0.35">
      <c r="A245" s="5" t="str">
        <f t="shared" si="6"/>
        <v>2023 H1 All Items D90</v>
      </c>
      <c r="B245" s="8">
        <f>'ALL 2024 H2 D80'!$B$2</f>
        <v>46114</v>
      </c>
      <c r="C245" s="8">
        <f>'ALL 2024 H2 D80'!$C$2</f>
        <v>46120</v>
      </c>
      <c r="D245" s="5">
        <v>3208</v>
      </c>
      <c r="E245" s="5">
        <v>320</v>
      </c>
      <c r="F245" s="5">
        <v>1</v>
      </c>
      <c r="G245" s="15">
        <v>2</v>
      </c>
      <c r="H245" s="15">
        <v>80954</v>
      </c>
      <c r="I245" s="5" t="s">
        <v>16</v>
      </c>
      <c r="J245" s="16">
        <v>81289709</v>
      </c>
      <c r="K245" s="16" t="s">
        <v>2783</v>
      </c>
      <c r="L245" s="34" t="s">
        <v>2787</v>
      </c>
      <c r="M245" s="38">
        <v>89900</v>
      </c>
      <c r="N245" s="7">
        <v>0.9</v>
      </c>
      <c r="O245" s="6">
        <f t="shared" si="7"/>
        <v>8990</v>
      </c>
      <c r="P245" s="5" t="s">
        <v>504</v>
      </c>
    </row>
    <row r="246" spans="1:16" s="1" customFormat="1" x14ac:dyDescent="0.35">
      <c r="A246" s="5" t="str">
        <f t="shared" si="6"/>
        <v>2023 H1 All Items D90</v>
      </c>
      <c r="B246" s="8">
        <f>'ALL 2024 H2 D80'!$B$2</f>
        <v>46114</v>
      </c>
      <c r="C246" s="8">
        <f>'ALL 2024 H2 D80'!$C$2</f>
        <v>46120</v>
      </c>
      <c r="D246" s="5">
        <v>3208</v>
      </c>
      <c r="E246" s="5">
        <v>320</v>
      </c>
      <c r="F246" s="5">
        <v>1</v>
      </c>
      <c r="G246" s="15">
        <v>2</v>
      </c>
      <c r="H246" s="15">
        <v>80954</v>
      </c>
      <c r="I246" s="5" t="s">
        <v>16</v>
      </c>
      <c r="J246" s="16">
        <v>81289736</v>
      </c>
      <c r="K246" s="16" t="s">
        <v>2788</v>
      </c>
      <c r="L246" s="34" t="s">
        <v>2789</v>
      </c>
      <c r="M246" s="38">
        <v>89900</v>
      </c>
      <c r="N246" s="7">
        <v>0.9</v>
      </c>
      <c r="O246" s="6">
        <f t="shared" si="7"/>
        <v>8990</v>
      </c>
      <c r="P246" s="5" t="s">
        <v>504</v>
      </c>
    </row>
    <row r="247" spans="1:16" s="1" customFormat="1" x14ac:dyDescent="0.35">
      <c r="A247" s="5" t="str">
        <f t="shared" si="6"/>
        <v>2023 H1 All Items D90</v>
      </c>
      <c r="B247" s="8">
        <f>'ALL 2024 H2 D80'!$B$2</f>
        <v>46114</v>
      </c>
      <c r="C247" s="8">
        <f>'ALL 2024 H2 D80'!$C$2</f>
        <v>46120</v>
      </c>
      <c r="D247" s="5">
        <v>3208</v>
      </c>
      <c r="E247" s="5">
        <v>320</v>
      </c>
      <c r="F247" s="5">
        <v>1</v>
      </c>
      <c r="G247" s="15">
        <v>2</v>
      </c>
      <c r="H247" s="15">
        <v>80954</v>
      </c>
      <c r="I247" s="5" t="s">
        <v>16</v>
      </c>
      <c r="J247" s="16">
        <v>81289745</v>
      </c>
      <c r="K247" s="16" t="s">
        <v>2788</v>
      </c>
      <c r="L247" s="34" t="s">
        <v>2790</v>
      </c>
      <c r="M247" s="38">
        <v>89900</v>
      </c>
      <c r="N247" s="7">
        <v>0.9</v>
      </c>
      <c r="O247" s="6">
        <f t="shared" si="7"/>
        <v>8990</v>
      </c>
      <c r="P247" s="5" t="s">
        <v>504</v>
      </c>
    </row>
    <row r="248" spans="1:16" s="1" customFormat="1" x14ac:dyDescent="0.35">
      <c r="A248" s="5" t="str">
        <f t="shared" si="6"/>
        <v>2023 H1 All Items D90</v>
      </c>
      <c r="B248" s="8">
        <f>'ALL 2024 H2 D80'!$B$2</f>
        <v>46114</v>
      </c>
      <c r="C248" s="8">
        <f>'ALL 2024 H2 D80'!$C$2</f>
        <v>46120</v>
      </c>
      <c r="D248" s="5">
        <v>3208</v>
      </c>
      <c r="E248" s="5">
        <v>320</v>
      </c>
      <c r="F248" s="5">
        <v>1</v>
      </c>
      <c r="G248" s="15">
        <v>2</v>
      </c>
      <c r="H248" s="15">
        <v>80954</v>
      </c>
      <c r="I248" s="5" t="s">
        <v>16</v>
      </c>
      <c r="J248" s="16">
        <v>81289950</v>
      </c>
      <c r="K248" s="16" t="s">
        <v>150</v>
      </c>
      <c r="L248" s="34" t="s">
        <v>3642</v>
      </c>
      <c r="M248" s="38">
        <v>89900</v>
      </c>
      <c r="N248" s="7">
        <v>0.9</v>
      </c>
      <c r="O248" s="6">
        <f t="shared" si="7"/>
        <v>8990</v>
      </c>
      <c r="P248" s="5" t="s">
        <v>504</v>
      </c>
    </row>
    <row r="249" spans="1:16" s="1" customFormat="1" x14ac:dyDescent="0.35">
      <c r="A249" s="5" t="str">
        <f t="shared" si="6"/>
        <v>2023 H1 All Items D90</v>
      </c>
      <c r="B249" s="8">
        <f>'ALL 2024 H2 D80'!$B$2</f>
        <v>46114</v>
      </c>
      <c r="C249" s="8">
        <f>'ALL 2024 H2 D80'!$C$2</f>
        <v>46120</v>
      </c>
      <c r="D249" s="5">
        <v>3208</v>
      </c>
      <c r="E249" s="5">
        <v>320</v>
      </c>
      <c r="F249" s="5">
        <v>1</v>
      </c>
      <c r="G249" s="15">
        <v>2</v>
      </c>
      <c r="H249" s="15">
        <v>80954</v>
      </c>
      <c r="I249" s="5" t="s">
        <v>16</v>
      </c>
      <c r="J249" s="16">
        <v>81289987</v>
      </c>
      <c r="K249" s="16" t="s">
        <v>150</v>
      </c>
      <c r="L249" s="34" t="s">
        <v>2791</v>
      </c>
      <c r="M249" s="38">
        <v>89900</v>
      </c>
      <c r="N249" s="7">
        <v>0.9</v>
      </c>
      <c r="O249" s="6">
        <f t="shared" si="7"/>
        <v>8990</v>
      </c>
      <c r="P249" s="5" t="s">
        <v>504</v>
      </c>
    </row>
    <row r="250" spans="1:16" s="1" customFormat="1" x14ac:dyDescent="0.35">
      <c r="A250" s="5" t="str">
        <f t="shared" si="6"/>
        <v>2023 H1 All Items D90</v>
      </c>
      <c r="B250" s="8">
        <f>'ALL 2024 H2 D80'!$B$2</f>
        <v>46114</v>
      </c>
      <c r="C250" s="8">
        <f>'ALL 2024 H2 D80'!$C$2</f>
        <v>46120</v>
      </c>
      <c r="D250" s="5">
        <v>3208</v>
      </c>
      <c r="E250" s="5">
        <v>320</v>
      </c>
      <c r="F250" s="5">
        <v>1</v>
      </c>
      <c r="G250" s="15">
        <v>2</v>
      </c>
      <c r="H250" s="15">
        <v>80954</v>
      </c>
      <c r="I250" s="5" t="s">
        <v>16</v>
      </c>
      <c r="J250" s="16">
        <v>81289996</v>
      </c>
      <c r="K250" s="16" t="s">
        <v>150</v>
      </c>
      <c r="L250" s="34" t="s">
        <v>2792</v>
      </c>
      <c r="M250" s="38">
        <v>89900</v>
      </c>
      <c r="N250" s="7">
        <v>0.9</v>
      </c>
      <c r="O250" s="6">
        <f t="shared" si="7"/>
        <v>8990</v>
      </c>
      <c r="P250" s="5" t="s">
        <v>504</v>
      </c>
    </row>
    <row r="251" spans="1:16" s="1" customFormat="1" x14ac:dyDescent="0.35">
      <c r="A251" s="5" t="str">
        <f t="shared" si="6"/>
        <v>2023 H1 All Items D90</v>
      </c>
      <c r="B251" s="8">
        <f>'ALL 2024 H2 D80'!$B$2</f>
        <v>46114</v>
      </c>
      <c r="C251" s="8">
        <f>'ALL 2024 H2 D80'!$C$2</f>
        <v>46120</v>
      </c>
      <c r="D251" s="5">
        <v>3208</v>
      </c>
      <c r="E251" s="5">
        <v>320</v>
      </c>
      <c r="F251" s="5">
        <v>1</v>
      </c>
      <c r="G251" s="15">
        <v>2</v>
      </c>
      <c r="H251" s="15">
        <v>80954</v>
      </c>
      <c r="I251" s="5" t="s">
        <v>16</v>
      </c>
      <c r="J251" s="16">
        <v>81290000</v>
      </c>
      <c r="K251" s="16" t="s">
        <v>150</v>
      </c>
      <c r="L251" s="34" t="s">
        <v>2793</v>
      </c>
      <c r="M251" s="38">
        <v>89900</v>
      </c>
      <c r="N251" s="7">
        <v>0.9</v>
      </c>
      <c r="O251" s="6">
        <f t="shared" si="7"/>
        <v>8990</v>
      </c>
      <c r="P251" s="5" t="s">
        <v>504</v>
      </c>
    </row>
    <row r="252" spans="1:16" s="1" customFormat="1" x14ac:dyDescent="0.35">
      <c r="A252" s="5" t="str">
        <f t="shared" si="6"/>
        <v>2023 H1 All Items D90</v>
      </c>
      <c r="B252" s="8">
        <f>'ALL 2024 H2 D80'!$B$2</f>
        <v>46114</v>
      </c>
      <c r="C252" s="8">
        <f>'ALL 2024 H2 D80'!$C$2</f>
        <v>46120</v>
      </c>
      <c r="D252" s="5">
        <v>3208</v>
      </c>
      <c r="E252" s="5">
        <v>320</v>
      </c>
      <c r="F252" s="5">
        <v>1</v>
      </c>
      <c r="G252" s="15">
        <v>2</v>
      </c>
      <c r="H252" s="15">
        <v>80954</v>
      </c>
      <c r="I252" s="5" t="s">
        <v>16</v>
      </c>
      <c r="J252" s="16">
        <v>81290019</v>
      </c>
      <c r="K252" s="16" t="s">
        <v>150</v>
      </c>
      <c r="L252" s="34" t="s">
        <v>2794</v>
      </c>
      <c r="M252" s="38">
        <v>89900</v>
      </c>
      <c r="N252" s="7">
        <v>0.9</v>
      </c>
      <c r="O252" s="6">
        <f t="shared" ref="O252:O310" si="8">M252-(M252*N252)</f>
        <v>8990</v>
      </c>
      <c r="P252" s="5" t="s">
        <v>504</v>
      </c>
    </row>
    <row r="253" spans="1:16" s="1" customFormat="1" x14ac:dyDescent="0.35">
      <c r="A253" s="5" t="str">
        <f t="shared" si="6"/>
        <v>2023 H1 All Items D90</v>
      </c>
      <c r="B253" s="8">
        <f>'ALL 2024 H2 D80'!$B$2</f>
        <v>46114</v>
      </c>
      <c r="C253" s="8">
        <f>'ALL 2024 H2 D80'!$C$2</f>
        <v>46120</v>
      </c>
      <c r="D253" s="5">
        <v>3208</v>
      </c>
      <c r="E253" s="5">
        <v>320</v>
      </c>
      <c r="F253" s="5">
        <v>1</v>
      </c>
      <c r="G253" s="15">
        <v>2</v>
      </c>
      <c r="H253" s="15">
        <v>80954</v>
      </c>
      <c r="I253" s="5" t="s">
        <v>16</v>
      </c>
      <c r="J253" s="16">
        <v>81290028</v>
      </c>
      <c r="K253" s="16" t="s">
        <v>150</v>
      </c>
      <c r="L253" s="34" t="s">
        <v>2795</v>
      </c>
      <c r="M253" s="38">
        <v>89900</v>
      </c>
      <c r="N253" s="7">
        <v>0.9</v>
      </c>
      <c r="O253" s="6">
        <f t="shared" si="8"/>
        <v>8990</v>
      </c>
      <c r="P253" s="5" t="s">
        <v>504</v>
      </c>
    </row>
    <row r="254" spans="1:16" s="1" customFormat="1" x14ac:dyDescent="0.35">
      <c r="A254" s="5" t="str">
        <f t="shared" si="6"/>
        <v>2023 H1 All Items D90</v>
      </c>
      <c r="B254" s="8">
        <f>'ALL 2024 H2 D80'!$B$2</f>
        <v>46114</v>
      </c>
      <c r="C254" s="8">
        <f>'ALL 2024 H2 D80'!$C$2</f>
        <v>46120</v>
      </c>
      <c r="D254" s="5">
        <v>3208</v>
      </c>
      <c r="E254" s="5">
        <v>320</v>
      </c>
      <c r="F254" s="5">
        <v>1</v>
      </c>
      <c r="G254" s="15">
        <v>2</v>
      </c>
      <c r="H254" s="15">
        <v>80954</v>
      </c>
      <c r="I254" s="5" t="s">
        <v>16</v>
      </c>
      <c r="J254" s="16">
        <v>81410791</v>
      </c>
      <c r="K254" s="16" t="s">
        <v>151</v>
      </c>
      <c r="L254" s="34" t="s">
        <v>152</v>
      </c>
      <c r="M254" s="38">
        <v>139900</v>
      </c>
      <c r="N254" s="7">
        <v>0.9</v>
      </c>
      <c r="O254" s="6">
        <f t="shared" si="8"/>
        <v>13990</v>
      </c>
      <c r="P254" s="5" t="s">
        <v>504</v>
      </c>
    </row>
    <row r="255" spans="1:16" s="1" customFormat="1" x14ac:dyDescent="0.35">
      <c r="A255" s="5" t="str">
        <f t="shared" si="6"/>
        <v>2023 H1 All Items D90</v>
      </c>
      <c r="B255" s="8">
        <f>'ALL 2024 H2 D80'!$B$2</f>
        <v>46114</v>
      </c>
      <c r="C255" s="8">
        <f>'ALL 2024 H2 D80'!$C$2</f>
        <v>46120</v>
      </c>
      <c r="D255" s="5">
        <v>3208</v>
      </c>
      <c r="E255" s="5">
        <v>320</v>
      </c>
      <c r="F255" s="5">
        <v>1</v>
      </c>
      <c r="G255" s="15">
        <v>2</v>
      </c>
      <c r="H255" s="15">
        <v>80954</v>
      </c>
      <c r="I255" s="5" t="s">
        <v>16</v>
      </c>
      <c r="J255" s="16">
        <v>81410808</v>
      </c>
      <c r="K255" s="16" t="s">
        <v>151</v>
      </c>
      <c r="L255" s="34" t="s">
        <v>153</v>
      </c>
      <c r="M255" s="38">
        <v>139900</v>
      </c>
      <c r="N255" s="7">
        <v>0.9</v>
      </c>
      <c r="O255" s="6">
        <f t="shared" si="8"/>
        <v>13990</v>
      </c>
      <c r="P255" s="5" t="s">
        <v>504</v>
      </c>
    </row>
    <row r="256" spans="1:16" s="1" customFormat="1" x14ac:dyDescent="0.35">
      <c r="A256" s="5" t="str">
        <f t="shared" si="6"/>
        <v>2023 H1 All Items D90</v>
      </c>
      <c r="B256" s="8">
        <f>'ALL 2024 H2 D80'!$B$2</f>
        <v>46114</v>
      </c>
      <c r="C256" s="8">
        <f>'ALL 2024 H2 D80'!$C$2</f>
        <v>46120</v>
      </c>
      <c r="D256" s="5">
        <v>3208</v>
      </c>
      <c r="E256" s="5">
        <v>320</v>
      </c>
      <c r="F256" s="5">
        <v>1</v>
      </c>
      <c r="G256" s="15">
        <v>2</v>
      </c>
      <c r="H256" s="15">
        <v>80954</v>
      </c>
      <c r="I256" s="5" t="s">
        <v>16</v>
      </c>
      <c r="J256" s="16">
        <v>81410817</v>
      </c>
      <c r="K256" s="16" t="s">
        <v>151</v>
      </c>
      <c r="L256" s="34" t="s">
        <v>154</v>
      </c>
      <c r="M256" s="38">
        <v>139900</v>
      </c>
      <c r="N256" s="7">
        <v>0.9</v>
      </c>
      <c r="O256" s="6">
        <f t="shared" si="8"/>
        <v>13990</v>
      </c>
      <c r="P256" s="5" t="s">
        <v>504</v>
      </c>
    </row>
    <row r="257" spans="1:16" s="1" customFormat="1" x14ac:dyDescent="0.35">
      <c r="A257" s="5" t="str">
        <f t="shared" si="6"/>
        <v>2023 H1 All Items D90</v>
      </c>
      <c r="B257" s="8">
        <f>'ALL 2024 H2 D80'!$B$2</f>
        <v>46114</v>
      </c>
      <c r="C257" s="8">
        <f>'ALL 2024 H2 D80'!$C$2</f>
        <v>46120</v>
      </c>
      <c r="D257" s="5">
        <v>3208</v>
      </c>
      <c r="E257" s="5">
        <v>320</v>
      </c>
      <c r="F257" s="5">
        <v>1</v>
      </c>
      <c r="G257" s="15">
        <v>2</v>
      </c>
      <c r="H257" s="15">
        <v>80954</v>
      </c>
      <c r="I257" s="5" t="s">
        <v>16</v>
      </c>
      <c r="J257" s="16">
        <v>81410826</v>
      </c>
      <c r="K257" s="16" t="s">
        <v>151</v>
      </c>
      <c r="L257" s="34" t="s">
        <v>155</v>
      </c>
      <c r="M257" s="38">
        <v>139900</v>
      </c>
      <c r="N257" s="7">
        <v>0.9</v>
      </c>
      <c r="O257" s="6">
        <f t="shared" si="8"/>
        <v>13990</v>
      </c>
      <c r="P257" s="5" t="s">
        <v>504</v>
      </c>
    </row>
    <row r="258" spans="1:16" s="1" customFormat="1" x14ac:dyDescent="0.35">
      <c r="A258" s="5" t="str">
        <f t="shared" si="6"/>
        <v>2023 H1 All Items D90</v>
      </c>
      <c r="B258" s="8">
        <f>'ALL 2024 H2 D80'!$B$2</f>
        <v>46114</v>
      </c>
      <c r="C258" s="8">
        <f>'ALL 2024 H2 D80'!$C$2</f>
        <v>46120</v>
      </c>
      <c r="D258" s="5">
        <v>3208</v>
      </c>
      <c r="E258" s="5">
        <v>320</v>
      </c>
      <c r="F258" s="5">
        <v>1</v>
      </c>
      <c r="G258" s="15">
        <v>2</v>
      </c>
      <c r="H258" s="15">
        <v>80954</v>
      </c>
      <c r="I258" s="5" t="s">
        <v>16</v>
      </c>
      <c r="J258" s="16">
        <v>81410835</v>
      </c>
      <c r="K258" s="16" t="s">
        <v>2796</v>
      </c>
      <c r="L258" s="34" t="s">
        <v>2797</v>
      </c>
      <c r="M258" s="38">
        <v>89900</v>
      </c>
      <c r="N258" s="7">
        <v>0.9</v>
      </c>
      <c r="O258" s="6">
        <f t="shared" si="8"/>
        <v>8990</v>
      </c>
      <c r="P258" s="5" t="s">
        <v>504</v>
      </c>
    </row>
    <row r="259" spans="1:16" s="1" customFormat="1" x14ac:dyDescent="0.35">
      <c r="A259" s="5" t="str">
        <f t="shared" si="6"/>
        <v>2023 H1 All Items D90</v>
      </c>
      <c r="B259" s="8">
        <f>'ALL 2024 H2 D80'!$B$2</f>
        <v>46114</v>
      </c>
      <c r="C259" s="8">
        <f>'ALL 2024 H2 D80'!$C$2</f>
        <v>46120</v>
      </c>
      <c r="D259" s="5">
        <v>3208</v>
      </c>
      <c r="E259" s="5">
        <v>320</v>
      </c>
      <c r="F259" s="5">
        <v>1</v>
      </c>
      <c r="G259" s="15">
        <v>2</v>
      </c>
      <c r="H259" s="15">
        <v>80954</v>
      </c>
      <c r="I259" s="5" t="s">
        <v>16</v>
      </c>
      <c r="J259" s="16">
        <v>81410844</v>
      </c>
      <c r="K259" s="16" t="s">
        <v>2796</v>
      </c>
      <c r="L259" s="34" t="s">
        <v>2798</v>
      </c>
      <c r="M259" s="38">
        <v>89900</v>
      </c>
      <c r="N259" s="7">
        <v>0.9</v>
      </c>
      <c r="O259" s="6">
        <f t="shared" si="8"/>
        <v>8990</v>
      </c>
      <c r="P259" s="5" t="s">
        <v>504</v>
      </c>
    </row>
    <row r="260" spans="1:16" s="1" customFormat="1" x14ac:dyDescent="0.35">
      <c r="A260" s="5" t="str">
        <f t="shared" ref="A260:A323" si="9">$A$2</f>
        <v>2023 H1 All Items D90</v>
      </c>
      <c r="B260" s="8">
        <f>'ALL 2024 H2 D80'!$B$2</f>
        <v>46114</v>
      </c>
      <c r="C260" s="8">
        <f>'ALL 2024 H2 D80'!$C$2</f>
        <v>46120</v>
      </c>
      <c r="D260" s="5">
        <v>3208</v>
      </c>
      <c r="E260" s="5">
        <v>320</v>
      </c>
      <c r="F260" s="5">
        <v>1</v>
      </c>
      <c r="G260" s="15">
        <v>2</v>
      </c>
      <c r="H260" s="15">
        <v>80954</v>
      </c>
      <c r="I260" s="5" t="s">
        <v>16</v>
      </c>
      <c r="J260" s="16">
        <v>81410853</v>
      </c>
      <c r="K260" s="16" t="s">
        <v>2796</v>
      </c>
      <c r="L260" s="34" t="s">
        <v>2799</v>
      </c>
      <c r="M260" s="38">
        <v>89900</v>
      </c>
      <c r="N260" s="7">
        <v>0.9</v>
      </c>
      <c r="O260" s="6">
        <f t="shared" si="8"/>
        <v>8990</v>
      </c>
      <c r="P260" s="5" t="s">
        <v>504</v>
      </c>
    </row>
    <row r="261" spans="1:16" s="1" customFormat="1" x14ac:dyDescent="0.35">
      <c r="A261" s="5" t="str">
        <f t="shared" si="9"/>
        <v>2023 H1 All Items D90</v>
      </c>
      <c r="B261" s="8">
        <f>'ALL 2024 H2 D80'!$B$2</f>
        <v>46114</v>
      </c>
      <c r="C261" s="8">
        <f>'ALL 2024 H2 D80'!$C$2</f>
        <v>46120</v>
      </c>
      <c r="D261" s="5">
        <v>3208</v>
      </c>
      <c r="E261" s="5">
        <v>320</v>
      </c>
      <c r="F261" s="5">
        <v>1</v>
      </c>
      <c r="G261" s="15">
        <v>2</v>
      </c>
      <c r="H261" s="15">
        <v>80954</v>
      </c>
      <c r="I261" s="5" t="s">
        <v>16</v>
      </c>
      <c r="J261" s="16">
        <v>81410862</v>
      </c>
      <c r="K261" s="16" t="s">
        <v>2796</v>
      </c>
      <c r="L261" s="34" t="s">
        <v>2800</v>
      </c>
      <c r="M261" s="38">
        <v>89900</v>
      </c>
      <c r="N261" s="7">
        <v>0.9</v>
      </c>
      <c r="O261" s="6">
        <f t="shared" si="8"/>
        <v>8990</v>
      </c>
      <c r="P261" s="5" t="s">
        <v>504</v>
      </c>
    </row>
    <row r="262" spans="1:16" s="1" customFormat="1" x14ac:dyDescent="0.35">
      <c r="A262" s="5" t="str">
        <f t="shared" si="9"/>
        <v>2023 H1 All Items D90</v>
      </c>
      <c r="B262" s="8">
        <f>'ALL 2024 H2 D80'!$B$2</f>
        <v>46114</v>
      </c>
      <c r="C262" s="8">
        <f>'ALL 2024 H2 D80'!$C$2</f>
        <v>46120</v>
      </c>
      <c r="D262" s="5">
        <v>3208</v>
      </c>
      <c r="E262" s="5">
        <v>320</v>
      </c>
      <c r="F262" s="5">
        <v>1</v>
      </c>
      <c r="G262" s="15">
        <v>2</v>
      </c>
      <c r="H262" s="15">
        <v>80954</v>
      </c>
      <c r="I262" s="5" t="s">
        <v>16</v>
      </c>
      <c r="J262" s="16">
        <v>81410871</v>
      </c>
      <c r="K262" s="16" t="s">
        <v>2801</v>
      </c>
      <c r="L262" s="34" t="s">
        <v>2802</v>
      </c>
      <c r="M262" s="38">
        <v>89900</v>
      </c>
      <c r="N262" s="7">
        <v>0.9</v>
      </c>
      <c r="O262" s="6">
        <f t="shared" si="8"/>
        <v>8990</v>
      </c>
      <c r="P262" s="5" t="s">
        <v>504</v>
      </c>
    </row>
    <row r="263" spans="1:16" s="1" customFormat="1" x14ac:dyDescent="0.35">
      <c r="A263" s="5" t="str">
        <f t="shared" si="9"/>
        <v>2023 H1 All Items D90</v>
      </c>
      <c r="B263" s="8">
        <f>'ALL 2024 H2 D80'!$B$2</f>
        <v>46114</v>
      </c>
      <c r="C263" s="8">
        <f>'ALL 2024 H2 D80'!$C$2</f>
        <v>46120</v>
      </c>
      <c r="D263" s="5">
        <v>3208</v>
      </c>
      <c r="E263" s="5">
        <v>320</v>
      </c>
      <c r="F263" s="5">
        <v>1</v>
      </c>
      <c r="G263" s="15">
        <v>2</v>
      </c>
      <c r="H263" s="15">
        <v>80954</v>
      </c>
      <c r="I263" s="5" t="s">
        <v>16</v>
      </c>
      <c r="J263" s="16">
        <v>81410880</v>
      </c>
      <c r="K263" s="16" t="s">
        <v>2801</v>
      </c>
      <c r="L263" s="34" t="s">
        <v>2803</v>
      </c>
      <c r="M263" s="38">
        <v>89900</v>
      </c>
      <c r="N263" s="7">
        <v>0.9</v>
      </c>
      <c r="O263" s="6">
        <f t="shared" si="8"/>
        <v>8990</v>
      </c>
      <c r="P263" s="5" t="s">
        <v>504</v>
      </c>
    </row>
    <row r="264" spans="1:16" s="1" customFormat="1" x14ac:dyDescent="0.35">
      <c r="A264" s="5" t="str">
        <f t="shared" si="9"/>
        <v>2023 H1 All Items D90</v>
      </c>
      <c r="B264" s="8">
        <f>'ALL 2024 H2 D80'!$B$2</f>
        <v>46114</v>
      </c>
      <c r="C264" s="8">
        <f>'ALL 2024 H2 D80'!$C$2</f>
        <v>46120</v>
      </c>
      <c r="D264" s="5">
        <v>3208</v>
      </c>
      <c r="E264" s="5">
        <v>320</v>
      </c>
      <c r="F264" s="5">
        <v>1</v>
      </c>
      <c r="G264" s="15">
        <v>2</v>
      </c>
      <c r="H264" s="15">
        <v>80954</v>
      </c>
      <c r="I264" s="5" t="s">
        <v>16</v>
      </c>
      <c r="J264" s="16">
        <v>81410899</v>
      </c>
      <c r="K264" s="16" t="s">
        <v>2801</v>
      </c>
      <c r="L264" s="34" t="s">
        <v>2804</v>
      </c>
      <c r="M264" s="38">
        <v>89900</v>
      </c>
      <c r="N264" s="7">
        <v>0.9</v>
      </c>
      <c r="O264" s="6">
        <f t="shared" si="8"/>
        <v>8990</v>
      </c>
      <c r="P264" s="5" t="s">
        <v>504</v>
      </c>
    </row>
    <row r="265" spans="1:16" s="1" customFormat="1" x14ac:dyDescent="0.35">
      <c r="A265" s="5" t="str">
        <f t="shared" si="9"/>
        <v>2023 H1 All Items D90</v>
      </c>
      <c r="B265" s="8">
        <f>'ALL 2024 H2 D80'!$B$2</f>
        <v>46114</v>
      </c>
      <c r="C265" s="8">
        <f>'ALL 2024 H2 D80'!$C$2</f>
        <v>46120</v>
      </c>
      <c r="D265" s="5">
        <v>3208</v>
      </c>
      <c r="E265" s="5">
        <v>320</v>
      </c>
      <c r="F265" s="5">
        <v>1</v>
      </c>
      <c r="G265" s="15">
        <v>2</v>
      </c>
      <c r="H265" s="15">
        <v>80954</v>
      </c>
      <c r="I265" s="5" t="s">
        <v>16</v>
      </c>
      <c r="J265" s="16">
        <v>81410906</v>
      </c>
      <c r="K265" s="16" t="s">
        <v>2801</v>
      </c>
      <c r="L265" s="34" t="s">
        <v>2805</v>
      </c>
      <c r="M265" s="38">
        <v>89900</v>
      </c>
      <c r="N265" s="7">
        <v>0.9</v>
      </c>
      <c r="O265" s="6">
        <f t="shared" si="8"/>
        <v>8990</v>
      </c>
      <c r="P265" s="5" t="s">
        <v>504</v>
      </c>
    </row>
    <row r="266" spans="1:16" s="1" customFormat="1" x14ac:dyDescent="0.35">
      <c r="A266" s="5" t="str">
        <f t="shared" si="9"/>
        <v>2023 H1 All Items D90</v>
      </c>
      <c r="B266" s="8">
        <f>'ALL 2024 H2 D80'!$B$2</f>
        <v>46114</v>
      </c>
      <c r="C266" s="8">
        <f>'ALL 2024 H2 D80'!$C$2</f>
        <v>46120</v>
      </c>
      <c r="D266" s="5">
        <v>3208</v>
      </c>
      <c r="E266" s="5">
        <v>320</v>
      </c>
      <c r="F266" s="5">
        <v>1</v>
      </c>
      <c r="G266" s="15">
        <v>2</v>
      </c>
      <c r="H266" s="15">
        <v>80954</v>
      </c>
      <c r="I266" s="5" t="s">
        <v>16</v>
      </c>
      <c r="J266" s="16">
        <v>81410924</v>
      </c>
      <c r="K266" s="16" t="s">
        <v>2806</v>
      </c>
      <c r="L266" s="34" t="s">
        <v>2807</v>
      </c>
      <c r="M266" s="38">
        <v>89900</v>
      </c>
      <c r="N266" s="7">
        <v>0.9</v>
      </c>
      <c r="O266" s="6">
        <f t="shared" si="8"/>
        <v>8990</v>
      </c>
      <c r="P266" s="5" t="s">
        <v>504</v>
      </c>
    </row>
    <row r="267" spans="1:16" s="1" customFormat="1" x14ac:dyDescent="0.35">
      <c r="A267" s="5" t="str">
        <f t="shared" si="9"/>
        <v>2023 H1 All Items D90</v>
      </c>
      <c r="B267" s="8">
        <f>'ALL 2024 H2 D80'!$B$2</f>
        <v>46114</v>
      </c>
      <c r="C267" s="8">
        <f>'ALL 2024 H2 D80'!$C$2</f>
        <v>46120</v>
      </c>
      <c r="D267" s="5">
        <v>3208</v>
      </c>
      <c r="E267" s="5">
        <v>320</v>
      </c>
      <c r="F267" s="5">
        <v>1</v>
      </c>
      <c r="G267" s="15">
        <v>2</v>
      </c>
      <c r="H267" s="15">
        <v>80954</v>
      </c>
      <c r="I267" s="5" t="s">
        <v>16</v>
      </c>
      <c r="J267" s="16">
        <v>81410933</v>
      </c>
      <c r="K267" s="16" t="s">
        <v>2806</v>
      </c>
      <c r="L267" s="34" t="s">
        <v>2808</v>
      </c>
      <c r="M267" s="38">
        <v>89900</v>
      </c>
      <c r="N267" s="7">
        <v>0.9</v>
      </c>
      <c r="O267" s="6">
        <f t="shared" si="8"/>
        <v>8990</v>
      </c>
      <c r="P267" s="5" t="s">
        <v>504</v>
      </c>
    </row>
    <row r="268" spans="1:16" s="1" customFormat="1" x14ac:dyDescent="0.35">
      <c r="A268" s="5" t="str">
        <f t="shared" si="9"/>
        <v>2023 H1 All Items D90</v>
      </c>
      <c r="B268" s="8">
        <f>'ALL 2024 H2 D80'!$B$2</f>
        <v>46114</v>
      </c>
      <c r="C268" s="8">
        <f>'ALL 2024 H2 D80'!$C$2</f>
        <v>46120</v>
      </c>
      <c r="D268" s="5">
        <v>3208</v>
      </c>
      <c r="E268" s="5">
        <v>320</v>
      </c>
      <c r="F268" s="5">
        <v>1</v>
      </c>
      <c r="G268" s="15">
        <v>2</v>
      </c>
      <c r="H268" s="15">
        <v>80954</v>
      </c>
      <c r="I268" s="5" t="s">
        <v>16</v>
      </c>
      <c r="J268" s="16">
        <v>81410942</v>
      </c>
      <c r="K268" s="16" t="s">
        <v>2806</v>
      </c>
      <c r="L268" s="34" t="s">
        <v>2809</v>
      </c>
      <c r="M268" s="38">
        <v>89900</v>
      </c>
      <c r="N268" s="7">
        <v>0.9</v>
      </c>
      <c r="O268" s="6">
        <f t="shared" si="8"/>
        <v>8990</v>
      </c>
      <c r="P268" s="5" t="s">
        <v>504</v>
      </c>
    </row>
    <row r="269" spans="1:16" s="1" customFormat="1" x14ac:dyDescent="0.35">
      <c r="A269" s="5" t="str">
        <f t="shared" si="9"/>
        <v>2023 H1 All Items D90</v>
      </c>
      <c r="B269" s="8">
        <f>'ALL 2024 H2 D80'!$B$2</f>
        <v>46114</v>
      </c>
      <c r="C269" s="8">
        <f>'ALL 2024 H2 D80'!$C$2</f>
        <v>46120</v>
      </c>
      <c r="D269" s="5">
        <v>3208</v>
      </c>
      <c r="E269" s="5">
        <v>320</v>
      </c>
      <c r="F269" s="5">
        <v>1</v>
      </c>
      <c r="G269" s="15">
        <v>2</v>
      </c>
      <c r="H269" s="15">
        <v>80954</v>
      </c>
      <c r="I269" s="5" t="s">
        <v>16</v>
      </c>
      <c r="J269" s="16">
        <v>81410951</v>
      </c>
      <c r="K269" s="16" t="s">
        <v>2810</v>
      </c>
      <c r="L269" s="34" t="s">
        <v>2811</v>
      </c>
      <c r="M269" s="38">
        <v>89900</v>
      </c>
      <c r="N269" s="7">
        <v>0.9</v>
      </c>
      <c r="O269" s="6">
        <f t="shared" si="8"/>
        <v>8990</v>
      </c>
      <c r="P269" s="5" t="s">
        <v>504</v>
      </c>
    </row>
    <row r="270" spans="1:16" s="1" customFormat="1" x14ac:dyDescent="0.35">
      <c r="A270" s="5" t="str">
        <f t="shared" si="9"/>
        <v>2023 H1 All Items D90</v>
      </c>
      <c r="B270" s="8">
        <f>'ALL 2024 H2 D80'!$B$2</f>
        <v>46114</v>
      </c>
      <c r="C270" s="8">
        <f>'ALL 2024 H2 D80'!$C$2</f>
        <v>46120</v>
      </c>
      <c r="D270" s="5">
        <v>3208</v>
      </c>
      <c r="E270" s="5">
        <v>320</v>
      </c>
      <c r="F270" s="5">
        <v>1</v>
      </c>
      <c r="G270" s="15">
        <v>2</v>
      </c>
      <c r="H270" s="15">
        <v>80954</v>
      </c>
      <c r="I270" s="5" t="s">
        <v>16</v>
      </c>
      <c r="J270" s="16">
        <v>81410960</v>
      </c>
      <c r="K270" s="16" t="s">
        <v>2810</v>
      </c>
      <c r="L270" s="34" t="s">
        <v>2812</v>
      </c>
      <c r="M270" s="38">
        <v>89900</v>
      </c>
      <c r="N270" s="7">
        <v>0.9</v>
      </c>
      <c r="O270" s="6">
        <f t="shared" si="8"/>
        <v>8990</v>
      </c>
      <c r="P270" s="5" t="s">
        <v>504</v>
      </c>
    </row>
    <row r="271" spans="1:16" s="1" customFormat="1" x14ac:dyDescent="0.35">
      <c r="A271" s="5" t="str">
        <f t="shared" si="9"/>
        <v>2023 H1 All Items D90</v>
      </c>
      <c r="B271" s="8">
        <f>'ALL 2024 H2 D80'!$B$2</f>
        <v>46114</v>
      </c>
      <c r="C271" s="8">
        <f>'ALL 2024 H2 D80'!$C$2</f>
        <v>46120</v>
      </c>
      <c r="D271" s="5">
        <v>3208</v>
      </c>
      <c r="E271" s="5">
        <v>320</v>
      </c>
      <c r="F271" s="5">
        <v>1</v>
      </c>
      <c r="G271" s="15">
        <v>2</v>
      </c>
      <c r="H271" s="15">
        <v>80954</v>
      </c>
      <c r="I271" s="5" t="s">
        <v>16</v>
      </c>
      <c r="J271" s="16">
        <v>81410979</v>
      </c>
      <c r="K271" s="16" t="s">
        <v>2810</v>
      </c>
      <c r="L271" s="34" t="s">
        <v>2813</v>
      </c>
      <c r="M271" s="38">
        <v>89900</v>
      </c>
      <c r="N271" s="7">
        <v>0.9</v>
      </c>
      <c r="O271" s="6">
        <f t="shared" si="8"/>
        <v>8990</v>
      </c>
      <c r="P271" s="5" t="s">
        <v>504</v>
      </c>
    </row>
    <row r="272" spans="1:16" s="1" customFormat="1" x14ac:dyDescent="0.35">
      <c r="A272" s="5" t="str">
        <f t="shared" si="9"/>
        <v>2023 H1 All Items D90</v>
      </c>
      <c r="B272" s="8">
        <f>'ALL 2024 H2 D80'!$B$2</f>
        <v>46114</v>
      </c>
      <c r="C272" s="8">
        <f>'ALL 2024 H2 D80'!$C$2</f>
        <v>46120</v>
      </c>
      <c r="D272" s="5">
        <v>3208</v>
      </c>
      <c r="E272" s="5">
        <v>320</v>
      </c>
      <c r="F272" s="5">
        <v>1</v>
      </c>
      <c r="G272" s="15">
        <v>2</v>
      </c>
      <c r="H272" s="15">
        <v>80954</v>
      </c>
      <c r="I272" s="5" t="s">
        <v>16</v>
      </c>
      <c r="J272" s="16">
        <v>81410988</v>
      </c>
      <c r="K272" s="16" t="s">
        <v>2810</v>
      </c>
      <c r="L272" s="34" t="s">
        <v>2814</v>
      </c>
      <c r="M272" s="38">
        <v>89900</v>
      </c>
      <c r="N272" s="7">
        <v>0.9</v>
      </c>
      <c r="O272" s="6">
        <f t="shared" si="8"/>
        <v>8990</v>
      </c>
      <c r="P272" s="5" t="s">
        <v>504</v>
      </c>
    </row>
    <row r="273" spans="1:16" s="1" customFormat="1" x14ac:dyDescent="0.35">
      <c r="A273" s="5" t="str">
        <f t="shared" si="9"/>
        <v>2023 H1 All Items D90</v>
      </c>
      <c r="B273" s="8">
        <f>'ALL 2024 H2 D80'!$B$2</f>
        <v>46114</v>
      </c>
      <c r="C273" s="8">
        <f>'ALL 2024 H2 D80'!$C$2</f>
        <v>46120</v>
      </c>
      <c r="D273" s="5">
        <v>3208</v>
      </c>
      <c r="E273" s="5">
        <v>320</v>
      </c>
      <c r="F273" s="5">
        <v>1</v>
      </c>
      <c r="G273" s="15">
        <v>2</v>
      </c>
      <c r="H273" s="15">
        <v>80954</v>
      </c>
      <c r="I273" s="5" t="s">
        <v>16</v>
      </c>
      <c r="J273" s="16">
        <v>81411003</v>
      </c>
      <c r="K273" s="16" t="s">
        <v>2815</v>
      </c>
      <c r="L273" s="34" t="s">
        <v>2816</v>
      </c>
      <c r="M273" s="38">
        <v>89900</v>
      </c>
      <c r="N273" s="7">
        <v>0.9</v>
      </c>
      <c r="O273" s="6">
        <f t="shared" si="8"/>
        <v>8990</v>
      </c>
      <c r="P273" s="5" t="s">
        <v>504</v>
      </c>
    </row>
    <row r="274" spans="1:16" s="1" customFormat="1" x14ac:dyDescent="0.35">
      <c r="A274" s="5" t="str">
        <f t="shared" si="9"/>
        <v>2023 H1 All Items D90</v>
      </c>
      <c r="B274" s="8">
        <f>'ALL 2024 H2 D80'!$B$2</f>
        <v>46114</v>
      </c>
      <c r="C274" s="8">
        <f>'ALL 2024 H2 D80'!$C$2</f>
        <v>46120</v>
      </c>
      <c r="D274" s="5">
        <v>3208</v>
      </c>
      <c r="E274" s="5">
        <v>320</v>
      </c>
      <c r="F274" s="5">
        <v>1</v>
      </c>
      <c r="G274" s="15">
        <v>2</v>
      </c>
      <c r="H274" s="15">
        <v>80954</v>
      </c>
      <c r="I274" s="5" t="s">
        <v>16</v>
      </c>
      <c r="J274" s="16">
        <v>81411021</v>
      </c>
      <c r="K274" s="16" t="s">
        <v>2815</v>
      </c>
      <c r="L274" s="34" t="s">
        <v>2817</v>
      </c>
      <c r="M274" s="38">
        <v>89900</v>
      </c>
      <c r="N274" s="7">
        <v>0.9</v>
      </c>
      <c r="O274" s="6">
        <f t="shared" si="8"/>
        <v>8990</v>
      </c>
      <c r="P274" s="5" t="s">
        <v>504</v>
      </c>
    </row>
    <row r="275" spans="1:16" s="1" customFormat="1" x14ac:dyDescent="0.35">
      <c r="A275" s="5" t="str">
        <f t="shared" si="9"/>
        <v>2023 H1 All Items D90</v>
      </c>
      <c r="B275" s="8">
        <f>'ALL 2024 H2 D80'!$B$2</f>
        <v>46114</v>
      </c>
      <c r="C275" s="8">
        <f>'ALL 2024 H2 D80'!$C$2</f>
        <v>46120</v>
      </c>
      <c r="D275" s="5">
        <v>3208</v>
      </c>
      <c r="E275" s="5">
        <v>320</v>
      </c>
      <c r="F275" s="5">
        <v>1</v>
      </c>
      <c r="G275" s="15">
        <v>2</v>
      </c>
      <c r="H275" s="15">
        <v>80954</v>
      </c>
      <c r="I275" s="5" t="s">
        <v>16</v>
      </c>
      <c r="J275" s="16">
        <v>81802582</v>
      </c>
      <c r="K275" s="16" t="s">
        <v>2818</v>
      </c>
      <c r="L275" s="34" t="s">
        <v>2819</v>
      </c>
      <c r="M275" s="38">
        <v>89900</v>
      </c>
      <c r="N275" s="7">
        <v>0.9</v>
      </c>
      <c r="O275" s="6">
        <f t="shared" si="8"/>
        <v>8990</v>
      </c>
      <c r="P275" s="5" t="s">
        <v>504</v>
      </c>
    </row>
    <row r="276" spans="1:16" s="1" customFormat="1" x14ac:dyDescent="0.35">
      <c r="A276" s="5" t="str">
        <f t="shared" si="9"/>
        <v>2023 H1 All Items D90</v>
      </c>
      <c r="B276" s="8">
        <f>'ALL 2024 H2 D80'!$B$2</f>
        <v>46114</v>
      </c>
      <c r="C276" s="8">
        <f>'ALL 2024 H2 D80'!$C$2</f>
        <v>46120</v>
      </c>
      <c r="D276" s="5">
        <v>3208</v>
      </c>
      <c r="E276" s="5">
        <v>320</v>
      </c>
      <c r="F276" s="5">
        <v>1</v>
      </c>
      <c r="G276" s="15">
        <v>2</v>
      </c>
      <c r="H276" s="15">
        <v>80954</v>
      </c>
      <c r="I276" s="5" t="s">
        <v>16</v>
      </c>
      <c r="J276" s="16">
        <v>81802591</v>
      </c>
      <c r="K276" s="16" t="s">
        <v>2818</v>
      </c>
      <c r="L276" s="34" t="s">
        <v>2820</v>
      </c>
      <c r="M276" s="38">
        <v>89900</v>
      </c>
      <c r="N276" s="7">
        <v>0.9</v>
      </c>
      <c r="O276" s="6">
        <f t="shared" si="8"/>
        <v>8990</v>
      </c>
      <c r="P276" s="5" t="s">
        <v>504</v>
      </c>
    </row>
    <row r="277" spans="1:16" s="1" customFormat="1" x14ac:dyDescent="0.35">
      <c r="A277" s="5" t="str">
        <f t="shared" si="9"/>
        <v>2023 H1 All Items D90</v>
      </c>
      <c r="B277" s="8">
        <f>'ALL 2024 H2 D80'!$B$2</f>
        <v>46114</v>
      </c>
      <c r="C277" s="8">
        <f>'ALL 2024 H2 D80'!$C$2</f>
        <v>46120</v>
      </c>
      <c r="D277" s="5">
        <v>3208</v>
      </c>
      <c r="E277" s="5">
        <v>320</v>
      </c>
      <c r="F277" s="5">
        <v>1</v>
      </c>
      <c r="G277" s="15">
        <v>2</v>
      </c>
      <c r="H277" s="15">
        <v>80954</v>
      </c>
      <c r="I277" s="5" t="s">
        <v>16</v>
      </c>
      <c r="J277" s="16">
        <v>81802608</v>
      </c>
      <c r="K277" s="16" t="s">
        <v>2818</v>
      </c>
      <c r="L277" s="34" t="s">
        <v>2821</v>
      </c>
      <c r="M277" s="38">
        <v>89900</v>
      </c>
      <c r="N277" s="7">
        <v>0.9</v>
      </c>
      <c r="O277" s="6">
        <f t="shared" si="8"/>
        <v>8990</v>
      </c>
      <c r="P277" s="5" t="s">
        <v>504</v>
      </c>
    </row>
    <row r="278" spans="1:16" s="1" customFormat="1" x14ac:dyDescent="0.35">
      <c r="A278" s="5" t="str">
        <f t="shared" si="9"/>
        <v>2023 H1 All Items D90</v>
      </c>
      <c r="B278" s="8">
        <f>'ALL 2024 H2 D80'!$B$2</f>
        <v>46114</v>
      </c>
      <c r="C278" s="8">
        <f>'ALL 2024 H2 D80'!$C$2</f>
        <v>46120</v>
      </c>
      <c r="D278" s="5">
        <v>3208</v>
      </c>
      <c r="E278" s="5">
        <v>320</v>
      </c>
      <c r="F278" s="5">
        <v>1</v>
      </c>
      <c r="G278" s="15">
        <v>2</v>
      </c>
      <c r="H278" s="15">
        <v>80954</v>
      </c>
      <c r="I278" s="5" t="s">
        <v>16</v>
      </c>
      <c r="J278" s="16">
        <v>81802617</v>
      </c>
      <c r="K278" s="16" t="s">
        <v>2818</v>
      </c>
      <c r="L278" s="34" t="s">
        <v>2822</v>
      </c>
      <c r="M278" s="38">
        <v>89900</v>
      </c>
      <c r="N278" s="7">
        <v>0.9</v>
      </c>
      <c r="O278" s="6">
        <f t="shared" si="8"/>
        <v>8990</v>
      </c>
      <c r="P278" s="5" t="s">
        <v>504</v>
      </c>
    </row>
    <row r="279" spans="1:16" s="1" customFormat="1" x14ac:dyDescent="0.35">
      <c r="A279" s="5" t="str">
        <f t="shared" si="9"/>
        <v>2023 H1 All Items D90</v>
      </c>
      <c r="B279" s="8">
        <f>'ALL 2024 H2 D80'!$B$2</f>
        <v>46114</v>
      </c>
      <c r="C279" s="8">
        <f>'ALL 2024 H2 D80'!$C$2</f>
        <v>46120</v>
      </c>
      <c r="D279" s="5">
        <v>3208</v>
      </c>
      <c r="E279" s="5">
        <v>320</v>
      </c>
      <c r="F279" s="5">
        <v>1</v>
      </c>
      <c r="G279" s="15">
        <v>2</v>
      </c>
      <c r="H279" s="15">
        <v>80954</v>
      </c>
      <c r="I279" s="5" t="s">
        <v>16</v>
      </c>
      <c r="J279" s="16">
        <v>81802626</v>
      </c>
      <c r="K279" s="16" t="s">
        <v>2818</v>
      </c>
      <c r="L279" s="34" t="s">
        <v>2823</v>
      </c>
      <c r="M279" s="38">
        <v>89900</v>
      </c>
      <c r="N279" s="7">
        <v>0.9</v>
      </c>
      <c r="O279" s="6">
        <f t="shared" si="8"/>
        <v>8990</v>
      </c>
      <c r="P279" s="5" t="s">
        <v>504</v>
      </c>
    </row>
    <row r="280" spans="1:16" s="1" customFormat="1" x14ac:dyDescent="0.35">
      <c r="A280" s="5" t="str">
        <f t="shared" si="9"/>
        <v>2023 H1 All Items D90</v>
      </c>
      <c r="B280" s="8">
        <f>'ALL 2024 H2 D80'!$B$2</f>
        <v>46114</v>
      </c>
      <c r="C280" s="8">
        <f>'ALL 2024 H2 D80'!$C$2</f>
        <v>46120</v>
      </c>
      <c r="D280" s="5">
        <v>3208</v>
      </c>
      <c r="E280" s="5">
        <v>320</v>
      </c>
      <c r="F280" s="5">
        <v>1</v>
      </c>
      <c r="G280" s="15">
        <v>2</v>
      </c>
      <c r="H280" s="15">
        <v>80954</v>
      </c>
      <c r="I280" s="5" t="s">
        <v>16</v>
      </c>
      <c r="J280" s="16">
        <v>81802635</v>
      </c>
      <c r="K280" s="16" t="s">
        <v>2818</v>
      </c>
      <c r="L280" s="34" t="s">
        <v>2824</v>
      </c>
      <c r="M280" s="38">
        <v>89900</v>
      </c>
      <c r="N280" s="7">
        <v>0.9</v>
      </c>
      <c r="O280" s="6">
        <f t="shared" si="8"/>
        <v>8990</v>
      </c>
      <c r="P280" s="5" t="s">
        <v>504</v>
      </c>
    </row>
    <row r="281" spans="1:16" s="1" customFormat="1" x14ac:dyDescent="0.35">
      <c r="A281" s="5" t="str">
        <f t="shared" si="9"/>
        <v>2023 H1 All Items D90</v>
      </c>
      <c r="B281" s="8">
        <f>'ALL 2024 H2 D80'!$B$2</f>
        <v>46114</v>
      </c>
      <c r="C281" s="8">
        <f>'ALL 2024 H2 D80'!$C$2</f>
        <v>46120</v>
      </c>
      <c r="D281" s="5">
        <v>3208</v>
      </c>
      <c r="E281" s="5">
        <v>320</v>
      </c>
      <c r="F281" s="5">
        <v>1</v>
      </c>
      <c r="G281" s="15">
        <v>2</v>
      </c>
      <c r="H281" s="15">
        <v>80954</v>
      </c>
      <c r="I281" s="5" t="s">
        <v>16</v>
      </c>
      <c r="J281" s="16">
        <v>81802644</v>
      </c>
      <c r="K281" s="16" t="s">
        <v>2818</v>
      </c>
      <c r="L281" s="34" t="s">
        <v>2825</v>
      </c>
      <c r="M281" s="38">
        <v>89900</v>
      </c>
      <c r="N281" s="7">
        <v>0.9</v>
      </c>
      <c r="O281" s="6">
        <f t="shared" si="8"/>
        <v>8990</v>
      </c>
      <c r="P281" s="5" t="s">
        <v>504</v>
      </c>
    </row>
    <row r="282" spans="1:16" s="1" customFormat="1" x14ac:dyDescent="0.35">
      <c r="A282" s="5" t="str">
        <f t="shared" si="9"/>
        <v>2023 H1 All Items D90</v>
      </c>
      <c r="B282" s="8">
        <f>'ALL 2024 H2 D80'!$B$2</f>
        <v>46114</v>
      </c>
      <c r="C282" s="8">
        <f>'ALL 2024 H2 D80'!$C$2</f>
        <v>46120</v>
      </c>
      <c r="D282" s="5">
        <v>3208</v>
      </c>
      <c r="E282" s="5">
        <v>320</v>
      </c>
      <c r="F282" s="5">
        <v>1</v>
      </c>
      <c r="G282" s="15">
        <v>2</v>
      </c>
      <c r="H282" s="15">
        <v>80954</v>
      </c>
      <c r="I282" s="5" t="s">
        <v>16</v>
      </c>
      <c r="J282" s="16">
        <v>81802653</v>
      </c>
      <c r="K282" s="16" t="s">
        <v>2818</v>
      </c>
      <c r="L282" s="34" t="s">
        <v>2826</v>
      </c>
      <c r="M282" s="38">
        <v>89900</v>
      </c>
      <c r="N282" s="7">
        <v>0.9</v>
      </c>
      <c r="O282" s="6">
        <f t="shared" si="8"/>
        <v>8990</v>
      </c>
      <c r="P282" s="5" t="s">
        <v>504</v>
      </c>
    </row>
    <row r="283" spans="1:16" s="1" customFormat="1" x14ac:dyDescent="0.35">
      <c r="A283" s="5" t="str">
        <f t="shared" si="9"/>
        <v>2023 H1 All Items D90</v>
      </c>
      <c r="B283" s="8">
        <f>'ALL 2024 H2 D80'!$B$2</f>
        <v>46114</v>
      </c>
      <c r="C283" s="8">
        <f>'ALL 2024 H2 D80'!$C$2</f>
        <v>46120</v>
      </c>
      <c r="D283" s="5">
        <v>3208</v>
      </c>
      <c r="E283" s="5">
        <v>320</v>
      </c>
      <c r="F283" s="5">
        <v>1</v>
      </c>
      <c r="G283" s="15">
        <v>2</v>
      </c>
      <c r="H283" s="15">
        <v>80954</v>
      </c>
      <c r="I283" s="5" t="s">
        <v>16</v>
      </c>
      <c r="J283" s="16">
        <v>81802662</v>
      </c>
      <c r="K283" s="16" t="s">
        <v>2827</v>
      </c>
      <c r="L283" s="34" t="s">
        <v>2828</v>
      </c>
      <c r="M283" s="38">
        <v>89900</v>
      </c>
      <c r="N283" s="7">
        <v>0.9</v>
      </c>
      <c r="O283" s="6">
        <f t="shared" si="8"/>
        <v>8990</v>
      </c>
      <c r="P283" s="5" t="s">
        <v>504</v>
      </c>
    </row>
    <row r="284" spans="1:16" s="1" customFormat="1" x14ac:dyDescent="0.35">
      <c r="A284" s="5" t="str">
        <f t="shared" si="9"/>
        <v>2023 H1 All Items D90</v>
      </c>
      <c r="B284" s="8">
        <f>'ALL 2024 H2 D80'!$B$2</f>
        <v>46114</v>
      </c>
      <c r="C284" s="8">
        <f>'ALL 2024 H2 D80'!$C$2</f>
        <v>46120</v>
      </c>
      <c r="D284" s="5">
        <v>3208</v>
      </c>
      <c r="E284" s="5">
        <v>320</v>
      </c>
      <c r="F284" s="5">
        <v>1</v>
      </c>
      <c r="G284" s="15">
        <v>2</v>
      </c>
      <c r="H284" s="15">
        <v>80954</v>
      </c>
      <c r="I284" s="5" t="s">
        <v>16</v>
      </c>
      <c r="J284" s="16">
        <v>81802671</v>
      </c>
      <c r="K284" s="16" t="s">
        <v>2827</v>
      </c>
      <c r="L284" s="34" t="s">
        <v>2829</v>
      </c>
      <c r="M284" s="38">
        <v>89900</v>
      </c>
      <c r="N284" s="7">
        <v>0.9</v>
      </c>
      <c r="O284" s="6">
        <f t="shared" si="8"/>
        <v>8990</v>
      </c>
      <c r="P284" s="5" t="s">
        <v>504</v>
      </c>
    </row>
    <row r="285" spans="1:16" s="1" customFormat="1" x14ac:dyDescent="0.35">
      <c r="A285" s="5" t="str">
        <f t="shared" si="9"/>
        <v>2023 H1 All Items D90</v>
      </c>
      <c r="B285" s="8">
        <f>'ALL 2024 H2 D80'!$B$2</f>
        <v>46114</v>
      </c>
      <c r="C285" s="8">
        <f>'ALL 2024 H2 D80'!$C$2</f>
        <v>46120</v>
      </c>
      <c r="D285" s="5">
        <v>3208</v>
      </c>
      <c r="E285" s="5">
        <v>320</v>
      </c>
      <c r="F285" s="5">
        <v>1</v>
      </c>
      <c r="G285" s="15">
        <v>2</v>
      </c>
      <c r="H285" s="15">
        <v>80954</v>
      </c>
      <c r="I285" s="5" t="s">
        <v>16</v>
      </c>
      <c r="J285" s="16">
        <v>81802680</v>
      </c>
      <c r="K285" s="16" t="s">
        <v>2827</v>
      </c>
      <c r="L285" s="34" t="s">
        <v>2830</v>
      </c>
      <c r="M285" s="38">
        <v>89900</v>
      </c>
      <c r="N285" s="7">
        <v>0.9</v>
      </c>
      <c r="O285" s="6">
        <f t="shared" si="8"/>
        <v>8990</v>
      </c>
      <c r="P285" s="5" t="s">
        <v>504</v>
      </c>
    </row>
    <row r="286" spans="1:16" s="1" customFormat="1" x14ac:dyDescent="0.35">
      <c r="A286" s="5" t="str">
        <f t="shared" si="9"/>
        <v>2023 H1 All Items D90</v>
      </c>
      <c r="B286" s="8">
        <f>'ALL 2024 H2 D80'!$B$2</f>
        <v>46114</v>
      </c>
      <c r="C286" s="8">
        <f>'ALL 2024 H2 D80'!$C$2</f>
        <v>46120</v>
      </c>
      <c r="D286" s="5">
        <v>3208</v>
      </c>
      <c r="E286" s="5">
        <v>320</v>
      </c>
      <c r="F286" s="5">
        <v>1</v>
      </c>
      <c r="G286" s="15">
        <v>2</v>
      </c>
      <c r="H286" s="15">
        <v>80954</v>
      </c>
      <c r="I286" s="5" t="s">
        <v>16</v>
      </c>
      <c r="J286" s="16">
        <v>81802699</v>
      </c>
      <c r="K286" s="16" t="s">
        <v>2827</v>
      </c>
      <c r="L286" s="34" t="s">
        <v>2831</v>
      </c>
      <c r="M286" s="38">
        <v>89900</v>
      </c>
      <c r="N286" s="7">
        <v>0.9</v>
      </c>
      <c r="O286" s="6">
        <f t="shared" si="8"/>
        <v>8990</v>
      </c>
      <c r="P286" s="5" t="s">
        <v>504</v>
      </c>
    </row>
    <row r="287" spans="1:16" s="1" customFormat="1" x14ac:dyDescent="0.35">
      <c r="A287" s="5" t="str">
        <f t="shared" si="9"/>
        <v>2023 H1 All Items D90</v>
      </c>
      <c r="B287" s="8">
        <f>'ALL 2024 H2 D80'!$B$2</f>
        <v>46114</v>
      </c>
      <c r="C287" s="8">
        <f>'ALL 2024 H2 D80'!$C$2</f>
        <v>46120</v>
      </c>
      <c r="D287" s="5">
        <v>3208</v>
      </c>
      <c r="E287" s="5">
        <v>320</v>
      </c>
      <c r="F287" s="5">
        <v>1</v>
      </c>
      <c r="G287" s="15">
        <v>2</v>
      </c>
      <c r="H287" s="15">
        <v>80954</v>
      </c>
      <c r="I287" s="5" t="s">
        <v>16</v>
      </c>
      <c r="J287" s="16">
        <v>82238217</v>
      </c>
      <c r="K287" s="16" t="s">
        <v>156</v>
      </c>
      <c r="L287" s="34" t="s">
        <v>2832</v>
      </c>
      <c r="M287" s="38">
        <v>89900</v>
      </c>
      <c r="N287" s="7">
        <v>0.9</v>
      </c>
      <c r="O287" s="6">
        <f t="shared" si="8"/>
        <v>8990</v>
      </c>
      <c r="P287" s="5" t="s">
        <v>504</v>
      </c>
    </row>
    <row r="288" spans="1:16" s="1" customFormat="1" x14ac:dyDescent="0.35">
      <c r="A288" s="5" t="str">
        <f t="shared" si="9"/>
        <v>2023 H1 All Items D90</v>
      </c>
      <c r="B288" s="8">
        <f>'ALL 2024 H2 D80'!$B$2</f>
        <v>46114</v>
      </c>
      <c r="C288" s="8">
        <f>'ALL 2024 H2 D80'!$C$2</f>
        <v>46120</v>
      </c>
      <c r="D288" s="5">
        <v>3208</v>
      </c>
      <c r="E288" s="5">
        <v>320</v>
      </c>
      <c r="F288" s="5">
        <v>1</v>
      </c>
      <c r="G288" s="15">
        <v>2</v>
      </c>
      <c r="H288" s="15">
        <v>80954</v>
      </c>
      <c r="I288" s="5" t="s">
        <v>16</v>
      </c>
      <c r="J288" s="16">
        <v>82238226</v>
      </c>
      <c r="K288" s="16" t="s">
        <v>156</v>
      </c>
      <c r="L288" s="34" t="s">
        <v>2833</v>
      </c>
      <c r="M288" s="38">
        <v>89900</v>
      </c>
      <c r="N288" s="7">
        <v>0.9</v>
      </c>
      <c r="O288" s="6">
        <f t="shared" si="8"/>
        <v>8990</v>
      </c>
      <c r="P288" s="5" t="s">
        <v>504</v>
      </c>
    </row>
    <row r="289" spans="1:16" s="1" customFormat="1" x14ac:dyDescent="0.35">
      <c r="A289" s="5" t="str">
        <f t="shared" si="9"/>
        <v>2023 H1 All Items D90</v>
      </c>
      <c r="B289" s="8">
        <f>'ALL 2024 H2 D80'!$B$2</f>
        <v>46114</v>
      </c>
      <c r="C289" s="8">
        <f>'ALL 2024 H2 D80'!$C$2</f>
        <v>46120</v>
      </c>
      <c r="D289" s="5">
        <v>3208</v>
      </c>
      <c r="E289" s="5">
        <v>320</v>
      </c>
      <c r="F289" s="5">
        <v>1</v>
      </c>
      <c r="G289" s="15">
        <v>2</v>
      </c>
      <c r="H289" s="15">
        <v>80954</v>
      </c>
      <c r="I289" s="5" t="s">
        <v>16</v>
      </c>
      <c r="J289" s="16">
        <v>82238235</v>
      </c>
      <c r="K289" s="16" t="s">
        <v>156</v>
      </c>
      <c r="L289" s="34" t="s">
        <v>2834</v>
      </c>
      <c r="M289" s="38">
        <v>89900</v>
      </c>
      <c r="N289" s="7">
        <v>0.9</v>
      </c>
      <c r="O289" s="6">
        <f t="shared" si="8"/>
        <v>8990</v>
      </c>
      <c r="P289" s="5" t="s">
        <v>504</v>
      </c>
    </row>
    <row r="290" spans="1:16" s="1" customFormat="1" x14ac:dyDescent="0.35">
      <c r="A290" s="5" t="str">
        <f t="shared" si="9"/>
        <v>2023 H1 All Items D90</v>
      </c>
      <c r="B290" s="8">
        <f>'ALL 2024 H2 D80'!$B$2</f>
        <v>46114</v>
      </c>
      <c r="C290" s="8">
        <f>'ALL 2024 H2 D80'!$C$2</f>
        <v>46120</v>
      </c>
      <c r="D290" s="5">
        <v>3208</v>
      </c>
      <c r="E290" s="5">
        <v>320</v>
      </c>
      <c r="F290" s="5">
        <v>1</v>
      </c>
      <c r="G290" s="15">
        <v>2</v>
      </c>
      <c r="H290" s="15">
        <v>80954</v>
      </c>
      <c r="I290" s="5" t="s">
        <v>16</v>
      </c>
      <c r="J290" s="16">
        <v>82238253</v>
      </c>
      <c r="K290" s="16" t="s">
        <v>156</v>
      </c>
      <c r="L290" s="34" t="s">
        <v>2835</v>
      </c>
      <c r="M290" s="38">
        <v>89900</v>
      </c>
      <c r="N290" s="7">
        <v>0.9</v>
      </c>
      <c r="O290" s="6">
        <f t="shared" si="8"/>
        <v>8990</v>
      </c>
      <c r="P290" s="5" t="s">
        <v>504</v>
      </c>
    </row>
    <row r="291" spans="1:16" s="1" customFormat="1" x14ac:dyDescent="0.35">
      <c r="A291" s="5" t="str">
        <f t="shared" si="9"/>
        <v>2023 H1 All Items D90</v>
      </c>
      <c r="B291" s="8">
        <f>'ALL 2024 H2 D80'!$B$2</f>
        <v>46114</v>
      </c>
      <c r="C291" s="8">
        <f>'ALL 2024 H2 D80'!$C$2</f>
        <v>46120</v>
      </c>
      <c r="D291" s="5">
        <v>3208</v>
      </c>
      <c r="E291" s="5">
        <v>320</v>
      </c>
      <c r="F291" s="5">
        <v>1</v>
      </c>
      <c r="G291" s="15">
        <v>2</v>
      </c>
      <c r="H291" s="15">
        <v>80954</v>
      </c>
      <c r="I291" s="5" t="s">
        <v>16</v>
      </c>
      <c r="J291" s="16">
        <v>82238262</v>
      </c>
      <c r="K291" s="16" t="s">
        <v>156</v>
      </c>
      <c r="L291" s="34" t="s">
        <v>2836</v>
      </c>
      <c r="M291" s="38">
        <v>89900</v>
      </c>
      <c r="N291" s="7">
        <v>0.9</v>
      </c>
      <c r="O291" s="6">
        <f t="shared" si="8"/>
        <v>8990</v>
      </c>
      <c r="P291" s="5" t="s">
        <v>504</v>
      </c>
    </row>
    <row r="292" spans="1:16" s="1" customFormat="1" x14ac:dyDescent="0.35">
      <c r="A292" s="5" t="str">
        <f t="shared" si="9"/>
        <v>2023 H1 All Items D90</v>
      </c>
      <c r="B292" s="8">
        <f>'ALL 2024 H2 D80'!$B$2</f>
        <v>46114</v>
      </c>
      <c r="C292" s="8">
        <f>'ALL 2024 H2 D80'!$C$2</f>
        <v>46120</v>
      </c>
      <c r="D292" s="5">
        <v>3208</v>
      </c>
      <c r="E292" s="5">
        <v>320</v>
      </c>
      <c r="F292" s="5">
        <v>1</v>
      </c>
      <c r="G292" s="15">
        <v>2</v>
      </c>
      <c r="H292" s="15">
        <v>80954</v>
      </c>
      <c r="I292" s="5" t="s">
        <v>16</v>
      </c>
      <c r="J292" s="16">
        <v>82238271</v>
      </c>
      <c r="K292" s="16" t="s">
        <v>156</v>
      </c>
      <c r="L292" s="34" t="s">
        <v>2837</v>
      </c>
      <c r="M292" s="38">
        <v>89900</v>
      </c>
      <c r="N292" s="7">
        <v>0.9</v>
      </c>
      <c r="O292" s="6">
        <f t="shared" si="8"/>
        <v>8990</v>
      </c>
      <c r="P292" s="5" t="s">
        <v>504</v>
      </c>
    </row>
    <row r="293" spans="1:16" s="1" customFormat="1" x14ac:dyDescent="0.35">
      <c r="A293" s="5" t="str">
        <f t="shared" si="9"/>
        <v>2023 H1 All Items D90</v>
      </c>
      <c r="B293" s="8">
        <f>'ALL 2024 H2 D80'!$B$2</f>
        <v>46114</v>
      </c>
      <c r="C293" s="8">
        <f>'ALL 2024 H2 D80'!$C$2</f>
        <v>46120</v>
      </c>
      <c r="D293" s="5">
        <v>3208</v>
      </c>
      <c r="E293" s="5">
        <v>320</v>
      </c>
      <c r="F293" s="5">
        <v>1</v>
      </c>
      <c r="G293" s="15">
        <v>2</v>
      </c>
      <c r="H293" s="15">
        <v>80954</v>
      </c>
      <c r="I293" s="5" t="s">
        <v>16</v>
      </c>
      <c r="J293" s="16">
        <v>82238280</v>
      </c>
      <c r="K293" s="16" t="s">
        <v>156</v>
      </c>
      <c r="L293" s="34" t="s">
        <v>2838</v>
      </c>
      <c r="M293" s="38">
        <v>89900</v>
      </c>
      <c r="N293" s="7">
        <v>0.9</v>
      </c>
      <c r="O293" s="6">
        <f t="shared" si="8"/>
        <v>8990</v>
      </c>
      <c r="P293" s="5" t="s">
        <v>504</v>
      </c>
    </row>
    <row r="294" spans="1:16" s="1" customFormat="1" x14ac:dyDescent="0.35">
      <c r="A294" s="5" t="str">
        <f t="shared" si="9"/>
        <v>2023 H1 All Items D90</v>
      </c>
      <c r="B294" s="8">
        <f>'ALL 2024 H2 D80'!$B$2</f>
        <v>46114</v>
      </c>
      <c r="C294" s="8">
        <f>'ALL 2024 H2 D80'!$C$2</f>
        <v>46120</v>
      </c>
      <c r="D294" s="5">
        <v>3208</v>
      </c>
      <c r="E294" s="5">
        <v>320</v>
      </c>
      <c r="F294" s="5">
        <v>1</v>
      </c>
      <c r="G294" s="15">
        <v>2</v>
      </c>
      <c r="H294" s="15">
        <v>80954</v>
      </c>
      <c r="I294" s="5" t="s">
        <v>16</v>
      </c>
      <c r="J294" s="16">
        <v>82373562</v>
      </c>
      <c r="K294" s="16" t="s">
        <v>157</v>
      </c>
      <c r="L294" s="34" t="s">
        <v>2839</v>
      </c>
      <c r="M294" s="38">
        <v>89900</v>
      </c>
      <c r="N294" s="7">
        <v>0.9</v>
      </c>
      <c r="O294" s="6">
        <f t="shared" si="8"/>
        <v>8990</v>
      </c>
      <c r="P294" s="5" t="s">
        <v>504</v>
      </c>
    </row>
    <row r="295" spans="1:16" s="1" customFormat="1" x14ac:dyDescent="0.35">
      <c r="A295" s="5" t="str">
        <f t="shared" si="9"/>
        <v>2023 H1 All Items D90</v>
      </c>
      <c r="B295" s="8">
        <f>'ALL 2024 H2 D80'!$B$2</f>
        <v>46114</v>
      </c>
      <c r="C295" s="8">
        <f>'ALL 2024 H2 D80'!$C$2</f>
        <v>46120</v>
      </c>
      <c r="D295" s="5">
        <v>3208</v>
      </c>
      <c r="E295" s="5">
        <v>320</v>
      </c>
      <c r="F295" s="5">
        <v>1</v>
      </c>
      <c r="G295" s="15">
        <v>2</v>
      </c>
      <c r="H295" s="15">
        <v>80954</v>
      </c>
      <c r="I295" s="5" t="s">
        <v>16</v>
      </c>
      <c r="J295" s="16">
        <v>82373571</v>
      </c>
      <c r="K295" s="16" t="s">
        <v>157</v>
      </c>
      <c r="L295" s="34" t="s">
        <v>2840</v>
      </c>
      <c r="M295" s="38">
        <v>89900</v>
      </c>
      <c r="N295" s="7">
        <v>0.9</v>
      </c>
      <c r="O295" s="6">
        <f t="shared" si="8"/>
        <v>8990</v>
      </c>
      <c r="P295" s="5" t="s">
        <v>504</v>
      </c>
    </row>
    <row r="296" spans="1:16" s="1" customFormat="1" x14ac:dyDescent="0.35">
      <c r="A296" s="5" t="str">
        <f t="shared" si="9"/>
        <v>2023 H1 All Items D90</v>
      </c>
      <c r="B296" s="8">
        <f>'ALL 2024 H2 D80'!$B$2</f>
        <v>46114</v>
      </c>
      <c r="C296" s="8">
        <f>'ALL 2024 H2 D80'!$C$2</f>
        <v>46120</v>
      </c>
      <c r="D296" s="5">
        <v>3208</v>
      </c>
      <c r="E296" s="5">
        <v>320</v>
      </c>
      <c r="F296" s="5">
        <v>1</v>
      </c>
      <c r="G296" s="15">
        <v>2</v>
      </c>
      <c r="H296" s="15">
        <v>80954</v>
      </c>
      <c r="I296" s="5" t="s">
        <v>16</v>
      </c>
      <c r="J296" s="16">
        <v>82373599</v>
      </c>
      <c r="K296" s="16" t="s">
        <v>157</v>
      </c>
      <c r="L296" s="34" t="s">
        <v>2841</v>
      </c>
      <c r="M296" s="38">
        <v>89900</v>
      </c>
      <c r="N296" s="7">
        <v>0.9</v>
      </c>
      <c r="O296" s="6">
        <f t="shared" si="8"/>
        <v>8990</v>
      </c>
      <c r="P296" s="5" t="s">
        <v>504</v>
      </c>
    </row>
    <row r="297" spans="1:16" s="1" customFormat="1" x14ac:dyDescent="0.35">
      <c r="A297" s="5" t="str">
        <f t="shared" si="9"/>
        <v>2023 H1 All Items D90</v>
      </c>
      <c r="B297" s="8">
        <f>'ALL 2024 H2 D80'!$B$2</f>
        <v>46114</v>
      </c>
      <c r="C297" s="8">
        <f>'ALL 2024 H2 D80'!$C$2</f>
        <v>46120</v>
      </c>
      <c r="D297" s="5">
        <v>3208</v>
      </c>
      <c r="E297" s="5">
        <v>320</v>
      </c>
      <c r="F297" s="5">
        <v>1</v>
      </c>
      <c r="G297" s="15">
        <v>2</v>
      </c>
      <c r="H297" s="15">
        <v>80954</v>
      </c>
      <c r="I297" s="5" t="s">
        <v>16</v>
      </c>
      <c r="J297" s="16">
        <v>82373606</v>
      </c>
      <c r="K297" s="16" t="s">
        <v>157</v>
      </c>
      <c r="L297" s="34" t="s">
        <v>2842</v>
      </c>
      <c r="M297" s="38">
        <v>89900</v>
      </c>
      <c r="N297" s="7">
        <v>0.9</v>
      </c>
      <c r="O297" s="6">
        <f t="shared" si="8"/>
        <v>8990</v>
      </c>
      <c r="P297" s="5" t="s">
        <v>504</v>
      </c>
    </row>
    <row r="298" spans="1:16" s="1" customFormat="1" x14ac:dyDescent="0.35">
      <c r="A298" s="5" t="str">
        <f t="shared" si="9"/>
        <v>2023 H1 All Items D90</v>
      </c>
      <c r="B298" s="8">
        <f>'ALL 2024 H2 D80'!$B$2</f>
        <v>46114</v>
      </c>
      <c r="C298" s="8">
        <f>'ALL 2024 H2 D80'!$C$2</f>
        <v>46120</v>
      </c>
      <c r="D298" s="5">
        <v>3208</v>
      </c>
      <c r="E298" s="5">
        <v>320</v>
      </c>
      <c r="F298" s="5">
        <v>1</v>
      </c>
      <c r="G298" s="15">
        <v>2</v>
      </c>
      <c r="H298" s="15">
        <v>80954</v>
      </c>
      <c r="I298" s="5" t="s">
        <v>16</v>
      </c>
      <c r="J298" s="16">
        <v>82373615</v>
      </c>
      <c r="K298" s="16" t="s">
        <v>157</v>
      </c>
      <c r="L298" s="34" t="s">
        <v>2843</v>
      </c>
      <c r="M298" s="38">
        <v>89900</v>
      </c>
      <c r="N298" s="7">
        <v>0.9</v>
      </c>
      <c r="O298" s="6">
        <f t="shared" si="8"/>
        <v>8990</v>
      </c>
      <c r="P298" s="5" t="s">
        <v>504</v>
      </c>
    </row>
    <row r="299" spans="1:16" s="1" customFormat="1" x14ac:dyDescent="0.35">
      <c r="A299" s="5" t="str">
        <f t="shared" si="9"/>
        <v>2023 H1 All Items D90</v>
      </c>
      <c r="B299" s="8">
        <f>'ALL 2024 H2 D80'!$B$2</f>
        <v>46114</v>
      </c>
      <c r="C299" s="8">
        <f>'ALL 2024 H2 D80'!$C$2</f>
        <v>46120</v>
      </c>
      <c r="D299" s="5">
        <v>3208</v>
      </c>
      <c r="E299" s="5">
        <v>320</v>
      </c>
      <c r="F299" s="5">
        <v>1</v>
      </c>
      <c r="G299" s="15">
        <v>2</v>
      </c>
      <c r="H299" s="15">
        <v>80954</v>
      </c>
      <c r="I299" s="5" t="s">
        <v>16</v>
      </c>
      <c r="J299" s="16">
        <v>82373624</v>
      </c>
      <c r="K299" s="16" t="s">
        <v>157</v>
      </c>
      <c r="L299" s="34" t="s">
        <v>2844</v>
      </c>
      <c r="M299" s="38">
        <v>89900</v>
      </c>
      <c r="N299" s="7">
        <v>0.9</v>
      </c>
      <c r="O299" s="6">
        <f t="shared" si="8"/>
        <v>8990</v>
      </c>
      <c r="P299" s="5" t="s">
        <v>504</v>
      </c>
    </row>
    <row r="300" spans="1:16" s="1" customFormat="1" x14ac:dyDescent="0.35">
      <c r="A300" s="5" t="str">
        <f t="shared" si="9"/>
        <v>2023 H1 All Items D90</v>
      </c>
      <c r="B300" s="8">
        <f>'ALL 2024 H2 D80'!$B$2</f>
        <v>46114</v>
      </c>
      <c r="C300" s="8">
        <f>'ALL 2024 H2 D80'!$C$2</f>
        <v>46120</v>
      </c>
      <c r="D300" s="5">
        <v>3208</v>
      </c>
      <c r="E300" s="5">
        <v>320</v>
      </c>
      <c r="F300" s="5">
        <v>1</v>
      </c>
      <c r="G300" s="15">
        <v>2</v>
      </c>
      <c r="H300" s="15">
        <v>80954</v>
      </c>
      <c r="I300" s="5" t="s">
        <v>16</v>
      </c>
      <c r="J300" s="16">
        <v>82373633</v>
      </c>
      <c r="K300" s="16" t="s">
        <v>157</v>
      </c>
      <c r="L300" s="34" t="s">
        <v>2845</v>
      </c>
      <c r="M300" s="38">
        <v>89900</v>
      </c>
      <c r="N300" s="7">
        <v>0.9</v>
      </c>
      <c r="O300" s="6">
        <f t="shared" si="8"/>
        <v>8990</v>
      </c>
      <c r="P300" s="5" t="s">
        <v>504</v>
      </c>
    </row>
    <row r="301" spans="1:16" s="1" customFormat="1" x14ac:dyDescent="0.35">
      <c r="A301" s="5" t="str">
        <f t="shared" si="9"/>
        <v>2023 H1 All Items D90</v>
      </c>
      <c r="B301" s="8">
        <f>'ALL 2024 H2 D80'!$B$2</f>
        <v>46114</v>
      </c>
      <c r="C301" s="8">
        <f>'ALL 2024 H2 D80'!$C$2</f>
        <v>46120</v>
      </c>
      <c r="D301" s="5">
        <v>3208</v>
      </c>
      <c r="E301" s="5">
        <v>320</v>
      </c>
      <c r="F301" s="5">
        <v>1</v>
      </c>
      <c r="G301" s="15">
        <v>2</v>
      </c>
      <c r="H301" s="15">
        <v>80954</v>
      </c>
      <c r="I301" s="5" t="s">
        <v>16</v>
      </c>
      <c r="J301" s="16">
        <v>82373642</v>
      </c>
      <c r="K301" s="16" t="s">
        <v>2846</v>
      </c>
      <c r="L301" s="34" t="s">
        <v>2847</v>
      </c>
      <c r="M301" s="38">
        <v>89900</v>
      </c>
      <c r="N301" s="7">
        <v>0.9</v>
      </c>
      <c r="O301" s="6">
        <f t="shared" si="8"/>
        <v>8990</v>
      </c>
      <c r="P301" s="5" t="s">
        <v>504</v>
      </c>
    </row>
    <row r="302" spans="1:16" s="1" customFormat="1" x14ac:dyDescent="0.35">
      <c r="A302" s="5" t="str">
        <f t="shared" si="9"/>
        <v>2023 H1 All Items D90</v>
      </c>
      <c r="B302" s="8">
        <f>'ALL 2024 H2 D80'!$B$2</f>
        <v>46114</v>
      </c>
      <c r="C302" s="8">
        <f>'ALL 2024 H2 D80'!$C$2</f>
        <v>46120</v>
      </c>
      <c r="D302" s="5">
        <v>3208</v>
      </c>
      <c r="E302" s="5">
        <v>320</v>
      </c>
      <c r="F302" s="5">
        <v>1</v>
      </c>
      <c r="G302" s="15">
        <v>2</v>
      </c>
      <c r="H302" s="15">
        <v>80954</v>
      </c>
      <c r="I302" s="5" t="s">
        <v>16</v>
      </c>
      <c r="J302" s="16">
        <v>82373651</v>
      </c>
      <c r="K302" s="16" t="s">
        <v>2846</v>
      </c>
      <c r="L302" s="34" t="s">
        <v>2848</v>
      </c>
      <c r="M302" s="38">
        <v>89900</v>
      </c>
      <c r="N302" s="7">
        <v>0.9</v>
      </c>
      <c r="O302" s="6">
        <f t="shared" si="8"/>
        <v>8990</v>
      </c>
      <c r="P302" s="5" t="s">
        <v>504</v>
      </c>
    </row>
    <row r="303" spans="1:16" s="1" customFormat="1" x14ac:dyDescent="0.35">
      <c r="A303" s="5" t="str">
        <f t="shared" si="9"/>
        <v>2023 H1 All Items D90</v>
      </c>
      <c r="B303" s="8">
        <f>'ALL 2024 H2 D80'!$B$2</f>
        <v>46114</v>
      </c>
      <c r="C303" s="8">
        <f>'ALL 2024 H2 D80'!$C$2</f>
        <v>46120</v>
      </c>
      <c r="D303" s="5">
        <v>3208</v>
      </c>
      <c r="E303" s="5">
        <v>320</v>
      </c>
      <c r="F303" s="5">
        <v>1</v>
      </c>
      <c r="G303" s="15">
        <v>2</v>
      </c>
      <c r="H303" s="15">
        <v>80954</v>
      </c>
      <c r="I303" s="5" t="s">
        <v>16</v>
      </c>
      <c r="J303" s="16">
        <v>82373660</v>
      </c>
      <c r="K303" s="16" t="s">
        <v>2846</v>
      </c>
      <c r="L303" s="34" t="s">
        <v>2849</v>
      </c>
      <c r="M303" s="38">
        <v>89900</v>
      </c>
      <c r="N303" s="7">
        <v>0.9</v>
      </c>
      <c r="O303" s="6">
        <f t="shared" si="8"/>
        <v>8990</v>
      </c>
      <c r="P303" s="5" t="s">
        <v>504</v>
      </c>
    </row>
    <row r="304" spans="1:16" s="1" customFormat="1" x14ac:dyDescent="0.35">
      <c r="A304" s="5" t="str">
        <f t="shared" si="9"/>
        <v>2023 H1 All Items D90</v>
      </c>
      <c r="B304" s="8">
        <f>'ALL 2024 H2 D80'!$B$2</f>
        <v>46114</v>
      </c>
      <c r="C304" s="8">
        <f>'ALL 2024 H2 D80'!$C$2</f>
        <v>46120</v>
      </c>
      <c r="D304" s="5">
        <v>3208</v>
      </c>
      <c r="E304" s="5">
        <v>320</v>
      </c>
      <c r="F304" s="5">
        <v>1</v>
      </c>
      <c r="G304" s="15">
        <v>2</v>
      </c>
      <c r="H304" s="15">
        <v>80954</v>
      </c>
      <c r="I304" s="5" t="s">
        <v>16</v>
      </c>
      <c r="J304" s="16">
        <v>82373679</v>
      </c>
      <c r="K304" s="16" t="s">
        <v>2846</v>
      </c>
      <c r="L304" s="34" t="s">
        <v>2850</v>
      </c>
      <c r="M304" s="38">
        <v>89900</v>
      </c>
      <c r="N304" s="7">
        <v>0.9</v>
      </c>
      <c r="O304" s="6">
        <f t="shared" si="8"/>
        <v>8990</v>
      </c>
      <c r="P304" s="5" t="s">
        <v>504</v>
      </c>
    </row>
    <row r="305" spans="1:16" s="1" customFormat="1" x14ac:dyDescent="0.35">
      <c r="A305" s="5" t="str">
        <f t="shared" si="9"/>
        <v>2023 H1 All Items D90</v>
      </c>
      <c r="B305" s="8">
        <f>'ALL 2024 H2 D80'!$B$2</f>
        <v>46114</v>
      </c>
      <c r="C305" s="8">
        <f>'ALL 2024 H2 D80'!$C$2</f>
        <v>46120</v>
      </c>
      <c r="D305" s="5">
        <v>3208</v>
      </c>
      <c r="E305" s="5">
        <v>320</v>
      </c>
      <c r="F305" s="5">
        <v>1</v>
      </c>
      <c r="G305" s="15">
        <v>2</v>
      </c>
      <c r="H305" s="15">
        <v>81762</v>
      </c>
      <c r="I305" s="5" t="s">
        <v>16</v>
      </c>
      <c r="J305" s="16">
        <v>81290073</v>
      </c>
      <c r="K305" s="16" t="s">
        <v>2766</v>
      </c>
      <c r="L305" s="34" t="s">
        <v>2767</v>
      </c>
      <c r="M305" s="38">
        <v>149900</v>
      </c>
      <c r="N305" s="7">
        <v>0.9</v>
      </c>
      <c r="O305" s="6">
        <f t="shared" si="8"/>
        <v>14990</v>
      </c>
      <c r="P305" s="5" t="s">
        <v>504</v>
      </c>
    </row>
    <row r="306" spans="1:16" s="1" customFormat="1" x14ac:dyDescent="0.35">
      <c r="A306" s="5" t="str">
        <f t="shared" si="9"/>
        <v>2023 H1 All Items D90</v>
      </c>
      <c r="B306" s="8">
        <f>'ALL 2024 H2 D80'!$B$2</f>
        <v>46114</v>
      </c>
      <c r="C306" s="8">
        <f>'ALL 2024 H2 D80'!$C$2</f>
        <v>46120</v>
      </c>
      <c r="D306" s="5">
        <v>3208</v>
      </c>
      <c r="E306" s="5">
        <v>320</v>
      </c>
      <c r="F306" s="5">
        <v>1</v>
      </c>
      <c r="G306" s="15">
        <v>2</v>
      </c>
      <c r="H306" s="15">
        <v>81762</v>
      </c>
      <c r="I306" s="5" t="s">
        <v>16</v>
      </c>
      <c r="J306" s="16">
        <v>81290082</v>
      </c>
      <c r="K306" s="16" t="s">
        <v>2766</v>
      </c>
      <c r="L306" s="34" t="s">
        <v>2768</v>
      </c>
      <c r="M306" s="38">
        <v>149900</v>
      </c>
      <c r="N306" s="7">
        <v>0.9</v>
      </c>
      <c r="O306" s="6">
        <f t="shared" si="8"/>
        <v>14990</v>
      </c>
      <c r="P306" s="5" t="s">
        <v>504</v>
      </c>
    </row>
    <row r="307" spans="1:16" s="1" customFormat="1" x14ac:dyDescent="0.35">
      <c r="A307" s="5" t="str">
        <f t="shared" si="9"/>
        <v>2023 H1 All Items D90</v>
      </c>
      <c r="B307" s="8">
        <f>'ALL 2024 H2 D80'!$B$2</f>
        <v>46114</v>
      </c>
      <c r="C307" s="8">
        <f>'ALL 2024 H2 D80'!$C$2</f>
        <v>46120</v>
      </c>
      <c r="D307" s="5">
        <v>3208</v>
      </c>
      <c r="E307" s="5">
        <v>320</v>
      </c>
      <c r="F307" s="5">
        <v>1</v>
      </c>
      <c r="G307" s="15">
        <v>2</v>
      </c>
      <c r="H307" s="15">
        <v>81762</v>
      </c>
      <c r="I307" s="5" t="s">
        <v>16</v>
      </c>
      <c r="J307" s="16">
        <v>81290091</v>
      </c>
      <c r="K307" s="16" t="s">
        <v>2766</v>
      </c>
      <c r="L307" s="34" t="s">
        <v>2769</v>
      </c>
      <c r="M307" s="38">
        <v>149900</v>
      </c>
      <c r="N307" s="7">
        <v>0.9</v>
      </c>
      <c r="O307" s="6">
        <f t="shared" si="8"/>
        <v>14990</v>
      </c>
      <c r="P307" s="5" t="s">
        <v>504</v>
      </c>
    </row>
    <row r="308" spans="1:16" s="1" customFormat="1" x14ac:dyDescent="0.35">
      <c r="A308" s="5" t="str">
        <f t="shared" si="9"/>
        <v>2023 H1 All Items D90</v>
      </c>
      <c r="B308" s="8">
        <f>'ALL 2024 H2 D80'!$B$2</f>
        <v>46114</v>
      </c>
      <c r="C308" s="8">
        <f>'ALL 2024 H2 D80'!$C$2</f>
        <v>46120</v>
      </c>
      <c r="D308" s="5">
        <v>3208</v>
      </c>
      <c r="E308" s="5">
        <v>320</v>
      </c>
      <c r="F308" s="5">
        <v>1</v>
      </c>
      <c r="G308" s="15">
        <v>2</v>
      </c>
      <c r="H308" s="15">
        <v>81762</v>
      </c>
      <c r="I308" s="5" t="s">
        <v>16</v>
      </c>
      <c r="J308" s="16">
        <v>81290108</v>
      </c>
      <c r="K308" s="16" t="s">
        <v>2766</v>
      </c>
      <c r="L308" s="34" t="s">
        <v>2770</v>
      </c>
      <c r="M308" s="38">
        <v>149900</v>
      </c>
      <c r="N308" s="7">
        <v>0.9</v>
      </c>
      <c r="O308" s="6">
        <f t="shared" si="8"/>
        <v>14990</v>
      </c>
      <c r="P308" s="5" t="s">
        <v>504</v>
      </c>
    </row>
    <row r="309" spans="1:16" s="1" customFormat="1" x14ac:dyDescent="0.35">
      <c r="A309" s="5" t="str">
        <f t="shared" si="9"/>
        <v>2023 H1 All Items D90</v>
      </c>
      <c r="B309" s="8">
        <f>'ALL 2024 H2 D80'!$B$2</f>
        <v>46114</v>
      </c>
      <c r="C309" s="8">
        <f>'ALL 2024 H2 D80'!$C$2</f>
        <v>46120</v>
      </c>
      <c r="D309" s="5">
        <v>3208</v>
      </c>
      <c r="E309" s="5">
        <v>320</v>
      </c>
      <c r="F309" s="5">
        <v>1</v>
      </c>
      <c r="G309" s="15">
        <v>2</v>
      </c>
      <c r="H309" s="15">
        <v>81762</v>
      </c>
      <c r="I309" s="5" t="s">
        <v>16</v>
      </c>
      <c r="J309" s="16">
        <v>81290117</v>
      </c>
      <c r="K309" s="16" t="s">
        <v>2766</v>
      </c>
      <c r="L309" s="34" t="s">
        <v>2771</v>
      </c>
      <c r="M309" s="38">
        <v>149900</v>
      </c>
      <c r="N309" s="7">
        <v>0.9</v>
      </c>
      <c r="O309" s="6">
        <f t="shared" si="8"/>
        <v>14990</v>
      </c>
      <c r="P309" s="5" t="s">
        <v>504</v>
      </c>
    </row>
    <row r="310" spans="1:16" s="1" customFormat="1" x14ac:dyDescent="0.35">
      <c r="A310" s="5" t="str">
        <f t="shared" si="9"/>
        <v>2023 H1 All Items D90</v>
      </c>
      <c r="B310" s="8">
        <f>'ALL 2024 H2 D80'!$B$2</f>
        <v>46114</v>
      </c>
      <c r="C310" s="8">
        <f>'ALL 2024 H2 D80'!$C$2</f>
        <v>46120</v>
      </c>
      <c r="D310" s="5">
        <v>3208</v>
      </c>
      <c r="E310" s="5">
        <v>320</v>
      </c>
      <c r="F310" s="5">
        <v>1</v>
      </c>
      <c r="G310" s="15">
        <v>2</v>
      </c>
      <c r="H310" s="15">
        <v>81762</v>
      </c>
      <c r="I310" s="5" t="s">
        <v>16</v>
      </c>
      <c r="J310" s="16">
        <v>81290126</v>
      </c>
      <c r="K310" s="16" t="s">
        <v>2766</v>
      </c>
      <c r="L310" s="34" t="s">
        <v>2772</v>
      </c>
      <c r="M310" s="38">
        <v>149900</v>
      </c>
      <c r="N310" s="7">
        <v>0.9</v>
      </c>
      <c r="O310" s="6">
        <f t="shared" si="8"/>
        <v>14990</v>
      </c>
      <c r="P310" s="5" t="s">
        <v>504</v>
      </c>
    </row>
    <row r="311" spans="1:16" s="1" customFormat="1" x14ac:dyDescent="0.35">
      <c r="A311" s="5" t="str">
        <f t="shared" si="9"/>
        <v>2023 H1 All Items D90</v>
      </c>
      <c r="B311" s="8">
        <f>'ALL 2024 H2 D80'!$B$2</f>
        <v>46114</v>
      </c>
      <c r="C311" s="8">
        <f>'ALL 2024 H2 D80'!$C$2</f>
        <v>46120</v>
      </c>
      <c r="D311" s="5">
        <v>3208</v>
      </c>
      <c r="E311" s="5">
        <v>320</v>
      </c>
      <c r="F311" s="5">
        <v>1</v>
      </c>
      <c r="G311" s="15">
        <v>2</v>
      </c>
      <c r="H311" s="15">
        <v>81762</v>
      </c>
      <c r="I311" s="5" t="s">
        <v>16</v>
      </c>
      <c r="J311" s="16">
        <v>81290135</v>
      </c>
      <c r="K311" s="16" t="s">
        <v>2766</v>
      </c>
      <c r="L311" s="34" t="s">
        <v>2773</v>
      </c>
      <c r="M311" s="38">
        <v>149900</v>
      </c>
      <c r="N311" s="7">
        <v>0.9</v>
      </c>
      <c r="O311" s="6">
        <f t="shared" ref="O311:O355" si="10">M311-(M311*N311)</f>
        <v>14990</v>
      </c>
      <c r="P311" s="5" t="s">
        <v>504</v>
      </c>
    </row>
    <row r="312" spans="1:16" s="1" customFormat="1" x14ac:dyDescent="0.35">
      <c r="A312" s="5" t="str">
        <f t="shared" si="9"/>
        <v>2023 H1 All Items D90</v>
      </c>
      <c r="B312" s="8">
        <f>'ALL 2024 H2 D80'!$B$2</f>
        <v>46114</v>
      </c>
      <c r="C312" s="8">
        <f>'ALL 2024 H2 D80'!$C$2</f>
        <v>46120</v>
      </c>
      <c r="D312" s="5">
        <v>3208</v>
      </c>
      <c r="E312" s="5">
        <v>320</v>
      </c>
      <c r="F312" s="5">
        <v>1</v>
      </c>
      <c r="G312" s="15">
        <v>2</v>
      </c>
      <c r="H312" s="15">
        <v>81762</v>
      </c>
      <c r="I312" s="5" t="s">
        <v>16</v>
      </c>
      <c r="J312" s="16">
        <v>81290144</v>
      </c>
      <c r="K312" s="16" t="s">
        <v>2766</v>
      </c>
      <c r="L312" s="34" t="s">
        <v>2774</v>
      </c>
      <c r="M312" s="38">
        <v>149900</v>
      </c>
      <c r="N312" s="7">
        <v>0.9</v>
      </c>
      <c r="O312" s="6">
        <f t="shared" si="10"/>
        <v>14990</v>
      </c>
      <c r="P312" s="5" t="s">
        <v>504</v>
      </c>
    </row>
    <row r="313" spans="1:16" s="1" customFormat="1" x14ac:dyDescent="0.35">
      <c r="A313" s="5" t="str">
        <f t="shared" si="9"/>
        <v>2023 H1 All Items D90</v>
      </c>
      <c r="B313" s="8">
        <f>'ALL 2024 H2 D80'!$B$2</f>
        <v>46114</v>
      </c>
      <c r="C313" s="8">
        <f>'ALL 2024 H2 D80'!$C$2</f>
        <v>46120</v>
      </c>
      <c r="D313" s="5">
        <v>3208</v>
      </c>
      <c r="E313" s="5">
        <v>320</v>
      </c>
      <c r="F313" s="5">
        <v>1</v>
      </c>
      <c r="G313" s="15">
        <v>3</v>
      </c>
      <c r="H313" s="15">
        <v>81626</v>
      </c>
      <c r="I313" s="5" t="s">
        <v>16</v>
      </c>
      <c r="J313" s="16">
        <v>81289754</v>
      </c>
      <c r="K313" s="16" t="s">
        <v>65</v>
      </c>
      <c r="L313" s="34" t="s">
        <v>922</v>
      </c>
      <c r="M313" s="38">
        <v>349900</v>
      </c>
      <c r="N313" s="7">
        <v>0.9</v>
      </c>
      <c r="O313" s="6">
        <f t="shared" si="10"/>
        <v>34990</v>
      </c>
      <c r="P313" s="5" t="s">
        <v>504</v>
      </c>
    </row>
    <row r="314" spans="1:16" s="1" customFormat="1" x14ac:dyDescent="0.35">
      <c r="A314" s="5" t="str">
        <f t="shared" si="9"/>
        <v>2023 H1 All Items D90</v>
      </c>
      <c r="B314" s="8">
        <f>'ALL 2024 H2 D80'!$B$2</f>
        <v>46114</v>
      </c>
      <c r="C314" s="8">
        <f>'ALL 2024 H2 D80'!$C$2</f>
        <v>46120</v>
      </c>
      <c r="D314" s="5">
        <v>3208</v>
      </c>
      <c r="E314" s="5">
        <v>320</v>
      </c>
      <c r="F314" s="5">
        <v>1</v>
      </c>
      <c r="G314" s="15">
        <v>3</v>
      </c>
      <c r="H314" s="15">
        <v>81626</v>
      </c>
      <c r="I314" s="5" t="s">
        <v>16</v>
      </c>
      <c r="J314" s="16">
        <v>81289763</v>
      </c>
      <c r="K314" s="16" t="s">
        <v>65</v>
      </c>
      <c r="L314" s="34" t="s">
        <v>923</v>
      </c>
      <c r="M314" s="38">
        <v>349900</v>
      </c>
      <c r="N314" s="7">
        <v>0.9</v>
      </c>
      <c r="O314" s="6">
        <f t="shared" si="10"/>
        <v>34990</v>
      </c>
      <c r="P314" s="5" t="s">
        <v>504</v>
      </c>
    </row>
    <row r="315" spans="1:16" s="1" customFormat="1" x14ac:dyDescent="0.35">
      <c r="A315" s="5" t="str">
        <f t="shared" si="9"/>
        <v>2023 H1 All Items D90</v>
      </c>
      <c r="B315" s="8">
        <f>'ALL 2024 H2 D80'!$B$2</f>
        <v>46114</v>
      </c>
      <c r="C315" s="8">
        <f>'ALL 2024 H2 D80'!$C$2</f>
        <v>46120</v>
      </c>
      <c r="D315" s="5">
        <v>3208</v>
      </c>
      <c r="E315" s="5">
        <v>320</v>
      </c>
      <c r="F315" s="5">
        <v>1</v>
      </c>
      <c r="G315" s="15">
        <v>3</v>
      </c>
      <c r="H315" s="15">
        <v>81626</v>
      </c>
      <c r="I315" s="5" t="s">
        <v>16</v>
      </c>
      <c r="J315" s="16">
        <v>81289772</v>
      </c>
      <c r="K315" s="16" t="s">
        <v>65</v>
      </c>
      <c r="L315" s="34" t="s">
        <v>924</v>
      </c>
      <c r="M315" s="38">
        <v>349900</v>
      </c>
      <c r="N315" s="7">
        <v>0.9</v>
      </c>
      <c r="O315" s="6">
        <f t="shared" si="10"/>
        <v>34990</v>
      </c>
      <c r="P315" s="5" t="s">
        <v>504</v>
      </c>
    </row>
    <row r="316" spans="1:16" s="1" customFormat="1" x14ac:dyDescent="0.35">
      <c r="A316" s="5" t="str">
        <f t="shared" si="9"/>
        <v>2023 H1 All Items D90</v>
      </c>
      <c r="B316" s="8">
        <f>'ALL 2024 H2 D80'!$B$2</f>
        <v>46114</v>
      </c>
      <c r="C316" s="8">
        <f>'ALL 2024 H2 D80'!$C$2</f>
        <v>46120</v>
      </c>
      <c r="D316" s="5">
        <v>3208</v>
      </c>
      <c r="E316" s="5">
        <v>320</v>
      </c>
      <c r="F316" s="5">
        <v>1</v>
      </c>
      <c r="G316" s="15">
        <v>3</v>
      </c>
      <c r="H316" s="15">
        <v>81626</v>
      </c>
      <c r="I316" s="5" t="s">
        <v>16</v>
      </c>
      <c r="J316" s="16">
        <v>81289781</v>
      </c>
      <c r="K316" s="16" t="s">
        <v>65</v>
      </c>
      <c r="L316" s="34" t="s">
        <v>925</v>
      </c>
      <c r="M316" s="38">
        <v>349900</v>
      </c>
      <c r="N316" s="7">
        <v>0.9</v>
      </c>
      <c r="O316" s="6">
        <f t="shared" si="10"/>
        <v>34990</v>
      </c>
      <c r="P316" s="5" t="s">
        <v>504</v>
      </c>
    </row>
    <row r="317" spans="1:16" s="1" customFormat="1" x14ac:dyDescent="0.35">
      <c r="A317" s="5" t="str">
        <f t="shared" si="9"/>
        <v>2023 H1 All Items D90</v>
      </c>
      <c r="B317" s="8">
        <f>'ALL 2024 H2 D80'!$B$2</f>
        <v>46114</v>
      </c>
      <c r="C317" s="8">
        <f>'ALL 2024 H2 D80'!$C$2</f>
        <v>46120</v>
      </c>
      <c r="D317" s="5">
        <v>3208</v>
      </c>
      <c r="E317" s="5">
        <v>320</v>
      </c>
      <c r="F317" s="5">
        <v>1</v>
      </c>
      <c r="G317" s="15">
        <v>3</v>
      </c>
      <c r="H317" s="15">
        <v>81078</v>
      </c>
      <c r="I317" s="5" t="s">
        <v>16</v>
      </c>
      <c r="J317" s="16">
        <v>75733598</v>
      </c>
      <c r="K317" s="16" t="s">
        <v>926</v>
      </c>
      <c r="L317" s="34" t="s">
        <v>927</v>
      </c>
      <c r="M317" s="38">
        <v>399900</v>
      </c>
      <c r="N317" s="7">
        <v>0.9</v>
      </c>
      <c r="O317" s="6">
        <f t="shared" si="10"/>
        <v>39990</v>
      </c>
      <c r="P317" s="5" t="s">
        <v>504</v>
      </c>
    </row>
    <row r="318" spans="1:16" s="1" customFormat="1" x14ac:dyDescent="0.35">
      <c r="A318" s="5" t="str">
        <f t="shared" si="9"/>
        <v>2023 H1 All Items D90</v>
      </c>
      <c r="B318" s="8">
        <f>'ALL 2024 H2 D80'!$B$2</f>
        <v>46114</v>
      </c>
      <c r="C318" s="8">
        <f>'ALL 2024 H2 D80'!$C$2</f>
        <v>46120</v>
      </c>
      <c r="D318" s="5">
        <v>3208</v>
      </c>
      <c r="E318" s="5">
        <v>320</v>
      </c>
      <c r="F318" s="5">
        <v>1</v>
      </c>
      <c r="G318" s="15">
        <v>3</v>
      </c>
      <c r="H318" s="15">
        <v>81078</v>
      </c>
      <c r="I318" s="5" t="s">
        <v>16</v>
      </c>
      <c r="J318" s="16">
        <v>75733605</v>
      </c>
      <c r="K318" s="16" t="s">
        <v>926</v>
      </c>
      <c r="L318" s="34" t="s">
        <v>928</v>
      </c>
      <c r="M318" s="38">
        <v>399900</v>
      </c>
      <c r="N318" s="7">
        <v>0.9</v>
      </c>
      <c r="O318" s="6">
        <f t="shared" si="10"/>
        <v>39990</v>
      </c>
      <c r="P318" s="5" t="s">
        <v>504</v>
      </c>
    </row>
    <row r="319" spans="1:16" s="1" customFormat="1" x14ac:dyDescent="0.35">
      <c r="A319" s="5" t="str">
        <f t="shared" si="9"/>
        <v>2023 H1 All Items D90</v>
      </c>
      <c r="B319" s="8">
        <f>'ALL 2024 H2 D80'!$B$2</f>
        <v>46114</v>
      </c>
      <c r="C319" s="8">
        <f>'ALL 2024 H2 D80'!$C$2</f>
        <v>46120</v>
      </c>
      <c r="D319" s="5">
        <v>3208</v>
      </c>
      <c r="E319" s="5">
        <v>320</v>
      </c>
      <c r="F319" s="5">
        <v>1</v>
      </c>
      <c r="G319" s="15">
        <v>3</v>
      </c>
      <c r="H319" s="15">
        <v>81078</v>
      </c>
      <c r="I319" s="5" t="s">
        <v>16</v>
      </c>
      <c r="J319" s="16">
        <v>80907113</v>
      </c>
      <c r="K319" s="16" t="s">
        <v>929</v>
      </c>
      <c r="L319" s="34" t="s">
        <v>930</v>
      </c>
      <c r="M319" s="38">
        <v>399900</v>
      </c>
      <c r="N319" s="7">
        <v>0.9</v>
      </c>
      <c r="O319" s="6">
        <f t="shared" si="10"/>
        <v>39990</v>
      </c>
      <c r="P319" s="5" t="s">
        <v>504</v>
      </c>
    </row>
    <row r="320" spans="1:16" s="1" customFormat="1" x14ac:dyDescent="0.35">
      <c r="A320" s="5" t="str">
        <f t="shared" si="9"/>
        <v>2023 H1 All Items D90</v>
      </c>
      <c r="B320" s="8">
        <f>'ALL 2024 H2 D80'!$B$2</f>
        <v>46114</v>
      </c>
      <c r="C320" s="8">
        <f>'ALL 2024 H2 D80'!$C$2</f>
        <v>46120</v>
      </c>
      <c r="D320" s="5">
        <v>3208</v>
      </c>
      <c r="E320" s="5">
        <v>320</v>
      </c>
      <c r="F320" s="5">
        <v>1</v>
      </c>
      <c r="G320" s="15">
        <v>3</v>
      </c>
      <c r="H320" s="15">
        <v>81078</v>
      </c>
      <c r="I320" s="5" t="s">
        <v>16</v>
      </c>
      <c r="J320" s="16">
        <v>80907122</v>
      </c>
      <c r="K320" s="16" t="s">
        <v>929</v>
      </c>
      <c r="L320" s="34" t="s">
        <v>931</v>
      </c>
      <c r="M320" s="38">
        <v>399900</v>
      </c>
      <c r="N320" s="7">
        <v>0.9</v>
      </c>
      <c r="O320" s="6">
        <f t="shared" si="10"/>
        <v>39990</v>
      </c>
      <c r="P320" s="5" t="s">
        <v>504</v>
      </c>
    </row>
    <row r="321" spans="1:16" s="1" customFormat="1" x14ac:dyDescent="0.35">
      <c r="A321" s="5" t="str">
        <f t="shared" si="9"/>
        <v>2023 H1 All Items D90</v>
      </c>
      <c r="B321" s="8">
        <f>'ALL 2024 H2 D80'!$B$2</f>
        <v>46114</v>
      </c>
      <c r="C321" s="8">
        <f>'ALL 2024 H2 D80'!$C$2</f>
        <v>46120</v>
      </c>
      <c r="D321" s="5">
        <v>3208</v>
      </c>
      <c r="E321" s="5">
        <v>320</v>
      </c>
      <c r="F321" s="5">
        <v>1</v>
      </c>
      <c r="G321" s="15">
        <v>3</v>
      </c>
      <c r="H321" s="15">
        <v>81078</v>
      </c>
      <c r="I321" s="5" t="s">
        <v>16</v>
      </c>
      <c r="J321" s="16">
        <v>80907131</v>
      </c>
      <c r="K321" s="16" t="s">
        <v>929</v>
      </c>
      <c r="L321" s="34" t="s">
        <v>932</v>
      </c>
      <c r="M321" s="38">
        <v>399900</v>
      </c>
      <c r="N321" s="7">
        <v>0.9</v>
      </c>
      <c r="O321" s="6">
        <f t="shared" si="10"/>
        <v>39990</v>
      </c>
      <c r="P321" s="5" t="s">
        <v>504</v>
      </c>
    </row>
    <row r="322" spans="1:16" s="1" customFormat="1" x14ac:dyDescent="0.35">
      <c r="A322" s="5" t="str">
        <f t="shared" si="9"/>
        <v>2023 H1 All Items D90</v>
      </c>
      <c r="B322" s="8">
        <f>'ALL 2024 H2 D80'!$B$2</f>
        <v>46114</v>
      </c>
      <c r="C322" s="8">
        <f>'ALL 2024 H2 D80'!$C$2</f>
        <v>46120</v>
      </c>
      <c r="D322" s="5">
        <v>3208</v>
      </c>
      <c r="E322" s="5">
        <v>320</v>
      </c>
      <c r="F322" s="5">
        <v>1</v>
      </c>
      <c r="G322" s="15">
        <v>3</v>
      </c>
      <c r="H322" s="15">
        <v>81078</v>
      </c>
      <c r="I322" s="5" t="s">
        <v>16</v>
      </c>
      <c r="J322" s="16">
        <v>80907140</v>
      </c>
      <c r="K322" s="16" t="s">
        <v>929</v>
      </c>
      <c r="L322" s="34" t="s">
        <v>933</v>
      </c>
      <c r="M322" s="38">
        <v>399900</v>
      </c>
      <c r="N322" s="7">
        <v>0.9</v>
      </c>
      <c r="O322" s="6">
        <f t="shared" si="10"/>
        <v>39990</v>
      </c>
      <c r="P322" s="5" t="s">
        <v>504</v>
      </c>
    </row>
    <row r="323" spans="1:16" s="1" customFormat="1" x14ac:dyDescent="0.35">
      <c r="A323" s="5" t="str">
        <f t="shared" si="9"/>
        <v>2023 H1 All Items D90</v>
      </c>
      <c r="B323" s="8">
        <f>'ALL 2024 H2 D80'!$B$2</f>
        <v>46114</v>
      </c>
      <c r="C323" s="8">
        <f>'ALL 2024 H2 D80'!$C$2</f>
        <v>46120</v>
      </c>
      <c r="D323" s="5">
        <v>3208</v>
      </c>
      <c r="E323" s="5">
        <v>320</v>
      </c>
      <c r="F323" s="5">
        <v>1</v>
      </c>
      <c r="G323" s="15">
        <v>3</v>
      </c>
      <c r="H323" s="15">
        <v>81078</v>
      </c>
      <c r="I323" s="5" t="s">
        <v>16</v>
      </c>
      <c r="J323" s="16">
        <v>81289398</v>
      </c>
      <c r="K323" s="16" t="s">
        <v>342</v>
      </c>
      <c r="L323" s="34" t="s">
        <v>934</v>
      </c>
      <c r="M323" s="38">
        <v>429900</v>
      </c>
      <c r="N323" s="7">
        <v>0.9</v>
      </c>
      <c r="O323" s="6">
        <f t="shared" si="10"/>
        <v>42990</v>
      </c>
      <c r="P323" s="5" t="s">
        <v>504</v>
      </c>
    </row>
    <row r="324" spans="1:16" s="1" customFormat="1" x14ac:dyDescent="0.35">
      <c r="A324" s="5" t="str">
        <f t="shared" ref="A324:A387" si="11">$A$2</f>
        <v>2023 H1 All Items D90</v>
      </c>
      <c r="B324" s="8">
        <f>'ALL 2024 H2 D80'!$B$2</f>
        <v>46114</v>
      </c>
      <c r="C324" s="8">
        <f>'ALL 2024 H2 D80'!$C$2</f>
        <v>46120</v>
      </c>
      <c r="D324" s="5">
        <v>3208</v>
      </c>
      <c r="E324" s="5">
        <v>320</v>
      </c>
      <c r="F324" s="5">
        <v>1</v>
      </c>
      <c r="G324" s="15">
        <v>3</v>
      </c>
      <c r="H324" s="15">
        <v>81078</v>
      </c>
      <c r="I324" s="5" t="s">
        <v>16</v>
      </c>
      <c r="J324" s="16">
        <v>81289405</v>
      </c>
      <c r="K324" s="16" t="s">
        <v>342</v>
      </c>
      <c r="L324" s="34" t="s">
        <v>935</v>
      </c>
      <c r="M324" s="38">
        <v>429900</v>
      </c>
      <c r="N324" s="7">
        <v>0.9</v>
      </c>
      <c r="O324" s="6">
        <f t="shared" si="10"/>
        <v>42990</v>
      </c>
      <c r="P324" s="5" t="s">
        <v>504</v>
      </c>
    </row>
    <row r="325" spans="1:16" s="1" customFormat="1" x14ac:dyDescent="0.35">
      <c r="A325" s="5" t="str">
        <f t="shared" si="11"/>
        <v>2023 H1 All Items D90</v>
      </c>
      <c r="B325" s="8">
        <f>'ALL 2024 H2 D80'!$B$2</f>
        <v>46114</v>
      </c>
      <c r="C325" s="8">
        <f>'ALL 2024 H2 D80'!$C$2</f>
        <v>46120</v>
      </c>
      <c r="D325" s="5">
        <v>3208</v>
      </c>
      <c r="E325" s="5">
        <v>320</v>
      </c>
      <c r="F325" s="5">
        <v>1</v>
      </c>
      <c r="G325" s="15">
        <v>3</v>
      </c>
      <c r="H325" s="15">
        <v>81078</v>
      </c>
      <c r="I325" s="5" t="s">
        <v>16</v>
      </c>
      <c r="J325" s="16">
        <v>81289414</v>
      </c>
      <c r="K325" s="16" t="s">
        <v>342</v>
      </c>
      <c r="L325" s="34" t="s">
        <v>936</v>
      </c>
      <c r="M325" s="38">
        <v>429900</v>
      </c>
      <c r="N325" s="7">
        <v>0.9</v>
      </c>
      <c r="O325" s="6">
        <f t="shared" si="10"/>
        <v>42990</v>
      </c>
      <c r="P325" s="5" t="s">
        <v>504</v>
      </c>
    </row>
    <row r="326" spans="1:16" s="1" customFormat="1" x14ac:dyDescent="0.35">
      <c r="A326" s="5" t="str">
        <f t="shared" si="11"/>
        <v>2023 H1 All Items D90</v>
      </c>
      <c r="B326" s="8">
        <f>'ALL 2024 H2 D80'!$B$2</f>
        <v>46114</v>
      </c>
      <c r="C326" s="8">
        <f>'ALL 2024 H2 D80'!$C$2</f>
        <v>46120</v>
      </c>
      <c r="D326" s="5">
        <v>3208</v>
      </c>
      <c r="E326" s="5">
        <v>320</v>
      </c>
      <c r="F326" s="5">
        <v>1</v>
      </c>
      <c r="G326" s="15">
        <v>3</v>
      </c>
      <c r="H326" s="15">
        <v>81078</v>
      </c>
      <c r="I326" s="5" t="s">
        <v>16</v>
      </c>
      <c r="J326" s="16">
        <v>81289423</v>
      </c>
      <c r="K326" s="16" t="s">
        <v>342</v>
      </c>
      <c r="L326" s="34" t="s">
        <v>937</v>
      </c>
      <c r="M326" s="38">
        <v>429900</v>
      </c>
      <c r="N326" s="7">
        <v>0.9</v>
      </c>
      <c r="O326" s="6">
        <f t="shared" si="10"/>
        <v>42990</v>
      </c>
      <c r="P326" s="5" t="s">
        <v>504</v>
      </c>
    </row>
    <row r="327" spans="1:16" s="1" customFormat="1" x14ac:dyDescent="0.35">
      <c r="A327" s="5" t="str">
        <f t="shared" si="11"/>
        <v>2023 H1 All Items D90</v>
      </c>
      <c r="B327" s="8">
        <f>'ALL 2024 H2 D80'!$B$2</f>
        <v>46114</v>
      </c>
      <c r="C327" s="8">
        <f>'ALL 2024 H2 D80'!$C$2</f>
        <v>46120</v>
      </c>
      <c r="D327" s="5">
        <v>3208</v>
      </c>
      <c r="E327" s="5">
        <v>320</v>
      </c>
      <c r="F327" s="5">
        <v>1</v>
      </c>
      <c r="G327" s="15">
        <v>3</v>
      </c>
      <c r="H327" s="15">
        <v>81078</v>
      </c>
      <c r="I327" s="5" t="s">
        <v>16</v>
      </c>
      <c r="J327" s="16">
        <v>81889525</v>
      </c>
      <c r="K327" s="16" t="s">
        <v>342</v>
      </c>
      <c r="L327" s="34" t="s">
        <v>938</v>
      </c>
      <c r="M327" s="38">
        <v>429900</v>
      </c>
      <c r="N327" s="7">
        <v>0.9</v>
      </c>
      <c r="O327" s="6">
        <f t="shared" si="10"/>
        <v>42990</v>
      </c>
      <c r="P327" s="5" t="s">
        <v>504</v>
      </c>
    </row>
    <row r="328" spans="1:16" s="1" customFormat="1" x14ac:dyDescent="0.35">
      <c r="A328" s="5" t="str">
        <f t="shared" si="11"/>
        <v>2023 H1 All Items D90</v>
      </c>
      <c r="B328" s="8">
        <f>'ALL 2024 H2 D80'!$B$2</f>
        <v>46114</v>
      </c>
      <c r="C328" s="8">
        <f>'ALL 2024 H2 D80'!$C$2</f>
        <v>46120</v>
      </c>
      <c r="D328" s="5">
        <v>3208</v>
      </c>
      <c r="E328" s="5">
        <v>320</v>
      </c>
      <c r="F328" s="5">
        <v>1</v>
      </c>
      <c r="G328" s="15">
        <v>3</v>
      </c>
      <c r="H328" s="15">
        <v>81078</v>
      </c>
      <c r="I328" s="5" t="s">
        <v>16</v>
      </c>
      <c r="J328" s="16">
        <v>81889534</v>
      </c>
      <c r="K328" s="16" t="s">
        <v>342</v>
      </c>
      <c r="L328" s="34" t="s">
        <v>939</v>
      </c>
      <c r="M328" s="38">
        <v>429900</v>
      </c>
      <c r="N328" s="7">
        <v>0.9</v>
      </c>
      <c r="O328" s="6">
        <f t="shared" si="10"/>
        <v>42990</v>
      </c>
      <c r="P328" s="5" t="s">
        <v>504</v>
      </c>
    </row>
    <row r="329" spans="1:16" s="1" customFormat="1" x14ac:dyDescent="0.35">
      <c r="A329" s="5" t="str">
        <f t="shared" si="11"/>
        <v>2023 H1 All Items D90</v>
      </c>
      <c r="B329" s="8">
        <f>'ALL 2024 H2 D80'!$B$2</f>
        <v>46114</v>
      </c>
      <c r="C329" s="8">
        <f>'ALL 2024 H2 D80'!$C$2</f>
        <v>46120</v>
      </c>
      <c r="D329" s="5">
        <v>3208</v>
      </c>
      <c r="E329" s="5">
        <v>320</v>
      </c>
      <c r="F329" s="5">
        <v>1</v>
      </c>
      <c r="G329" s="15">
        <v>3</v>
      </c>
      <c r="H329" s="15">
        <v>81078</v>
      </c>
      <c r="I329" s="5" t="s">
        <v>16</v>
      </c>
      <c r="J329" s="16">
        <v>81889543</v>
      </c>
      <c r="K329" s="16" t="s">
        <v>342</v>
      </c>
      <c r="L329" s="34" t="s">
        <v>940</v>
      </c>
      <c r="M329" s="38">
        <v>429900</v>
      </c>
      <c r="N329" s="7">
        <v>0.9</v>
      </c>
      <c r="O329" s="6">
        <f t="shared" si="10"/>
        <v>42990</v>
      </c>
      <c r="P329" s="5" t="s">
        <v>504</v>
      </c>
    </row>
    <row r="330" spans="1:16" s="1" customFormat="1" x14ac:dyDescent="0.35">
      <c r="A330" s="5" t="str">
        <f t="shared" si="11"/>
        <v>2023 H1 All Items D90</v>
      </c>
      <c r="B330" s="8">
        <f>'ALL 2024 H2 D80'!$B$2</f>
        <v>46114</v>
      </c>
      <c r="C330" s="8">
        <f>'ALL 2024 H2 D80'!$C$2</f>
        <v>46120</v>
      </c>
      <c r="D330" s="5">
        <v>3208</v>
      </c>
      <c r="E330" s="5">
        <v>320</v>
      </c>
      <c r="F330" s="5">
        <v>1</v>
      </c>
      <c r="G330" s="5">
        <v>3</v>
      </c>
      <c r="H330" s="5">
        <v>81078</v>
      </c>
      <c r="I330" s="5" t="s">
        <v>16</v>
      </c>
      <c r="J330" s="5">
        <v>81889552</v>
      </c>
      <c r="K330" s="5" t="s">
        <v>342</v>
      </c>
      <c r="L330" s="14" t="s">
        <v>941</v>
      </c>
      <c r="M330" s="24">
        <v>429900</v>
      </c>
      <c r="N330" s="7">
        <v>0.9</v>
      </c>
      <c r="O330" s="6">
        <f t="shared" si="10"/>
        <v>42990</v>
      </c>
      <c r="P330" s="5" t="s">
        <v>504</v>
      </c>
    </row>
    <row r="331" spans="1:16" s="1" customFormat="1" x14ac:dyDescent="0.35">
      <c r="A331" s="5" t="str">
        <f t="shared" si="11"/>
        <v>2023 H1 All Items D90</v>
      </c>
      <c r="B331" s="8">
        <f>'ALL 2024 H2 D80'!$B$2</f>
        <v>46114</v>
      </c>
      <c r="C331" s="8">
        <f>'ALL 2024 H2 D80'!$C$2</f>
        <v>46120</v>
      </c>
      <c r="D331" s="5">
        <v>3208</v>
      </c>
      <c r="E331" s="5">
        <v>320</v>
      </c>
      <c r="F331" s="5">
        <v>1</v>
      </c>
      <c r="G331" s="5">
        <v>3</v>
      </c>
      <c r="H331" s="5">
        <v>81078</v>
      </c>
      <c r="I331" s="5" t="s">
        <v>16</v>
      </c>
      <c r="J331" s="5">
        <v>82238459</v>
      </c>
      <c r="K331" s="5" t="s">
        <v>942</v>
      </c>
      <c r="L331" s="14" t="s">
        <v>943</v>
      </c>
      <c r="M331" s="24">
        <v>349900</v>
      </c>
      <c r="N331" s="7">
        <v>0.9</v>
      </c>
      <c r="O331" s="6">
        <f t="shared" si="10"/>
        <v>34990</v>
      </c>
      <c r="P331" s="5" t="s">
        <v>504</v>
      </c>
    </row>
    <row r="332" spans="1:16" s="1" customFormat="1" x14ac:dyDescent="0.35">
      <c r="A332" s="5" t="str">
        <f t="shared" si="11"/>
        <v>2023 H1 All Items D90</v>
      </c>
      <c r="B332" s="8">
        <f>'ALL 2024 H2 D80'!$B$2</f>
        <v>46114</v>
      </c>
      <c r="C332" s="8">
        <f>'ALL 2024 H2 D80'!$C$2</f>
        <v>46120</v>
      </c>
      <c r="D332" s="5">
        <v>3208</v>
      </c>
      <c r="E332" s="5">
        <v>320</v>
      </c>
      <c r="F332" s="5">
        <v>1</v>
      </c>
      <c r="G332" s="5">
        <v>3</v>
      </c>
      <c r="H332" s="5">
        <v>81078</v>
      </c>
      <c r="I332" s="5" t="s">
        <v>16</v>
      </c>
      <c r="J332" s="5">
        <v>82238468</v>
      </c>
      <c r="K332" s="5" t="s">
        <v>942</v>
      </c>
      <c r="L332" s="14" t="s">
        <v>944</v>
      </c>
      <c r="M332" s="24">
        <v>349900</v>
      </c>
      <c r="N332" s="7">
        <v>0.9</v>
      </c>
      <c r="O332" s="6">
        <f t="shared" si="10"/>
        <v>34990</v>
      </c>
      <c r="P332" s="5" t="s">
        <v>504</v>
      </c>
    </row>
    <row r="333" spans="1:16" s="1" customFormat="1" x14ac:dyDescent="0.35">
      <c r="A333" s="5" t="str">
        <f t="shared" si="11"/>
        <v>2023 H1 All Items D90</v>
      </c>
      <c r="B333" s="8">
        <f>'ALL 2024 H2 D80'!$B$2</f>
        <v>46114</v>
      </c>
      <c r="C333" s="8">
        <f>'ALL 2024 H2 D80'!$C$2</f>
        <v>46120</v>
      </c>
      <c r="D333" s="5">
        <v>3208</v>
      </c>
      <c r="E333" s="5">
        <v>320</v>
      </c>
      <c r="F333" s="5">
        <v>1</v>
      </c>
      <c r="G333" s="5">
        <v>3</v>
      </c>
      <c r="H333" s="5">
        <v>81078</v>
      </c>
      <c r="I333" s="5" t="s">
        <v>16</v>
      </c>
      <c r="J333" s="5">
        <v>82238477</v>
      </c>
      <c r="K333" s="5" t="s">
        <v>942</v>
      </c>
      <c r="L333" s="14" t="s">
        <v>945</v>
      </c>
      <c r="M333" s="24">
        <v>349900</v>
      </c>
      <c r="N333" s="7">
        <v>0.9</v>
      </c>
      <c r="O333" s="6">
        <f t="shared" si="10"/>
        <v>34990</v>
      </c>
      <c r="P333" s="5" t="s">
        <v>504</v>
      </c>
    </row>
    <row r="334" spans="1:16" s="1" customFormat="1" x14ac:dyDescent="0.35">
      <c r="A334" s="5" t="str">
        <f t="shared" si="11"/>
        <v>2023 H1 All Items D90</v>
      </c>
      <c r="B334" s="8">
        <f>'ALL 2024 H2 D80'!$B$2</f>
        <v>46114</v>
      </c>
      <c r="C334" s="8">
        <f>'ALL 2024 H2 D80'!$C$2</f>
        <v>46120</v>
      </c>
      <c r="D334" s="5">
        <v>3208</v>
      </c>
      <c r="E334" s="5">
        <v>320</v>
      </c>
      <c r="F334" s="5">
        <v>1</v>
      </c>
      <c r="G334" s="5">
        <v>3</v>
      </c>
      <c r="H334" s="5">
        <v>81078</v>
      </c>
      <c r="I334" s="5" t="s">
        <v>16</v>
      </c>
      <c r="J334" s="5">
        <v>82238486</v>
      </c>
      <c r="K334" s="5" t="s">
        <v>942</v>
      </c>
      <c r="L334" s="14" t="s">
        <v>946</v>
      </c>
      <c r="M334" s="24">
        <v>349900</v>
      </c>
      <c r="N334" s="7">
        <v>0.9</v>
      </c>
      <c r="O334" s="6">
        <f t="shared" si="10"/>
        <v>34990</v>
      </c>
      <c r="P334" s="5" t="s">
        <v>504</v>
      </c>
    </row>
    <row r="335" spans="1:16" s="1" customFormat="1" x14ac:dyDescent="0.35">
      <c r="A335" s="5" t="str">
        <f t="shared" si="11"/>
        <v>2023 H1 All Items D90</v>
      </c>
      <c r="B335" s="8">
        <f>'ALL 2024 H2 D80'!$B$2</f>
        <v>46114</v>
      </c>
      <c r="C335" s="8">
        <f>'ALL 2024 H2 D80'!$C$2</f>
        <v>46120</v>
      </c>
      <c r="D335" s="5">
        <v>3208</v>
      </c>
      <c r="E335" s="5">
        <v>320</v>
      </c>
      <c r="F335" s="5">
        <v>1</v>
      </c>
      <c r="G335" s="5">
        <v>4</v>
      </c>
      <c r="H335" s="5">
        <v>81044</v>
      </c>
      <c r="I335" s="5" t="s">
        <v>16</v>
      </c>
      <c r="J335" s="5">
        <v>79665762</v>
      </c>
      <c r="K335" s="5" t="s">
        <v>787</v>
      </c>
      <c r="L335" s="14" t="s">
        <v>788</v>
      </c>
      <c r="M335" s="24">
        <v>369900</v>
      </c>
      <c r="N335" s="7">
        <v>0.9</v>
      </c>
      <c r="O335" s="6">
        <f t="shared" si="10"/>
        <v>36990</v>
      </c>
      <c r="P335" s="5" t="s">
        <v>504</v>
      </c>
    </row>
    <row r="336" spans="1:16" s="1" customFormat="1" x14ac:dyDescent="0.35">
      <c r="A336" s="5" t="str">
        <f t="shared" si="11"/>
        <v>2023 H1 All Items D90</v>
      </c>
      <c r="B336" s="8">
        <f>'ALL 2024 H2 D80'!$B$2</f>
        <v>46114</v>
      </c>
      <c r="C336" s="8">
        <f>'ALL 2024 H2 D80'!$C$2</f>
        <v>46120</v>
      </c>
      <c r="D336" s="5">
        <v>3208</v>
      </c>
      <c r="E336" s="5">
        <v>320</v>
      </c>
      <c r="F336" s="5">
        <v>1</v>
      </c>
      <c r="G336" s="5">
        <v>4</v>
      </c>
      <c r="H336" s="5">
        <v>81044</v>
      </c>
      <c r="I336" s="5" t="s">
        <v>16</v>
      </c>
      <c r="J336" s="5">
        <v>79665771</v>
      </c>
      <c r="K336" s="5" t="s">
        <v>787</v>
      </c>
      <c r="L336" s="14" t="s">
        <v>789</v>
      </c>
      <c r="M336" s="24">
        <v>369900</v>
      </c>
      <c r="N336" s="7">
        <v>0.9</v>
      </c>
      <c r="O336" s="6">
        <f t="shared" si="10"/>
        <v>36990</v>
      </c>
      <c r="P336" s="5" t="s">
        <v>504</v>
      </c>
    </row>
    <row r="337" spans="1:16" s="1" customFormat="1" x14ac:dyDescent="0.35">
      <c r="A337" s="5" t="str">
        <f t="shared" si="11"/>
        <v>2023 H1 All Items D90</v>
      </c>
      <c r="B337" s="8">
        <f>'ALL 2024 H2 D80'!$B$2</f>
        <v>46114</v>
      </c>
      <c r="C337" s="8">
        <f>'ALL 2024 H2 D80'!$C$2</f>
        <v>46120</v>
      </c>
      <c r="D337" s="5">
        <v>3208</v>
      </c>
      <c r="E337" s="5">
        <v>320</v>
      </c>
      <c r="F337" s="5">
        <v>1</v>
      </c>
      <c r="G337" s="5">
        <v>4</v>
      </c>
      <c r="H337" s="5">
        <v>81044</v>
      </c>
      <c r="I337" s="5" t="s">
        <v>16</v>
      </c>
      <c r="J337" s="5">
        <v>79665780</v>
      </c>
      <c r="K337" s="5" t="s">
        <v>787</v>
      </c>
      <c r="L337" s="14" t="s">
        <v>790</v>
      </c>
      <c r="M337" s="24">
        <v>369900</v>
      </c>
      <c r="N337" s="7">
        <v>0.9</v>
      </c>
      <c r="O337" s="6">
        <f t="shared" si="10"/>
        <v>36990</v>
      </c>
      <c r="P337" s="5" t="s">
        <v>504</v>
      </c>
    </row>
    <row r="338" spans="1:16" s="1" customFormat="1" x14ac:dyDescent="0.35">
      <c r="A338" s="5" t="str">
        <f t="shared" si="11"/>
        <v>2023 H1 All Items D90</v>
      </c>
      <c r="B338" s="8">
        <f>'ALL 2024 H2 D80'!$B$2</f>
        <v>46114</v>
      </c>
      <c r="C338" s="8">
        <f>'ALL 2024 H2 D80'!$C$2</f>
        <v>46120</v>
      </c>
      <c r="D338" s="5">
        <v>3208</v>
      </c>
      <c r="E338" s="5">
        <v>320</v>
      </c>
      <c r="F338" s="5">
        <v>1</v>
      </c>
      <c r="G338" s="5">
        <v>4</v>
      </c>
      <c r="H338" s="5">
        <v>81044</v>
      </c>
      <c r="I338" s="5" t="s">
        <v>16</v>
      </c>
      <c r="J338" s="5">
        <v>79665799</v>
      </c>
      <c r="K338" s="5" t="s">
        <v>787</v>
      </c>
      <c r="L338" s="14" t="s">
        <v>791</v>
      </c>
      <c r="M338" s="24">
        <v>369900</v>
      </c>
      <c r="N338" s="7">
        <v>0.9</v>
      </c>
      <c r="O338" s="6">
        <f t="shared" si="10"/>
        <v>36990</v>
      </c>
      <c r="P338" s="5" t="s">
        <v>504</v>
      </c>
    </row>
    <row r="339" spans="1:16" s="1" customFormat="1" x14ac:dyDescent="0.35">
      <c r="A339" s="5" t="str">
        <f t="shared" si="11"/>
        <v>2023 H1 All Items D90</v>
      </c>
      <c r="B339" s="8">
        <f>'ALL 2024 H2 D80'!$B$2</f>
        <v>46114</v>
      </c>
      <c r="C339" s="8">
        <f>'ALL 2024 H2 D80'!$C$2</f>
        <v>46120</v>
      </c>
      <c r="D339" s="5">
        <v>3208</v>
      </c>
      <c r="E339" s="5">
        <v>320</v>
      </c>
      <c r="F339" s="5">
        <v>1</v>
      </c>
      <c r="G339" s="5">
        <v>4</v>
      </c>
      <c r="H339" s="5">
        <v>81044</v>
      </c>
      <c r="I339" s="5" t="s">
        <v>16</v>
      </c>
      <c r="J339" s="5">
        <v>81290233</v>
      </c>
      <c r="K339" s="5" t="s">
        <v>792</v>
      </c>
      <c r="L339" s="14" t="s">
        <v>793</v>
      </c>
      <c r="M339" s="24">
        <v>399900</v>
      </c>
      <c r="N339" s="7">
        <v>0.9</v>
      </c>
      <c r="O339" s="6">
        <f t="shared" si="10"/>
        <v>39990</v>
      </c>
      <c r="P339" s="5" t="s">
        <v>504</v>
      </c>
    </row>
    <row r="340" spans="1:16" s="1" customFormat="1" x14ac:dyDescent="0.35">
      <c r="A340" s="5" t="str">
        <f t="shared" si="11"/>
        <v>2023 H1 All Items D90</v>
      </c>
      <c r="B340" s="8">
        <f>'ALL 2024 H2 D80'!$B$2</f>
        <v>46114</v>
      </c>
      <c r="C340" s="8">
        <f>'ALL 2024 H2 D80'!$C$2</f>
        <v>46120</v>
      </c>
      <c r="D340" s="5">
        <v>3208</v>
      </c>
      <c r="E340" s="5">
        <v>320</v>
      </c>
      <c r="F340" s="5">
        <v>1</v>
      </c>
      <c r="G340" s="5">
        <v>4</v>
      </c>
      <c r="H340" s="5">
        <v>81044</v>
      </c>
      <c r="I340" s="5" t="s">
        <v>16</v>
      </c>
      <c r="J340" s="5">
        <v>81290242</v>
      </c>
      <c r="K340" s="5" t="s">
        <v>792</v>
      </c>
      <c r="L340" s="14" t="s">
        <v>794</v>
      </c>
      <c r="M340" s="24">
        <v>399900</v>
      </c>
      <c r="N340" s="7">
        <v>0.9</v>
      </c>
      <c r="O340" s="6">
        <f t="shared" si="10"/>
        <v>39990</v>
      </c>
      <c r="P340" s="5" t="s">
        <v>504</v>
      </c>
    </row>
    <row r="341" spans="1:16" s="1" customFormat="1" x14ac:dyDescent="0.35">
      <c r="A341" s="5" t="str">
        <f t="shared" si="11"/>
        <v>2023 H1 All Items D90</v>
      </c>
      <c r="B341" s="8">
        <f>'ALL 2024 H2 D80'!$B$2</f>
        <v>46114</v>
      </c>
      <c r="C341" s="8">
        <f>'ALL 2024 H2 D80'!$C$2</f>
        <v>46120</v>
      </c>
      <c r="D341" s="5">
        <v>3208</v>
      </c>
      <c r="E341" s="5">
        <v>320</v>
      </c>
      <c r="F341" s="5">
        <v>1</v>
      </c>
      <c r="G341" s="5">
        <v>4</v>
      </c>
      <c r="H341" s="5">
        <v>81044</v>
      </c>
      <c r="I341" s="5" t="s">
        <v>16</v>
      </c>
      <c r="J341" s="5">
        <v>81290251</v>
      </c>
      <c r="K341" s="5" t="s">
        <v>792</v>
      </c>
      <c r="L341" s="14" t="s">
        <v>795</v>
      </c>
      <c r="M341" s="24">
        <v>399900</v>
      </c>
      <c r="N341" s="7">
        <v>0.9</v>
      </c>
      <c r="O341" s="6">
        <f t="shared" si="10"/>
        <v>39990</v>
      </c>
      <c r="P341" s="5" t="s">
        <v>504</v>
      </c>
    </row>
    <row r="342" spans="1:16" s="1" customFormat="1" x14ac:dyDescent="0.35">
      <c r="A342" s="5" t="str">
        <f t="shared" si="11"/>
        <v>2023 H1 All Items D90</v>
      </c>
      <c r="B342" s="8">
        <f>'ALL 2024 H2 D80'!$B$2</f>
        <v>46114</v>
      </c>
      <c r="C342" s="8">
        <f>'ALL 2024 H2 D80'!$C$2</f>
        <v>46120</v>
      </c>
      <c r="D342" s="5">
        <v>3208</v>
      </c>
      <c r="E342" s="5">
        <v>320</v>
      </c>
      <c r="F342" s="5">
        <v>1</v>
      </c>
      <c r="G342" s="5">
        <v>4</v>
      </c>
      <c r="H342" s="5">
        <v>81044</v>
      </c>
      <c r="I342" s="5" t="s">
        <v>16</v>
      </c>
      <c r="J342" s="5">
        <v>81290260</v>
      </c>
      <c r="K342" s="5" t="s">
        <v>792</v>
      </c>
      <c r="L342" s="14" t="s">
        <v>796</v>
      </c>
      <c r="M342" s="24">
        <v>399900</v>
      </c>
      <c r="N342" s="7">
        <v>0.9</v>
      </c>
      <c r="O342" s="6">
        <f t="shared" si="10"/>
        <v>39990</v>
      </c>
      <c r="P342" s="5" t="s">
        <v>504</v>
      </c>
    </row>
    <row r="343" spans="1:16" s="1" customFormat="1" x14ac:dyDescent="0.35">
      <c r="A343" s="5" t="str">
        <f t="shared" si="11"/>
        <v>2023 H1 All Items D90</v>
      </c>
      <c r="B343" s="8">
        <f>'ALL 2024 H2 D80'!$B$2</f>
        <v>46114</v>
      </c>
      <c r="C343" s="8">
        <f>'ALL 2024 H2 D80'!$C$2</f>
        <v>46120</v>
      </c>
      <c r="D343" s="5">
        <v>3208</v>
      </c>
      <c r="E343" s="5">
        <v>320</v>
      </c>
      <c r="F343" s="5">
        <v>1</v>
      </c>
      <c r="G343" s="5">
        <v>4</v>
      </c>
      <c r="H343" s="5">
        <v>81044</v>
      </c>
      <c r="I343" s="5" t="s">
        <v>16</v>
      </c>
      <c r="J343" s="5">
        <v>82238057</v>
      </c>
      <c r="K343" s="5" t="s">
        <v>797</v>
      </c>
      <c r="L343" s="14" t="s">
        <v>798</v>
      </c>
      <c r="M343" s="24">
        <v>399900</v>
      </c>
      <c r="N343" s="7">
        <v>0.9</v>
      </c>
      <c r="O343" s="6">
        <f t="shared" si="10"/>
        <v>39990</v>
      </c>
      <c r="P343" s="5" t="s">
        <v>504</v>
      </c>
    </row>
    <row r="344" spans="1:16" s="1" customFormat="1" x14ac:dyDescent="0.35">
      <c r="A344" s="5" t="str">
        <f t="shared" si="11"/>
        <v>2023 H1 All Items D90</v>
      </c>
      <c r="B344" s="8">
        <f>'ALL 2024 H2 D80'!$B$2</f>
        <v>46114</v>
      </c>
      <c r="C344" s="8">
        <f>'ALL 2024 H2 D80'!$C$2</f>
        <v>46120</v>
      </c>
      <c r="D344" s="5">
        <v>3208</v>
      </c>
      <c r="E344" s="5">
        <v>320</v>
      </c>
      <c r="F344" s="5">
        <v>1</v>
      </c>
      <c r="G344" s="5">
        <v>4</v>
      </c>
      <c r="H344" s="5">
        <v>81044</v>
      </c>
      <c r="I344" s="5" t="s">
        <v>16</v>
      </c>
      <c r="J344" s="5">
        <v>82238066</v>
      </c>
      <c r="K344" s="5" t="s">
        <v>797</v>
      </c>
      <c r="L344" s="14" t="s">
        <v>799</v>
      </c>
      <c r="M344" s="24">
        <v>399900</v>
      </c>
      <c r="N344" s="7">
        <v>0.9</v>
      </c>
      <c r="O344" s="6">
        <f t="shared" si="10"/>
        <v>39990</v>
      </c>
      <c r="P344" s="5" t="s">
        <v>504</v>
      </c>
    </row>
    <row r="345" spans="1:16" s="1" customFormat="1" x14ac:dyDescent="0.35">
      <c r="A345" s="5" t="str">
        <f t="shared" si="11"/>
        <v>2023 H1 All Items D90</v>
      </c>
      <c r="B345" s="8">
        <f>'ALL 2024 H2 D80'!$B$2</f>
        <v>46114</v>
      </c>
      <c r="C345" s="8">
        <f>'ALL 2024 H2 D80'!$C$2</f>
        <v>46120</v>
      </c>
      <c r="D345" s="5">
        <v>3208</v>
      </c>
      <c r="E345" s="5">
        <v>320</v>
      </c>
      <c r="F345" s="5">
        <v>1</v>
      </c>
      <c r="G345" s="5">
        <v>4</v>
      </c>
      <c r="H345" s="5">
        <v>81044</v>
      </c>
      <c r="I345" s="5" t="s">
        <v>16</v>
      </c>
      <c r="J345" s="5">
        <v>82238075</v>
      </c>
      <c r="K345" s="5" t="s">
        <v>797</v>
      </c>
      <c r="L345" s="14" t="s">
        <v>800</v>
      </c>
      <c r="M345" s="24">
        <v>399900</v>
      </c>
      <c r="N345" s="7">
        <v>0.9</v>
      </c>
      <c r="O345" s="6">
        <f t="shared" si="10"/>
        <v>39990</v>
      </c>
      <c r="P345" s="5" t="s">
        <v>504</v>
      </c>
    </row>
    <row r="346" spans="1:16" s="1" customFormat="1" x14ac:dyDescent="0.35">
      <c r="A346" s="5" t="str">
        <f t="shared" si="11"/>
        <v>2023 H1 All Items D90</v>
      </c>
      <c r="B346" s="8">
        <f>'ALL 2024 H2 D80'!$B$2</f>
        <v>46114</v>
      </c>
      <c r="C346" s="8">
        <f>'ALL 2024 H2 D80'!$C$2</f>
        <v>46120</v>
      </c>
      <c r="D346" s="5">
        <v>3208</v>
      </c>
      <c r="E346" s="5">
        <v>320</v>
      </c>
      <c r="F346" s="5">
        <v>1</v>
      </c>
      <c r="G346" s="5">
        <v>4</v>
      </c>
      <c r="H346" s="5">
        <v>81044</v>
      </c>
      <c r="I346" s="5" t="s">
        <v>16</v>
      </c>
      <c r="J346" s="5">
        <v>82238084</v>
      </c>
      <c r="K346" s="5" t="s">
        <v>797</v>
      </c>
      <c r="L346" s="14" t="s">
        <v>801</v>
      </c>
      <c r="M346" s="24">
        <v>399900</v>
      </c>
      <c r="N346" s="7">
        <v>0.9</v>
      </c>
      <c r="O346" s="6">
        <f t="shared" si="10"/>
        <v>39990</v>
      </c>
      <c r="P346" s="5" t="s">
        <v>504</v>
      </c>
    </row>
    <row r="347" spans="1:16" s="1" customFormat="1" x14ac:dyDescent="0.35">
      <c r="A347" s="5" t="str">
        <f t="shared" si="11"/>
        <v>2023 H1 All Items D90</v>
      </c>
      <c r="B347" s="8">
        <f>'ALL 2024 H2 D80'!$B$2</f>
        <v>46114</v>
      </c>
      <c r="C347" s="8">
        <f>'ALL 2024 H2 D80'!$C$2</f>
        <v>46120</v>
      </c>
      <c r="D347" s="5">
        <v>3208</v>
      </c>
      <c r="E347" s="5">
        <v>320</v>
      </c>
      <c r="F347" s="5">
        <v>1</v>
      </c>
      <c r="G347" s="5">
        <v>4</v>
      </c>
      <c r="H347" s="5">
        <v>81044</v>
      </c>
      <c r="I347" s="5" t="s">
        <v>16</v>
      </c>
      <c r="J347" s="5">
        <v>82238093</v>
      </c>
      <c r="K347" s="5" t="s">
        <v>797</v>
      </c>
      <c r="L347" s="14" t="s">
        <v>802</v>
      </c>
      <c r="M347" s="24">
        <v>399900</v>
      </c>
      <c r="N347" s="7">
        <v>0.9</v>
      </c>
      <c r="O347" s="6">
        <f t="shared" si="10"/>
        <v>39990</v>
      </c>
      <c r="P347" s="5" t="s">
        <v>504</v>
      </c>
    </row>
    <row r="348" spans="1:16" s="1" customFormat="1" x14ac:dyDescent="0.35">
      <c r="A348" s="5" t="str">
        <f t="shared" si="11"/>
        <v>2023 H1 All Items D90</v>
      </c>
      <c r="B348" s="8">
        <f>'ALL 2024 H2 D80'!$B$2</f>
        <v>46114</v>
      </c>
      <c r="C348" s="8">
        <f>'ALL 2024 H2 D80'!$C$2</f>
        <v>46120</v>
      </c>
      <c r="D348" s="5">
        <v>3208</v>
      </c>
      <c r="E348" s="5">
        <v>320</v>
      </c>
      <c r="F348" s="5">
        <v>1</v>
      </c>
      <c r="G348" s="5">
        <v>4</v>
      </c>
      <c r="H348" s="5">
        <v>81044</v>
      </c>
      <c r="I348" s="5" t="s">
        <v>16</v>
      </c>
      <c r="J348" s="5">
        <v>82238100</v>
      </c>
      <c r="K348" s="5" t="s">
        <v>797</v>
      </c>
      <c r="L348" s="14" t="s">
        <v>803</v>
      </c>
      <c r="M348" s="24">
        <v>399900</v>
      </c>
      <c r="N348" s="7">
        <v>0.9</v>
      </c>
      <c r="O348" s="6">
        <f t="shared" si="10"/>
        <v>39990</v>
      </c>
      <c r="P348" s="5" t="s">
        <v>504</v>
      </c>
    </row>
    <row r="349" spans="1:16" s="1" customFormat="1" x14ac:dyDescent="0.35">
      <c r="A349" s="5" t="str">
        <f t="shared" si="11"/>
        <v>2023 H1 All Items D90</v>
      </c>
      <c r="B349" s="8">
        <f>'ALL 2024 H2 D80'!$B$2</f>
        <v>46114</v>
      </c>
      <c r="C349" s="8">
        <f>'ALL 2024 H2 D80'!$C$2</f>
        <v>46120</v>
      </c>
      <c r="D349" s="5">
        <v>3208</v>
      </c>
      <c r="E349" s="5">
        <v>320</v>
      </c>
      <c r="F349" s="5">
        <v>1</v>
      </c>
      <c r="G349" s="5">
        <v>4</v>
      </c>
      <c r="H349" s="5">
        <v>81044</v>
      </c>
      <c r="I349" s="5" t="s">
        <v>16</v>
      </c>
      <c r="J349" s="5">
        <v>82238119</v>
      </c>
      <c r="K349" s="5" t="s">
        <v>797</v>
      </c>
      <c r="L349" s="14" t="s">
        <v>804</v>
      </c>
      <c r="M349" s="24">
        <v>399900</v>
      </c>
      <c r="N349" s="7">
        <v>0.9</v>
      </c>
      <c r="O349" s="6">
        <f t="shared" si="10"/>
        <v>39990</v>
      </c>
      <c r="P349" s="5" t="s">
        <v>504</v>
      </c>
    </row>
    <row r="350" spans="1:16" s="1" customFormat="1" x14ac:dyDescent="0.35">
      <c r="A350" s="5" t="str">
        <f t="shared" si="11"/>
        <v>2023 H1 All Items D90</v>
      </c>
      <c r="B350" s="8">
        <f>'ALL 2024 H2 D80'!$B$2</f>
        <v>46114</v>
      </c>
      <c r="C350" s="8">
        <f>'ALL 2024 H2 D80'!$C$2</f>
        <v>46120</v>
      </c>
      <c r="D350" s="5">
        <v>3208</v>
      </c>
      <c r="E350" s="5">
        <v>320</v>
      </c>
      <c r="F350" s="5">
        <v>1</v>
      </c>
      <c r="G350" s="5">
        <v>4</v>
      </c>
      <c r="H350" s="5">
        <v>81044</v>
      </c>
      <c r="I350" s="5" t="s">
        <v>16</v>
      </c>
      <c r="J350" s="5">
        <v>82238128</v>
      </c>
      <c r="K350" s="5" t="s">
        <v>797</v>
      </c>
      <c r="L350" s="14" t="s">
        <v>805</v>
      </c>
      <c r="M350" s="24">
        <v>399900</v>
      </c>
      <c r="N350" s="7">
        <v>0.9</v>
      </c>
      <c r="O350" s="6">
        <f t="shared" si="10"/>
        <v>39990</v>
      </c>
      <c r="P350" s="5" t="s">
        <v>504</v>
      </c>
    </row>
    <row r="351" spans="1:16" s="1" customFormat="1" x14ac:dyDescent="0.35">
      <c r="A351" s="5" t="str">
        <f t="shared" si="11"/>
        <v>2023 H1 All Items D90</v>
      </c>
      <c r="B351" s="8">
        <f>'ALL 2024 H2 D80'!$B$2</f>
        <v>46114</v>
      </c>
      <c r="C351" s="8">
        <f>'ALL 2024 H2 D80'!$C$2</f>
        <v>46120</v>
      </c>
      <c r="D351" s="5">
        <v>3208</v>
      </c>
      <c r="E351" s="5">
        <v>320</v>
      </c>
      <c r="F351" s="5">
        <v>1</v>
      </c>
      <c r="G351" s="5">
        <v>4</v>
      </c>
      <c r="H351" s="5">
        <v>81495</v>
      </c>
      <c r="I351" s="5" t="s">
        <v>16</v>
      </c>
      <c r="J351" s="5">
        <v>79666369</v>
      </c>
      <c r="K351" s="5" t="s">
        <v>806</v>
      </c>
      <c r="L351" s="14" t="s">
        <v>807</v>
      </c>
      <c r="M351" s="24">
        <v>349900</v>
      </c>
      <c r="N351" s="7">
        <v>0.9</v>
      </c>
      <c r="O351" s="6">
        <f t="shared" si="10"/>
        <v>34990</v>
      </c>
      <c r="P351" s="5" t="s">
        <v>504</v>
      </c>
    </row>
    <row r="352" spans="1:16" s="1" customFormat="1" x14ac:dyDescent="0.35">
      <c r="A352" s="5" t="str">
        <f t="shared" si="11"/>
        <v>2023 H1 All Items D90</v>
      </c>
      <c r="B352" s="8">
        <f>'ALL 2024 H2 D80'!$B$2</f>
        <v>46114</v>
      </c>
      <c r="C352" s="8">
        <f>'ALL 2024 H2 D80'!$C$2</f>
        <v>46120</v>
      </c>
      <c r="D352" s="5">
        <v>3208</v>
      </c>
      <c r="E352" s="5">
        <v>320</v>
      </c>
      <c r="F352" s="5">
        <v>1</v>
      </c>
      <c r="G352" s="5">
        <v>4</v>
      </c>
      <c r="H352" s="5">
        <v>81495</v>
      </c>
      <c r="I352" s="5" t="s">
        <v>16</v>
      </c>
      <c r="J352" s="5">
        <v>79666387</v>
      </c>
      <c r="K352" s="5" t="s">
        <v>806</v>
      </c>
      <c r="L352" s="14" t="s">
        <v>808</v>
      </c>
      <c r="M352" s="24">
        <v>349900</v>
      </c>
      <c r="N352" s="7">
        <v>0.9</v>
      </c>
      <c r="O352" s="6">
        <f t="shared" si="10"/>
        <v>34990</v>
      </c>
      <c r="P352" s="5" t="s">
        <v>504</v>
      </c>
    </row>
    <row r="353" spans="1:16" s="1" customFormat="1" x14ac:dyDescent="0.35">
      <c r="A353" s="5" t="str">
        <f t="shared" si="11"/>
        <v>2023 H1 All Items D90</v>
      </c>
      <c r="B353" s="8">
        <f>'ALL 2024 H2 D80'!$B$2</f>
        <v>46114</v>
      </c>
      <c r="C353" s="8">
        <f>'ALL 2024 H2 D80'!$C$2</f>
        <v>46120</v>
      </c>
      <c r="D353" s="5">
        <v>3208</v>
      </c>
      <c r="E353" s="5">
        <v>320</v>
      </c>
      <c r="F353" s="5">
        <v>1</v>
      </c>
      <c r="G353" s="5">
        <v>4</v>
      </c>
      <c r="H353" s="5">
        <v>81495</v>
      </c>
      <c r="I353" s="5" t="s">
        <v>16</v>
      </c>
      <c r="J353" s="5">
        <v>79666396</v>
      </c>
      <c r="K353" s="5" t="s">
        <v>806</v>
      </c>
      <c r="L353" s="14" t="s">
        <v>809</v>
      </c>
      <c r="M353" s="24">
        <v>349900</v>
      </c>
      <c r="N353" s="7">
        <v>0.9</v>
      </c>
      <c r="O353" s="6">
        <f t="shared" si="10"/>
        <v>34990</v>
      </c>
      <c r="P353" s="5" t="s">
        <v>504</v>
      </c>
    </row>
    <row r="354" spans="1:16" s="1" customFormat="1" x14ac:dyDescent="0.35">
      <c r="A354" s="5" t="str">
        <f t="shared" si="11"/>
        <v>2023 H1 All Items D90</v>
      </c>
      <c r="B354" s="8">
        <f>'ALL 2024 H2 D80'!$B$2</f>
        <v>46114</v>
      </c>
      <c r="C354" s="8">
        <f>'ALL 2024 H2 D80'!$C$2</f>
        <v>46120</v>
      </c>
      <c r="D354" s="5">
        <v>3208</v>
      </c>
      <c r="E354" s="5">
        <v>320</v>
      </c>
      <c r="F354" s="5">
        <v>1</v>
      </c>
      <c r="G354" s="5">
        <v>4</v>
      </c>
      <c r="H354" s="5">
        <v>81495</v>
      </c>
      <c r="I354" s="5" t="s">
        <v>16</v>
      </c>
      <c r="J354" s="5">
        <v>80907471</v>
      </c>
      <c r="K354" s="5" t="s">
        <v>810</v>
      </c>
      <c r="L354" s="14" t="s">
        <v>811</v>
      </c>
      <c r="M354" s="24">
        <v>299900</v>
      </c>
      <c r="N354" s="7">
        <v>0.9</v>
      </c>
      <c r="O354" s="6">
        <f t="shared" si="10"/>
        <v>29990</v>
      </c>
      <c r="P354" s="5" t="s">
        <v>504</v>
      </c>
    </row>
    <row r="355" spans="1:16" s="1" customFormat="1" x14ac:dyDescent="0.35">
      <c r="A355" s="5" t="str">
        <f t="shared" si="11"/>
        <v>2023 H1 All Items D90</v>
      </c>
      <c r="B355" s="8">
        <f>'ALL 2024 H2 D80'!$B$2</f>
        <v>46114</v>
      </c>
      <c r="C355" s="8">
        <f>'ALL 2024 H2 D80'!$C$2</f>
        <v>46120</v>
      </c>
      <c r="D355" s="5">
        <v>3208</v>
      </c>
      <c r="E355" s="5">
        <v>320</v>
      </c>
      <c r="F355" s="5">
        <v>1</v>
      </c>
      <c r="G355" s="5">
        <v>4</v>
      </c>
      <c r="H355" s="5">
        <v>81495</v>
      </c>
      <c r="I355" s="5" t="s">
        <v>16</v>
      </c>
      <c r="J355" s="5">
        <v>80907480</v>
      </c>
      <c r="K355" s="5" t="s">
        <v>810</v>
      </c>
      <c r="L355" s="14" t="s">
        <v>812</v>
      </c>
      <c r="M355" s="24">
        <v>299900</v>
      </c>
      <c r="N355" s="7">
        <v>0.9</v>
      </c>
      <c r="O355" s="6">
        <f t="shared" si="10"/>
        <v>29990</v>
      </c>
      <c r="P355" s="5" t="s">
        <v>504</v>
      </c>
    </row>
    <row r="356" spans="1:16" s="1" customFormat="1" x14ac:dyDescent="0.35">
      <c r="A356" s="5" t="str">
        <f t="shared" si="11"/>
        <v>2023 H1 All Items D90</v>
      </c>
      <c r="B356" s="8">
        <f>'ALL 2024 H2 D80'!$B$2</f>
        <v>46114</v>
      </c>
      <c r="C356" s="8">
        <f>'ALL 2024 H2 D80'!$C$2</f>
        <v>46120</v>
      </c>
      <c r="D356" s="5">
        <v>3208</v>
      </c>
      <c r="E356" s="5">
        <v>320</v>
      </c>
      <c r="F356" s="5">
        <v>1</v>
      </c>
      <c r="G356" s="5">
        <v>4</v>
      </c>
      <c r="H356" s="5">
        <v>81495</v>
      </c>
      <c r="I356" s="5" t="s">
        <v>16</v>
      </c>
      <c r="J356" s="5">
        <v>80907499</v>
      </c>
      <c r="K356" s="5" t="s">
        <v>810</v>
      </c>
      <c r="L356" s="14" t="s">
        <v>813</v>
      </c>
      <c r="M356" s="24">
        <v>299900</v>
      </c>
      <c r="N356" s="7">
        <v>0.9</v>
      </c>
      <c r="O356" s="6">
        <f t="shared" ref="O356:O407" si="12">M356-(M356*N356)</f>
        <v>29990</v>
      </c>
      <c r="P356" s="5" t="s">
        <v>504</v>
      </c>
    </row>
    <row r="357" spans="1:16" s="1" customFormat="1" x14ac:dyDescent="0.35">
      <c r="A357" s="5" t="str">
        <f t="shared" si="11"/>
        <v>2023 H1 All Items D90</v>
      </c>
      <c r="B357" s="8">
        <f>'ALL 2024 H2 D80'!$B$2</f>
        <v>46114</v>
      </c>
      <c r="C357" s="8">
        <f>'ALL 2024 H2 D80'!$C$2</f>
        <v>46120</v>
      </c>
      <c r="D357" s="5">
        <v>3208</v>
      </c>
      <c r="E357" s="5">
        <v>320</v>
      </c>
      <c r="F357" s="5">
        <v>1</v>
      </c>
      <c r="G357" s="5">
        <v>4</v>
      </c>
      <c r="H357" s="5">
        <v>81736</v>
      </c>
      <c r="I357" s="5" t="s">
        <v>16</v>
      </c>
      <c r="J357" s="5">
        <v>80908158</v>
      </c>
      <c r="K357" s="5" t="s">
        <v>814</v>
      </c>
      <c r="L357" s="14" t="s">
        <v>815</v>
      </c>
      <c r="M357" s="24">
        <v>369900</v>
      </c>
      <c r="N357" s="7">
        <v>0.9</v>
      </c>
      <c r="O357" s="6">
        <f t="shared" si="12"/>
        <v>36990</v>
      </c>
      <c r="P357" s="5" t="s">
        <v>504</v>
      </c>
    </row>
    <row r="358" spans="1:16" s="1" customFormat="1" x14ac:dyDescent="0.35">
      <c r="A358" s="5" t="str">
        <f t="shared" si="11"/>
        <v>2023 H1 All Items D90</v>
      </c>
      <c r="B358" s="8">
        <f>'ALL 2024 H2 D80'!$B$2</f>
        <v>46114</v>
      </c>
      <c r="C358" s="8">
        <f>'ALL 2024 H2 D80'!$C$2</f>
        <v>46120</v>
      </c>
      <c r="D358" s="5">
        <v>3208</v>
      </c>
      <c r="E358" s="5">
        <v>320</v>
      </c>
      <c r="F358" s="5">
        <v>1</v>
      </c>
      <c r="G358" s="5">
        <v>4</v>
      </c>
      <c r="H358" s="5">
        <v>81736</v>
      </c>
      <c r="I358" s="5" t="s">
        <v>16</v>
      </c>
      <c r="J358" s="5">
        <v>80908167</v>
      </c>
      <c r="K358" s="5" t="s">
        <v>814</v>
      </c>
      <c r="L358" s="14" t="s">
        <v>816</v>
      </c>
      <c r="M358" s="24">
        <v>369900</v>
      </c>
      <c r="N358" s="7">
        <v>0.9</v>
      </c>
      <c r="O358" s="6">
        <f t="shared" si="12"/>
        <v>36990</v>
      </c>
      <c r="P358" s="5" t="s">
        <v>504</v>
      </c>
    </row>
    <row r="359" spans="1:16" s="1" customFormat="1" x14ac:dyDescent="0.35">
      <c r="A359" s="5" t="str">
        <f t="shared" si="11"/>
        <v>2023 H1 All Items D90</v>
      </c>
      <c r="B359" s="8">
        <f>'ALL 2024 H2 D80'!$B$2</f>
        <v>46114</v>
      </c>
      <c r="C359" s="8">
        <f>'ALL 2024 H2 D80'!$C$2</f>
        <v>46120</v>
      </c>
      <c r="D359" s="5">
        <v>3208</v>
      </c>
      <c r="E359" s="5">
        <v>320</v>
      </c>
      <c r="F359" s="5">
        <v>1</v>
      </c>
      <c r="G359" s="5">
        <v>4</v>
      </c>
      <c r="H359" s="5">
        <v>81736</v>
      </c>
      <c r="I359" s="5" t="s">
        <v>16</v>
      </c>
      <c r="J359" s="5">
        <v>80908176</v>
      </c>
      <c r="K359" s="5" t="s">
        <v>814</v>
      </c>
      <c r="L359" s="14" t="s">
        <v>817</v>
      </c>
      <c r="M359" s="24">
        <v>369900</v>
      </c>
      <c r="N359" s="7">
        <v>0.9</v>
      </c>
      <c r="O359" s="6">
        <f t="shared" si="12"/>
        <v>36990</v>
      </c>
      <c r="P359" s="5" t="s">
        <v>504</v>
      </c>
    </row>
    <row r="360" spans="1:16" s="1" customFormat="1" x14ac:dyDescent="0.35">
      <c r="A360" s="5" t="str">
        <f t="shared" si="11"/>
        <v>2023 H1 All Items D90</v>
      </c>
      <c r="B360" s="8">
        <f>'ALL 2024 H2 D80'!$B$2</f>
        <v>46114</v>
      </c>
      <c r="C360" s="8">
        <f>'ALL 2024 H2 D80'!$C$2</f>
        <v>46120</v>
      </c>
      <c r="D360" s="5">
        <v>3208</v>
      </c>
      <c r="E360" s="5">
        <v>320</v>
      </c>
      <c r="F360" s="5">
        <v>1</v>
      </c>
      <c r="G360" s="5">
        <v>4</v>
      </c>
      <c r="H360" s="5">
        <v>81736</v>
      </c>
      <c r="I360" s="5" t="s">
        <v>16</v>
      </c>
      <c r="J360" s="5">
        <v>80908185</v>
      </c>
      <c r="K360" s="5" t="s">
        <v>814</v>
      </c>
      <c r="L360" s="14" t="s">
        <v>818</v>
      </c>
      <c r="M360" s="24">
        <v>369900</v>
      </c>
      <c r="N360" s="7">
        <v>0.9</v>
      </c>
      <c r="O360" s="6">
        <f t="shared" si="12"/>
        <v>36990</v>
      </c>
      <c r="P360" s="5" t="s">
        <v>504</v>
      </c>
    </row>
    <row r="361" spans="1:16" s="1" customFormat="1" x14ac:dyDescent="0.35">
      <c r="A361" s="5" t="str">
        <f t="shared" si="11"/>
        <v>2023 H1 All Items D90</v>
      </c>
      <c r="B361" s="8">
        <f>'ALL 2024 H2 D80'!$B$2</f>
        <v>46114</v>
      </c>
      <c r="C361" s="8">
        <f>'ALL 2024 H2 D80'!$C$2</f>
        <v>46120</v>
      </c>
      <c r="D361" s="5">
        <v>3208</v>
      </c>
      <c r="E361" s="5">
        <v>320</v>
      </c>
      <c r="F361" s="5">
        <v>1</v>
      </c>
      <c r="G361" s="5">
        <v>4</v>
      </c>
      <c r="H361" s="5">
        <v>81736</v>
      </c>
      <c r="I361" s="5" t="s">
        <v>16</v>
      </c>
      <c r="J361" s="5">
        <v>80908194</v>
      </c>
      <c r="K361" s="5" t="s">
        <v>814</v>
      </c>
      <c r="L361" s="14" t="s">
        <v>819</v>
      </c>
      <c r="M361" s="24">
        <v>369900</v>
      </c>
      <c r="N361" s="7">
        <v>0.9</v>
      </c>
      <c r="O361" s="6">
        <f t="shared" si="12"/>
        <v>36990</v>
      </c>
      <c r="P361" s="5" t="s">
        <v>504</v>
      </c>
    </row>
    <row r="362" spans="1:16" s="1" customFormat="1" x14ac:dyDescent="0.35">
      <c r="A362" s="5" t="str">
        <f t="shared" si="11"/>
        <v>2023 H1 All Items D90</v>
      </c>
      <c r="B362" s="8">
        <f>'ALL 2024 H2 D80'!$B$2</f>
        <v>46114</v>
      </c>
      <c r="C362" s="8">
        <f>'ALL 2024 H2 D80'!$C$2</f>
        <v>46120</v>
      </c>
      <c r="D362" s="5">
        <v>3208</v>
      </c>
      <c r="E362" s="5">
        <v>320</v>
      </c>
      <c r="F362" s="5">
        <v>1</v>
      </c>
      <c r="G362" s="5">
        <v>4</v>
      </c>
      <c r="H362" s="5">
        <v>81736</v>
      </c>
      <c r="I362" s="5" t="s">
        <v>16</v>
      </c>
      <c r="J362" s="5">
        <v>80908201</v>
      </c>
      <c r="K362" s="5" t="s">
        <v>814</v>
      </c>
      <c r="L362" s="14" t="s">
        <v>820</v>
      </c>
      <c r="M362" s="24">
        <v>369900</v>
      </c>
      <c r="N362" s="7">
        <v>0.9</v>
      </c>
      <c r="O362" s="6">
        <f t="shared" si="12"/>
        <v>36990</v>
      </c>
      <c r="P362" s="5" t="s">
        <v>504</v>
      </c>
    </row>
    <row r="363" spans="1:16" s="1" customFormat="1" x14ac:dyDescent="0.35">
      <c r="A363" s="5" t="str">
        <f t="shared" si="11"/>
        <v>2023 H1 All Items D90</v>
      </c>
      <c r="B363" s="8">
        <f>'ALL 2024 H2 D80'!$B$2</f>
        <v>46114</v>
      </c>
      <c r="C363" s="8">
        <f>'ALL 2024 H2 D80'!$C$2</f>
        <v>46120</v>
      </c>
      <c r="D363" s="5">
        <v>3208</v>
      </c>
      <c r="E363" s="5">
        <v>320</v>
      </c>
      <c r="F363" s="5">
        <v>1</v>
      </c>
      <c r="G363" s="5">
        <v>4</v>
      </c>
      <c r="H363" s="5">
        <v>81736</v>
      </c>
      <c r="I363" s="5" t="s">
        <v>16</v>
      </c>
      <c r="J363" s="5">
        <v>80908210</v>
      </c>
      <c r="K363" s="5" t="s">
        <v>814</v>
      </c>
      <c r="L363" s="14" t="s">
        <v>821</v>
      </c>
      <c r="M363" s="24">
        <v>369900</v>
      </c>
      <c r="N363" s="7">
        <v>0.9</v>
      </c>
      <c r="O363" s="6">
        <f t="shared" si="12"/>
        <v>36990</v>
      </c>
      <c r="P363" s="5" t="s">
        <v>504</v>
      </c>
    </row>
    <row r="364" spans="1:16" s="1" customFormat="1" x14ac:dyDescent="0.35">
      <c r="A364" s="5" t="str">
        <f t="shared" si="11"/>
        <v>2023 H1 All Items D90</v>
      </c>
      <c r="B364" s="8">
        <f>'ALL 2024 H2 D80'!$B$2</f>
        <v>46114</v>
      </c>
      <c r="C364" s="8">
        <f>'ALL 2024 H2 D80'!$C$2</f>
        <v>46120</v>
      </c>
      <c r="D364" s="5">
        <v>3208</v>
      </c>
      <c r="E364" s="5">
        <v>320</v>
      </c>
      <c r="F364" s="5">
        <v>1</v>
      </c>
      <c r="G364" s="5">
        <v>4</v>
      </c>
      <c r="H364" s="5">
        <v>81736</v>
      </c>
      <c r="I364" s="5" t="s">
        <v>16</v>
      </c>
      <c r="J364" s="5">
        <v>80908229</v>
      </c>
      <c r="K364" s="5" t="s">
        <v>814</v>
      </c>
      <c r="L364" s="14" t="s">
        <v>822</v>
      </c>
      <c r="M364" s="24">
        <v>369900</v>
      </c>
      <c r="N364" s="7">
        <v>0.9</v>
      </c>
      <c r="O364" s="6">
        <f t="shared" si="12"/>
        <v>36990</v>
      </c>
      <c r="P364" s="5" t="s">
        <v>504</v>
      </c>
    </row>
    <row r="365" spans="1:16" s="1" customFormat="1" x14ac:dyDescent="0.35">
      <c r="A365" s="5" t="str">
        <f t="shared" si="11"/>
        <v>2023 H1 All Items D90</v>
      </c>
      <c r="B365" s="8">
        <f>'ALL 2024 H2 D80'!$B$2</f>
        <v>46114</v>
      </c>
      <c r="C365" s="8">
        <f>'ALL 2024 H2 D80'!$C$2</f>
        <v>46120</v>
      </c>
      <c r="D365" s="5">
        <v>3208</v>
      </c>
      <c r="E365" s="5">
        <v>320</v>
      </c>
      <c r="F365" s="5">
        <v>1</v>
      </c>
      <c r="G365" s="5">
        <v>4</v>
      </c>
      <c r="H365" s="5">
        <v>81762</v>
      </c>
      <c r="I365" s="5" t="s">
        <v>16</v>
      </c>
      <c r="J365" s="5">
        <v>81889445</v>
      </c>
      <c r="K365" s="5" t="s">
        <v>823</v>
      </c>
      <c r="L365" s="14" t="s">
        <v>824</v>
      </c>
      <c r="M365" s="24">
        <v>199900</v>
      </c>
      <c r="N365" s="7">
        <v>0.9</v>
      </c>
      <c r="O365" s="6">
        <f t="shared" si="12"/>
        <v>19990</v>
      </c>
      <c r="P365" s="5" t="s">
        <v>504</v>
      </c>
    </row>
    <row r="366" spans="1:16" s="1" customFormat="1" x14ac:dyDescent="0.35">
      <c r="A366" s="5" t="str">
        <f t="shared" si="11"/>
        <v>2023 H1 All Items D90</v>
      </c>
      <c r="B366" s="8">
        <f>'ALL 2024 H2 D80'!$B$2</f>
        <v>46114</v>
      </c>
      <c r="C366" s="8">
        <f>'ALL 2024 H2 D80'!$C$2</f>
        <v>46120</v>
      </c>
      <c r="D366" s="5">
        <v>3208</v>
      </c>
      <c r="E366" s="5">
        <v>320</v>
      </c>
      <c r="F366" s="5">
        <v>1</v>
      </c>
      <c r="G366" s="5">
        <v>4</v>
      </c>
      <c r="H366" s="5">
        <v>81762</v>
      </c>
      <c r="I366" s="5" t="s">
        <v>16</v>
      </c>
      <c r="J366" s="5">
        <v>81889454</v>
      </c>
      <c r="K366" s="5" t="s">
        <v>823</v>
      </c>
      <c r="L366" s="14" t="s">
        <v>825</v>
      </c>
      <c r="M366" s="24">
        <v>199900</v>
      </c>
      <c r="N366" s="7">
        <v>0.9</v>
      </c>
      <c r="O366" s="6">
        <f t="shared" si="12"/>
        <v>19990</v>
      </c>
      <c r="P366" s="5" t="s">
        <v>504</v>
      </c>
    </row>
    <row r="367" spans="1:16" s="1" customFormat="1" x14ac:dyDescent="0.35">
      <c r="A367" s="5" t="str">
        <f t="shared" si="11"/>
        <v>2023 H1 All Items D90</v>
      </c>
      <c r="B367" s="8">
        <f>'ALL 2024 H2 D80'!$B$2</f>
        <v>46114</v>
      </c>
      <c r="C367" s="8">
        <f>'ALL 2024 H2 D80'!$C$2</f>
        <v>46120</v>
      </c>
      <c r="D367" s="5">
        <v>3208</v>
      </c>
      <c r="E367" s="5">
        <v>320</v>
      </c>
      <c r="F367" s="5">
        <v>1</v>
      </c>
      <c r="G367" s="5">
        <v>4</v>
      </c>
      <c r="H367" s="5">
        <v>81762</v>
      </c>
      <c r="I367" s="5" t="s">
        <v>16</v>
      </c>
      <c r="J367" s="5">
        <v>81889463</v>
      </c>
      <c r="K367" s="5" t="s">
        <v>823</v>
      </c>
      <c r="L367" s="14" t="s">
        <v>826</v>
      </c>
      <c r="M367" s="24">
        <v>199900</v>
      </c>
      <c r="N367" s="7">
        <v>0.9</v>
      </c>
      <c r="O367" s="6">
        <f t="shared" si="12"/>
        <v>19990</v>
      </c>
      <c r="P367" s="5" t="s">
        <v>504</v>
      </c>
    </row>
    <row r="368" spans="1:16" s="1" customFormat="1" x14ac:dyDescent="0.35">
      <c r="A368" s="5" t="str">
        <f t="shared" si="11"/>
        <v>2023 H1 All Items D90</v>
      </c>
      <c r="B368" s="8">
        <f>'ALL 2024 H2 D80'!$B$2</f>
        <v>46114</v>
      </c>
      <c r="C368" s="8">
        <f>'ALL 2024 H2 D80'!$C$2</f>
        <v>46120</v>
      </c>
      <c r="D368" s="5">
        <v>3208</v>
      </c>
      <c r="E368" s="5">
        <v>320</v>
      </c>
      <c r="F368" s="5">
        <v>1</v>
      </c>
      <c r="G368" s="5">
        <v>4</v>
      </c>
      <c r="H368" s="5">
        <v>81762</v>
      </c>
      <c r="I368" s="5" t="s">
        <v>16</v>
      </c>
      <c r="J368" s="5">
        <v>81889472</v>
      </c>
      <c r="K368" s="5" t="s">
        <v>823</v>
      </c>
      <c r="L368" s="14" t="s">
        <v>827</v>
      </c>
      <c r="M368" s="24">
        <v>199900</v>
      </c>
      <c r="N368" s="7">
        <v>0.9</v>
      </c>
      <c r="O368" s="6">
        <f t="shared" si="12"/>
        <v>19990</v>
      </c>
      <c r="P368" s="5" t="s">
        <v>504</v>
      </c>
    </row>
    <row r="369" spans="1:16" s="1" customFormat="1" x14ac:dyDescent="0.35">
      <c r="A369" s="5" t="str">
        <f t="shared" si="11"/>
        <v>2023 H1 All Items D90</v>
      </c>
      <c r="B369" s="8">
        <f>'ALL 2024 H2 D80'!$B$2</f>
        <v>46114</v>
      </c>
      <c r="C369" s="8">
        <f>'ALL 2024 H2 D80'!$C$2</f>
        <v>46120</v>
      </c>
      <c r="D369" s="5">
        <v>3208</v>
      </c>
      <c r="E369" s="5">
        <v>320</v>
      </c>
      <c r="F369" s="5">
        <v>1</v>
      </c>
      <c r="G369" s="5">
        <v>4</v>
      </c>
      <c r="H369" s="5">
        <v>81762</v>
      </c>
      <c r="I369" s="5" t="s">
        <v>16</v>
      </c>
      <c r="J369" s="5">
        <v>81889481</v>
      </c>
      <c r="K369" s="5" t="s">
        <v>823</v>
      </c>
      <c r="L369" s="14" t="s">
        <v>828</v>
      </c>
      <c r="M369" s="24">
        <v>199900</v>
      </c>
      <c r="N369" s="7">
        <v>0.9</v>
      </c>
      <c r="O369" s="6">
        <f t="shared" si="12"/>
        <v>19990</v>
      </c>
      <c r="P369" s="5" t="s">
        <v>504</v>
      </c>
    </row>
    <row r="370" spans="1:16" s="1" customFormat="1" x14ac:dyDescent="0.35">
      <c r="A370" s="5" t="str">
        <f t="shared" si="11"/>
        <v>2023 H1 All Items D90</v>
      </c>
      <c r="B370" s="8">
        <f>'ALL 2024 H2 D80'!$B$2</f>
        <v>46114</v>
      </c>
      <c r="C370" s="8">
        <f>'ALL 2024 H2 D80'!$C$2</f>
        <v>46120</v>
      </c>
      <c r="D370" s="5">
        <v>3208</v>
      </c>
      <c r="E370" s="5">
        <v>320</v>
      </c>
      <c r="F370" s="5">
        <v>1</v>
      </c>
      <c r="G370" s="5">
        <v>4</v>
      </c>
      <c r="H370" s="5">
        <v>81762</v>
      </c>
      <c r="I370" s="5" t="s">
        <v>16</v>
      </c>
      <c r="J370" s="5">
        <v>81889490</v>
      </c>
      <c r="K370" s="5" t="s">
        <v>823</v>
      </c>
      <c r="L370" s="14" t="s">
        <v>829</v>
      </c>
      <c r="M370" s="24">
        <v>199900</v>
      </c>
      <c r="N370" s="7">
        <v>0.9</v>
      </c>
      <c r="O370" s="6">
        <f t="shared" si="12"/>
        <v>19990</v>
      </c>
      <c r="P370" s="5" t="s">
        <v>504</v>
      </c>
    </row>
    <row r="371" spans="1:16" s="1" customFormat="1" x14ac:dyDescent="0.35">
      <c r="A371" s="5" t="str">
        <f t="shared" si="11"/>
        <v>2023 H1 All Items D90</v>
      </c>
      <c r="B371" s="8">
        <f>'ALL 2024 H2 D80'!$B$2</f>
        <v>46114</v>
      </c>
      <c r="C371" s="8">
        <f>'ALL 2024 H2 D80'!$C$2</f>
        <v>46120</v>
      </c>
      <c r="D371" s="5">
        <v>3208</v>
      </c>
      <c r="E371" s="5">
        <v>320</v>
      </c>
      <c r="F371" s="5">
        <v>1</v>
      </c>
      <c r="G371" s="5">
        <v>4</v>
      </c>
      <c r="H371" s="5">
        <v>81762</v>
      </c>
      <c r="I371" s="5" t="s">
        <v>16</v>
      </c>
      <c r="J371" s="5">
        <v>81889507</v>
      </c>
      <c r="K371" s="5" t="s">
        <v>823</v>
      </c>
      <c r="L371" s="14" t="s">
        <v>830</v>
      </c>
      <c r="M371" s="24">
        <v>199900</v>
      </c>
      <c r="N371" s="7">
        <v>0.9</v>
      </c>
      <c r="O371" s="6">
        <f t="shared" si="12"/>
        <v>19990</v>
      </c>
      <c r="P371" s="5" t="s">
        <v>504</v>
      </c>
    </row>
    <row r="372" spans="1:16" s="1" customFormat="1" x14ac:dyDescent="0.35">
      <c r="A372" s="5" t="str">
        <f t="shared" si="11"/>
        <v>2023 H1 All Items D90</v>
      </c>
      <c r="B372" s="8">
        <f>'ALL 2024 H2 D80'!$B$2</f>
        <v>46114</v>
      </c>
      <c r="C372" s="8">
        <f>'ALL 2024 H2 D80'!$C$2</f>
        <v>46120</v>
      </c>
      <c r="D372" s="5">
        <v>3208</v>
      </c>
      <c r="E372" s="5">
        <v>320</v>
      </c>
      <c r="F372" s="5">
        <v>1</v>
      </c>
      <c r="G372" s="5">
        <v>4</v>
      </c>
      <c r="H372" s="5">
        <v>81762</v>
      </c>
      <c r="I372" s="5" t="s">
        <v>16</v>
      </c>
      <c r="J372" s="5">
        <v>81889516</v>
      </c>
      <c r="K372" s="5" t="s">
        <v>823</v>
      </c>
      <c r="L372" s="14" t="s">
        <v>831</v>
      </c>
      <c r="M372" s="24">
        <v>199900</v>
      </c>
      <c r="N372" s="7">
        <v>0.9</v>
      </c>
      <c r="O372" s="6">
        <f t="shared" si="12"/>
        <v>19990</v>
      </c>
      <c r="P372" s="5" t="s">
        <v>504</v>
      </c>
    </row>
    <row r="373" spans="1:16" s="1" customFormat="1" x14ac:dyDescent="0.35">
      <c r="A373" s="5" t="str">
        <f t="shared" si="11"/>
        <v>2023 H1 All Items D90</v>
      </c>
      <c r="B373" s="8">
        <f>'ALL 2024 H2 D80'!$B$2</f>
        <v>46114</v>
      </c>
      <c r="C373" s="8">
        <f>'ALL 2024 H2 D80'!$C$2</f>
        <v>46120</v>
      </c>
      <c r="D373" s="5">
        <v>3208</v>
      </c>
      <c r="E373" s="5">
        <v>320</v>
      </c>
      <c r="F373" s="5">
        <v>1</v>
      </c>
      <c r="G373" s="5">
        <v>5</v>
      </c>
      <c r="H373" s="5">
        <v>81044</v>
      </c>
      <c r="I373" s="5" t="s">
        <v>16</v>
      </c>
      <c r="J373" s="5">
        <v>80907319</v>
      </c>
      <c r="K373" s="5" t="s">
        <v>832</v>
      </c>
      <c r="L373" s="14" t="s">
        <v>833</v>
      </c>
      <c r="M373" s="24">
        <v>299900</v>
      </c>
      <c r="N373" s="7">
        <v>0.9</v>
      </c>
      <c r="O373" s="6">
        <f t="shared" si="12"/>
        <v>29990</v>
      </c>
      <c r="P373" s="5" t="s">
        <v>504</v>
      </c>
    </row>
    <row r="374" spans="1:16" s="1" customFormat="1" x14ac:dyDescent="0.35">
      <c r="A374" s="5" t="str">
        <f t="shared" si="11"/>
        <v>2023 H1 All Items D90</v>
      </c>
      <c r="B374" s="8">
        <f>'ALL 2024 H2 D80'!$B$2</f>
        <v>46114</v>
      </c>
      <c r="C374" s="8">
        <f>'ALL 2024 H2 D80'!$C$2</f>
        <v>46120</v>
      </c>
      <c r="D374" s="5">
        <v>3208</v>
      </c>
      <c r="E374" s="5">
        <v>320</v>
      </c>
      <c r="F374" s="5">
        <v>1</v>
      </c>
      <c r="G374" s="5">
        <v>5</v>
      </c>
      <c r="H374" s="5">
        <v>81044</v>
      </c>
      <c r="I374" s="5" t="s">
        <v>16</v>
      </c>
      <c r="J374" s="5">
        <v>80907328</v>
      </c>
      <c r="K374" s="5" t="s">
        <v>832</v>
      </c>
      <c r="L374" s="14" t="s">
        <v>834</v>
      </c>
      <c r="M374" s="24">
        <v>299900</v>
      </c>
      <c r="N374" s="7">
        <v>0.9</v>
      </c>
      <c r="O374" s="6">
        <f t="shared" si="12"/>
        <v>29990</v>
      </c>
      <c r="P374" s="5" t="s">
        <v>504</v>
      </c>
    </row>
    <row r="375" spans="1:16" s="1" customFormat="1" x14ac:dyDescent="0.35">
      <c r="A375" s="5" t="str">
        <f t="shared" si="11"/>
        <v>2023 H1 All Items D90</v>
      </c>
      <c r="B375" s="8">
        <f>'ALL 2024 H2 D80'!$B$2</f>
        <v>46114</v>
      </c>
      <c r="C375" s="8">
        <f>'ALL 2024 H2 D80'!$C$2</f>
        <v>46120</v>
      </c>
      <c r="D375" s="5">
        <v>3208</v>
      </c>
      <c r="E375" s="5">
        <v>320</v>
      </c>
      <c r="F375" s="5">
        <v>1</v>
      </c>
      <c r="G375" s="5">
        <v>5</v>
      </c>
      <c r="H375" s="5">
        <v>81044</v>
      </c>
      <c r="I375" s="5" t="s">
        <v>16</v>
      </c>
      <c r="J375" s="5">
        <v>80907337</v>
      </c>
      <c r="K375" s="5" t="s">
        <v>832</v>
      </c>
      <c r="L375" s="14" t="s">
        <v>835</v>
      </c>
      <c r="M375" s="24">
        <v>299900</v>
      </c>
      <c r="N375" s="7">
        <v>0.9</v>
      </c>
      <c r="O375" s="6">
        <f t="shared" si="12"/>
        <v>29990</v>
      </c>
      <c r="P375" s="5" t="s">
        <v>504</v>
      </c>
    </row>
    <row r="376" spans="1:16" s="1" customFormat="1" x14ac:dyDescent="0.35">
      <c r="A376" s="5" t="str">
        <f t="shared" si="11"/>
        <v>2023 H1 All Items D90</v>
      </c>
      <c r="B376" s="8">
        <f>'ALL 2024 H2 D80'!$B$2</f>
        <v>46114</v>
      </c>
      <c r="C376" s="8">
        <f>'ALL 2024 H2 D80'!$C$2</f>
        <v>46120</v>
      </c>
      <c r="D376" s="5">
        <v>3208</v>
      </c>
      <c r="E376" s="5">
        <v>320</v>
      </c>
      <c r="F376" s="5">
        <v>1</v>
      </c>
      <c r="G376" s="5">
        <v>5</v>
      </c>
      <c r="H376" s="5">
        <v>81044</v>
      </c>
      <c r="I376" s="5" t="s">
        <v>16</v>
      </c>
      <c r="J376" s="5">
        <v>80907346</v>
      </c>
      <c r="K376" s="5" t="s">
        <v>832</v>
      </c>
      <c r="L376" s="14" t="s">
        <v>836</v>
      </c>
      <c r="M376" s="24">
        <v>299900</v>
      </c>
      <c r="N376" s="7">
        <v>0.9</v>
      </c>
      <c r="O376" s="6">
        <f t="shared" si="12"/>
        <v>29990</v>
      </c>
      <c r="P376" s="5" t="s">
        <v>504</v>
      </c>
    </row>
    <row r="377" spans="1:16" s="1" customFormat="1" x14ac:dyDescent="0.35">
      <c r="A377" s="5" t="str">
        <f t="shared" si="11"/>
        <v>2023 H1 All Items D90</v>
      </c>
      <c r="B377" s="8">
        <f>'ALL 2024 H2 D80'!$B$2</f>
        <v>46114</v>
      </c>
      <c r="C377" s="8">
        <f>'ALL 2024 H2 D80'!$C$2</f>
        <v>46120</v>
      </c>
      <c r="D377" s="5">
        <v>3208</v>
      </c>
      <c r="E377" s="5">
        <v>320</v>
      </c>
      <c r="F377" s="5">
        <v>1</v>
      </c>
      <c r="G377" s="5">
        <v>5</v>
      </c>
      <c r="H377" s="5">
        <v>81044</v>
      </c>
      <c r="I377" s="5" t="s">
        <v>16</v>
      </c>
      <c r="J377" s="5">
        <v>80907355</v>
      </c>
      <c r="K377" s="5" t="s">
        <v>832</v>
      </c>
      <c r="L377" s="14" t="s">
        <v>837</v>
      </c>
      <c r="M377" s="24">
        <v>299900</v>
      </c>
      <c r="N377" s="7">
        <v>0.9</v>
      </c>
      <c r="O377" s="6">
        <f t="shared" si="12"/>
        <v>29990</v>
      </c>
      <c r="P377" s="5" t="s">
        <v>504</v>
      </c>
    </row>
    <row r="378" spans="1:16" s="1" customFormat="1" x14ac:dyDescent="0.35">
      <c r="A378" s="5" t="str">
        <f t="shared" si="11"/>
        <v>2023 H1 All Items D90</v>
      </c>
      <c r="B378" s="8">
        <f>'ALL 2024 H2 D80'!$B$2</f>
        <v>46114</v>
      </c>
      <c r="C378" s="8">
        <f>'ALL 2024 H2 D80'!$C$2</f>
        <v>46120</v>
      </c>
      <c r="D378" s="5">
        <v>3208</v>
      </c>
      <c r="E378" s="5">
        <v>320</v>
      </c>
      <c r="F378" s="5">
        <v>1</v>
      </c>
      <c r="G378" s="5">
        <v>5</v>
      </c>
      <c r="H378" s="5">
        <v>81044</v>
      </c>
      <c r="I378" s="5" t="s">
        <v>16</v>
      </c>
      <c r="J378" s="5">
        <v>80907364</v>
      </c>
      <c r="K378" s="5" t="s">
        <v>832</v>
      </c>
      <c r="L378" s="14" t="s">
        <v>838</v>
      </c>
      <c r="M378" s="24">
        <v>299900</v>
      </c>
      <c r="N378" s="7">
        <v>0.9</v>
      </c>
      <c r="O378" s="6">
        <f t="shared" si="12"/>
        <v>29990</v>
      </c>
      <c r="P378" s="5" t="s">
        <v>504</v>
      </c>
    </row>
    <row r="379" spans="1:16" s="1" customFormat="1" x14ac:dyDescent="0.35">
      <c r="A379" s="5" t="str">
        <f t="shared" si="11"/>
        <v>2023 H1 All Items D90</v>
      </c>
      <c r="B379" s="8">
        <f>'ALL 2024 H2 D80'!$B$2</f>
        <v>46114</v>
      </c>
      <c r="C379" s="8">
        <f>'ALL 2024 H2 D80'!$C$2</f>
        <v>46120</v>
      </c>
      <c r="D379" s="5">
        <v>3208</v>
      </c>
      <c r="E379" s="5">
        <v>320</v>
      </c>
      <c r="F379" s="5">
        <v>1</v>
      </c>
      <c r="G379" s="5">
        <v>5</v>
      </c>
      <c r="H379" s="5">
        <v>81044</v>
      </c>
      <c r="I379" s="5" t="s">
        <v>16</v>
      </c>
      <c r="J379" s="5">
        <v>80907373</v>
      </c>
      <c r="K379" s="5" t="s">
        <v>832</v>
      </c>
      <c r="L379" s="14" t="s">
        <v>839</v>
      </c>
      <c r="M379" s="24">
        <v>299900</v>
      </c>
      <c r="N379" s="7">
        <v>0.9</v>
      </c>
      <c r="O379" s="6">
        <f t="shared" si="12"/>
        <v>29990</v>
      </c>
      <c r="P379" s="5" t="s">
        <v>504</v>
      </c>
    </row>
    <row r="380" spans="1:16" s="1" customFormat="1" x14ac:dyDescent="0.35">
      <c r="A380" s="5" t="str">
        <f t="shared" si="11"/>
        <v>2023 H1 All Items D90</v>
      </c>
      <c r="B380" s="8">
        <f>'ALL 2024 H2 D80'!$B$2</f>
        <v>46114</v>
      </c>
      <c r="C380" s="8">
        <f>'ALL 2024 H2 D80'!$C$2</f>
        <v>46120</v>
      </c>
      <c r="D380" s="5">
        <v>3208</v>
      </c>
      <c r="E380" s="5">
        <v>320</v>
      </c>
      <c r="F380" s="5">
        <v>1</v>
      </c>
      <c r="G380" s="5">
        <v>5</v>
      </c>
      <c r="H380" s="5">
        <v>81044</v>
      </c>
      <c r="I380" s="5" t="s">
        <v>16</v>
      </c>
      <c r="J380" s="5">
        <v>80907382</v>
      </c>
      <c r="K380" s="5" t="s">
        <v>832</v>
      </c>
      <c r="L380" s="14" t="s">
        <v>840</v>
      </c>
      <c r="M380" s="24">
        <v>299900</v>
      </c>
      <c r="N380" s="7">
        <v>0.9</v>
      </c>
      <c r="O380" s="6">
        <f t="shared" si="12"/>
        <v>29990</v>
      </c>
      <c r="P380" s="5" t="s">
        <v>504</v>
      </c>
    </row>
    <row r="381" spans="1:16" s="1" customFormat="1" x14ac:dyDescent="0.35">
      <c r="A381" s="5" t="str">
        <f t="shared" si="11"/>
        <v>2023 H1 All Items D90</v>
      </c>
      <c r="B381" s="8">
        <f>'ALL 2024 H2 D80'!$B$2</f>
        <v>46114</v>
      </c>
      <c r="C381" s="8">
        <f>'ALL 2024 H2 D80'!$C$2</f>
        <v>46120</v>
      </c>
      <c r="D381" s="5">
        <v>3208</v>
      </c>
      <c r="E381" s="5">
        <v>320</v>
      </c>
      <c r="F381" s="5">
        <v>1</v>
      </c>
      <c r="G381" s="5">
        <v>5</v>
      </c>
      <c r="H381" s="5">
        <v>81044</v>
      </c>
      <c r="I381" s="5" t="s">
        <v>16</v>
      </c>
      <c r="J381" s="5">
        <v>82237932</v>
      </c>
      <c r="K381" s="5" t="s">
        <v>841</v>
      </c>
      <c r="L381" s="14" t="s">
        <v>842</v>
      </c>
      <c r="M381" s="24">
        <v>329900</v>
      </c>
      <c r="N381" s="7">
        <v>0.9</v>
      </c>
      <c r="O381" s="6">
        <f t="shared" si="12"/>
        <v>32990</v>
      </c>
      <c r="P381" s="5" t="s">
        <v>504</v>
      </c>
    </row>
    <row r="382" spans="1:16" s="1" customFormat="1" x14ac:dyDescent="0.35">
      <c r="A382" s="5" t="str">
        <f t="shared" si="11"/>
        <v>2023 H1 All Items D90</v>
      </c>
      <c r="B382" s="8">
        <f>'ALL 2024 H2 D80'!$B$2</f>
        <v>46114</v>
      </c>
      <c r="C382" s="8">
        <f>'ALL 2024 H2 D80'!$C$2</f>
        <v>46120</v>
      </c>
      <c r="D382" s="5">
        <v>3208</v>
      </c>
      <c r="E382" s="5">
        <v>320</v>
      </c>
      <c r="F382" s="5">
        <v>1</v>
      </c>
      <c r="G382" s="5">
        <v>5</v>
      </c>
      <c r="H382" s="5">
        <v>81044</v>
      </c>
      <c r="I382" s="5" t="s">
        <v>16</v>
      </c>
      <c r="J382" s="5">
        <v>82237941</v>
      </c>
      <c r="K382" s="5" t="s">
        <v>841</v>
      </c>
      <c r="L382" s="14" t="s">
        <v>843</v>
      </c>
      <c r="M382" s="24">
        <v>329900</v>
      </c>
      <c r="N382" s="7">
        <v>0.9</v>
      </c>
      <c r="O382" s="6">
        <f t="shared" si="12"/>
        <v>32990</v>
      </c>
      <c r="P382" s="5" t="s">
        <v>504</v>
      </c>
    </row>
    <row r="383" spans="1:16" s="1" customFormat="1" x14ac:dyDescent="0.35">
      <c r="A383" s="5" t="str">
        <f t="shared" si="11"/>
        <v>2023 H1 All Items D90</v>
      </c>
      <c r="B383" s="8">
        <f>'ALL 2024 H2 D80'!$B$2</f>
        <v>46114</v>
      </c>
      <c r="C383" s="8">
        <f>'ALL 2024 H2 D80'!$C$2</f>
        <v>46120</v>
      </c>
      <c r="D383" s="5">
        <v>3208</v>
      </c>
      <c r="E383" s="5">
        <v>320</v>
      </c>
      <c r="F383" s="5">
        <v>1</v>
      </c>
      <c r="G383" s="5">
        <v>5</v>
      </c>
      <c r="H383" s="5">
        <v>81044</v>
      </c>
      <c r="I383" s="5" t="s">
        <v>16</v>
      </c>
      <c r="J383" s="5">
        <v>82237950</v>
      </c>
      <c r="K383" s="5" t="s">
        <v>841</v>
      </c>
      <c r="L383" s="14" t="s">
        <v>844</v>
      </c>
      <c r="M383" s="24">
        <v>329900</v>
      </c>
      <c r="N383" s="7">
        <v>0.9</v>
      </c>
      <c r="O383" s="6">
        <f t="shared" si="12"/>
        <v>32990</v>
      </c>
      <c r="P383" s="5" t="s">
        <v>504</v>
      </c>
    </row>
    <row r="384" spans="1:16" s="1" customFormat="1" x14ac:dyDescent="0.35">
      <c r="A384" s="5" t="str">
        <f t="shared" si="11"/>
        <v>2023 H1 All Items D90</v>
      </c>
      <c r="B384" s="8">
        <f>'ALL 2024 H2 D80'!$B$2</f>
        <v>46114</v>
      </c>
      <c r="C384" s="8">
        <f>'ALL 2024 H2 D80'!$C$2</f>
        <v>46120</v>
      </c>
      <c r="D384" s="5">
        <v>3208</v>
      </c>
      <c r="E384" s="5">
        <v>320</v>
      </c>
      <c r="F384" s="5">
        <v>1</v>
      </c>
      <c r="G384" s="5">
        <v>5</v>
      </c>
      <c r="H384" s="5">
        <v>81044</v>
      </c>
      <c r="I384" s="5" t="s">
        <v>16</v>
      </c>
      <c r="J384" s="5">
        <v>82237969</v>
      </c>
      <c r="K384" s="5" t="s">
        <v>841</v>
      </c>
      <c r="L384" s="14" t="s">
        <v>845</v>
      </c>
      <c r="M384" s="24">
        <v>329900</v>
      </c>
      <c r="N384" s="7">
        <v>0.9</v>
      </c>
      <c r="O384" s="6">
        <f t="shared" si="12"/>
        <v>32990</v>
      </c>
      <c r="P384" s="5" t="s">
        <v>504</v>
      </c>
    </row>
    <row r="385" spans="1:16" s="1" customFormat="1" x14ac:dyDescent="0.35">
      <c r="A385" s="5" t="str">
        <f t="shared" si="11"/>
        <v>2023 H1 All Items D90</v>
      </c>
      <c r="B385" s="8">
        <f>'ALL 2024 H2 D80'!$B$2</f>
        <v>46114</v>
      </c>
      <c r="C385" s="8">
        <f>'ALL 2024 H2 D80'!$C$2</f>
        <v>46120</v>
      </c>
      <c r="D385" s="5">
        <v>3208</v>
      </c>
      <c r="E385" s="5">
        <v>320</v>
      </c>
      <c r="F385" s="5">
        <v>1</v>
      </c>
      <c r="G385" s="5">
        <v>5</v>
      </c>
      <c r="H385" s="5">
        <v>81044</v>
      </c>
      <c r="I385" s="5" t="s">
        <v>16</v>
      </c>
      <c r="J385" s="5">
        <v>82238299</v>
      </c>
      <c r="K385" s="5" t="s">
        <v>846</v>
      </c>
      <c r="L385" s="14" t="s">
        <v>847</v>
      </c>
      <c r="M385" s="24">
        <v>259900</v>
      </c>
      <c r="N385" s="7">
        <v>0.9</v>
      </c>
      <c r="O385" s="6">
        <f t="shared" si="12"/>
        <v>25990</v>
      </c>
      <c r="P385" s="5" t="s">
        <v>504</v>
      </c>
    </row>
    <row r="386" spans="1:16" s="1" customFormat="1" x14ac:dyDescent="0.35">
      <c r="A386" s="5" t="str">
        <f t="shared" si="11"/>
        <v>2023 H1 All Items D90</v>
      </c>
      <c r="B386" s="8">
        <f>'ALL 2024 H2 D80'!$B$2</f>
        <v>46114</v>
      </c>
      <c r="C386" s="8">
        <f>'ALL 2024 H2 D80'!$C$2</f>
        <v>46120</v>
      </c>
      <c r="D386" s="5">
        <v>3208</v>
      </c>
      <c r="E386" s="5">
        <v>320</v>
      </c>
      <c r="F386" s="5">
        <v>1</v>
      </c>
      <c r="G386" s="15">
        <v>5</v>
      </c>
      <c r="H386" s="15">
        <v>81044</v>
      </c>
      <c r="I386" s="5" t="s">
        <v>16</v>
      </c>
      <c r="J386" s="16">
        <v>82238306</v>
      </c>
      <c r="K386" s="16" t="s">
        <v>846</v>
      </c>
      <c r="L386" s="34" t="s">
        <v>848</v>
      </c>
      <c r="M386" s="38">
        <v>259900</v>
      </c>
      <c r="N386" s="7">
        <v>0.9</v>
      </c>
      <c r="O386" s="6">
        <f t="shared" si="12"/>
        <v>25990</v>
      </c>
      <c r="P386" s="5" t="s">
        <v>504</v>
      </c>
    </row>
    <row r="387" spans="1:16" s="1" customFormat="1" x14ac:dyDescent="0.35">
      <c r="A387" s="5" t="str">
        <f t="shared" si="11"/>
        <v>2023 H1 All Items D90</v>
      </c>
      <c r="B387" s="8">
        <f>'ALL 2024 H2 D80'!$B$2</f>
        <v>46114</v>
      </c>
      <c r="C387" s="8">
        <f>'ALL 2024 H2 D80'!$C$2</f>
        <v>46120</v>
      </c>
      <c r="D387" s="5">
        <v>3208</v>
      </c>
      <c r="E387" s="5">
        <v>320</v>
      </c>
      <c r="F387" s="5">
        <v>1</v>
      </c>
      <c r="G387" s="15">
        <v>5</v>
      </c>
      <c r="H387" s="15">
        <v>81044</v>
      </c>
      <c r="I387" s="5" t="s">
        <v>16</v>
      </c>
      <c r="J387" s="16">
        <v>82238315</v>
      </c>
      <c r="K387" s="16" t="s">
        <v>846</v>
      </c>
      <c r="L387" s="34" t="s">
        <v>849</v>
      </c>
      <c r="M387" s="38">
        <v>259900</v>
      </c>
      <c r="N387" s="7">
        <v>0.9</v>
      </c>
      <c r="O387" s="6">
        <f t="shared" si="12"/>
        <v>25990</v>
      </c>
      <c r="P387" s="5" t="s">
        <v>504</v>
      </c>
    </row>
    <row r="388" spans="1:16" s="1" customFormat="1" x14ac:dyDescent="0.35">
      <c r="A388" s="5" t="str">
        <f t="shared" ref="A388:A451" si="13">$A$2</f>
        <v>2023 H1 All Items D90</v>
      </c>
      <c r="B388" s="8">
        <f>'ALL 2024 H2 D80'!$B$2</f>
        <v>46114</v>
      </c>
      <c r="C388" s="8">
        <f>'ALL 2024 H2 D80'!$C$2</f>
        <v>46120</v>
      </c>
      <c r="D388" s="5">
        <v>3208</v>
      </c>
      <c r="E388" s="5">
        <v>320</v>
      </c>
      <c r="F388" s="5">
        <v>1</v>
      </c>
      <c r="G388" s="15">
        <v>5</v>
      </c>
      <c r="H388" s="15">
        <v>81044</v>
      </c>
      <c r="I388" s="5" t="s">
        <v>16</v>
      </c>
      <c r="J388" s="16">
        <v>82238324</v>
      </c>
      <c r="K388" s="16" t="s">
        <v>846</v>
      </c>
      <c r="L388" s="34" t="s">
        <v>850</v>
      </c>
      <c r="M388" s="38">
        <v>259900</v>
      </c>
      <c r="N388" s="7">
        <v>0.9</v>
      </c>
      <c r="O388" s="6">
        <f t="shared" si="12"/>
        <v>25990</v>
      </c>
      <c r="P388" s="5" t="s">
        <v>504</v>
      </c>
    </row>
    <row r="389" spans="1:16" s="1" customFormat="1" x14ac:dyDescent="0.35">
      <c r="A389" s="5" t="str">
        <f t="shared" si="13"/>
        <v>2023 H1 All Items D90</v>
      </c>
      <c r="B389" s="8">
        <f>'ALL 2024 H2 D80'!$B$2</f>
        <v>46114</v>
      </c>
      <c r="C389" s="8">
        <f>'ALL 2024 H2 D80'!$C$2</f>
        <v>46120</v>
      </c>
      <c r="D389" s="5">
        <v>3208</v>
      </c>
      <c r="E389" s="5">
        <v>320</v>
      </c>
      <c r="F389" s="5">
        <v>1</v>
      </c>
      <c r="G389" s="15">
        <v>5</v>
      </c>
      <c r="H389" s="15">
        <v>81044</v>
      </c>
      <c r="I389" s="5" t="s">
        <v>16</v>
      </c>
      <c r="J389" s="16">
        <v>82238333</v>
      </c>
      <c r="K389" s="16" t="s">
        <v>846</v>
      </c>
      <c r="L389" s="34" t="s">
        <v>851</v>
      </c>
      <c r="M389" s="38">
        <v>259900</v>
      </c>
      <c r="N389" s="7">
        <v>0.9</v>
      </c>
      <c r="O389" s="6">
        <f t="shared" si="12"/>
        <v>25990</v>
      </c>
      <c r="P389" s="5" t="s">
        <v>504</v>
      </c>
    </row>
    <row r="390" spans="1:16" s="1" customFormat="1" x14ac:dyDescent="0.35">
      <c r="A390" s="5" t="str">
        <f t="shared" si="13"/>
        <v>2023 H1 All Items D90</v>
      </c>
      <c r="B390" s="8">
        <f>'ALL 2024 H2 D80'!$B$2</f>
        <v>46114</v>
      </c>
      <c r="C390" s="8">
        <f>'ALL 2024 H2 D80'!$C$2</f>
        <v>46120</v>
      </c>
      <c r="D390" s="5">
        <v>3208</v>
      </c>
      <c r="E390" s="5">
        <v>320</v>
      </c>
      <c r="F390" s="5">
        <v>1</v>
      </c>
      <c r="G390" s="15">
        <v>5</v>
      </c>
      <c r="H390" s="15">
        <v>81044</v>
      </c>
      <c r="I390" s="5" t="s">
        <v>16</v>
      </c>
      <c r="J390" s="16">
        <v>82238342</v>
      </c>
      <c r="K390" s="16" t="s">
        <v>846</v>
      </c>
      <c r="L390" s="34" t="s">
        <v>852</v>
      </c>
      <c r="M390" s="38">
        <v>259900</v>
      </c>
      <c r="N390" s="7">
        <v>0.9</v>
      </c>
      <c r="O390" s="6">
        <f t="shared" si="12"/>
        <v>25990</v>
      </c>
      <c r="P390" s="5" t="s">
        <v>504</v>
      </c>
    </row>
    <row r="391" spans="1:16" s="1" customFormat="1" x14ac:dyDescent="0.35">
      <c r="A391" s="5" t="str">
        <f t="shared" si="13"/>
        <v>2023 H1 All Items D90</v>
      </c>
      <c r="B391" s="8">
        <f>'ALL 2024 H2 D80'!$B$2</f>
        <v>46114</v>
      </c>
      <c r="C391" s="8">
        <f>'ALL 2024 H2 D80'!$C$2</f>
        <v>46120</v>
      </c>
      <c r="D391" s="5">
        <v>3208</v>
      </c>
      <c r="E391" s="5">
        <v>320</v>
      </c>
      <c r="F391" s="5">
        <v>1</v>
      </c>
      <c r="G391" s="15">
        <v>5</v>
      </c>
      <c r="H391" s="15">
        <v>81044</v>
      </c>
      <c r="I391" s="5" t="s">
        <v>16</v>
      </c>
      <c r="J391" s="16">
        <v>82238351</v>
      </c>
      <c r="K391" s="16" t="s">
        <v>846</v>
      </c>
      <c r="L391" s="34" t="s">
        <v>853</v>
      </c>
      <c r="M391" s="38">
        <v>259900</v>
      </c>
      <c r="N391" s="7">
        <v>0.9</v>
      </c>
      <c r="O391" s="6">
        <f t="shared" si="12"/>
        <v>25990</v>
      </c>
      <c r="P391" s="5" t="s">
        <v>504</v>
      </c>
    </row>
    <row r="392" spans="1:16" s="1" customFormat="1" x14ac:dyDescent="0.35">
      <c r="A392" s="5" t="str">
        <f t="shared" si="13"/>
        <v>2023 H1 All Items D90</v>
      </c>
      <c r="B392" s="8">
        <f>'ALL 2024 H2 D80'!$B$2</f>
        <v>46114</v>
      </c>
      <c r="C392" s="8">
        <f>'ALL 2024 H2 D80'!$C$2</f>
        <v>46120</v>
      </c>
      <c r="D392" s="5">
        <v>3208</v>
      </c>
      <c r="E392" s="5">
        <v>320</v>
      </c>
      <c r="F392" s="5">
        <v>1</v>
      </c>
      <c r="G392" s="15">
        <v>5</v>
      </c>
      <c r="H392" s="15">
        <v>81044</v>
      </c>
      <c r="I392" s="5" t="s">
        <v>16</v>
      </c>
      <c r="J392" s="16">
        <v>82238360</v>
      </c>
      <c r="K392" s="16" t="s">
        <v>846</v>
      </c>
      <c r="L392" s="34" t="s">
        <v>854</v>
      </c>
      <c r="M392" s="38">
        <v>259900</v>
      </c>
      <c r="N392" s="7">
        <v>0.9</v>
      </c>
      <c r="O392" s="6">
        <f t="shared" si="12"/>
        <v>25990</v>
      </c>
      <c r="P392" s="5" t="s">
        <v>504</v>
      </c>
    </row>
    <row r="393" spans="1:16" s="1" customFormat="1" x14ac:dyDescent="0.35">
      <c r="A393" s="5" t="str">
        <f t="shared" si="13"/>
        <v>2023 H1 All Items D90</v>
      </c>
      <c r="B393" s="8">
        <f>'ALL 2024 H2 D80'!$B$2</f>
        <v>46114</v>
      </c>
      <c r="C393" s="8">
        <f>'ALL 2024 H2 D80'!$C$2</f>
        <v>46120</v>
      </c>
      <c r="D393" s="5">
        <v>3208</v>
      </c>
      <c r="E393" s="5">
        <v>320</v>
      </c>
      <c r="F393" s="5">
        <v>1</v>
      </c>
      <c r="G393" s="15">
        <v>5</v>
      </c>
      <c r="H393" s="15">
        <v>81495</v>
      </c>
      <c r="I393" s="5" t="s">
        <v>16</v>
      </c>
      <c r="J393" s="16">
        <v>79666207</v>
      </c>
      <c r="K393" s="16" t="s">
        <v>855</v>
      </c>
      <c r="L393" s="34" t="s">
        <v>856</v>
      </c>
      <c r="M393" s="38">
        <v>279900</v>
      </c>
      <c r="N393" s="7">
        <v>0.9</v>
      </c>
      <c r="O393" s="6">
        <f t="shared" si="12"/>
        <v>27990</v>
      </c>
      <c r="P393" s="5" t="s">
        <v>504</v>
      </c>
    </row>
    <row r="394" spans="1:16" s="1" customFormat="1" x14ac:dyDescent="0.35">
      <c r="A394" s="5" t="str">
        <f t="shared" si="13"/>
        <v>2023 H1 All Items D90</v>
      </c>
      <c r="B394" s="8">
        <f>'ALL 2024 H2 D80'!$B$2</f>
        <v>46114</v>
      </c>
      <c r="C394" s="8">
        <f>'ALL 2024 H2 D80'!$C$2</f>
        <v>46120</v>
      </c>
      <c r="D394" s="5">
        <v>3208</v>
      </c>
      <c r="E394" s="5">
        <v>320</v>
      </c>
      <c r="F394" s="5">
        <v>1</v>
      </c>
      <c r="G394" s="5">
        <v>5</v>
      </c>
      <c r="H394" s="5">
        <v>81495</v>
      </c>
      <c r="I394" s="5" t="s">
        <v>16</v>
      </c>
      <c r="J394" s="5">
        <v>79666216</v>
      </c>
      <c r="K394" s="5" t="s">
        <v>855</v>
      </c>
      <c r="L394" s="14" t="s">
        <v>857</v>
      </c>
      <c r="M394" s="24">
        <v>279900</v>
      </c>
      <c r="N394" s="7">
        <v>0.9</v>
      </c>
      <c r="O394" s="6">
        <f t="shared" si="12"/>
        <v>27990</v>
      </c>
      <c r="P394" s="5" t="s">
        <v>504</v>
      </c>
    </row>
    <row r="395" spans="1:16" s="1" customFormat="1" x14ac:dyDescent="0.35">
      <c r="A395" s="5" t="str">
        <f t="shared" si="13"/>
        <v>2023 H1 All Items D90</v>
      </c>
      <c r="B395" s="8">
        <f>'ALL 2024 H2 D80'!$B$2</f>
        <v>46114</v>
      </c>
      <c r="C395" s="8">
        <f>'ALL 2024 H2 D80'!$C$2</f>
        <v>46120</v>
      </c>
      <c r="D395" s="5">
        <v>3208</v>
      </c>
      <c r="E395" s="5">
        <v>320</v>
      </c>
      <c r="F395" s="5">
        <v>1</v>
      </c>
      <c r="G395" s="5">
        <v>5</v>
      </c>
      <c r="H395" s="5">
        <v>81495</v>
      </c>
      <c r="I395" s="5" t="s">
        <v>16</v>
      </c>
      <c r="J395" s="5">
        <v>79666225</v>
      </c>
      <c r="K395" s="5" t="s">
        <v>855</v>
      </c>
      <c r="L395" s="14" t="s">
        <v>858</v>
      </c>
      <c r="M395" s="24">
        <v>279900</v>
      </c>
      <c r="N395" s="7">
        <v>0.9</v>
      </c>
      <c r="O395" s="6">
        <f t="shared" si="12"/>
        <v>27990</v>
      </c>
      <c r="P395" s="5" t="s">
        <v>504</v>
      </c>
    </row>
    <row r="396" spans="1:16" s="1" customFormat="1" x14ac:dyDescent="0.35">
      <c r="A396" s="5" t="str">
        <f t="shared" si="13"/>
        <v>2023 H1 All Items D90</v>
      </c>
      <c r="B396" s="8">
        <f>'ALL 2024 H2 D80'!$B$2</f>
        <v>46114</v>
      </c>
      <c r="C396" s="8">
        <f>'ALL 2024 H2 D80'!$C$2</f>
        <v>46120</v>
      </c>
      <c r="D396" s="5">
        <v>3208</v>
      </c>
      <c r="E396" s="5">
        <v>320</v>
      </c>
      <c r="F396" s="5">
        <v>1</v>
      </c>
      <c r="G396" s="5">
        <v>5</v>
      </c>
      <c r="H396" s="5">
        <v>81495</v>
      </c>
      <c r="I396" s="5" t="s">
        <v>16</v>
      </c>
      <c r="J396" s="5">
        <v>79666234</v>
      </c>
      <c r="K396" s="5" t="s">
        <v>855</v>
      </c>
      <c r="L396" s="14" t="s">
        <v>859</v>
      </c>
      <c r="M396" s="24">
        <v>279900</v>
      </c>
      <c r="N396" s="7">
        <v>0.9</v>
      </c>
      <c r="O396" s="6">
        <f t="shared" si="12"/>
        <v>27990</v>
      </c>
      <c r="P396" s="5" t="s">
        <v>504</v>
      </c>
    </row>
    <row r="397" spans="1:16" s="1" customFormat="1" x14ac:dyDescent="0.35">
      <c r="A397" s="5" t="str">
        <f t="shared" si="13"/>
        <v>2023 H1 All Items D90</v>
      </c>
      <c r="B397" s="8">
        <f>'ALL 2024 H2 D80'!$B$2</f>
        <v>46114</v>
      </c>
      <c r="C397" s="8">
        <f>'ALL 2024 H2 D80'!$C$2</f>
        <v>46120</v>
      </c>
      <c r="D397" s="5">
        <v>3208</v>
      </c>
      <c r="E397" s="5">
        <v>320</v>
      </c>
      <c r="F397" s="5">
        <v>1</v>
      </c>
      <c r="G397" s="5">
        <v>5</v>
      </c>
      <c r="H397" s="5">
        <v>81495</v>
      </c>
      <c r="I397" s="5" t="s">
        <v>16</v>
      </c>
      <c r="J397" s="5">
        <v>79666243</v>
      </c>
      <c r="K397" s="5" t="s">
        <v>855</v>
      </c>
      <c r="L397" s="14" t="s">
        <v>860</v>
      </c>
      <c r="M397" s="24">
        <v>279900</v>
      </c>
      <c r="N397" s="7">
        <v>0.9</v>
      </c>
      <c r="O397" s="6">
        <f t="shared" si="12"/>
        <v>27990</v>
      </c>
      <c r="P397" s="5" t="s">
        <v>504</v>
      </c>
    </row>
    <row r="398" spans="1:16" s="1" customFormat="1" x14ac:dyDescent="0.35">
      <c r="A398" s="5" t="str">
        <f t="shared" si="13"/>
        <v>2023 H1 All Items D90</v>
      </c>
      <c r="B398" s="8">
        <f>'ALL 2024 H2 D80'!$B$2</f>
        <v>46114</v>
      </c>
      <c r="C398" s="8">
        <f>'ALL 2024 H2 D80'!$C$2</f>
        <v>46120</v>
      </c>
      <c r="D398" s="5">
        <v>3208</v>
      </c>
      <c r="E398" s="5">
        <v>320</v>
      </c>
      <c r="F398" s="5">
        <v>1</v>
      </c>
      <c r="G398" s="5">
        <v>5</v>
      </c>
      <c r="H398" s="5">
        <v>81495</v>
      </c>
      <c r="I398" s="5" t="s">
        <v>16</v>
      </c>
      <c r="J398" s="5">
        <v>79666252</v>
      </c>
      <c r="K398" s="5" t="s">
        <v>855</v>
      </c>
      <c r="L398" s="14" t="s">
        <v>861</v>
      </c>
      <c r="M398" s="24">
        <v>279900</v>
      </c>
      <c r="N398" s="7">
        <v>0.9</v>
      </c>
      <c r="O398" s="6">
        <f t="shared" si="12"/>
        <v>27990</v>
      </c>
      <c r="P398" s="5" t="s">
        <v>504</v>
      </c>
    </row>
    <row r="399" spans="1:16" s="1" customFormat="1" x14ac:dyDescent="0.35">
      <c r="A399" s="5" t="str">
        <f t="shared" si="13"/>
        <v>2023 H1 All Items D90</v>
      </c>
      <c r="B399" s="8">
        <f>'ALL 2024 H2 D80'!$B$2</f>
        <v>46114</v>
      </c>
      <c r="C399" s="8">
        <f>'ALL 2024 H2 D80'!$C$2</f>
        <v>46120</v>
      </c>
      <c r="D399" s="5">
        <v>3208</v>
      </c>
      <c r="E399" s="5">
        <v>320</v>
      </c>
      <c r="F399" s="5">
        <v>1</v>
      </c>
      <c r="G399" s="5">
        <v>5</v>
      </c>
      <c r="H399" s="5">
        <v>81495</v>
      </c>
      <c r="I399" s="5" t="s">
        <v>16</v>
      </c>
      <c r="J399" s="5">
        <v>79666261</v>
      </c>
      <c r="K399" s="5" t="s">
        <v>855</v>
      </c>
      <c r="L399" s="14" t="s">
        <v>862</v>
      </c>
      <c r="M399" s="24">
        <v>279900</v>
      </c>
      <c r="N399" s="7">
        <v>0.9</v>
      </c>
      <c r="O399" s="6">
        <f t="shared" si="12"/>
        <v>27990</v>
      </c>
      <c r="P399" s="5" t="s">
        <v>504</v>
      </c>
    </row>
    <row r="400" spans="1:16" s="1" customFormat="1" x14ac:dyDescent="0.35">
      <c r="A400" s="5" t="str">
        <f t="shared" si="13"/>
        <v>2023 H1 All Items D90</v>
      </c>
      <c r="B400" s="8">
        <f>'ALL 2024 H2 D80'!$B$2</f>
        <v>46114</v>
      </c>
      <c r="C400" s="8">
        <f>'ALL 2024 H2 D80'!$C$2</f>
        <v>46120</v>
      </c>
      <c r="D400" s="5">
        <v>3208</v>
      </c>
      <c r="E400" s="5">
        <v>320</v>
      </c>
      <c r="F400" s="5">
        <v>1</v>
      </c>
      <c r="G400" s="5">
        <v>5</v>
      </c>
      <c r="H400" s="5">
        <v>81495</v>
      </c>
      <c r="I400" s="5" t="s">
        <v>16</v>
      </c>
      <c r="J400" s="5">
        <v>79666270</v>
      </c>
      <c r="K400" s="5" t="s">
        <v>855</v>
      </c>
      <c r="L400" s="14" t="s">
        <v>863</v>
      </c>
      <c r="M400" s="24">
        <v>279900</v>
      </c>
      <c r="N400" s="7">
        <v>0.9</v>
      </c>
      <c r="O400" s="6">
        <f t="shared" si="12"/>
        <v>27990</v>
      </c>
      <c r="P400" s="5" t="s">
        <v>504</v>
      </c>
    </row>
    <row r="401" spans="1:16" s="1" customFormat="1" x14ac:dyDescent="0.35">
      <c r="A401" s="5" t="str">
        <f t="shared" si="13"/>
        <v>2023 H1 All Items D90</v>
      </c>
      <c r="B401" s="8">
        <f>'ALL 2024 H2 D80'!$B$2</f>
        <v>46114</v>
      </c>
      <c r="C401" s="8">
        <f>'ALL 2024 H2 D80'!$C$2</f>
        <v>46120</v>
      </c>
      <c r="D401" s="5">
        <v>3208</v>
      </c>
      <c r="E401" s="5">
        <v>320</v>
      </c>
      <c r="F401" s="5">
        <v>1</v>
      </c>
      <c r="G401" s="5">
        <v>5</v>
      </c>
      <c r="H401" s="5">
        <v>81495</v>
      </c>
      <c r="I401" s="5" t="s">
        <v>16</v>
      </c>
      <c r="J401" s="5">
        <v>79666289</v>
      </c>
      <c r="K401" s="5" t="s">
        <v>855</v>
      </c>
      <c r="L401" s="14" t="s">
        <v>864</v>
      </c>
      <c r="M401" s="24">
        <v>279900</v>
      </c>
      <c r="N401" s="7">
        <v>0.9</v>
      </c>
      <c r="O401" s="6">
        <f t="shared" si="12"/>
        <v>27990</v>
      </c>
      <c r="P401" s="5" t="s">
        <v>504</v>
      </c>
    </row>
    <row r="402" spans="1:16" s="1" customFormat="1" x14ac:dyDescent="0.35">
      <c r="A402" s="5" t="str">
        <f t="shared" si="13"/>
        <v>2023 H1 All Items D90</v>
      </c>
      <c r="B402" s="8">
        <f>'ALL 2024 H2 D80'!$B$2</f>
        <v>46114</v>
      </c>
      <c r="C402" s="8">
        <f>'ALL 2024 H2 D80'!$C$2</f>
        <v>46120</v>
      </c>
      <c r="D402" s="5">
        <v>3208</v>
      </c>
      <c r="E402" s="5">
        <v>320</v>
      </c>
      <c r="F402" s="5">
        <v>1</v>
      </c>
      <c r="G402" s="5">
        <v>5</v>
      </c>
      <c r="H402" s="5">
        <v>81495</v>
      </c>
      <c r="I402" s="5" t="s">
        <v>16</v>
      </c>
      <c r="J402" s="5">
        <v>79666298</v>
      </c>
      <c r="K402" s="5" t="s">
        <v>855</v>
      </c>
      <c r="L402" s="14" t="s">
        <v>865</v>
      </c>
      <c r="M402" s="24">
        <v>279900</v>
      </c>
      <c r="N402" s="7">
        <v>0.9</v>
      </c>
      <c r="O402" s="6">
        <f t="shared" si="12"/>
        <v>27990</v>
      </c>
      <c r="P402" s="5" t="s">
        <v>504</v>
      </c>
    </row>
    <row r="403" spans="1:16" s="1" customFormat="1" x14ac:dyDescent="0.35">
      <c r="A403" s="5" t="str">
        <f t="shared" si="13"/>
        <v>2023 H1 All Items D90</v>
      </c>
      <c r="B403" s="8">
        <f>'ALL 2024 H2 D80'!$B$2</f>
        <v>46114</v>
      </c>
      <c r="C403" s="8">
        <f>'ALL 2024 H2 D80'!$C$2</f>
        <v>46120</v>
      </c>
      <c r="D403" s="5">
        <v>3208</v>
      </c>
      <c r="E403" s="5">
        <v>320</v>
      </c>
      <c r="F403" s="5">
        <v>1</v>
      </c>
      <c r="G403" s="5">
        <v>5</v>
      </c>
      <c r="H403" s="5">
        <v>81495</v>
      </c>
      <c r="I403" s="5" t="s">
        <v>16</v>
      </c>
      <c r="J403" s="5">
        <v>79666305</v>
      </c>
      <c r="K403" s="5" t="s">
        <v>855</v>
      </c>
      <c r="L403" s="14" t="s">
        <v>866</v>
      </c>
      <c r="M403" s="24">
        <v>279900</v>
      </c>
      <c r="N403" s="7">
        <v>0.9</v>
      </c>
      <c r="O403" s="6">
        <f t="shared" si="12"/>
        <v>27990</v>
      </c>
      <c r="P403" s="5" t="s">
        <v>504</v>
      </c>
    </row>
    <row r="404" spans="1:16" s="1" customFormat="1" x14ac:dyDescent="0.35">
      <c r="A404" s="5" t="str">
        <f t="shared" si="13"/>
        <v>2023 H1 All Items D90</v>
      </c>
      <c r="B404" s="8">
        <f>'ALL 2024 H2 D80'!$B$2</f>
        <v>46114</v>
      </c>
      <c r="C404" s="8">
        <f>'ALL 2024 H2 D80'!$C$2</f>
        <v>46120</v>
      </c>
      <c r="D404" s="5">
        <v>3208</v>
      </c>
      <c r="E404" s="5">
        <v>320</v>
      </c>
      <c r="F404" s="5">
        <v>1</v>
      </c>
      <c r="G404" s="5">
        <v>5</v>
      </c>
      <c r="H404" s="5">
        <v>81495</v>
      </c>
      <c r="I404" s="5" t="s">
        <v>16</v>
      </c>
      <c r="J404" s="5">
        <v>79666314</v>
      </c>
      <c r="K404" s="5" t="s">
        <v>855</v>
      </c>
      <c r="L404" s="14" t="s">
        <v>867</v>
      </c>
      <c r="M404" s="24">
        <v>279900</v>
      </c>
      <c r="N404" s="7">
        <v>0.9</v>
      </c>
      <c r="O404" s="6">
        <f t="shared" si="12"/>
        <v>27990</v>
      </c>
      <c r="P404" s="5" t="s">
        <v>504</v>
      </c>
    </row>
    <row r="405" spans="1:16" s="1" customFormat="1" x14ac:dyDescent="0.35">
      <c r="A405" s="5" t="str">
        <f t="shared" si="13"/>
        <v>2023 H1 All Items D90</v>
      </c>
      <c r="B405" s="8">
        <f>'ALL 2024 H2 D80'!$B$2</f>
        <v>46114</v>
      </c>
      <c r="C405" s="8">
        <f>'ALL 2024 H2 D80'!$C$2</f>
        <v>46120</v>
      </c>
      <c r="D405" s="5">
        <v>3208</v>
      </c>
      <c r="E405" s="5">
        <v>320</v>
      </c>
      <c r="F405" s="5">
        <v>1</v>
      </c>
      <c r="G405" s="5">
        <v>5</v>
      </c>
      <c r="H405" s="5">
        <v>81495</v>
      </c>
      <c r="I405" s="5" t="s">
        <v>16</v>
      </c>
      <c r="J405" s="5">
        <v>80907631</v>
      </c>
      <c r="K405" s="5" t="s">
        <v>868</v>
      </c>
      <c r="L405" s="14" t="s">
        <v>869</v>
      </c>
      <c r="M405" s="24">
        <v>259900</v>
      </c>
      <c r="N405" s="7">
        <v>0.9</v>
      </c>
      <c r="O405" s="6">
        <f t="shared" si="12"/>
        <v>25990</v>
      </c>
      <c r="P405" s="5" t="s">
        <v>504</v>
      </c>
    </row>
    <row r="406" spans="1:16" s="1" customFormat="1" x14ac:dyDescent="0.35">
      <c r="A406" s="5" t="str">
        <f t="shared" si="13"/>
        <v>2023 H1 All Items D90</v>
      </c>
      <c r="B406" s="8">
        <f>'ALL 2024 H2 D80'!$B$2</f>
        <v>46114</v>
      </c>
      <c r="C406" s="8">
        <f>'ALL 2024 H2 D80'!$C$2</f>
        <v>46120</v>
      </c>
      <c r="D406" s="5">
        <v>3208</v>
      </c>
      <c r="E406" s="5">
        <v>320</v>
      </c>
      <c r="F406" s="5">
        <v>1</v>
      </c>
      <c r="G406" s="5">
        <v>5</v>
      </c>
      <c r="H406" s="5">
        <v>81495</v>
      </c>
      <c r="I406" s="5" t="s">
        <v>16</v>
      </c>
      <c r="J406" s="5">
        <v>80907640</v>
      </c>
      <c r="K406" s="5" t="s">
        <v>868</v>
      </c>
      <c r="L406" s="14" t="s">
        <v>870</v>
      </c>
      <c r="M406" s="24">
        <v>259900</v>
      </c>
      <c r="N406" s="7">
        <v>0.9</v>
      </c>
      <c r="O406" s="6">
        <f t="shared" si="12"/>
        <v>25990</v>
      </c>
      <c r="P406" s="5" t="s">
        <v>504</v>
      </c>
    </row>
    <row r="407" spans="1:16" s="1" customFormat="1" x14ac:dyDescent="0.35">
      <c r="A407" s="5" t="str">
        <f t="shared" si="13"/>
        <v>2023 H1 All Items D90</v>
      </c>
      <c r="B407" s="8">
        <f>'ALL 2024 H2 D80'!$B$2</f>
        <v>46114</v>
      </c>
      <c r="C407" s="8">
        <f>'ALL 2024 H2 D80'!$C$2</f>
        <v>46120</v>
      </c>
      <c r="D407" s="5">
        <v>3208</v>
      </c>
      <c r="E407" s="5">
        <v>320</v>
      </c>
      <c r="F407" s="5">
        <v>1</v>
      </c>
      <c r="G407" s="5">
        <v>5</v>
      </c>
      <c r="H407" s="5">
        <v>81495</v>
      </c>
      <c r="I407" s="5" t="s">
        <v>16</v>
      </c>
      <c r="J407" s="5">
        <v>80907659</v>
      </c>
      <c r="K407" s="5" t="s">
        <v>868</v>
      </c>
      <c r="L407" s="14" t="s">
        <v>871</v>
      </c>
      <c r="M407" s="24">
        <v>259900</v>
      </c>
      <c r="N407" s="7">
        <v>0.9</v>
      </c>
      <c r="O407" s="6">
        <f t="shared" si="12"/>
        <v>25990</v>
      </c>
      <c r="P407" s="5" t="s">
        <v>504</v>
      </c>
    </row>
    <row r="408" spans="1:16" s="1" customFormat="1" x14ac:dyDescent="0.35">
      <c r="A408" s="5" t="str">
        <f t="shared" si="13"/>
        <v>2023 H1 All Items D90</v>
      </c>
      <c r="B408" s="8">
        <f>'ALL 2024 H2 D80'!$B$2</f>
        <v>46114</v>
      </c>
      <c r="C408" s="8">
        <f>'ALL 2024 H2 D80'!$C$2</f>
        <v>46120</v>
      </c>
      <c r="D408" s="5">
        <v>3208</v>
      </c>
      <c r="E408" s="5">
        <v>320</v>
      </c>
      <c r="F408" s="5">
        <v>1</v>
      </c>
      <c r="G408" s="5">
        <v>5</v>
      </c>
      <c r="H408" s="5">
        <v>81495</v>
      </c>
      <c r="I408" s="5" t="s">
        <v>16</v>
      </c>
      <c r="J408" s="5">
        <v>80907668</v>
      </c>
      <c r="K408" s="5" t="s">
        <v>868</v>
      </c>
      <c r="L408" s="14" t="s">
        <v>872</v>
      </c>
      <c r="M408" s="24">
        <v>259900</v>
      </c>
      <c r="N408" s="7">
        <v>0.9</v>
      </c>
      <c r="O408" s="6">
        <f t="shared" ref="O408:O467" si="14">M408-(M408*N408)</f>
        <v>25990</v>
      </c>
      <c r="P408" s="5" t="s">
        <v>504</v>
      </c>
    </row>
    <row r="409" spans="1:16" s="1" customFormat="1" x14ac:dyDescent="0.35">
      <c r="A409" s="5" t="str">
        <f t="shared" si="13"/>
        <v>2023 H1 All Items D90</v>
      </c>
      <c r="B409" s="8">
        <f>'ALL 2024 H2 D80'!$B$2</f>
        <v>46114</v>
      </c>
      <c r="C409" s="8">
        <f>'ALL 2024 H2 D80'!$C$2</f>
        <v>46120</v>
      </c>
      <c r="D409" s="5">
        <v>3208</v>
      </c>
      <c r="E409" s="5">
        <v>320</v>
      </c>
      <c r="F409" s="5">
        <v>1</v>
      </c>
      <c r="G409" s="5">
        <v>5</v>
      </c>
      <c r="H409" s="5">
        <v>81495</v>
      </c>
      <c r="I409" s="5" t="s">
        <v>16</v>
      </c>
      <c r="J409" s="5">
        <v>80907677</v>
      </c>
      <c r="K409" s="5" t="s">
        <v>868</v>
      </c>
      <c r="L409" s="14" t="s">
        <v>873</v>
      </c>
      <c r="M409" s="24">
        <v>259900</v>
      </c>
      <c r="N409" s="7">
        <v>0.9</v>
      </c>
      <c r="O409" s="6">
        <f t="shared" si="14"/>
        <v>25990</v>
      </c>
      <c r="P409" s="5" t="s">
        <v>504</v>
      </c>
    </row>
    <row r="410" spans="1:16" s="1" customFormat="1" x14ac:dyDescent="0.35">
      <c r="A410" s="5" t="str">
        <f t="shared" si="13"/>
        <v>2023 H1 All Items D90</v>
      </c>
      <c r="B410" s="8">
        <f>'ALL 2024 H2 D80'!$B$2</f>
        <v>46114</v>
      </c>
      <c r="C410" s="8">
        <f>'ALL 2024 H2 D80'!$C$2</f>
        <v>46120</v>
      </c>
      <c r="D410" s="5">
        <v>3208</v>
      </c>
      <c r="E410" s="5">
        <v>320</v>
      </c>
      <c r="F410" s="5">
        <v>1</v>
      </c>
      <c r="G410" s="5">
        <v>5</v>
      </c>
      <c r="H410" s="5">
        <v>81495</v>
      </c>
      <c r="I410" s="5" t="s">
        <v>16</v>
      </c>
      <c r="J410" s="5">
        <v>80907686</v>
      </c>
      <c r="K410" s="5" t="s">
        <v>868</v>
      </c>
      <c r="L410" s="14" t="s">
        <v>874</v>
      </c>
      <c r="M410" s="24">
        <v>259900</v>
      </c>
      <c r="N410" s="7">
        <v>0.9</v>
      </c>
      <c r="O410" s="6">
        <f t="shared" si="14"/>
        <v>25990</v>
      </c>
      <c r="P410" s="5" t="s">
        <v>504</v>
      </c>
    </row>
    <row r="411" spans="1:16" s="1" customFormat="1" x14ac:dyDescent="0.35">
      <c r="A411" s="5" t="str">
        <f t="shared" si="13"/>
        <v>2023 H1 All Items D90</v>
      </c>
      <c r="B411" s="8">
        <f>'ALL 2024 H2 D80'!$B$2</f>
        <v>46114</v>
      </c>
      <c r="C411" s="8">
        <f>'ALL 2024 H2 D80'!$C$2</f>
        <v>46120</v>
      </c>
      <c r="D411" s="5">
        <v>3208</v>
      </c>
      <c r="E411" s="5">
        <v>320</v>
      </c>
      <c r="F411" s="5">
        <v>1</v>
      </c>
      <c r="G411" s="5">
        <v>5</v>
      </c>
      <c r="H411" s="5">
        <v>81495</v>
      </c>
      <c r="I411" s="5" t="s">
        <v>16</v>
      </c>
      <c r="J411" s="5">
        <v>80907695</v>
      </c>
      <c r="K411" s="5" t="s">
        <v>868</v>
      </c>
      <c r="L411" s="14" t="s">
        <v>875</v>
      </c>
      <c r="M411" s="24">
        <v>259900</v>
      </c>
      <c r="N411" s="7">
        <v>0.9</v>
      </c>
      <c r="O411" s="6">
        <f t="shared" si="14"/>
        <v>25990</v>
      </c>
      <c r="P411" s="5" t="s">
        <v>504</v>
      </c>
    </row>
    <row r="412" spans="1:16" s="1" customFormat="1" x14ac:dyDescent="0.35">
      <c r="A412" s="5" t="str">
        <f t="shared" si="13"/>
        <v>2023 H1 All Items D90</v>
      </c>
      <c r="B412" s="8">
        <f>'ALL 2024 H2 D80'!$B$2</f>
        <v>46114</v>
      </c>
      <c r="C412" s="8">
        <f>'ALL 2024 H2 D80'!$C$2</f>
        <v>46120</v>
      </c>
      <c r="D412" s="5">
        <v>3208</v>
      </c>
      <c r="E412" s="5">
        <v>320</v>
      </c>
      <c r="F412" s="5">
        <v>1</v>
      </c>
      <c r="G412" s="5">
        <v>5</v>
      </c>
      <c r="H412" s="5">
        <v>81495</v>
      </c>
      <c r="I412" s="5" t="s">
        <v>16</v>
      </c>
      <c r="J412" s="5">
        <v>80907702</v>
      </c>
      <c r="K412" s="5" t="s">
        <v>868</v>
      </c>
      <c r="L412" s="14" t="s">
        <v>876</v>
      </c>
      <c r="M412" s="24">
        <v>259900</v>
      </c>
      <c r="N412" s="7">
        <v>0.9</v>
      </c>
      <c r="O412" s="6">
        <f t="shared" si="14"/>
        <v>25990</v>
      </c>
      <c r="P412" s="5" t="s">
        <v>504</v>
      </c>
    </row>
    <row r="413" spans="1:16" s="1" customFormat="1" x14ac:dyDescent="0.35">
      <c r="A413" s="5" t="str">
        <f t="shared" si="13"/>
        <v>2023 H1 All Items D90</v>
      </c>
      <c r="B413" s="8">
        <f>'ALL 2024 H2 D80'!$B$2</f>
        <v>46114</v>
      </c>
      <c r="C413" s="8">
        <f>'ALL 2024 H2 D80'!$C$2</f>
        <v>46120</v>
      </c>
      <c r="D413" s="5">
        <v>3208</v>
      </c>
      <c r="E413" s="5">
        <v>320</v>
      </c>
      <c r="F413" s="5">
        <v>1</v>
      </c>
      <c r="G413" s="5">
        <v>5</v>
      </c>
      <c r="H413" s="5">
        <v>81495</v>
      </c>
      <c r="I413" s="5" t="s">
        <v>16</v>
      </c>
      <c r="J413" s="5">
        <v>80907711</v>
      </c>
      <c r="K413" s="5" t="s">
        <v>868</v>
      </c>
      <c r="L413" s="14" t="s">
        <v>877</v>
      </c>
      <c r="M413" s="24">
        <v>259900</v>
      </c>
      <c r="N413" s="7">
        <v>0.9</v>
      </c>
      <c r="O413" s="6">
        <f t="shared" si="14"/>
        <v>25990</v>
      </c>
      <c r="P413" s="5" t="s">
        <v>504</v>
      </c>
    </row>
    <row r="414" spans="1:16" s="1" customFormat="1" x14ac:dyDescent="0.35">
      <c r="A414" s="5" t="str">
        <f t="shared" si="13"/>
        <v>2023 H1 All Items D90</v>
      </c>
      <c r="B414" s="8">
        <f>'ALL 2024 H2 D80'!$B$2</f>
        <v>46114</v>
      </c>
      <c r="C414" s="8">
        <f>'ALL 2024 H2 D80'!$C$2</f>
        <v>46120</v>
      </c>
      <c r="D414" s="5">
        <v>3208</v>
      </c>
      <c r="E414" s="5">
        <v>320</v>
      </c>
      <c r="F414" s="5">
        <v>1</v>
      </c>
      <c r="G414" s="5">
        <v>5</v>
      </c>
      <c r="H414" s="5">
        <v>81495</v>
      </c>
      <c r="I414" s="5" t="s">
        <v>16</v>
      </c>
      <c r="J414" s="5">
        <v>80907720</v>
      </c>
      <c r="K414" s="5" t="s">
        <v>868</v>
      </c>
      <c r="L414" s="14" t="s">
        <v>878</v>
      </c>
      <c r="M414" s="24">
        <v>259900</v>
      </c>
      <c r="N414" s="7">
        <v>0.9</v>
      </c>
      <c r="O414" s="6">
        <f t="shared" si="14"/>
        <v>25990</v>
      </c>
      <c r="P414" s="5" t="s">
        <v>504</v>
      </c>
    </row>
    <row r="415" spans="1:16" s="1" customFormat="1" x14ac:dyDescent="0.35">
      <c r="A415" s="5" t="str">
        <f t="shared" si="13"/>
        <v>2023 H1 All Items D90</v>
      </c>
      <c r="B415" s="8">
        <f>'ALL 2024 H2 D80'!$B$2</f>
        <v>46114</v>
      </c>
      <c r="C415" s="8">
        <f>'ALL 2024 H2 D80'!$C$2</f>
        <v>46120</v>
      </c>
      <c r="D415" s="5">
        <v>3208</v>
      </c>
      <c r="E415" s="5">
        <v>320</v>
      </c>
      <c r="F415" s="5">
        <v>1</v>
      </c>
      <c r="G415" s="5">
        <v>5</v>
      </c>
      <c r="H415" s="5">
        <v>81495</v>
      </c>
      <c r="I415" s="5" t="s">
        <v>16</v>
      </c>
      <c r="J415" s="5">
        <v>80907739</v>
      </c>
      <c r="K415" s="5" t="s">
        <v>868</v>
      </c>
      <c r="L415" s="14" t="s">
        <v>879</v>
      </c>
      <c r="M415" s="24">
        <v>259900</v>
      </c>
      <c r="N415" s="7">
        <v>0.9</v>
      </c>
      <c r="O415" s="6">
        <f t="shared" si="14"/>
        <v>25990</v>
      </c>
      <c r="P415" s="5" t="s">
        <v>504</v>
      </c>
    </row>
    <row r="416" spans="1:16" s="1" customFormat="1" x14ac:dyDescent="0.35">
      <c r="A416" s="5" t="str">
        <f t="shared" si="13"/>
        <v>2023 H1 All Items D90</v>
      </c>
      <c r="B416" s="8">
        <f>'ALL 2024 H2 D80'!$B$2</f>
        <v>46114</v>
      </c>
      <c r="C416" s="8">
        <f>'ALL 2024 H2 D80'!$C$2</f>
        <v>46120</v>
      </c>
      <c r="D416" s="5">
        <v>3208</v>
      </c>
      <c r="E416" s="5">
        <v>320</v>
      </c>
      <c r="F416" s="5">
        <v>1</v>
      </c>
      <c r="G416" s="5">
        <v>5</v>
      </c>
      <c r="H416" s="5">
        <v>81495</v>
      </c>
      <c r="I416" s="5" t="s">
        <v>16</v>
      </c>
      <c r="J416" s="5">
        <v>80907748</v>
      </c>
      <c r="K416" s="5" t="s">
        <v>868</v>
      </c>
      <c r="L416" s="14" t="s">
        <v>880</v>
      </c>
      <c r="M416" s="24">
        <v>259900</v>
      </c>
      <c r="N416" s="7">
        <v>0.9</v>
      </c>
      <c r="O416" s="6">
        <f t="shared" si="14"/>
        <v>25990</v>
      </c>
      <c r="P416" s="5" t="s">
        <v>504</v>
      </c>
    </row>
    <row r="417" spans="1:16" s="1" customFormat="1" x14ac:dyDescent="0.35">
      <c r="A417" s="5" t="str">
        <f t="shared" si="13"/>
        <v>2023 H1 All Items D90</v>
      </c>
      <c r="B417" s="8">
        <f>'ALL 2024 H2 D80'!$B$2</f>
        <v>46114</v>
      </c>
      <c r="C417" s="8">
        <f>'ALL 2024 H2 D80'!$C$2</f>
        <v>46120</v>
      </c>
      <c r="D417" s="5">
        <v>3208</v>
      </c>
      <c r="E417" s="5">
        <v>320</v>
      </c>
      <c r="F417" s="5">
        <v>1</v>
      </c>
      <c r="G417" s="5">
        <v>5</v>
      </c>
      <c r="H417" s="5">
        <v>81495</v>
      </c>
      <c r="I417" s="5" t="s">
        <v>16</v>
      </c>
      <c r="J417" s="5">
        <v>81290153</v>
      </c>
      <c r="K417" s="5" t="s">
        <v>881</v>
      </c>
      <c r="L417" s="14" t="s">
        <v>882</v>
      </c>
      <c r="M417" s="24">
        <v>299900</v>
      </c>
      <c r="N417" s="7">
        <v>0.9</v>
      </c>
      <c r="O417" s="6">
        <f t="shared" si="14"/>
        <v>29990</v>
      </c>
      <c r="P417" s="5" t="s">
        <v>504</v>
      </c>
    </row>
    <row r="418" spans="1:16" s="1" customFormat="1" x14ac:dyDescent="0.35">
      <c r="A418" s="5" t="str">
        <f t="shared" si="13"/>
        <v>2023 H1 All Items D90</v>
      </c>
      <c r="B418" s="8">
        <f>'ALL 2024 H2 D80'!$B$2</f>
        <v>46114</v>
      </c>
      <c r="C418" s="8">
        <f>'ALL 2024 H2 D80'!$C$2</f>
        <v>46120</v>
      </c>
      <c r="D418" s="5">
        <v>3208</v>
      </c>
      <c r="E418" s="5">
        <v>320</v>
      </c>
      <c r="F418" s="5">
        <v>1</v>
      </c>
      <c r="G418" s="5">
        <v>5</v>
      </c>
      <c r="H418" s="5">
        <v>81495</v>
      </c>
      <c r="I418" s="5" t="s">
        <v>16</v>
      </c>
      <c r="J418" s="5">
        <v>81290162</v>
      </c>
      <c r="K418" s="5" t="s">
        <v>881</v>
      </c>
      <c r="L418" s="14" t="s">
        <v>883</v>
      </c>
      <c r="M418" s="24">
        <v>299900</v>
      </c>
      <c r="N418" s="7">
        <v>0.9</v>
      </c>
      <c r="O418" s="6">
        <f t="shared" si="14"/>
        <v>29990</v>
      </c>
      <c r="P418" s="5" t="s">
        <v>504</v>
      </c>
    </row>
    <row r="419" spans="1:16" s="1" customFormat="1" x14ac:dyDescent="0.35">
      <c r="A419" s="5" t="str">
        <f t="shared" si="13"/>
        <v>2023 H1 All Items D90</v>
      </c>
      <c r="B419" s="8">
        <f>'ALL 2024 H2 D80'!$B$2</f>
        <v>46114</v>
      </c>
      <c r="C419" s="8">
        <f>'ALL 2024 H2 D80'!$C$2</f>
        <v>46120</v>
      </c>
      <c r="D419" s="5">
        <v>3208</v>
      </c>
      <c r="E419" s="5">
        <v>320</v>
      </c>
      <c r="F419" s="5">
        <v>1</v>
      </c>
      <c r="G419" s="5">
        <v>5</v>
      </c>
      <c r="H419" s="5">
        <v>81495</v>
      </c>
      <c r="I419" s="5" t="s">
        <v>16</v>
      </c>
      <c r="J419" s="5">
        <v>81290171</v>
      </c>
      <c r="K419" s="5" t="s">
        <v>881</v>
      </c>
      <c r="L419" s="14" t="s">
        <v>884</v>
      </c>
      <c r="M419" s="24">
        <v>299900</v>
      </c>
      <c r="N419" s="7">
        <v>0.9</v>
      </c>
      <c r="O419" s="6">
        <f t="shared" si="14"/>
        <v>29990</v>
      </c>
      <c r="P419" s="5" t="s">
        <v>504</v>
      </c>
    </row>
    <row r="420" spans="1:16" s="1" customFormat="1" x14ac:dyDescent="0.35">
      <c r="A420" s="5" t="str">
        <f t="shared" si="13"/>
        <v>2023 H1 All Items D90</v>
      </c>
      <c r="B420" s="8">
        <f>'ALL 2024 H2 D80'!$B$2</f>
        <v>46114</v>
      </c>
      <c r="C420" s="8">
        <f>'ALL 2024 H2 D80'!$C$2</f>
        <v>46120</v>
      </c>
      <c r="D420" s="5">
        <v>3208</v>
      </c>
      <c r="E420" s="5">
        <v>320</v>
      </c>
      <c r="F420" s="5">
        <v>1</v>
      </c>
      <c r="G420" s="5">
        <v>5</v>
      </c>
      <c r="H420" s="5">
        <v>81495</v>
      </c>
      <c r="I420" s="5" t="s">
        <v>16</v>
      </c>
      <c r="J420" s="5">
        <v>81290180</v>
      </c>
      <c r="K420" s="5" t="s">
        <v>881</v>
      </c>
      <c r="L420" s="14" t="s">
        <v>885</v>
      </c>
      <c r="M420" s="24">
        <v>299900</v>
      </c>
      <c r="N420" s="7">
        <v>0.9</v>
      </c>
      <c r="O420" s="6">
        <f t="shared" si="14"/>
        <v>29990</v>
      </c>
      <c r="P420" s="5" t="s">
        <v>504</v>
      </c>
    </row>
    <row r="421" spans="1:16" s="1" customFormat="1" x14ac:dyDescent="0.35">
      <c r="A421" s="5" t="str">
        <f t="shared" si="13"/>
        <v>2023 H1 All Items D90</v>
      </c>
      <c r="B421" s="8">
        <f>'ALL 2024 H2 D80'!$B$2</f>
        <v>46114</v>
      </c>
      <c r="C421" s="8">
        <f>'ALL 2024 H2 D80'!$C$2</f>
        <v>46120</v>
      </c>
      <c r="D421" s="5">
        <v>3208</v>
      </c>
      <c r="E421" s="5">
        <v>320</v>
      </c>
      <c r="F421" s="5">
        <v>1</v>
      </c>
      <c r="G421" s="5">
        <v>5</v>
      </c>
      <c r="H421" s="5">
        <v>81626</v>
      </c>
      <c r="I421" s="5" t="s">
        <v>16</v>
      </c>
      <c r="J421" s="5">
        <v>78416130</v>
      </c>
      <c r="K421" s="5" t="s">
        <v>985</v>
      </c>
      <c r="L421" s="14" t="s">
        <v>986</v>
      </c>
      <c r="M421" s="24">
        <v>279900</v>
      </c>
      <c r="N421" s="7">
        <v>0.9</v>
      </c>
      <c r="O421" s="6">
        <f t="shared" si="14"/>
        <v>27990</v>
      </c>
      <c r="P421" s="5" t="s">
        <v>504</v>
      </c>
    </row>
    <row r="422" spans="1:16" s="1" customFormat="1" x14ac:dyDescent="0.35">
      <c r="A422" s="5" t="str">
        <f t="shared" si="13"/>
        <v>2023 H1 All Items D90</v>
      </c>
      <c r="B422" s="8">
        <f>'ALL 2024 H2 D80'!$B$2</f>
        <v>46114</v>
      </c>
      <c r="C422" s="8">
        <f>'ALL 2024 H2 D80'!$C$2</f>
        <v>46120</v>
      </c>
      <c r="D422" s="5">
        <v>3208</v>
      </c>
      <c r="E422" s="5">
        <v>320</v>
      </c>
      <c r="F422" s="5">
        <v>1</v>
      </c>
      <c r="G422" s="5">
        <v>5</v>
      </c>
      <c r="H422" s="5">
        <v>81626</v>
      </c>
      <c r="I422" s="5" t="s">
        <v>16</v>
      </c>
      <c r="J422" s="5">
        <v>78416149</v>
      </c>
      <c r="K422" s="5" t="s">
        <v>985</v>
      </c>
      <c r="L422" s="14" t="s">
        <v>987</v>
      </c>
      <c r="M422" s="24">
        <v>279900</v>
      </c>
      <c r="N422" s="7">
        <v>0.9</v>
      </c>
      <c r="O422" s="6">
        <f t="shared" si="14"/>
        <v>27990</v>
      </c>
      <c r="P422" s="5" t="s">
        <v>504</v>
      </c>
    </row>
    <row r="423" spans="1:16" s="1" customFormat="1" x14ac:dyDescent="0.35">
      <c r="A423" s="5" t="str">
        <f t="shared" si="13"/>
        <v>2023 H1 All Items D90</v>
      </c>
      <c r="B423" s="8">
        <f>'ALL 2024 H2 D80'!$B$2</f>
        <v>46114</v>
      </c>
      <c r="C423" s="8">
        <f>'ALL 2024 H2 D80'!$C$2</f>
        <v>46120</v>
      </c>
      <c r="D423" s="5">
        <v>3208</v>
      </c>
      <c r="E423" s="5">
        <v>320</v>
      </c>
      <c r="F423" s="5">
        <v>1</v>
      </c>
      <c r="G423" s="5">
        <v>5</v>
      </c>
      <c r="H423" s="5">
        <v>81626</v>
      </c>
      <c r="I423" s="5" t="s">
        <v>16</v>
      </c>
      <c r="J423" s="5">
        <v>78416158</v>
      </c>
      <c r="K423" s="5" t="s">
        <v>985</v>
      </c>
      <c r="L423" s="14" t="s">
        <v>988</v>
      </c>
      <c r="M423" s="24">
        <v>279900</v>
      </c>
      <c r="N423" s="7">
        <v>0.9</v>
      </c>
      <c r="O423" s="6">
        <f t="shared" si="14"/>
        <v>27990</v>
      </c>
      <c r="P423" s="5" t="s">
        <v>504</v>
      </c>
    </row>
    <row r="424" spans="1:16" s="1" customFormat="1" x14ac:dyDescent="0.35">
      <c r="A424" s="5" t="str">
        <f t="shared" si="13"/>
        <v>2023 H1 All Items D90</v>
      </c>
      <c r="B424" s="8">
        <f>'ALL 2024 H2 D80'!$B$2</f>
        <v>46114</v>
      </c>
      <c r="C424" s="8">
        <f>'ALL 2024 H2 D80'!$C$2</f>
        <v>46120</v>
      </c>
      <c r="D424" s="5">
        <v>3208</v>
      </c>
      <c r="E424" s="5">
        <v>320</v>
      </c>
      <c r="F424" s="5">
        <v>1</v>
      </c>
      <c r="G424" s="5">
        <v>5</v>
      </c>
      <c r="H424" s="5">
        <v>81626</v>
      </c>
      <c r="I424" s="5" t="s">
        <v>16</v>
      </c>
      <c r="J424" s="5">
        <v>78416167</v>
      </c>
      <c r="K424" s="5" t="s">
        <v>985</v>
      </c>
      <c r="L424" s="14" t="s">
        <v>989</v>
      </c>
      <c r="M424" s="24">
        <v>279900</v>
      </c>
      <c r="N424" s="7">
        <v>0.9</v>
      </c>
      <c r="O424" s="6">
        <f t="shared" si="14"/>
        <v>27990</v>
      </c>
      <c r="P424" s="5" t="s">
        <v>504</v>
      </c>
    </row>
    <row r="425" spans="1:16" s="1" customFormat="1" x14ac:dyDescent="0.35">
      <c r="A425" s="5" t="str">
        <f t="shared" si="13"/>
        <v>2023 H1 All Items D90</v>
      </c>
      <c r="B425" s="8">
        <f>'ALL 2024 H2 D80'!$B$2</f>
        <v>46114</v>
      </c>
      <c r="C425" s="8">
        <f>'ALL 2024 H2 D80'!$C$2</f>
        <v>46120</v>
      </c>
      <c r="D425" s="5">
        <v>3208</v>
      </c>
      <c r="E425" s="5">
        <v>320</v>
      </c>
      <c r="F425" s="5">
        <v>1</v>
      </c>
      <c r="G425" s="5">
        <v>5</v>
      </c>
      <c r="H425" s="5">
        <v>81626</v>
      </c>
      <c r="I425" s="5" t="s">
        <v>16</v>
      </c>
      <c r="J425" s="5">
        <v>78524326</v>
      </c>
      <c r="K425" s="5" t="s">
        <v>990</v>
      </c>
      <c r="L425" s="14" t="s">
        <v>991</v>
      </c>
      <c r="M425" s="24">
        <v>279900</v>
      </c>
      <c r="N425" s="7">
        <v>0.9</v>
      </c>
      <c r="O425" s="6">
        <f t="shared" si="14"/>
        <v>27990</v>
      </c>
      <c r="P425" s="5" t="s">
        <v>504</v>
      </c>
    </row>
    <row r="426" spans="1:16" s="1" customFormat="1" x14ac:dyDescent="0.35">
      <c r="A426" s="5" t="str">
        <f t="shared" si="13"/>
        <v>2023 H1 All Items D90</v>
      </c>
      <c r="B426" s="8">
        <f>'ALL 2024 H2 D80'!$B$2</f>
        <v>46114</v>
      </c>
      <c r="C426" s="8">
        <f>'ALL 2024 H2 D80'!$C$2</f>
        <v>46120</v>
      </c>
      <c r="D426" s="5">
        <v>3208</v>
      </c>
      <c r="E426" s="5">
        <v>320</v>
      </c>
      <c r="F426" s="5">
        <v>1</v>
      </c>
      <c r="G426" s="5">
        <v>5</v>
      </c>
      <c r="H426" s="5">
        <v>81626</v>
      </c>
      <c r="I426" s="5" t="s">
        <v>16</v>
      </c>
      <c r="J426" s="5">
        <v>78524335</v>
      </c>
      <c r="K426" s="5" t="s">
        <v>990</v>
      </c>
      <c r="L426" s="14" t="s">
        <v>992</v>
      </c>
      <c r="M426" s="24">
        <v>279900</v>
      </c>
      <c r="N426" s="7">
        <v>0.9</v>
      </c>
      <c r="O426" s="6">
        <f t="shared" si="14"/>
        <v>27990</v>
      </c>
      <c r="P426" s="5" t="s">
        <v>504</v>
      </c>
    </row>
    <row r="427" spans="1:16" s="1" customFormat="1" x14ac:dyDescent="0.35">
      <c r="A427" s="5" t="str">
        <f t="shared" si="13"/>
        <v>2023 H1 All Items D90</v>
      </c>
      <c r="B427" s="8">
        <f>'ALL 2024 H2 D80'!$B$2</f>
        <v>46114</v>
      </c>
      <c r="C427" s="8">
        <f>'ALL 2024 H2 D80'!$C$2</f>
        <v>46120</v>
      </c>
      <c r="D427" s="5">
        <v>3208</v>
      </c>
      <c r="E427" s="5">
        <v>320</v>
      </c>
      <c r="F427" s="5">
        <v>1</v>
      </c>
      <c r="G427" s="5">
        <v>5</v>
      </c>
      <c r="H427" s="5">
        <v>81626</v>
      </c>
      <c r="I427" s="5" t="s">
        <v>16</v>
      </c>
      <c r="J427" s="5">
        <v>78524344</v>
      </c>
      <c r="K427" s="5" t="s">
        <v>990</v>
      </c>
      <c r="L427" s="14" t="s">
        <v>993</v>
      </c>
      <c r="M427" s="24">
        <v>279900</v>
      </c>
      <c r="N427" s="7">
        <v>0.9</v>
      </c>
      <c r="O427" s="6">
        <f t="shared" si="14"/>
        <v>27990</v>
      </c>
      <c r="P427" s="5" t="s">
        <v>504</v>
      </c>
    </row>
    <row r="428" spans="1:16" s="1" customFormat="1" x14ac:dyDescent="0.35">
      <c r="A428" s="5" t="str">
        <f t="shared" si="13"/>
        <v>2023 H1 All Items D90</v>
      </c>
      <c r="B428" s="8">
        <f>'ALL 2024 H2 D80'!$B$2</f>
        <v>46114</v>
      </c>
      <c r="C428" s="8">
        <f>'ALL 2024 H2 D80'!$C$2</f>
        <v>46120</v>
      </c>
      <c r="D428" s="5">
        <v>3208</v>
      </c>
      <c r="E428" s="5">
        <v>320</v>
      </c>
      <c r="F428" s="5">
        <v>1</v>
      </c>
      <c r="G428" s="5">
        <v>5</v>
      </c>
      <c r="H428" s="5">
        <v>81626</v>
      </c>
      <c r="I428" s="5" t="s">
        <v>16</v>
      </c>
      <c r="J428" s="5">
        <v>78524353</v>
      </c>
      <c r="K428" s="5" t="s">
        <v>990</v>
      </c>
      <c r="L428" s="14" t="s">
        <v>994</v>
      </c>
      <c r="M428" s="24">
        <v>279900</v>
      </c>
      <c r="N428" s="7">
        <v>0.9</v>
      </c>
      <c r="O428" s="6">
        <f t="shared" si="14"/>
        <v>27990</v>
      </c>
      <c r="P428" s="5" t="s">
        <v>504</v>
      </c>
    </row>
    <row r="429" spans="1:16" s="1" customFormat="1" x14ac:dyDescent="0.35">
      <c r="A429" s="5" t="str">
        <f t="shared" si="13"/>
        <v>2023 H1 All Items D90</v>
      </c>
      <c r="B429" s="8">
        <f>'ALL 2024 H2 D80'!$B$2</f>
        <v>46114</v>
      </c>
      <c r="C429" s="8">
        <f>'ALL 2024 H2 D80'!$C$2</f>
        <v>46120</v>
      </c>
      <c r="D429" s="5">
        <v>3208</v>
      </c>
      <c r="E429" s="5">
        <v>320</v>
      </c>
      <c r="F429" s="5">
        <v>1</v>
      </c>
      <c r="G429" s="5">
        <v>5</v>
      </c>
      <c r="H429" s="5">
        <v>81626</v>
      </c>
      <c r="I429" s="5" t="s">
        <v>16</v>
      </c>
      <c r="J429" s="5">
        <v>79666449</v>
      </c>
      <c r="K429" s="5" t="s">
        <v>995</v>
      </c>
      <c r="L429" s="14" t="s">
        <v>996</v>
      </c>
      <c r="M429" s="24">
        <v>269900</v>
      </c>
      <c r="N429" s="7">
        <v>0.9</v>
      </c>
      <c r="O429" s="6">
        <f t="shared" si="14"/>
        <v>26990</v>
      </c>
      <c r="P429" s="5" t="s">
        <v>504</v>
      </c>
    </row>
    <row r="430" spans="1:16" s="1" customFormat="1" x14ac:dyDescent="0.35">
      <c r="A430" s="5" t="str">
        <f t="shared" si="13"/>
        <v>2023 H1 All Items D90</v>
      </c>
      <c r="B430" s="8">
        <f>'ALL 2024 H2 D80'!$B$2</f>
        <v>46114</v>
      </c>
      <c r="C430" s="8">
        <f>'ALL 2024 H2 D80'!$C$2</f>
        <v>46120</v>
      </c>
      <c r="D430" s="5">
        <v>3208</v>
      </c>
      <c r="E430" s="5">
        <v>320</v>
      </c>
      <c r="F430" s="5">
        <v>1</v>
      </c>
      <c r="G430" s="5">
        <v>5</v>
      </c>
      <c r="H430" s="5">
        <v>81626</v>
      </c>
      <c r="I430" s="5" t="s">
        <v>16</v>
      </c>
      <c r="J430" s="5">
        <v>79666458</v>
      </c>
      <c r="K430" s="5" t="s">
        <v>995</v>
      </c>
      <c r="L430" s="14" t="s">
        <v>997</v>
      </c>
      <c r="M430" s="24">
        <v>269900</v>
      </c>
      <c r="N430" s="7">
        <v>0.9</v>
      </c>
      <c r="O430" s="6">
        <f t="shared" si="14"/>
        <v>26990</v>
      </c>
      <c r="P430" s="5" t="s">
        <v>504</v>
      </c>
    </row>
    <row r="431" spans="1:16" s="1" customFormat="1" x14ac:dyDescent="0.35">
      <c r="A431" s="5" t="str">
        <f t="shared" si="13"/>
        <v>2023 H1 All Items D90</v>
      </c>
      <c r="B431" s="8">
        <f>'ALL 2024 H2 D80'!$B$2</f>
        <v>46114</v>
      </c>
      <c r="C431" s="8">
        <f>'ALL 2024 H2 D80'!$C$2</f>
        <v>46120</v>
      </c>
      <c r="D431" s="5">
        <v>3208</v>
      </c>
      <c r="E431" s="5">
        <v>320</v>
      </c>
      <c r="F431" s="5">
        <v>1</v>
      </c>
      <c r="G431" s="5">
        <v>5</v>
      </c>
      <c r="H431" s="5">
        <v>81626</v>
      </c>
      <c r="I431" s="5" t="s">
        <v>16</v>
      </c>
      <c r="J431" s="5">
        <v>79666467</v>
      </c>
      <c r="K431" s="5" t="s">
        <v>995</v>
      </c>
      <c r="L431" s="14" t="s">
        <v>998</v>
      </c>
      <c r="M431" s="24">
        <v>269900</v>
      </c>
      <c r="N431" s="7">
        <v>0.9</v>
      </c>
      <c r="O431" s="6">
        <f t="shared" si="14"/>
        <v>26990</v>
      </c>
      <c r="P431" s="5" t="s">
        <v>504</v>
      </c>
    </row>
    <row r="432" spans="1:16" s="1" customFormat="1" x14ac:dyDescent="0.35">
      <c r="A432" s="5" t="str">
        <f t="shared" si="13"/>
        <v>2023 H1 All Items D90</v>
      </c>
      <c r="B432" s="8">
        <f>'ALL 2024 H2 D80'!$B$2</f>
        <v>46114</v>
      </c>
      <c r="C432" s="8">
        <f>'ALL 2024 H2 D80'!$C$2</f>
        <v>46120</v>
      </c>
      <c r="D432" s="5">
        <v>3208</v>
      </c>
      <c r="E432" s="5">
        <v>320</v>
      </c>
      <c r="F432" s="5">
        <v>1</v>
      </c>
      <c r="G432" s="5">
        <v>5</v>
      </c>
      <c r="H432" s="5">
        <v>81626</v>
      </c>
      <c r="I432" s="5" t="s">
        <v>16</v>
      </c>
      <c r="J432" s="5">
        <v>79666476</v>
      </c>
      <c r="K432" s="5" t="s">
        <v>995</v>
      </c>
      <c r="L432" s="14" t="s">
        <v>999</v>
      </c>
      <c r="M432" s="24">
        <v>269900</v>
      </c>
      <c r="N432" s="7">
        <v>0.9</v>
      </c>
      <c r="O432" s="6">
        <f t="shared" si="14"/>
        <v>26990</v>
      </c>
      <c r="P432" s="5" t="s">
        <v>504</v>
      </c>
    </row>
    <row r="433" spans="1:16" s="1" customFormat="1" x14ac:dyDescent="0.35">
      <c r="A433" s="5" t="str">
        <f t="shared" si="13"/>
        <v>2023 H1 All Items D90</v>
      </c>
      <c r="B433" s="8">
        <f>'ALL 2024 H2 D80'!$B$2</f>
        <v>46114</v>
      </c>
      <c r="C433" s="8">
        <f>'ALL 2024 H2 D80'!$C$2</f>
        <v>46120</v>
      </c>
      <c r="D433" s="5">
        <v>3208</v>
      </c>
      <c r="E433" s="5">
        <v>320</v>
      </c>
      <c r="F433" s="5">
        <v>1</v>
      </c>
      <c r="G433" s="5">
        <v>5</v>
      </c>
      <c r="H433" s="5">
        <v>81626</v>
      </c>
      <c r="I433" s="5" t="s">
        <v>16</v>
      </c>
      <c r="J433" s="5">
        <v>79666485</v>
      </c>
      <c r="K433" s="5" t="s">
        <v>995</v>
      </c>
      <c r="L433" s="14" t="s">
        <v>1000</v>
      </c>
      <c r="M433" s="24">
        <v>269900</v>
      </c>
      <c r="N433" s="7">
        <v>0.9</v>
      </c>
      <c r="O433" s="6">
        <f t="shared" si="14"/>
        <v>26990</v>
      </c>
      <c r="P433" s="5" t="s">
        <v>504</v>
      </c>
    </row>
    <row r="434" spans="1:16" s="1" customFormat="1" x14ac:dyDescent="0.35">
      <c r="A434" s="5" t="str">
        <f t="shared" si="13"/>
        <v>2023 H1 All Items D90</v>
      </c>
      <c r="B434" s="8">
        <f>'ALL 2024 H2 D80'!$B$2</f>
        <v>46114</v>
      </c>
      <c r="C434" s="8">
        <f>'ALL 2024 H2 D80'!$C$2</f>
        <v>46120</v>
      </c>
      <c r="D434" s="5">
        <v>3208</v>
      </c>
      <c r="E434" s="5">
        <v>320</v>
      </c>
      <c r="F434" s="5">
        <v>1</v>
      </c>
      <c r="G434" s="5">
        <v>5</v>
      </c>
      <c r="H434" s="5">
        <v>81626</v>
      </c>
      <c r="I434" s="5" t="s">
        <v>16</v>
      </c>
      <c r="J434" s="5">
        <v>79666494</v>
      </c>
      <c r="K434" s="5" t="s">
        <v>995</v>
      </c>
      <c r="L434" s="14" t="s">
        <v>1001</v>
      </c>
      <c r="M434" s="24">
        <v>269900</v>
      </c>
      <c r="N434" s="7">
        <v>0.9</v>
      </c>
      <c r="O434" s="6">
        <f t="shared" si="14"/>
        <v>26990</v>
      </c>
      <c r="P434" s="5" t="s">
        <v>504</v>
      </c>
    </row>
    <row r="435" spans="1:16" s="1" customFormat="1" x14ac:dyDescent="0.35">
      <c r="A435" s="5" t="str">
        <f t="shared" si="13"/>
        <v>2023 H1 All Items D90</v>
      </c>
      <c r="B435" s="8">
        <f>'ALL 2024 H2 D80'!$B$2</f>
        <v>46114</v>
      </c>
      <c r="C435" s="8">
        <f>'ALL 2024 H2 D80'!$C$2</f>
        <v>46120</v>
      </c>
      <c r="D435" s="5">
        <v>3208</v>
      </c>
      <c r="E435" s="5">
        <v>320</v>
      </c>
      <c r="F435" s="5">
        <v>1</v>
      </c>
      <c r="G435" s="5">
        <v>5</v>
      </c>
      <c r="H435" s="5">
        <v>81626</v>
      </c>
      <c r="I435" s="5" t="s">
        <v>16</v>
      </c>
      <c r="J435" s="5">
        <v>79666501</v>
      </c>
      <c r="K435" s="5" t="s">
        <v>995</v>
      </c>
      <c r="L435" s="14" t="s">
        <v>1002</v>
      </c>
      <c r="M435" s="24">
        <v>269900</v>
      </c>
      <c r="N435" s="7">
        <v>0.9</v>
      </c>
      <c r="O435" s="6">
        <f t="shared" si="14"/>
        <v>26990</v>
      </c>
      <c r="P435" s="5" t="s">
        <v>504</v>
      </c>
    </row>
    <row r="436" spans="1:16" s="1" customFormat="1" x14ac:dyDescent="0.35">
      <c r="A436" s="5" t="str">
        <f t="shared" si="13"/>
        <v>2023 H1 All Items D90</v>
      </c>
      <c r="B436" s="8">
        <f>'ALL 2024 H2 D80'!$B$2</f>
        <v>46114</v>
      </c>
      <c r="C436" s="8">
        <f>'ALL 2024 H2 D80'!$C$2</f>
        <v>46120</v>
      </c>
      <c r="D436" s="5">
        <v>3208</v>
      </c>
      <c r="E436" s="5">
        <v>320</v>
      </c>
      <c r="F436" s="5">
        <v>1</v>
      </c>
      <c r="G436" s="5">
        <v>5</v>
      </c>
      <c r="H436" s="5">
        <v>81626</v>
      </c>
      <c r="I436" s="5" t="s">
        <v>16</v>
      </c>
      <c r="J436" s="5">
        <v>79666510</v>
      </c>
      <c r="K436" s="5" t="s">
        <v>995</v>
      </c>
      <c r="L436" s="14" t="s">
        <v>1003</v>
      </c>
      <c r="M436" s="24">
        <v>269900</v>
      </c>
      <c r="N436" s="7">
        <v>0.9</v>
      </c>
      <c r="O436" s="6">
        <f t="shared" si="14"/>
        <v>26990</v>
      </c>
      <c r="P436" s="5" t="s">
        <v>504</v>
      </c>
    </row>
    <row r="437" spans="1:16" s="1" customFormat="1" x14ac:dyDescent="0.35">
      <c r="A437" s="5" t="str">
        <f t="shared" si="13"/>
        <v>2023 H1 All Items D90</v>
      </c>
      <c r="B437" s="8">
        <f>'ALL 2024 H2 D80'!$B$2</f>
        <v>46114</v>
      </c>
      <c r="C437" s="8">
        <f>'ALL 2024 H2 D80'!$C$2</f>
        <v>46120</v>
      </c>
      <c r="D437" s="5">
        <v>3208</v>
      </c>
      <c r="E437" s="5">
        <v>320</v>
      </c>
      <c r="F437" s="5">
        <v>1</v>
      </c>
      <c r="G437" s="5">
        <v>5</v>
      </c>
      <c r="H437" s="5">
        <v>81626</v>
      </c>
      <c r="I437" s="5" t="s">
        <v>16</v>
      </c>
      <c r="J437" s="5">
        <v>79666529</v>
      </c>
      <c r="K437" s="5" t="s">
        <v>995</v>
      </c>
      <c r="L437" s="14" t="s">
        <v>1004</v>
      </c>
      <c r="M437" s="24">
        <v>269900</v>
      </c>
      <c r="N437" s="7">
        <v>0.9</v>
      </c>
      <c r="O437" s="6">
        <f t="shared" si="14"/>
        <v>26990</v>
      </c>
      <c r="P437" s="5" t="s">
        <v>504</v>
      </c>
    </row>
    <row r="438" spans="1:16" s="1" customFormat="1" x14ac:dyDescent="0.35">
      <c r="A438" s="5" t="str">
        <f t="shared" si="13"/>
        <v>2023 H1 All Items D90</v>
      </c>
      <c r="B438" s="8">
        <f>'ALL 2024 H2 D80'!$B$2</f>
        <v>46114</v>
      </c>
      <c r="C438" s="8">
        <f>'ALL 2024 H2 D80'!$C$2</f>
        <v>46120</v>
      </c>
      <c r="D438" s="5">
        <v>3208</v>
      </c>
      <c r="E438" s="5">
        <v>320</v>
      </c>
      <c r="F438" s="5">
        <v>1</v>
      </c>
      <c r="G438" s="5">
        <v>5</v>
      </c>
      <c r="H438" s="5">
        <v>81626</v>
      </c>
      <c r="I438" s="5" t="s">
        <v>16</v>
      </c>
      <c r="J438" s="5">
        <v>79666538</v>
      </c>
      <c r="K438" s="5" t="s">
        <v>995</v>
      </c>
      <c r="L438" s="14" t="s">
        <v>1005</v>
      </c>
      <c r="M438" s="24">
        <v>269900</v>
      </c>
      <c r="N438" s="7">
        <v>0.9</v>
      </c>
      <c r="O438" s="6">
        <f t="shared" si="14"/>
        <v>26990</v>
      </c>
      <c r="P438" s="5" t="s">
        <v>504</v>
      </c>
    </row>
    <row r="439" spans="1:16" s="1" customFormat="1" x14ac:dyDescent="0.35">
      <c r="A439" s="5" t="str">
        <f t="shared" si="13"/>
        <v>2023 H1 All Items D90</v>
      </c>
      <c r="B439" s="8">
        <f>'ALL 2024 H2 D80'!$B$2</f>
        <v>46114</v>
      </c>
      <c r="C439" s="8">
        <f>'ALL 2024 H2 D80'!$C$2</f>
        <v>46120</v>
      </c>
      <c r="D439" s="5">
        <v>3208</v>
      </c>
      <c r="E439" s="5">
        <v>320</v>
      </c>
      <c r="F439" s="5">
        <v>1</v>
      </c>
      <c r="G439" s="5">
        <v>5</v>
      </c>
      <c r="H439" s="5">
        <v>81626</v>
      </c>
      <c r="I439" s="5" t="s">
        <v>16</v>
      </c>
      <c r="J439" s="5">
        <v>79666547</v>
      </c>
      <c r="K439" s="5" t="s">
        <v>995</v>
      </c>
      <c r="L439" s="14" t="s">
        <v>1006</v>
      </c>
      <c r="M439" s="24">
        <v>269900</v>
      </c>
      <c r="N439" s="7">
        <v>0.9</v>
      </c>
      <c r="O439" s="6">
        <f t="shared" si="14"/>
        <v>26990</v>
      </c>
      <c r="P439" s="5" t="s">
        <v>504</v>
      </c>
    </row>
    <row r="440" spans="1:16" s="1" customFormat="1" x14ac:dyDescent="0.35">
      <c r="A440" s="5" t="str">
        <f t="shared" si="13"/>
        <v>2023 H1 All Items D90</v>
      </c>
      <c r="B440" s="8">
        <f>'ALL 2024 H2 D80'!$B$2</f>
        <v>46114</v>
      </c>
      <c r="C440" s="8">
        <f>'ALL 2024 H2 D80'!$C$2</f>
        <v>46120</v>
      </c>
      <c r="D440" s="5">
        <v>3208</v>
      </c>
      <c r="E440" s="5">
        <v>320</v>
      </c>
      <c r="F440" s="5">
        <v>1</v>
      </c>
      <c r="G440" s="5">
        <v>5</v>
      </c>
      <c r="H440" s="5">
        <v>81626</v>
      </c>
      <c r="I440" s="5" t="s">
        <v>16</v>
      </c>
      <c r="J440" s="5">
        <v>79666556</v>
      </c>
      <c r="K440" s="5" t="s">
        <v>995</v>
      </c>
      <c r="L440" s="14" t="s">
        <v>1007</v>
      </c>
      <c r="M440" s="24">
        <v>269900</v>
      </c>
      <c r="N440" s="7">
        <v>0.9</v>
      </c>
      <c r="O440" s="6">
        <f t="shared" si="14"/>
        <v>26990</v>
      </c>
      <c r="P440" s="5" t="s">
        <v>504</v>
      </c>
    </row>
    <row r="441" spans="1:16" s="1" customFormat="1" x14ac:dyDescent="0.35">
      <c r="A441" s="5" t="str">
        <f t="shared" si="13"/>
        <v>2023 H1 All Items D90</v>
      </c>
      <c r="B441" s="8">
        <f>'ALL 2024 H2 D80'!$B$2</f>
        <v>46114</v>
      </c>
      <c r="C441" s="8">
        <f>'ALL 2024 H2 D80'!$C$2</f>
        <v>46120</v>
      </c>
      <c r="D441" s="5">
        <v>3208</v>
      </c>
      <c r="E441" s="5">
        <v>320</v>
      </c>
      <c r="F441" s="5">
        <v>1</v>
      </c>
      <c r="G441" s="5">
        <v>5</v>
      </c>
      <c r="H441" s="5">
        <v>81626</v>
      </c>
      <c r="I441" s="5" t="s">
        <v>16</v>
      </c>
      <c r="J441" s="5">
        <v>79666565</v>
      </c>
      <c r="K441" s="5" t="s">
        <v>1008</v>
      </c>
      <c r="L441" s="14" t="s">
        <v>1009</v>
      </c>
      <c r="M441" s="24">
        <v>269900</v>
      </c>
      <c r="N441" s="7">
        <v>0.9</v>
      </c>
      <c r="O441" s="6">
        <f t="shared" si="14"/>
        <v>26990</v>
      </c>
      <c r="P441" s="5" t="s">
        <v>504</v>
      </c>
    </row>
    <row r="442" spans="1:16" s="1" customFormat="1" x14ac:dyDescent="0.35">
      <c r="A442" s="5" t="str">
        <f t="shared" si="13"/>
        <v>2023 H1 All Items D90</v>
      </c>
      <c r="B442" s="8">
        <f>'ALL 2024 H2 D80'!$B$2</f>
        <v>46114</v>
      </c>
      <c r="C442" s="8">
        <f>'ALL 2024 H2 D80'!$C$2</f>
        <v>46120</v>
      </c>
      <c r="D442" s="5">
        <v>3208</v>
      </c>
      <c r="E442" s="5">
        <v>320</v>
      </c>
      <c r="F442" s="5">
        <v>1</v>
      </c>
      <c r="G442" s="5">
        <v>5</v>
      </c>
      <c r="H442" s="5">
        <v>81626</v>
      </c>
      <c r="I442" s="5" t="s">
        <v>16</v>
      </c>
      <c r="J442" s="5">
        <v>79666574</v>
      </c>
      <c r="K442" s="5" t="s">
        <v>1008</v>
      </c>
      <c r="L442" s="14" t="s">
        <v>1010</v>
      </c>
      <c r="M442" s="24">
        <v>269900</v>
      </c>
      <c r="N442" s="7">
        <v>0.9</v>
      </c>
      <c r="O442" s="6">
        <f t="shared" si="14"/>
        <v>26990</v>
      </c>
      <c r="P442" s="5" t="s">
        <v>504</v>
      </c>
    </row>
    <row r="443" spans="1:16" s="1" customFormat="1" x14ac:dyDescent="0.35">
      <c r="A443" s="5" t="str">
        <f t="shared" si="13"/>
        <v>2023 H1 All Items D90</v>
      </c>
      <c r="B443" s="8">
        <f>'ALL 2024 H2 D80'!$B$2</f>
        <v>46114</v>
      </c>
      <c r="C443" s="8">
        <f>'ALL 2024 H2 D80'!$C$2</f>
        <v>46120</v>
      </c>
      <c r="D443" s="5">
        <v>3208</v>
      </c>
      <c r="E443" s="5">
        <v>320</v>
      </c>
      <c r="F443" s="5">
        <v>1</v>
      </c>
      <c r="G443" s="5">
        <v>5</v>
      </c>
      <c r="H443" s="5">
        <v>81626</v>
      </c>
      <c r="I443" s="5" t="s">
        <v>16</v>
      </c>
      <c r="J443" s="5">
        <v>79666583</v>
      </c>
      <c r="K443" s="5" t="s">
        <v>1008</v>
      </c>
      <c r="L443" s="14" t="s">
        <v>1011</v>
      </c>
      <c r="M443" s="24">
        <v>269900</v>
      </c>
      <c r="N443" s="7">
        <v>0.9</v>
      </c>
      <c r="O443" s="6">
        <f t="shared" si="14"/>
        <v>26990</v>
      </c>
      <c r="P443" s="5" t="s">
        <v>504</v>
      </c>
    </row>
    <row r="444" spans="1:16" s="1" customFormat="1" x14ac:dyDescent="0.35">
      <c r="A444" s="5" t="str">
        <f t="shared" si="13"/>
        <v>2023 H1 All Items D90</v>
      </c>
      <c r="B444" s="8">
        <f>'ALL 2024 H2 D80'!$B$2</f>
        <v>46114</v>
      </c>
      <c r="C444" s="8">
        <f>'ALL 2024 H2 D80'!$C$2</f>
        <v>46120</v>
      </c>
      <c r="D444" s="5">
        <v>3208</v>
      </c>
      <c r="E444" s="5">
        <v>320</v>
      </c>
      <c r="F444" s="5">
        <v>1</v>
      </c>
      <c r="G444" s="5">
        <v>5</v>
      </c>
      <c r="H444" s="5">
        <v>81626</v>
      </c>
      <c r="I444" s="5" t="s">
        <v>16</v>
      </c>
      <c r="J444" s="5">
        <v>79666592</v>
      </c>
      <c r="K444" s="5" t="s">
        <v>1008</v>
      </c>
      <c r="L444" s="14" t="s">
        <v>1012</v>
      </c>
      <c r="M444" s="24">
        <v>269900</v>
      </c>
      <c r="N444" s="7">
        <v>0.9</v>
      </c>
      <c r="O444" s="6">
        <f t="shared" si="14"/>
        <v>26990</v>
      </c>
      <c r="P444" s="5" t="s">
        <v>504</v>
      </c>
    </row>
    <row r="445" spans="1:16" s="1" customFormat="1" x14ac:dyDescent="0.35">
      <c r="A445" s="5" t="str">
        <f t="shared" si="13"/>
        <v>2023 H1 All Items D90</v>
      </c>
      <c r="B445" s="8">
        <f>'ALL 2024 H2 D80'!$B$2</f>
        <v>46114</v>
      </c>
      <c r="C445" s="8">
        <f>'ALL 2024 H2 D80'!$C$2</f>
        <v>46120</v>
      </c>
      <c r="D445" s="5">
        <v>3208</v>
      </c>
      <c r="E445" s="5">
        <v>320</v>
      </c>
      <c r="F445" s="5">
        <v>1</v>
      </c>
      <c r="G445" s="5">
        <v>5</v>
      </c>
      <c r="H445" s="5">
        <v>81626</v>
      </c>
      <c r="I445" s="5" t="s">
        <v>16</v>
      </c>
      <c r="J445" s="5">
        <v>81289790</v>
      </c>
      <c r="K445" s="5" t="s">
        <v>89</v>
      </c>
      <c r="L445" s="14" t="s">
        <v>886</v>
      </c>
      <c r="M445" s="24">
        <v>299900</v>
      </c>
      <c r="N445" s="7">
        <v>0.9</v>
      </c>
      <c r="O445" s="6">
        <f t="shared" si="14"/>
        <v>29990</v>
      </c>
      <c r="P445" s="5" t="s">
        <v>504</v>
      </c>
    </row>
    <row r="446" spans="1:16" s="1" customFormat="1" x14ac:dyDescent="0.35">
      <c r="A446" s="5" t="str">
        <f t="shared" si="13"/>
        <v>2023 H1 All Items D90</v>
      </c>
      <c r="B446" s="8">
        <f>'ALL 2024 H2 D80'!$B$2</f>
        <v>46114</v>
      </c>
      <c r="C446" s="8">
        <f>'ALL 2024 H2 D80'!$C$2</f>
        <v>46120</v>
      </c>
      <c r="D446" s="5">
        <v>3208</v>
      </c>
      <c r="E446" s="5">
        <v>320</v>
      </c>
      <c r="F446" s="5">
        <v>1</v>
      </c>
      <c r="G446" s="5">
        <v>5</v>
      </c>
      <c r="H446" s="5">
        <v>81626</v>
      </c>
      <c r="I446" s="5" t="s">
        <v>16</v>
      </c>
      <c r="J446" s="5">
        <v>81289807</v>
      </c>
      <c r="K446" s="5" t="s">
        <v>89</v>
      </c>
      <c r="L446" s="14" t="s">
        <v>887</v>
      </c>
      <c r="M446" s="24">
        <v>299900</v>
      </c>
      <c r="N446" s="7">
        <v>0.9</v>
      </c>
      <c r="O446" s="6">
        <f t="shared" si="14"/>
        <v>29990</v>
      </c>
      <c r="P446" s="5" t="s">
        <v>504</v>
      </c>
    </row>
    <row r="447" spans="1:16" s="1" customFormat="1" x14ac:dyDescent="0.35">
      <c r="A447" s="5" t="str">
        <f t="shared" si="13"/>
        <v>2023 H1 All Items D90</v>
      </c>
      <c r="B447" s="8">
        <f>'ALL 2024 H2 D80'!$B$2</f>
        <v>46114</v>
      </c>
      <c r="C447" s="8">
        <f>'ALL 2024 H2 D80'!$C$2</f>
        <v>46120</v>
      </c>
      <c r="D447" s="5">
        <v>3208</v>
      </c>
      <c r="E447" s="5">
        <v>320</v>
      </c>
      <c r="F447" s="5">
        <v>1</v>
      </c>
      <c r="G447" s="5">
        <v>5</v>
      </c>
      <c r="H447" s="5">
        <v>81626</v>
      </c>
      <c r="I447" s="5" t="s">
        <v>16</v>
      </c>
      <c r="J447" s="5">
        <v>81289816</v>
      </c>
      <c r="K447" s="5" t="s">
        <v>89</v>
      </c>
      <c r="L447" s="14" t="s">
        <v>888</v>
      </c>
      <c r="M447" s="24">
        <v>299900</v>
      </c>
      <c r="N447" s="7">
        <v>0.9</v>
      </c>
      <c r="O447" s="6">
        <f t="shared" si="14"/>
        <v>29990</v>
      </c>
      <c r="P447" s="5" t="s">
        <v>504</v>
      </c>
    </row>
    <row r="448" spans="1:16" s="1" customFormat="1" x14ac:dyDescent="0.35">
      <c r="A448" s="5" t="str">
        <f t="shared" si="13"/>
        <v>2023 H1 All Items D90</v>
      </c>
      <c r="B448" s="8">
        <f>'ALL 2024 H2 D80'!$B$2</f>
        <v>46114</v>
      </c>
      <c r="C448" s="8">
        <f>'ALL 2024 H2 D80'!$C$2</f>
        <v>46120</v>
      </c>
      <c r="D448" s="5">
        <v>3208</v>
      </c>
      <c r="E448" s="5">
        <v>320</v>
      </c>
      <c r="F448" s="5">
        <v>1</v>
      </c>
      <c r="G448" s="5">
        <v>5</v>
      </c>
      <c r="H448" s="5">
        <v>81626</v>
      </c>
      <c r="I448" s="5" t="s">
        <v>16</v>
      </c>
      <c r="J448" s="5">
        <v>81289825</v>
      </c>
      <c r="K448" s="5" t="s">
        <v>89</v>
      </c>
      <c r="L448" s="14" t="s">
        <v>889</v>
      </c>
      <c r="M448" s="24">
        <v>299900</v>
      </c>
      <c r="N448" s="7">
        <v>0.9</v>
      </c>
      <c r="O448" s="6">
        <f t="shared" si="14"/>
        <v>29990</v>
      </c>
      <c r="P448" s="5" t="s">
        <v>504</v>
      </c>
    </row>
    <row r="449" spans="1:16" s="1" customFormat="1" x14ac:dyDescent="0.35">
      <c r="A449" s="5" t="str">
        <f t="shared" si="13"/>
        <v>2023 H1 All Items D90</v>
      </c>
      <c r="B449" s="8">
        <f>'ALL 2024 H2 D80'!$B$2</f>
        <v>46114</v>
      </c>
      <c r="C449" s="8">
        <f>'ALL 2024 H2 D80'!$C$2</f>
        <v>46120</v>
      </c>
      <c r="D449" s="5">
        <v>3208</v>
      </c>
      <c r="E449" s="5">
        <v>320</v>
      </c>
      <c r="F449" s="5">
        <v>1</v>
      </c>
      <c r="G449" s="5">
        <v>5</v>
      </c>
      <c r="H449" s="5">
        <v>81626</v>
      </c>
      <c r="I449" s="5" t="s">
        <v>16</v>
      </c>
      <c r="J449" s="5">
        <v>81289834</v>
      </c>
      <c r="K449" s="5" t="s">
        <v>2874</v>
      </c>
      <c r="L449" s="14" t="s">
        <v>2875</v>
      </c>
      <c r="M449" s="24">
        <v>279900</v>
      </c>
      <c r="N449" s="7">
        <v>0.9</v>
      </c>
      <c r="O449" s="6">
        <f t="shared" si="14"/>
        <v>27990</v>
      </c>
      <c r="P449" s="5" t="s">
        <v>504</v>
      </c>
    </row>
    <row r="450" spans="1:16" s="1" customFormat="1" x14ac:dyDescent="0.35">
      <c r="A450" s="5" t="str">
        <f t="shared" si="13"/>
        <v>2023 H1 All Items D90</v>
      </c>
      <c r="B450" s="8">
        <f>'ALL 2024 H2 D80'!$B$2</f>
        <v>46114</v>
      </c>
      <c r="C450" s="8">
        <f>'ALL 2024 H2 D80'!$C$2</f>
        <v>46120</v>
      </c>
      <c r="D450" s="5">
        <v>3208</v>
      </c>
      <c r="E450" s="5">
        <v>320</v>
      </c>
      <c r="F450" s="5">
        <v>1</v>
      </c>
      <c r="G450" s="5">
        <v>5</v>
      </c>
      <c r="H450" s="5">
        <v>81626</v>
      </c>
      <c r="I450" s="5" t="s">
        <v>16</v>
      </c>
      <c r="J450" s="5">
        <v>81289843</v>
      </c>
      <c r="K450" s="5" t="s">
        <v>2874</v>
      </c>
      <c r="L450" s="14" t="s">
        <v>2876</v>
      </c>
      <c r="M450" s="24">
        <v>279900</v>
      </c>
      <c r="N450" s="7">
        <v>0.9</v>
      </c>
      <c r="O450" s="6">
        <f t="shared" si="14"/>
        <v>27990</v>
      </c>
      <c r="P450" s="5" t="s">
        <v>504</v>
      </c>
    </row>
    <row r="451" spans="1:16" s="1" customFormat="1" x14ac:dyDescent="0.35">
      <c r="A451" s="5" t="str">
        <f t="shared" si="13"/>
        <v>2023 H1 All Items D90</v>
      </c>
      <c r="B451" s="8">
        <f>'ALL 2024 H2 D80'!$B$2</f>
        <v>46114</v>
      </c>
      <c r="C451" s="8">
        <f>'ALL 2024 H2 D80'!$C$2</f>
        <v>46120</v>
      </c>
      <c r="D451" s="5">
        <v>3208</v>
      </c>
      <c r="E451" s="5">
        <v>320</v>
      </c>
      <c r="F451" s="5">
        <v>1</v>
      </c>
      <c r="G451" s="5">
        <v>5</v>
      </c>
      <c r="H451" s="5">
        <v>81626</v>
      </c>
      <c r="I451" s="5" t="s">
        <v>16</v>
      </c>
      <c r="J451" s="5">
        <v>81289852</v>
      </c>
      <c r="K451" s="5" t="s">
        <v>2874</v>
      </c>
      <c r="L451" s="14" t="s">
        <v>2877</v>
      </c>
      <c r="M451" s="24">
        <v>279900</v>
      </c>
      <c r="N451" s="7">
        <v>0.9</v>
      </c>
      <c r="O451" s="6">
        <f t="shared" si="14"/>
        <v>27990</v>
      </c>
      <c r="P451" s="5" t="s">
        <v>504</v>
      </c>
    </row>
    <row r="452" spans="1:16" s="1" customFormat="1" x14ac:dyDescent="0.35">
      <c r="A452" s="5" t="str">
        <f t="shared" ref="A452:A515" si="15">$A$2</f>
        <v>2023 H1 All Items D90</v>
      </c>
      <c r="B452" s="8">
        <f>'ALL 2024 H2 D80'!$B$2</f>
        <v>46114</v>
      </c>
      <c r="C452" s="8">
        <f>'ALL 2024 H2 D80'!$C$2</f>
        <v>46120</v>
      </c>
      <c r="D452" s="5">
        <v>3208</v>
      </c>
      <c r="E452" s="5">
        <v>320</v>
      </c>
      <c r="F452" s="5">
        <v>1</v>
      </c>
      <c r="G452" s="5">
        <v>5</v>
      </c>
      <c r="H452" s="5">
        <v>81626</v>
      </c>
      <c r="I452" s="5" t="s">
        <v>16</v>
      </c>
      <c r="J452" s="5">
        <v>81289861</v>
      </c>
      <c r="K452" s="5" t="s">
        <v>2874</v>
      </c>
      <c r="L452" s="14" t="s">
        <v>2878</v>
      </c>
      <c r="M452" s="24">
        <v>279900</v>
      </c>
      <c r="N452" s="7">
        <v>0.9</v>
      </c>
      <c r="O452" s="6">
        <f t="shared" si="14"/>
        <v>27990</v>
      </c>
      <c r="P452" s="5" t="s">
        <v>504</v>
      </c>
    </row>
    <row r="453" spans="1:16" s="1" customFormat="1" x14ac:dyDescent="0.35">
      <c r="A453" s="5" t="str">
        <f t="shared" si="15"/>
        <v>2023 H1 All Items D90</v>
      </c>
      <c r="B453" s="8">
        <f>'ALL 2024 H2 D80'!$B$2</f>
        <v>46114</v>
      </c>
      <c r="C453" s="8">
        <f>'ALL 2024 H2 D80'!$C$2</f>
        <v>46120</v>
      </c>
      <c r="D453" s="5">
        <v>3208</v>
      </c>
      <c r="E453" s="5">
        <v>320</v>
      </c>
      <c r="F453" s="5">
        <v>1</v>
      </c>
      <c r="G453" s="5">
        <v>5</v>
      </c>
      <c r="H453" s="5">
        <v>81626</v>
      </c>
      <c r="I453" s="5" t="s">
        <v>16</v>
      </c>
      <c r="J453" s="5">
        <v>81289870</v>
      </c>
      <c r="K453" s="5" t="s">
        <v>890</v>
      </c>
      <c r="L453" s="14" t="s">
        <v>891</v>
      </c>
      <c r="M453" s="24">
        <v>329900</v>
      </c>
      <c r="N453" s="7">
        <v>0.9</v>
      </c>
      <c r="O453" s="6">
        <f t="shared" si="14"/>
        <v>32990</v>
      </c>
      <c r="P453" s="5" t="s">
        <v>504</v>
      </c>
    </row>
    <row r="454" spans="1:16" s="1" customFormat="1" x14ac:dyDescent="0.35">
      <c r="A454" s="5" t="str">
        <f t="shared" si="15"/>
        <v>2023 H1 All Items D90</v>
      </c>
      <c r="B454" s="8">
        <f>'ALL 2024 H2 D80'!$B$2</f>
        <v>46114</v>
      </c>
      <c r="C454" s="8">
        <f>'ALL 2024 H2 D80'!$C$2</f>
        <v>46120</v>
      </c>
      <c r="D454" s="5">
        <v>3208</v>
      </c>
      <c r="E454" s="5">
        <v>320</v>
      </c>
      <c r="F454" s="5">
        <v>1</v>
      </c>
      <c r="G454" s="5">
        <v>5</v>
      </c>
      <c r="H454" s="5">
        <v>81626</v>
      </c>
      <c r="I454" s="5" t="s">
        <v>16</v>
      </c>
      <c r="J454" s="5">
        <v>81289889</v>
      </c>
      <c r="K454" s="5" t="s">
        <v>890</v>
      </c>
      <c r="L454" s="14" t="s">
        <v>892</v>
      </c>
      <c r="M454" s="24">
        <v>329900</v>
      </c>
      <c r="N454" s="7">
        <v>0.9</v>
      </c>
      <c r="O454" s="6">
        <f t="shared" si="14"/>
        <v>32990</v>
      </c>
      <c r="P454" s="5" t="s">
        <v>504</v>
      </c>
    </row>
    <row r="455" spans="1:16" s="1" customFormat="1" x14ac:dyDescent="0.35">
      <c r="A455" s="5" t="str">
        <f t="shared" si="15"/>
        <v>2023 H1 All Items D90</v>
      </c>
      <c r="B455" s="8">
        <f>'ALL 2024 H2 D80'!$B$2</f>
        <v>46114</v>
      </c>
      <c r="C455" s="8">
        <f>'ALL 2024 H2 D80'!$C$2</f>
        <v>46120</v>
      </c>
      <c r="D455" s="5">
        <v>3208</v>
      </c>
      <c r="E455" s="5">
        <v>320</v>
      </c>
      <c r="F455" s="5">
        <v>1</v>
      </c>
      <c r="G455" s="5">
        <v>5</v>
      </c>
      <c r="H455" s="5">
        <v>81626</v>
      </c>
      <c r="I455" s="5" t="s">
        <v>16</v>
      </c>
      <c r="J455" s="5">
        <v>81289898</v>
      </c>
      <c r="K455" s="5" t="s">
        <v>890</v>
      </c>
      <c r="L455" s="14" t="s">
        <v>893</v>
      </c>
      <c r="M455" s="24">
        <v>329900</v>
      </c>
      <c r="N455" s="7">
        <v>0.9</v>
      </c>
      <c r="O455" s="6">
        <f t="shared" si="14"/>
        <v>32990</v>
      </c>
      <c r="P455" s="5" t="s">
        <v>504</v>
      </c>
    </row>
    <row r="456" spans="1:16" s="1" customFormat="1" x14ac:dyDescent="0.35">
      <c r="A456" s="5" t="str">
        <f t="shared" si="15"/>
        <v>2023 H1 All Items D90</v>
      </c>
      <c r="B456" s="8">
        <f>'ALL 2024 H2 D80'!$B$2</f>
        <v>46114</v>
      </c>
      <c r="C456" s="8">
        <f>'ALL 2024 H2 D80'!$C$2</f>
        <v>46120</v>
      </c>
      <c r="D456" s="5">
        <v>3208</v>
      </c>
      <c r="E456" s="5">
        <v>320</v>
      </c>
      <c r="F456" s="5">
        <v>1</v>
      </c>
      <c r="G456" s="5">
        <v>5</v>
      </c>
      <c r="H456" s="5">
        <v>81626</v>
      </c>
      <c r="I456" s="5" t="s">
        <v>16</v>
      </c>
      <c r="J456" s="5">
        <v>81289905</v>
      </c>
      <c r="K456" s="5" t="s">
        <v>890</v>
      </c>
      <c r="L456" s="14" t="s">
        <v>894</v>
      </c>
      <c r="M456" s="24">
        <v>329900</v>
      </c>
      <c r="N456" s="7">
        <v>0.9</v>
      </c>
      <c r="O456" s="6">
        <f t="shared" si="14"/>
        <v>32990</v>
      </c>
      <c r="P456" s="5" t="s">
        <v>504</v>
      </c>
    </row>
    <row r="457" spans="1:16" s="1" customFormat="1" x14ac:dyDescent="0.35">
      <c r="A457" s="5" t="str">
        <f t="shared" si="15"/>
        <v>2023 H1 All Items D90</v>
      </c>
      <c r="B457" s="8">
        <f>'ALL 2024 H2 D80'!$B$2</f>
        <v>46114</v>
      </c>
      <c r="C457" s="8">
        <f>'ALL 2024 H2 D80'!$C$2</f>
        <v>46120</v>
      </c>
      <c r="D457" s="5">
        <v>3208</v>
      </c>
      <c r="E457" s="5">
        <v>320</v>
      </c>
      <c r="F457" s="5">
        <v>1</v>
      </c>
      <c r="G457" s="5">
        <v>5</v>
      </c>
      <c r="H457" s="5">
        <v>81626</v>
      </c>
      <c r="I457" s="5" t="s">
        <v>16</v>
      </c>
      <c r="J457" s="5">
        <v>81289914</v>
      </c>
      <c r="K457" s="5" t="s">
        <v>455</v>
      </c>
      <c r="L457" s="14" t="s">
        <v>2879</v>
      </c>
      <c r="M457" s="24">
        <v>229900</v>
      </c>
      <c r="N457" s="7">
        <v>0.9</v>
      </c>
      <c r="O457" s="6">
        <f t="shared" si="14"/>
        <v>22990</v>
      </c>
      <c r="P457" s="5" t="s">
        <v>504</v>
      </c>
    </row>
    <row r="458" spans="1:16" s="1" customFormat="1" x14ac:dyDescent="0.35">
      <c r="A458" s="5" t="str">
        <f t="shared" si="15"/>
        <v>2023 H1 All Items D90</v>
      </c>
      <c r="B458" s="8">
        <f>'ALL 2024 H2 D80'!$B$2</f>
        <v>46114</v>
      </c>
      <c r="C458" s="8">
        <f>'ALL 2024 H2 D80'!$C$2</f>
        <v>46120</v>
      </c>
      <c r="D458" s="5">
        <v>3208</v>
      </c>
      <c r="E458" s="5">
        <v>320</v>
      </c>
      <c r="F458" s="5">
        <v>1</v>
      </c>
      <c r="G458" s="5">
        <v>5</v>
      </c>
      <c r="H458" s="5">
        <v>81626</v>
      </c>
      <c r="I458" s="5" t="s">
        <v>16</v>
      </c>
      <c r="J458" s="5">
        <v>81289923</v>
      </c>
      <c r="K458" s="5" t="s">
        <v>455</v>
      </c>
      <c r="L458" s="14" t="s">
        <v>2880</v>
      </c>
      <c r="M458" s="24">
        <v>229900</v>
      </c>
      <c r="N458" s="7">
        <v>0.9</v>
      </c>
      <c r="O458" s="6">
        <f t="shared" si="14"/>
        <v>22990</v>
      </c>
      <c r="P458" s="5" t="s">
        <v>504</v>
      </c>
    </row>
    <row r="459" spans="1:16" s="1" customFormat="1" x14ac:dyDescent="0.35">
      <c r="A459" s="5" t="str">
        <f t="shared" si="15"/>
        <v>2023 H1 All Items D90</v>
      </c>
      <c r="B459" s="8">
        <f>'ALL 2024 H2 D80'!$B$2</f>
        <v>46114</v>
      </c>
      <c r="C459" s="8">
        <f>'ALL 2024 H2 D80'!$C$2</f>
        <v>46120</v>
      </c>
      <c r="D459" s="5">
        <v>3208</v>
      </c>
      <c r="E459" s="5">
        <v>320</v>
      </c>
      <c r="F459" s="5">
        <v>1</v>
      </c>
      <c r="G459" s="5">
        <v>5</v>
      </c>
      <c r="H459" s="5">
        <v>81626</v>
      </c>
      <c r="I459" s="5" t="s">
        <v>16</v>
      </c>
      <c r="J459" s="5">
        <v>81289932</v>
      </c>
      <c r="K459" s="5" t="s">
        <v>455</v>
      </c>
      <c r="L459" s="14" t="s">
        <v>2881</v>
      </c>
      <c r="M459" s="24">
        <v>229900</v>
      </c>
      <c r="N459" s="7">
        <v>0.9</v>
      </c>
      <c r="O459" s="6">
        <f t="shared" si="14"/>
        <v>22990</v>
      </c>
      <c r="P459" s="5" t="s">
        <v>504</v>
      </c>
    </row>
    <row r="460" spans="1:16" s="1" customFormat="1" x14ac:dyDescent="0.35">
      <c r="A460" s="5" t="str">
        <f t="shared" si="15"/>
        <v>2023 H1 All Items D90</v>
      </c>
      <c r="B460" s="8">
        <f>'ALL 2024 H2 D80'!$B$2</f>
        <v>46114</v>
      </c>
      <c r="C460" s="8">
        <f>'ALL 2024 H2 D80'!$C$2</f>
        <v>46120</v>
      </c>
      <c r="D460" s="5">
        <v>3208</v>
      </c>
      <c r="E460" s="5">
        <v>320</v>
      </c>
      <c r="F460" s="5">
        <v>1</v>
      </c>
      <c r="G460" s="5">
        <v>5</v>
      </c>
      <c r="H460" s="5">
        <v>81626</v>
      </c>
      <c r="I460" s="5" t="s">
        <v>16</v>
      </c>
      <c r="J460" s="5">
        <v>81289941</v>
      </c>
      <c r="K460" s="5" t="s">
        <v>455</v>
      </c>
      <c r="L460" s="14" t="s">
        <v>2882</v>
      </c>
      <c r="M460" s="24">
        <v>229900</v>
      </c>
      <c r="N460" s="7">
        <v>0.9</v>
      </c>
      <c r="O460" s="6">
        <f t="shared" si="14"/>
        <v>22990</v>
      </c>
      <c r="P460" s="5" t="s">
        <v>504</v>
      </c>
    </row>
    <row r="461" spans="1:16" s="1" customFormat="1" x14ac:dyDescent="0.35">
      <c r="A461" s="5" t="str">
        <f t="shared" si="15"/>
        <v>2023 H1 All Items D90</v>
      </c>
      <c r="B461" s="8">
        <f>'ALL 2024 H2 D80'!$B$2</f>
        <v>46114</v>
      </c>
      <c r="C461" s="8">
        <f>'ALL 2024 H2 D80'!$C$2</f>
        <v>46120</v>
      </c>
      <c r="D461" s="5">
        <v>3208</v>
      </c>
      <c r="E461" s="5">
        <v>320</v>
      </c>
      <c r="F461" s="5">
        <v>1</v>
      </c>
      <c r="G461" s="5">
        <v>5</v>
      </c>
      <c r="H461" s="5">
        <v>81626</v>
      </c>
      <c r="I461" s="5" t="s">
        <v>16</v>
      </c>
      <c r="J461" s="5">
        <v>82238011</v>
      </c>
      <c r="K461" s="5" t="s">
        <v>895</v>
      </c>
      <c r="L461" s="14" t="s">
        <v>896</v>
      </c>
      <c r="M461" s="24">
        <v>229900</v>
      </c>
      <c r="N461" s="7">
        <v>0.9</v>
      </c>
      <c r="O461" s="6">
        <f t="shared" si="14"/>
        <v>22990</v>
      </c>
      <c r="P461" s="5" t="s">
        <v>504</v>
      </c>
    </row>
    <row r="462" spans="1:16" s="1" customFormat="1" x14ac:dyDescent="0.35">
      <c r="A462" s="5" t="str">
        <f t="shared" si="15"/>
        <v>2023 H1 All Items D90</v>
      </c>
      <c r="B462" s="8">
        <f>'ALL 2024 H2 D80'!$B$2</f>
        <v>46114</v>
      </c>
      <c r="C462" s="8">
        <f>'ALL 2024 H2 D80'!$C$2</f>
        <v>46120</v>
      </c>
      <c r="D462" s="5">
        <v>3208</v>
      </c>
      <c r="E462" s="5">
        <v>320</v>
      </c>
      <c r="F462" s="5">
        <v>1</v>
      </c>
      <c r="G462" s="5">
        <v>5</v>
      </c>
      <c r="H462" s="5">
        <v>81626</v>
      </c>
      <c r="I462" s="5" t="s">
        <v>16</v>
      </c>
      <c r="J462" s="5">
        <v>82238020</v>
      </c>
      <c r="K462" s="5" t="s">
        <v>895</v>
      </c>
      <c r="L462" s="14" t="s">
        <v>897</v>
      </c>
      <c r="M462" s="24">
        <v>229900</v>
      </c>
      <c r="N462" s="7">
        <v>0.9</v>
      </c>
      <c r="O462" s="6">
        <f t="shared" si="14"/>
        <v>22990</v>
      </c>
      <c r="P462" s="5" t="s">
        <v>504</v>
      </c>
    </row>
    <row r="463" spans="1:16" s="1" customFormat="1" x14ac:dyDescent="0.35">
      <c r="A463" s="5" t="str">
        <f t="shared" si="15"/>
        <v>2023 H1 All Items D90</v>
      </c>
      <c r="B463" s="8">
        <f>'ALL 2024 H2 D80'!$B$2</f>
        <v>46114</v>
      </c>
      <c r="C463" s="8">
        <f>'ALL 2024 H2 D80'!$C$2</f>
        <v>46120</v>
      </c>
      <c r="D463" s="5">
        <v>3208</v>
      </c>
      <c r="E463" s="5">
        <v>320</v>
      </c>
      <c r="F463" s="5">
        <v>1</v>
      </c>
      <c r="G463" s="5">
        <v>5</v>
      </c>
      <c r="H463" s="5">
        <v>81626</v>
      </c>
      <c r="I463" s="5" t="s">
        <v>16</v>
      </c>
      <c r="J463" s="5">
        <v>82238039</v>
      </c>
      <c r="K463" s="5" t="s">
        <v>895</v>
      </c>
      <c r="L463" s="14" t="s">
        <v>898</v>
      </c>
      <c r="M463" s="24">
        <v>229900</v>
      </c>
      <c r="N463" s="7">
        <v>0.9</v>
      </c>
      <c r="O463" s="6">
        <f t="shared" si="14"/>
        <v>22990</v>
      </c>
      <c r="P463" s="5" t="s">
        <v>504</v>
      </c>
    </row>
    <row r="464" spans="1:16" s="1" customFormat="1" x14ac:dyDescent="0.35">
      <c r="A464" s="5" t="str">
        <f t="shared" si="15"/>
        <v>2023 H1 All Items D90</v>
      </c>
      <c r="B464" s="8">
        <f>'ALL 2024 H2 D80'!$B$2</f>
        <v>46114</v>
      </c>
      <c r="C464" s="8">
        <f>'ALL 2024 H2 D80'!$C$2</f>
        <v>46120</v>
      </c>
      <c r="D464" s="5">
        <v>3208</v>
      </c>
      <c r="E464" s="5">
        <v>320</v>
      </c>
      <c r="F464" s="5">
        <v>1</v>
      </c>
      <c r="G464" s="5">
        <v>5</v>
      </c>
      <c r="H464" s="5">
        <v>81626</v>
      </c>
      <c r="I464" s="5" t="s">
        <v>16</v>
      </c>
      <c r="J464" s="5">
        <v>82238048</v>
      </c>
      <c r="K464" s="5" t="s">
        <v>895</v>
      </c>
      <c r="L464" s="14" t="s">
        <v>899</v>
      </c>
      <c r="M464" s="24">
        <v>229900</v>
      </c>
      <c r="N464" s="7">
        <v>0.9</v>
      </c>
      <c r="O464" s="6">
        <f t="shared" si="14"/>
        <v>22990</v>
      </c>
      <c r="P464" s="5" t="s">
        <v>504</v>
      </c>
    </row>
    <row r="465" spans="1:16" s="1" customFormat="1" x14ac:dyDescent="0.35">
      <c r="A465" s="5" t="str">
        <f t="shared" si="15"/>
        <v>2023 H1 All Items D90</v>
      </c>
      <c r="B465" s="8">
        <f>'ALL 2024 H2 D80'!$B$2</f>
        <v>46114</v>
      </c>
      <c r="C465" s="8">
        <f>'ALL 2024 H2 D80'!$C$2</f>
        <v>46120</v>
      </c>
      <c r="D465" s="5">
        <v>3208</v>
      </c>
      <c r="E465" s="5">
        <v>320</v>
      </c>
      <c r="F465" s="5">
        <v>1</v>
      </c>
      <c r="G465" s="5">
        <v>6</v>
      </c>
      <c r="H465" s="5">
        <v>81736</v>
      </c>
      <c r="I465" s="5" t="s">
        <v>16</v>
      </c>
      <c r="J465" s="5">
        <v>73645599</v>
      </c>
      <c r="K465" s="5" t="s">
        <v>900</v>
      </c>
      <c r="L465" s="14" t="s">
        <v>901</v>
      </c>
      <c r="M465" s="24">
        <v>279900</v>
      </c>
      <c r="N465" s="7">
        <v>0.9</v>
      </c>
      <c r="O465" s="6">
        <f t="shared" si="14"/>
        <v>27990</v>
      </c>
      <c r="P465" s="5" t="s">
        <v>504</v>
      </c>
    </row>
    <row r="466" spans="1:16" s="1" customFormat="1" x14ac:dyDescent="0.35">
      <c r="A466" s="5" t="str">
        <f t="shared" si="15"/>
        <v>2023 H1 All Items D90</v>
      </c>
      <c r="B466" s="8">
        <f>'ALL 2024 H2 D80'!$B$2</f>
        <v>46114</v>
      </c>
      <c r="C466" s="8">
        <f>'ALL 2024 H2 D80'!$C$2</f>
        <v>46120</v>
      </c>
      <c r="D466" s="5">
        <v>3208</v>
      </c>
      <c r="E466" s="5">
        <v>320</v>
      </c>
      <c r="F466" s="5">
        <v>1</v>
      </c>
      <c r="G466" s="5">
        <v>6</v>
      </c>
      <c r="H466" s="5">
        <v>81736</v>
      </c>
      <c r="I466" s="5" t="s">
        <v>16</v>
      </c>
      <c r="J466" s="5">
        <v>73645606</v>
      </c>
      <c r="K466" s="5" t="s">
        <v>900</v>
      </c>
      <c r="L466" s="14" t="s">
        <v>902</v>
      </c>
      <c r="M466" s="24">
        <v>279900</v>
      </c>
      <c r="N466" s="7">
        <v>0.9</v>
      </c>
      <c r="O466" s="6">
        <f t="shared" si="14"/>
        <v>27990</v>
      </c>
      <c r="P466" s="5" t="s">
        <v>504</v>
      </c>
    </row>
    <row r="467" spans="1:16" s="1" customFormat="1" x14ac:dyDescent="0.35">
      <c r="A467" s="5" t="str">
        <f t="shared" si="15"/>
        <v>2023 H1 All Items D90</v>
      </c>
      <c r="B467" s="8">
        <f>'ALL 2024 H2 D80'!$B$2</f>
        <v>46114</v>
      </c>
      <c r="C467" s="8">
        <f>'ALL 2024 H2 D80'!$C$2</f>
        <v>46120</v>
      </c>
      <c r="D467" s="5">
        <v>3208</v>
      </c>
      <c r="E467" s="5">
        <v>320</v>
      </c>
      <c r="F467" s="5">
        <v>1</v>
      </c>
      <c r="G467" s="5">
        <v>6</v>
      </c>
      <c r="H467" s="5">
        <v>81736</v>
      </c>
      <c r="I467" s="5" t="s">
        <v>16</v>
      </c>
      <c r="J467" s="5">
        <v>73645615</v>
      </c>
      <c r="K467" s="5" t="s">
        <v>900</v>
      </c>
      <c r="L467" s="14" t="s">
        <v>903</v>
      </c>
      <c r="M467" s="24">
        <v>279900</v>
      </c>
      <c r="N467" s="7">
        <v>0.9</v>
      </c>
      <c r="O467" s="6">
        <f t="shared" si="14"/>
        <v>27990</v>
      </c>
      <c r="P467" s="5" t="s">
        <v>504</v>
      </c>
    </row>
    <row r="468" spans="1:16" s="1" customFormat="1" x14ac:dyDescent="0.35">
      <c r="A468" s="5" t="str">
        <f t="shared" si="15"/>
        <v>2023 H1 All Items D90</v>
      </c>
      <c r="B468" s="8">
        <f>'ALL 2024 H2 D80'!$B$2</f>
        <v>46114</v>
      </c>
      <c r="C468" s="8">
        <f>'ALL 2024 H2 D80'!$C$2</f>
        <v>46120</v>
      </c>
      <c r="D468" s="5">
        <v>3208</v>
      </c>
      <c r="E468" s="5">
        <v>320</v>
      </c>
      <c r="F468" s="5">
        <v>1</v>
      </c>
      <c r="G468" s="5">
        <v>6</v>
      </c>
      <c r="H468" s="5">
        <v>81736</v>
      </c>
      <c r="I468" s="5" t="s">
        <v>16</v>
      </c>
      <c r="J468" s="5">
        <v>73645624</v>
      </c>
      <c r="K468" s="5" t="s">
        <v>900</v>
      </c>
      <c r="L468" s="14" t="s">
        <v>904</v>
      </c>
      <c r="M468" s="24">
        <v>279900</v>
      </c>
      <c r="N468" s="7">
        <v>0.9</v>
      </c>
      <c r="O468" s="6">
        <f t="shared" ref="O468:O511" si="16">M468-(M468*N468)</f>
        <v>27990</v>
      </c>
      <c r="P468" s="5" t="s">
        <v>504</v>
      </c>
    </row>
    <row r="469" spans="1:16" s="1" customFormat="1" x14ac:dyDescent="0.35">
      <c r="A469" s="5" t="str">
        <f t="shared" si="15"/>
        <v>2023 H1 All Items D90</v>
      </c>
      <c r="B469" s="8">
        <f>'ALL 2024 H2 D80'!$B$2</f>
        <v>46114</v>
      </c>
      <c r="C469" s="8">
        <f>'ALL 2024 H2 D80'!$C$2</f>
        <v>46120</v>
      </c>
      <c r="D469" s="5">
        <v>3208</v>
      </c>
      <c r="E469" s="5">
        <v>320</v>
      </c>
      <c r="F469" s="5">
        <v>1</v>
      </c>
      <c r="G469" s="5">
        <v>6</v>
      </c>
      <c r="H469" s="5">
        <v>81736</v>
      </c>
      <c r="I469" s="5" t="s">
        <v>16</v>
      </c>
      <c r="J469" s="5">
        <v>73645633</v>
      </c>
      <c r="K469" s="5" t="s">
        <v>900</v>
      </c>
      <c r="L469" s="14" t="s">
        <v>905</v>
      </c>
      <c r="M469" s="24">
        <v>279900</v>
      </c>
      <c r="N469" s="7">
        <v>0.9</v>
      </c>
      <c r="O469" s="6">
        <f t="shared" si="16"/>
        <v>27990</v>
      </c>
      <c r="P469" s="5" t="s">
        <v>504</v>
      </c>
    </row>
    <row r="470" spans="1:16" s="1" customFormat="1" x14ac:dyDescent="0.35">
      <c r="A470" s="5" t="str">
        <f t="shared" si="15"/>
        <v>2023 H1 All Items D90</v>
      </c>
      <c r="B470" s="8">
        <f>'ALL 2024 H2 D80'!$B$2</f>
        <v>46114</v>
      </c>
      <c r="C470" s="8">
        <f>'ALL 2024 H2 D80'!$C$2</f>
        <v>46120</v>
      </c>
      <c r="D470" s="5">
        <v>3208</v>
      </c>
      <c r="E470" s="5">
        <v>320</v>
      </c>
      <c r="F470" s="5">
        <v>1</v>
      </c>
      <c r="G470" s="5">
        <v>6</v>
      </c>
      <c r="H470" s="5">
        <v>81736</v>
      </c>
      <c r="I470" s="5" t="s">
        <v>16</v>
      </c>
      <c r="J470" s="5">
        <v>73645642</v>
      </c>
      <c r="K470" s="5" t="s">
        <v>900</v>
      </c>
      <c r="L470" s="14" t="s">
        <v>906</v>
      </c>
      <c r="M470" s="24">
        <v>279900</v>
      </c>
      <c r="N470" s="7">
        <v>0.9</v>
      </c>
      <c r="O470" s="6">
        <f t="shared" si="16"/>
        <v>27990</v>
      </c>
      <c r="P470" s="5" t="s">
        <v>504</v>
      </c>
    </row>
    <row r="471" spans="1:16" s="1" customFormat="1" x14ac:dyDescent="0.35">
      <c r="A471" s="5" t="str">
        <f t="shared" si="15"/>
        <v>2023 H1 All Items D90</v>
      </c>
      <c r="B471" s="8">
        <f>'ALL 2024 H2 D80'!$B$2</f>
        <v>46114</v>
      </c>
      <c r="C471" s="8">
        <f>'ALL 2024 H2 D80'!$C$2</f>
        <v>46120</v>
      </c>
      <c r="D471" s="5">
        <v>3208</v>
      </c>
      <c r="E471" s="5">
        <v>320</v>
      </c>
      <c r="F471" s="5">
        <v>1</v>
      </c>
      <c r="G471" s="5">
        <v>6</v>
      </c>
      <c r="H471" s="5">
        <v>81736</v>
      </c>
      <c r="I471" s="5" t="s">
        <v>16</v>
      </c>
      <c r="J471" s="5">
        <v>73645651</v>
      </c>
      <c r="K471" s="5" t="s">
        <v>900</v>
      </c>
      <c r="L471" s="14" t="s">
        <v>907</v>
      </c>
      <c r="M471" s="24">
        <v>279900</v>
      </c>
      <c r="N471" s="7">
        <v>0.9</v>
      </c>
      <c r="O471" s="6">
        <f t="shared" si="16"/>
        <v>27990</v>
      </c>
      <c r="P471" s="5" t="s">
        <v>504</v>
      </c>
    </row>
    <row r="472" spans="1:16" s="1" customFormat="1" x14ac:dyDescent="0.35">
      <c r="A472" s="5" t="str">
        <f t="shared" si="15"/>
        <v>2023 H1 All Items D90</v>
      </c>
      <c r="B472" s="8">
        <f>'ALL 2024 H2 D80'!$B$2</f>
        <v>46114</v>
      </c>
      <c r="C472" s="8">
        <f>'ALL 2024 H2 D80'!$C$2</f>
        <v>46120</v>
      </c>
      <c r="D472" s="5">
        <v>3208</v>
      </c>
      <c r="E472" s="5">
        <v>320</v>
      </c>
      <c r="F472" s="5">
        <v>1</v>
      </c>
      <c r="G472" s="5">
        <v>6</v>
      </c>
      <c r="H472" s="5">
        <v>81736</v>
      </c>
      <c r="I472" s="5" t="s">
        <v>16</v>
      </c>
      <c r="J472" s="5">
        <v>73645660</v>
      </c>
      <c r="K472" s="5" t="s">
        <v>900</v>
      </c>
      <c r="L472" s="14" t="s">
        <v>908</v>
      </c>
      <c r="M472" s="24">
        <v>279900</v>
      </c>
      <c r="N472" s="7">
        <v>0.9</v>
      </c>
      <c r="O472" s="6">
        <f t="shared" si="16"/>
        <v>27990</v>
      </c>
      <c r="P472" s="5" t="s">
        <v>504</v>
      </c>
    </row>
    <row r="473" spans="1:16" s="1" customFormat="1" x14ac:dyDescent="0.35">
      <c r="A473" s="5" t="str">
        <f t="shared" si="15"/>
        <v>2023 H1 All Items D90</v>
      </c>
      <c r="B473" s="8">
        <f>'ALL 2024 H2 D80'!$B$2</f>
        <v>46114</v>
      </c>
      <c r="C473" s="8">
        <f>'ALL 2024 H2 D80'!$C$2</f>
        <v>46120</v>
      </c>
      <c r="D473" s="5">
        <v>3208</v>
      </c>
      <c r="E473" s="5">
        <v>320</v>
      </c>
      <c r="F473" s="5">
        <v>1</v>
      </c>
      <c r="G473" s="5">
        <v>6</v>
      </c>
      <c r="H473" s="5">
        <v>81736</v>
      </c>
      <c r="I473" s="5" t="s">
        <v>16</v>
      </c>
      <c r="J473" s="5">
        <v>80908238</v>
      </c>
      <c r="K473" s="5" t="s">
        <v>909</v>
      </c>
      <c r="L473" s="14" t="s">
        <v>910</v>
      </c>
      <c r="M473" s="24">
        <v>269900</v>
      </c>
      <c r="N473" s="7">
        <v>0.9</v>
      </c>
      <c r="O473" s="6">
        <f t="shared" si="16"/>
        <v>26990</v>
      </c>
      <c r="P473" s="5" t="s">
        <v>504</v>
      </c>
    </row>
    <row r="474" spans="1:16" s="1" customFormat="1" x14ac:dyDescent="0.35">
      <c r="A474" s="5" t="str">
        <f t="shared" si="15"/>
        <v>2023 H1 All Items D90</v>
      </c>
      <c r="B474" s="8">
        <f>'ALL 2024 H2 D80'!$B$2</f>
        <v>46114</v>
      </c>
      <c r="C474" s="8">
        <f>'ALL 2024 H2 D80'!$C$2</f>
        <v>46120</v>
      </c>
      <c r="D474" s="5">
        <v>3208</v>
      </c>
      <c r="E474" s="5">
        <v>320</v>
      </c>
      <c r="F474" s="5">
        <v>1</v>
      </c>
      <c r="G474" s="5">
        <v>6</v>
      </c>
      <c r="H474" s="5">
        <v>81736</v>
      </c>
      <c r="I474" s="5" t="s">
        <v>16</v>
      </c>
      <c r="J474" s="5">
        <v>80908247</v>
      </c>
      <c r="K474" s="5" t="s">
        <v>909</v>
      </c>
      <c r="L474" s="14" t="s">
        <v>911</v>
      </c>
      <c r="M474" s="24">
        <v>269900</v>
      </c>
      <c r="N474" s="7">
        <v>0.9</v>
      </c>
      <c r="O474" s="6">
        <f t="shared" si="16"/>
        <v>26990</v>
      </c>
      <c r="P474" s="5" t="s">
        <v>504</v>
      </c>
    </row>
    <row r="475" spans="1:16" s="1" customFormat="1" x14ac:dyDescent="0.35">
      <c r="A475" s="5" t="str">
        <f t="shared" si="15"/>
        <v>2023 H1 All Items D90</v>
      </c>
      <c r="B475" s="8">
        <f>'ALL 2024 H2 D80'!$B$2</f>
        <v>46114</v>
      </c>
      <c r="C475" s="8">
        <f>'ALL 2024 H2 D80'!$C$2</f>
        <v>46120</v>
      </c>
      <c r="D475" s="5">
        <v>3208</v>
      </c>
      <c r="E475" s="5">
        <v>320</v>
      </c>
      <c r="F475" s="5">
        <v>1</v>
      </c>
      <c r="G475" s="5">
        <v>6</v>
      </c>
      <c r="H475" s="5">
        <v>81736</v>
      </c>
      <c r="I475" s="5" t="s">
        <v>16</v>
      </c>
      <c r="J475" s="5">
        <v>80908256</v>
      </c>
      <c r="K475" s="5" t="s">
        <v>909</v>
      </c>
      <c r="L475" s="14" t="s">
        <v>912</v>
      </c>
      <c r="M475" s="24">
        <v>269900</v>
      </c>
      <c r="N475" s="7">
        <v>0.9</v>
      </c>
      <c r="O475" s="6">
        <f t="shared" si="16"/>
        <v>26990</v>
      </c>
      <c r="P475" s="5" t="s">
        <v>504</v>
      </c>
    </row>
    <row r="476" spans="1:16" s="1" customFormat="1" x14ac:dyDescent="0.35">
      <c r="A476" s="5" t="str">
        <f t="shared" si="15"/>
        <v>2023 H1 All Items D90</v>
      </c>
      <c r="B476" s="8">
        <f>'ALL 2024 H2 D80'!$B$2</f>
        <v>46114</v>
      </c>
      <c r="C476" s="8">
        <f>'ALL 2024 H2 D80'!$C$2</f>
        <v>46120</v>
      </c>
      <c r="D476" s="5">
        <v>3208</v>
      </c>
      <c r="E476" s="5">
        <v>320</v>
      </c>
      <c r="F476" s="5">
        <v>1</v>
      </c>
      <c r="G476" s="5">
        <v>6</v>
      </c>
      <c r="H476" s="5">
        <v>81736</v>
      </c>
      <c r="I476" s="5" t="s">
        <v>16</v>
      </c>
      <c r="J476" s="5">
        <v>80908265</v>
      </c>
      <c r="K476" s="5" t="s">
        <v>909</v>
      </c>
      <c r="L476" s="14" t="s">
        <v>913</v>
      </c>
      <c r="M476" s="24">
        <v>269900</v>
      </c>
      <c r="N476" s="7">
        <v>0.9</v>
      </c>
      <c r="O476" s="6">
        <f t="shared" si="16"/>
        <v>26990</v>
      </c>
      <c r="P476" s="5" t="s">
        <v>504</v>
      </c>
    </row>
    <row r="477" spans="1:16" s="1" customFormat="1" x14ac:dyDescent="0.35">
      <c r="A477" s="5" t="str">
        <f t="shared" si="15"/>
        <v>2023 H1 All Items D90</v>
      </c>
      <c r="B477" s="8">
        <f>'ALL 2024 H2 D80'!$B$2</f>
        <v>46114</v>
      </c>
      <c r="C477" s="8">
        <f>'ALL 2024 H2 D80'!$C$2</f>
        <v>46120</v>
      </c>
      <c r="D477" s="5">
        <v>3208</v>
      </c>
      <c r="E477" s="5">
        <v>320</v>
      </c>
      <c r="F477" s="5">
        <v>1</v>
      </c>
      <c r="G477" s="5">
        <v>6</v>
      </c>
      <c r="H477" s="5">
        <v>81736</v>
      </c>
      <c r="I477" s="5" t="s">
        <v>16</v>
      </c>
      <c r="J477" s="5">
        <v>80908274</v>
      </c>
      <c r="K477" s="5" t="s">
        <v>909</v>
      </c>
      <c r="L477" s="14" t="s">
        <v>914</v>
      </c>
      <c r="M477" s="24">
        <v>269900</v>
      </c>
      <c r="N477" s="7">
        <v>0.9</v>
      </c>
      <c r="O477" s="6">
        <f t="shared" si="16"/>
        <v>26990</v>
      </c>
      <c r="P477" s="5" t="s">
        <v>504</v>
      </c>
    </row>
    <row r="478" spans="1:16" s="1" customFormat="1" x14ac:dyDescent="0.35">
      <c r="A478" s="5" t="str">
        <f t="shared" si="15"/>
        <v>2023 H1 All Items D90</v>
      </c>
      <c r="B478" s="8">
        <f>'ALL 2024 H2 D80'!$B$2</f>
        <v>46114</v>
      </c>
      <c r="C478" s="8">
        <f>'ALL 2024 H2 D80'!$C$2</f>
        <v>46120</v>
      </c>
      <c r="D478" s="5">
        <v>3208</v>
      </c>
      <c r="E478" s="5">
        <v>320</v>
      </c>
      <c r="F478" s="5">
        <v>1</v>
      </c>
      <c r="G478" s="5">
        <v>6</v>
      </c>
      <c r="H478" s="5">
        <v>81736</v>
      </c>
      <c r="I478" s="5" t="s">
        <v>16</v>
      </c>
      <c r="J478" s="5">
        <v>80908292</v>
      </c>
      <c r="K478" s="5" t="s">
        <v>909</v>
      </c>
      <c r="L478" s="14" t="s">
        <v>915</v>
      </c>
      <c r="M478" s="24">
        <v>269900</v>
      </c>
      <c r="N478" s="7">
        <v>0.9</v>
      </c>
      <c r="O478" s="6">
        <f t="shared" si="16"/>
        <v>26990</v>
      </c>
      <c r="P478" s="5" t="s">
        <v>504</v>
      </c>
    </row>
    <row r="479" spans="1:16" s="1" customFormat="1" x14ac:dyDescent="0.35">
      <c r="A479" s="5" t="str">
        <f t="shared" si="15"/>
        <v>2023 H1 All Items D90</v>
      </c>
      <c r="B479" s="8">
        <f>'ALL 2024 H2 D80'!$B$2</f>
        <v>46114</v>
      </c>
      <c r="C479" s="8">
        <f>'ALL 2024 H2 D80'!$C$2</f>
        <v>46120</v>
      </c>
      <c r="D479" s="30">
        <v>3208</v>
      </c>
      <c r="E479" s="30">
        <v>320</v>
      </c>
      <c r="F479" s="30">
        <v>1</v>
      </c>
      <c r="G479" s="30">
        <v>6</v>
      </c>
      <c r="H479" s="30">
        <v>81736</v>
      </c>
      <c r="I479" s="30" t="s">
        <v>16</v>
      </c>
      <c r="J479" s="30">
        <v>80908309</v>
      </c>
      <c r="K479" s="30" t="s">
        <v>909</v>
      </c>
      <c r="L479" s="35" t="s">
        <v>916</v>
      </c>
      <c r="M479" s="39">
        <v>269900</v>
      </c>
      <c r="N479" s="7">
        <v>0.9</v>
      </c>
      <c r="O479" s="31">
        <f t="shared" si="16"/>
        <v>26990</v>
      </c>
      <c r="P479" s="30" t="s">
        <v>504</v>
      </c>
    </row>
    <row r="480" spans="1:16" s="1" customFormat="1" x14ac:dyDescent="0.35">
      <c r="A480" s="5" t="str">
        <f t="shared" si="15"/>
        <v>2023 H1 All Items D90</v>
      </c>
      <c r="B480" s="8">
        <f>'ALL 2024 H2 D80'!$B$2</f>
        <v>46114</v>
      </c>
      <c r="C480" s="8">
        <f>'ALL 2024 H2 D80'!$C$2</f>
        <v>46120</v>
      </c>
      <c r="D480" s="5">
        <v>3208</v>
      </c>
      <c r="E480" s="5">
        <v>320</v>
      </c>
      <c r="F480" s="5">
        <v>1</v>
      </c>
      <c r="G480" s="5">
        <v>6</v>
      </c>
      <c r="H480" s="5">
        <v>81736</v>
      </c>
      <c r="I480" s="5" t="s">
        <v>16</v>
      </c>
      <c r="J480" s="5">
        <v>81290037</v>
      </c>
      <c r="K480" s="5" t="s">
        <v>917</v>
      </c>
      <c r="L480" s="14" t="s">
        <v>918</v>
      </c>
      <c r="M480" s="24">
        <v>269900</v>
      </c>
      <c r="N480" s="7">
        <v>0.9</v>
      </c>
      <c r="O480" s="6">
        <f t="shared" si="16"/>
        <v>26990</v>
      </c>
      <c r="P480" s="5" t="s">
        <v>504</v>
      </c>
    </row>
    <row r="481" spans="1:16" s="1" customFormat="1" x14ac:dyDescent="0.35">
      <c r="A481" s="5" t="str">
        <f t="shared" si="15"/>
        <v>2023 H1 All Items D90</v>
      </c>
      <c r="B481" s="8">
        <f>'ALL 2024 H2 D80'!$B$2</f>
        <v>46114</v>
      </c>
      <c r="C481" s="8">
        <f>'ALL 2024 H2 D80'!$C$2</f>
        <v>46120</v>
      </c>
      <c r="D481" s="5">
        <v>3208</v>
      </c>
      <c r="E481" s="5">
        <v>320</v>
      </c>
      <c r="F481" s="5">
        <v>1</v>
      </c>
      <c r="G481" s="5">
        <v>6</v>
      </c>
      <c r="H481" s="5">
        <v>81736</v>
      </c>
      <c r="I481" s="5" t="s">
        <v>16</v>
      </c>
      <c r="J481" s="5">
        <v>81290046</v>
      </c>
      <c r="K481" s="5" t="s">
        <v>917</v>
      </c>
      <c r="L481" s="14" t="s">
        <v>919</v>
      </c>
      <c r="M481" s="24">
        <v>269900</v>
      </c>
      <c r="N481" s="7">
        <v>0.9</v>
      </c>
      <c r="O481" s="6">
        <f t="shared" si="16"/>
        <v>26990</v>
      </c>
      <c r="P481" s="5" t="s">
        <v>504</v>
      </c>
    </row>
    <row r="482" spans="1:16" s="1" customFormat="1" x14ac:dyDescent="0.35">
      <c r="A482" s="5" t="str">
        <f t="shared" si="15"/>
        <v>2023 H1 All Items D90</v>
      </c>
      <c r="B482" s="8">
        <f>'ALL 2024 H2 D80'!$B$2</f>
        <v>46114</v>
      </c>
      <c r="C482" s="8">
        <f>'ALL 2024 H2 D80'!$C$2</f>
        <v>46120</v>
      </c>
      <c r="D482" s="5">
        <v>3208</v>
      </c>
      <c r="E482" s="5">
        <v>320</v>
      </c>
      <c r="F482" s="5">
        <v>1</v>
      </c>
      <c r="G482" s="5">
        <v>6</v>
      </c>
      <c r="H482" s="5">
        <v>81736</v>
      </c>
      <c r="I482" s="5" t="s">
        <v>16</v>
      </c>
      <c r="J482" s="5">
        <v>81290055</v>
      </c>
      <c r="K482" s="5" t="s">
        <v>917</v>
      </c>
      <c r="L482" s="14" t="s">
        <v>920</v>
      </c>
      <c r="M482" s="24">
        <v>269900</v>
      </c>
      <c r="N482" s="7">
        <v>0.9</v>
      </c>
      <c r="O482" s="6">
        <f t="shared" si="16"/>
        <v>26990</v>
      </c>
      <c r="P482" s="5" t="s">
        <v>504</v>
      </c>
    </row>
    <row r="483" spans="1:16" s="1" customFormat="1" x14ac:dyDescent="0.35">
      <c r="A483" s="5" t="str">
        <f t="shared" si="15"/>
        <v>2023 H1 All Items D90</v>
      </c>
      <c r="B483" s="8">
        <f>'ALL 2024 H2 D80'!$B$2</f>
        <v>46114</v>
      </c>
      <c r="C483" s="8">
        <f>'ALL 2024 H2 D80'!$C$2</f>
        <v>46120</v>
      </c>
      <c r="D483" s="5">
        <v>3208</v>
      </c>
      <c r="E483" s="5">
        <v>320</v>
      </c>
      <c r="F483" s="5">
        <v>1</v>
      </c>
      <c r="G483" s="5">
        <v>6</v>
      </c>
      <c r="H483" s="5">
        <v>81736</v>
      </c>
      <c r="I483" s="5" t="s">
        <v>16</v>
      </c>
      <c r="J483" s="5">
        <v>81290064</v>
      </c>
      <c r="K483" s="5" t="s">
        <v>917</v>
      </c>
      <c r="L483" s="14" t="s">
        <v>921</v>
      </c>
      <c r="M483" s="24">
        <v>269900</v>
      </c>
      <c r="N483" s="7">
        <v>0.9</v>
      </c>
      <c r="O483" s="6">
        <f t="shared" si="16"/>
        <v>26990</v>
      </c>
      <c r="P483" s="5" t="s">
        <v>504</v>
      </c>
    </row>
    <row r="484" spans="1:16" s="1" customFormat="1" x14ac:dyDescent="0.35">
      <c r="A484" s="5" t="str">
        <f t="shared" si="15"/>
        <v>2023 H1 All Items D90</v>
      </c>
      <c r="B484" s="8">
        <f>'ALL 2024 H2 D80'!$B$2</f>
        <v>46114</v>
      </c>
      <c r="C484" s="8">
        <f>'ALL 2024 H2 D80'!$C$2</f>
        <v>46120</v>
      </c>
      <c r="D484" s="5">
        <v>3208</v>
      </c>
      <c r="E484" s="5">
        <v>320</v>
      </c>
      <c r="F484" s="5">
        <v>1</v>
      </c>
      <c r="G484" s="5">
        <v>7</v>
      </c>
      <c r="H484" s="5">
        <v>81495</v>
      </c>
      <c r="I484" s="5" t="s">
        <v>16</v>
      </c>
      <c r="J484" s="5">
        <v>20576343</v>
      </c>
      <c r="K484" s="5" t="s">
        <v>2761</v>
      </c>
      <c r="L484" s="14" t="s">
        <v>2763</v>
      </c>
      <c r="M484" s="24">
        <v>199900</v>
      </c>
      <c r="N484" s="7">
        <v>0.9</v>
      </c>
      <c r="O484" s="6">
        <f t="shared" si="16"/>
        <v>19990</v>
      </c>
      <c r="P484" s="5" t="s">
        <v>504</v>
      </c>
    </row>
    <row r="485" spans="1:16" s="1" customFormat="1" x14ac:dyDescent="0.35">
      <c r="A485" s="5" t="str">
        <f t="shared" si="15"/>
        <v>2023 H1 All Items D90</v>
      </c>
      <c r="B485" s="8">
        <f>'ALL 2024 H2 D80'!$B$2</f>
        <v>46114</v>
      </c>
      <c r="C485" s="8">
        <f>'ALL 2024 H2 D80'!$C$2</f>
        <v>46120</v>
      </c>
      <c r="D485" s="5">
        <v>3208</v>
      </c>
      <c r="E485" s="5">
        <v>320</v>
      </c>
      <c r="F485" s="5">
        <v>1</v>
      </c>
      <c r="G485" s="5">
        <v>7</v>
      </c>
      <c r="H485" s="5">
        <v>81495</v>
      </c>
      <c r="I485" s="5" t="s">
        <v>16</v>
      </c>
      <c r="J485" s="5">
        <v>20576352</v>
      </c>
      <c r="K485" s="5" t="s">
        <v>2761</v>
      </c>
      <c r="L485" s="14" t="s">
        <v>2764</v>
      </c>
      <c r="M485" s="24">
        <v>199900</v>
      </c>
      <c r="N485" s="7">
        <v>0.9</v>
      </c>
      <c r="O485" s="6">
        <f t="shared" si="16"/>
        <v>19990</v>
      </c>
      <c r="P485" s="5" t="s">
        <v>504</v>
      </c>
    </row>
    <row r="486" spans="1:16" s="1" customFormat="1" x14ac:dyDescent="0.35">
      <c r="A486" s="5" t="str">
        <f t="shared" si="15"/>
        <v>2023 H1 All Items D90</v>
      </c>
      <c r="B486" s="8">
        <f>'ALL 2024 H2 D80'!$B$2</f>
        <v>46114</v>
      </c>
      <c r="C486" s="8">
        <f>'ALL 2024 H2 D80'!$C$2</f>
        <v>46120</v>
      </c>
      <c r="D486" s="5">
        <v>3208</v>
      </c>
      <c r="E486" s="5">
        <v>320</v>
      </c>
      <c r="F486" s="5">
        <v>1</v>
      </c>
      <c r="G486" s="5">
        <v>10</v>
      </c>
      <c r="H486" s="5">
        <v>81406</v>
      </c>
      <c r="I486" s="5" t="s">
        <v>16</v>
      </c>
      <c r="J486" s="5">
        <v>73645053</v>
      </c>
      <c r="K486" s="5" t="s">
        <v>947</v>
      </c>
      <c r="L486" s="14" t="s">
        <v>948</v>
      </c>
      <c r="M486" s="24">
        <v>269900</v>
      </c>
      <c r="N486" s="7">
        <v>0.9</v>
      </c>
      <c r="O486" s="6">
        <f t="shared" si="16"/>
        <v>26990</v>
      </c>
      <c r="P486" s="5" t="s">
        <v>504</v>
      </c>
    </row>
    <row r="487" spans="1:16" s="1" customFormat="1" x14ac:dyDescent="0.35">
      <c r="A487" s="5" t="str">
        <f t="shared" si="15"/>
        <v>2023 H1 All Items D90</v>
      </c>
      <c r="B487" s="8">
        <f>'ALL 2024 H2 D80'!$B$2</f>
        <v>46114</v>
      </c>
      <c r="C487" s="8">
        <f>'ALL 2024 H2 D80'!$C$2</f>
        <v>46120</v>
      </c>
      <c r="D487" s="5">
        <v>3208</v>
      </c>
      <c r="E487" s="5">
        <v>320</v>
      </c>
      <c r="F487" s="5">
        <v>1</v>
      </c>
      <c r="G487" s="5">
        <v>10</v>
      </c>
      <c r="H487" s="5">
        <v>81406</v>
      </c>
      <c r="I487" s="5" t="s">
        <v>16</v>
      </c>
      <c r="J487" s="5">
        <v>73645062</v>
      </c>
      <c r="K487" s="5" t="s">
        <v>947</v>
      </c>
      <c r="L487" s="14" t="s">
        <v>949</v>
      </c>
      <c r="M487" s="24">
        <v>269900</v>
      </c>
      <c r="N487" s="7">
        <v>0.9</v>
      </c>
      <c r="O487" s="6">
        <f t="shared" si="16"/>
        <v>26990</v>
      </c>
      <c r="P487" s="5" t="s">
        <v>504</v>
      </c>
    </row>
    <row r="488" spans="1:16" s="1" customFormat="1" x14ac:dyDescent="0.35">
      <c r="A488" s="5" t="str">
        <f t="shared" si="15"/>
        <v>2023 H1 All Items D90</v>
      </c>
      <c r="B488" s="8">
        <f>'ALL 2024 H2 D80'!$B$2</f>
        <v>46114</v>
      </c>
      <c r="C488" s="8">
        <f>'ALL 2024 H2 D80'!$C$2</f>
        <v>46120</v>
      </c>
      <c r="D488" s="5">
        <v>3208</v>
      </c>
      <c r="E488" s="5">
        <v>320</v>
      </c>
      <c r="F488" s="5">
        <v>1</v>
      </c>
      <c r="G488" s="5">
        <v>10</v>
      </c>
      <c r="H488" s="5">
        <v>81406</v>
      </c>
      <c r="I488" s="5" t="s">
        <v>16</v>
      </c>
      <c r="J488" s="5">
        <v>73645071</v>
      </c>
      <c r="K488" s="5" t="s">
        <v>947</v>
      </c>
      <c r="L488" s="14" t="s">
        <v>950</v>
      </c>
      <c r="M488" s="24">
        <v>269900</v>
      </c>
      <c r="N488" s="7">
        <v>0.9</v>
      </c>
      <c r="O488" s="6">
        <f t="shared" si="16"/>
        <v>26990</v>
      </c>
      <c r="P488" s="5" t="s">
        <v>504</v>
      </c>
    </row>
    <row r="489" spans="1:16" s="1" customFormat="1" x14ac:dyDescent="0.35">
      <c r="A489" s="5" t="str">
        <f t="shared" si="15"/>
        <v>2023 H1 All Items D90</v>
      </c>
      <c r="B489" s="8">
        <f>'ALL 2024 H2 D80'!$B$2</f>
        <v>46114</v>
      </c>
      <c r="C489" s="8">
        <f>'ALL 2024 H2 D80'!$C$2</f>
        <v>46120</v>
      </c>
      <c r="D489" s="5">
        <v>3208</v>
      </c>
      <c r="E489" s="5">
        <v>320</v>
      </c>
      <c r="F489" s="5">
        <v>1</v>
      </c>
      <c r="G489" s="5">
        <v>10</v>
      </c>
      <c r="H489" s="5">
        <v>81406</v>
      </c>
      <c r="I489" s="5" t="s">
        <v>16</v>
      </c>
      <c r="J489" s="5">
        <v>73645080</v>
      </c>
      <c r="K489" s="5" t="s">
        <v>947</v>
      </c>
      <c r="L489" s="14" t="s">
        <v>951</v>
      </c>
      <c r="M489" s="24">
        <v>269900</v>
      </c>
      <c r="N489" s="7">
        <v>0.9</v>
      </c>
      <c r="O489" s="6">
        <f t="shared" si="16"/>
        <v>26990</v>
      </c>
      <c r="P489" s="5" t="s">
        <v>504</v>
      </c>
    </row>
    <row r="490" spans="1:16" s="1" customFormat="1" x14ac:dyDescent="0.35">
      <c r="A490" s="5" t="str">
        <f t="shared" si="15"/>
        <v>2023 H1 All Items D90</v>
      </c>
      <c r="B490" s="8">
        <f>'ALL 2024 H2 D80'!$B$2</f>
        <v>46114</v>
      </c>
      <c r="C490" s="8">
        <f>'ALL 2024 H2 D80'!$C$2</f>
        <v>46120</v>
      </c>
      <c r="D490" s="5">
        <v>3208</v>
      </c>
      <c r="E490" s="5">
        <v>320</v>
      </c>
      <c r="F490" s="5">
        <v>1</v>
      </c>
      <c r="G490" s="5">
        <v>10</v>
      </c>
      <c r="H490" s="5">
        <v>81406</v>
      </c>
      <c r="I490" s="5" t="s">
        <v>16</v>
      </c>
      <c r="J490" s="5">
        <v>73645099</v>
      </c>
      <c r="K490" s="5" t="s">
        <v>947</v>
      </c>
      <c r="L490" s="14" t="s">
        <v>952</v>
      </c>
      <c r="M490" s="24">
        <v>269900</v>
      </c>
      <c r="N490" s="7">
        <v>0.9</v>
      </c>
      <c r="O490" s="6">
        <f t="shared" si="16"/>
        <v>26990</v>
      </c>
      <c r="P490" s="5" t="s">
        <v>504</v>
      </c>
    </row>
    <row r="491" spans="1:16" s="1" customFormat="1" x14ac:dyDescent="0.35">
      <c r="A491" s="5" t="str">
        <f t="shared" si="15"/>
        <v>2023 H1 All Items D90</v>
      </c>
      <c r="B491" s="8">
        <f>'ALL 2024 H2 D80'!$B$2</f>
        <v>46114</v>
      </c>
      <c r="C491" s="8">
        <f>'ALL 2024 H2 D80'!$C$2</f>
        <v>46120</v>
      </c>
      <c r="D491" s="5">
        <v>3208</v>
      </c>
      <c r="E491" s="5">
        <v>320</v>
      </c>
      <c r="F491" s="5">
        <v>1</v>
      </c>
      <c r="G491" s="5">
        <v>10</v>
      </c>
      <c r="H491" s="5">
        <v>81406</v>
      </c>
      <c r="I491" s="5" t="s">
        <v>16</v>
      </c>
      <c r="J491" s="5">
        <v>73645106</v>
      </c>
      <c r="K491" s="5" t="s">
        <v>947</v>
      </c>
      <c r="L491" s="14" t="s">
        <v>953</v>
      </c>
      <c r="M491" s="24">
        <v>269900</v>
      </c>
      <c r="N491" s="7">
        <v>0.9</v>
      </c>
      <c r="O491" s="6">
        <f t="shared" si="16"/>
        <v>26990</v>
      </c>
      <c r="P491" s="5" t="s">
        <v>504</v>
      </c>
    </row>
    <row r="492" spans="1:16" s="1" customFormat="1" x14ac:dyDescent="0.35">
      <c r="A492" s="5" t="str">
        <f t="shared" si="15"/>
        <v>2023 H1 All Items D90</v>
      </c>
      <c r="B492" s="8">
        <f>'ALL 2024 H2 D80'!$B$2</f>
        <v>46114</v>
      </c>
      <c r="C492" s="8">
        <f>'ALL 2024 H2 D80'!$C$2</f>
        <v>46120</v>
      </c>
      <c r="D492" s="5">
        <v>3208</v>
      </c>
      <c r="E492" s="5">
        <v>320</v>
      </c>
      <c r="F492" s="5">
        <v>1</v>
      </c>
      <c r="G492" s="5">
        <v>10</v>
      </c>
      <c r="H492" s="5">
        <v>81406</v>
      </c>
      <c r="I492" s="5" t="s">
        <v>16</v>
      </c>
      <c r="J492" s="5">
        <v>73645115</v>
      </c>
      <c r="K492" s="5" t="s">
        <v>947</v>
      </c>
      <c r="L492" s="14" t="s">
        <v>954</v>
      </c>
      <c r="M492" s="24">
        <v>269900</v>
      </c>
      <c r="N492" s="7">
        <v>0.9</v>
      </c>
      <c r="O492" s="6">
        <f t="shared" si="16"/>
        <v>26990</v>
      </c>
      <c r="P492" s="5" t="s">
        <v>504</v>
      </c>
    </row>
    <row r="493" spans="1:16" s="1" customFormat="1" x14ac:dyDescent="0.35">
      <c r="A493" s="5" t="str">
        <f t="shared" si="15"/>
        <v>2023 H1 All Items D90</v>
      </c>
      <c r="B493" s="8">
        <f>'ALL 2024 H2 D80'!$B$2</f>
        <v>46114</v>
      </c>
      <c r="C493" s="8">
        <f>'ALL 2024 H2 D80'!$C$2</f>
        <v>46120</v>
      </c>
      <c r="D493" s="5">
        <v>3208</v>
      </c>
      <c r="E493" s="5">
        <v>320</v>
      </c>
      <c r="F493" s="5">
        <v>1</v>
      </c>
      <c r="G493" s="5">
        <v>10</v>
      </c>
      <c r="H493" s="5">
        <v>81406</v>
      </c>
      <c r="I493" s="5" t="s">
        <v>16</v>
      </c>
      <c r="J493" s="5">
        <v>73645124</v>
      </c>
      <c r="K493" s="5" t="s">
        <v>947</v>
      </c>
      <c r="L493" s="14" t="s">
        <v>955</v>
      </c>
      <c r="M493" s="24">
        <v>269900</v>
      </c>
      <c r="N493" s="7">
        <v>0.9</v>
      </c>
      <c r="O493" s="6">
        <f t="shared" si="16"/>
        <v>26990</v>
      </c>
      <c r="P493" s="5" t="s">
        <v>504</v>
      </c>
    </row>
    <row r="494" spans="1:16" s="1" customFormat="1" x14ac:dyDescent="0.35">
      <c r="A494" s="5" t="str">
        <f t="shared" si="15"/>
        <v>2023 H1 All Items D90</v>
      </c>
      <c r="B494" s="8">
        <f>'ALL 2024 H2 D80'!$B$2</f>
        <v>46114</v>
      </c>
      <c r="C494" s="8">
        <f>'ALL 2024 H2 D80'!$C$2</f>
        <v>46120</v>
      </c>
      <c r="D494" s="5">
        <v>3208</v>
      </c>
      <c r="E494" s="5">
        <v>320</v>
      </c>
      <c r="F494" s="5">
        <v>1</v>
      </c>
      <c r="G494" s="5">
        <v>10</v>
      </c>
      <c r="H494" s="5">
        <v>81406</v>
      </c>
      <c r="I494" s="5" t="s">
        <v>16</v>
      </c>
      <c r="J494" s="5">
        <v>79674350</v>
      </c>
      <c r="K494" s="5" t="s">
        <v>956</v>
      </c>
      <c r="L494" s="14" t="s">
        <v>957</v>
      </c>
      <c r="M494" s="24">
        <v>369900</v>
      </c>
      <c r="N494" s="7">
        <v>0.9</v>
      </c>
      <c r="O494" s="6">
        <f t="shared" si="16"/>
        <v>36990</v>
      </c>
      <c r="P494" s="5" t="s">
        <v>504</v>
      </c>
    </row>
    <row r="495" spans="1:16" s="1" customFormat="1" x14ac:dyDescent="0.35">
      <c r="A495" s="5" t="str">
        <f t="shared" si="15"/>
        <v>2023 H1 All Items D90</v>
      </c>
      <c r="B495" s="8">
        <f>'ALL 2024 H2 D80'!$B$2</f>
        <v>46114</v>
      </c>
      <c r="C495" s="8">
        <f>'ALL 2024 H2 D80'!$C$2</f>
        <v>46120</v>
      </c>
      <c r="D495" s="5">
        <v>3208</v>
      </c>
      <c r="E495" s="5">
        <v>320</v>
      </c>
      <c r="F495" s="5">
        <v>1</v>
      </c>
      <c r="G495" s="5">
        <v>10</v>
      </c>
      <c r="H495" s="5">
        <v>81406</v>
      </c>
      <c r="I495" s="5" t="s">
        <v>16</v>
      </c>
      <c r="J495" s="5">
        <v>79674369</v>
      </c>
      <c r="K495" s="5" t="s">
        <v>956</v>
      </c>
      <c r="L495" s="14" t="s">
        <v>958</v>
      </c>
      <c r="M495" s="24">
        <v>369900</v>
      </c>
      <c r="N495" s="7">
        <v>0.9</v>
      </c>
      <c r="O495" s="6">
        <f t="shared" si="16"/>
        <v>36990</v>
      </c>
      <c r="P495" s="5" t="s">
        <v>504</v>
      </c>
    </row>
    <row r="496" spans="1:16" s="1" customFormat="1" x14ac:dyDescent="0.35">
      <c r="A496" s="5" t="str">
        <f t="shared" si="15"/>
        <v>2023 H1 All Items D90</v>
      </c>
      <c r="B496" s="8">
        <f>'ALL 2024 H2 D80'!$B$2</f>
        <v>46114</v>
      </c>
      <c r="C496" s="8">
        <f>'ALL 2024 H2 D80'!$C$2</f>
        <v>46120</v>
      </c>
      <c r="D496" s="5">
        <v>3208</v>
      </c>
      <c r="E496" s="5">
        <v>320</v>
      </c>
      <c r="F496" s="5">
        <v>1</v>
      </c>
      <c r="G496" s="5">
        <v>10</v>
      </c>
      <c r="H496" s="5">
        <v>81406</v>
      </c>
      <c r="I496" s="5" t="s">
        <v>16</v>
      </c>
      <c r="J496" s="5">
        <v>79674378</v>
      </c>
      <c r="K496" s="5" t="s">
        <v>956</v>
      </c>
      <c r="L496" s="14" t="s">
        <v>959</v>
      </c>
      <c r="M496" s="24">
        <v>369900</v>
      </c>
      <c r="N496" s="7">
        <v>0.9</v>
      </c>
      <c r="O496" s="6">
        <f t="shared" si="16"/>
        <v>36990</v>
      </c>
      <c r="P496" s="5" t="s">
        <v>504</v>
      </c>
    </row>
    <row r="497" spans="1:16" s="1" customFormat="1" x14ac:dyDescent="0.35">
      <c r="A497" s="5" t="str">
        <f t="shared" si="15"/>
        <v>2023 H1 All Items D90</v>
      </c>
      <c r="B497" s="8">
        <f>'ALL 2024 H2 D80'!$B$2</f>
        <v>46114</v>
      </c>
      <c r="C497" s="8">
        <f>'ALL 2024 H2 D80'!$C$2</f>
        <v>46120</v>
      </c>
      <c r="D497" s="5">
        <v>3208</v>
      </c>
      <c r="E497" s="5">
        <v>320</v>
      </c>
      <c r="F497" s="5">
        <v>1</v>
      </c>
      <c r="G497" s="5">
        <v>10</v>
      </c>
      <c r="H497" s="5">
        <v>81406</v>
      </c>
      <c r="I497" s="5" t="s">
        <v>16</v>
      </c>
      <c r="J497" s="5">
        <v>79674387</v>
      </c>
      <c r="K497" s="5" t="s">
        <v>956</v>
      </c>
      <c r="L497" s="14" t="s">
        <v>960</v>
      </c>
      <c r="M497" s="24">
        <v>369900</v>
      </c>
      <c r="N497" s="7">
        <v>0.9</v>
      </c>
      <c r="O497" s="6">
        <f t="shared" si="16"/>
        <v>36990</v>
      </c>
      <c r="P497" s="5" t="s">
        <v>504</v>
      </c>
    </row>
    <row r="498" spans="1:16" s="1" customFormat="1" x14ac:dyDescent="0.35">
      <c r="A498" s="5" t="str">
        <f t="shared" si="15"/>
        <v>2023 H1 All Items D90</v>
      </c>
      <c r="B498" s="8">
        <f>'ALL 2024 H2 D80'!$B$2</f>
        <v>46114</v>
      </c>
      <c r="C498" s="8">
        <f>'ALL 2024 H2 D80'!$C$2</f>
        <v>46120</v>
      </c>
      <c r="D498" s="5">
        <v>3208</v>
      </c>
      <c r="E498" s="5">
        <v>320</v>
      </c>
      <c r="F498" s="5">
        <v>1</v>
      </c>
      <c r="G498" s="5">
        <v>10</v>
      </c>
      <c r="H498" s="5">
        <v>81406</v>
      </c>
      <c r="I498" s="5" t="s">
        <v>16</v>
      </c>
      <c r="J498" s="5">
        <v>79674396</v>
      </c>
      <c r="K498" s="5" t="s">
        <v>956</v>
      </c>
      <c r="L498" s="14" t="s">
        <v>961</v>
      </c>
      <c r="M498" s="24">
        <v>369900</v>
      </c>
      <c r="N498" s="7">
        <v>0.9</v>
      </c>
      <c r="O498" s="6">
        <f t="shared" si="16"/>
        <v>36990</v>
      </c>
      <c r="P498" s="5" t="s">
        <v>504</v>
      </c>
    </row>
    <row r="499" spans="1:16" s="1" customFormat="1" x14ac:dyDescent="0.35">
      <c r="A499" s="5" t="str">
        <f t="shared" si="15"/>
        <v>2023 H1 All Items D90</v>
      </c>
      <c r="B499" s="8">
        <f>'ALL 2024 H2 D80'!$B$2</f>
        <v>46114</v>
      </c>
      <c r="C499" s="8">
        <f>'ALL 2024 H2 D80'!$C$2</f>
        <v>46120</v>
      </c>
      <c r="D499" s="5">
        <v>3208</v>
      </c>
      <c r="E499" s="5">
        <v>320</v>
      </c>
      <c r="F499" s="5">
        <v>1</v>
      </c>
      <c r="G499" s="5">
        <v>10</v>
      </c>
      <c r="H499" s="5">
        <v>81406</v>
      </c>
      <c r="I499" s="5" t="s">
        <v>16</v>
      </c>
      <c r="J499" s="5">
        <v>79674403</v>
      </c>
      <c r="K499" s="5" t="s">
        <v>956</v>
      </c>
      <c r="L499" s="14" t="s">
        <v>962</v>
      </c>
      <c r="M499" s="24">
        <v>369900</v>
      </c>
      <c r="N499" s="7">
        <v>0.9</v>
      </c>
      <c r="O499" s="6">
        <f t="shared" si="16"/>
        <v>36990</v>
      </c>
      <c r="P499" s="5" t="s">
        <v>504</v>
      </c>
    </row>
    <row r="500" spans="1:16" s="1" customFormat="1" x14ac:dyDescent="0.35">
      <c r="A500" s="5" t="str">
        <f t="shared" si="15"/>
        <v>2023 H1 All Items D90</v>
      </c>
      <c r="B500" s="8">
        <f>'ALL 2024 H2 D80'!$B$2</f>
        <v>46114</v>
      </c>
      <c r="C500" s="8">
        <f>'ALL 2024 H2 D80'!$C$2</f>
        <v>46120</v>
      </c>
      <c r="D500" s="5">
        <v>3208</v>
      </c>
      <c r="E500" s="5">
        <v>320</v>
      </c>
      <c r="F500" s="5">
        <v>1</v>
      </c>
      <c r="G500" s="5">
        <v>10</v>
      </c>
      <c r="H500" s="5">
        <v>81406</v>
      </c>
      <c r="I500" s="5" t="s">
        <v>16</v>
      </c>
      <c r="J500" s="5">
        <v>79674412</v>
      </c>
      <c r="K500" s="5" t="s">
        <v>956</v>
      </c>
      <c r="L500" s="14" t="s">
        <v>963</v>
      </c>
      <c r="M500" s="24">
        <v>369900</v>
      </c>
      <c r="N500" s="7">
        <v>0.9</v>
      </c>
      <c r="O500" s="6">
        <f t="shared" si="16"/>
        <v>36990</v>
      </c>
      <c r="P500" s="5" t="s">
        <v>504</v>
      </c>
    </row>
    <row r="501" spans="1:16" s="1" customFormat="1" x14ac:dyDescent="0.35">
      <c r="A501" s="5" t="str">
        <f t="shared" si="15"/>
        <v>2023 H1 All Items D90</v>
      </c>
      <c r="B501" s="8">
        <f>'ALL 2024 H2 D80'!$B$2</f>
        <v>46114</v>
      </c>
      <c r="C501" s="8">
        <f>'ALL 2024 H2 D80'!$C$2</f>
        <v>46120</v>
      </c>
      <c r="D501" s="5">
        <v>3208</v>
      </c>
      <c r="E501" s="5">
        <v>320</v>
      </c>
      <c r="F501" s="5">
        <v>1</v>
      </c>
      <c r="G501" s="5">
        <v>10</v>
      </c>
      <c r="H501" s="5">
        <v>81406</v>
      </c>
      <c r="I501" s="5" t="s">
        <v>16</v>
      </c>
      <c r="J501" s="5">
        <v>79674421</v>
      </c>
      <c r="K501" s="5" t="s">
        <v>956</v>
      </c>
      <c r="L501" s="14" t="s">
        <v>964</v>
      </c>
      <c r="M501" s="24">
        <v>369900</v>
      </c>
      <c r="N501" s="7">
        <v>0.9</v>
      </c>
      <c r="O501" s="6">
        <f t="shared" si="16"/>
        <v>36990</v>
      </c>
      <c r="P501" s="5" t="s">
        <v>504</v>
      </c>
    </row>
    <row r="502" spans="1:16" s="1" customFormat="1" x14ac:dyDescent="0.35">
      <c r="A502" s="5" t="str">
        <f t="shared" si="15"/>
        <v>2023 H1 All Items D90</v>
      </c>
      <c r="B502" s="8">
        <f>'ALL 2024 H2 D80'!$B$2</f>
        <v>46114</v>
      </c>
      <c r="C502" s="8">
        <f>'ALL 2024 H2 D80'!$C$2</f>
        <v>46120</v>
      </c>
      <c r="D502" s="5">
        <v>3208</v>
      </c>
      <c r="E502" s="5">
        <v>320</v>
      </c>
      <c r="F502" s="5">
        <v>1</v>
      </c>
      <c r="G502" s="5">
        <v>10</v>
      </c>
      <c r="H502" s="5">
        <v>81406</v>
      </c>
      <c r="I502" s="5" t="s">
        <v>16</v>
      </c>
      <c r="J502" s="5">
        <v>80952332</v>
      </c>
      <c r="K502" s="5" t="s">
        <v>965</v>
      </c>
      <c r="L502" s="14" t="s">
        <v>966</v>
      </c>
      <c r="M502" s="24">
        <v>369900</v>
      </c>
      <c r="N502" s="7">
        <v>0.9</v>
      </c>
      <c r="O502" s="6">
        <f t="shared" si="16"/>
        <v>36990</v>
      </c>
      <c r="P502" s="5" t="s">
        <v>504</v>
      </c>
    </row>
    <row r="503" spans="1:16" s="1" customFormat="1" x14ac:dyDescent="0.35">
      <c r="A503" s="5" t="str">
        <f t="shared" si="15"/>
        <v>2023 H1 All Items D90</v>
      </c>
      <c r="B503" s="8">
        <f>'ALL 2024 H2 D80'!$B$2</f>
        <v>46114</v>
      </c>
      <c r="C503" s="8">
        <f>'ALL 2024 H2 D80'!$C$2</f>
        <v>46120</v>
      </c>
      <c r="D503" s="5">
        <v>3208</v>
      </c>
      <c r="E503" s="5">
        <v>320</v>
      </c>
      <c r="F503" s="5">
        <v>1</v>
      </c>
      <c r="G503" s="5">
        <v>10</v>
      </c>
      <c r="H503" s="5">
        <v>81406</v>
      </c>
      <c r="I503" s="5" t="s">
        <v>16</v>
      </c>
      <c r="J503" s="5">
        <v>80952341</v>
      </c>
      <c r="K503" s="5" t="s">
        <v>965</v>
      </c>
      <c r="L503" s="14" t="s">
        <v>967</v>
      </c>
      <c r="M503" s="24">
        <v>369900</v>
      </c>
      <c r="N503" s="7">
        <v>0.9</v>
      </c>
      <c r="O503" s="6">
        <f t="shared" si="16"/>
        <v>36990</v>
      </c>
      <c r="P503" s="5" t="s">
        <v>504</v>
      </c>
    </row>
    <row r="504" spans="1:16" s="1" customFormat="1" x14ac:dyDescent="0.35">
      <c r="A504" s="5" t="str">
        <f t="shared" si="15"/>
        <v>2023 H1 All Items D90</v>
      </c>
      <c r="B504" s="8">
        <f>'ALL 2024 H2 D80'!$B$2</f>
        <v>46114</v>
      </c>
      <c r="C504" s="8">
        <f>'ALL 2024 H2 D80'!$C$2</f>
        <v>46120</v>
      </c>
      <c r="D504" s="5">
        <v>3208</v>
      </c>
      <c r="E504" s="5">
        <v>320</v>
      </c>
      <c r="F504" s="5">
        <v>1</v>
      </c>
      <c r="G504" s="5">
        <v>10</v>
      </c>
      <c r="H504" s="5">
        <v>81406</v>
      </c>
      <c r="I504" s="5" t="s">
        <v>16</v>
      </c>
      <c r="J504" s="5">
        <v>80952350</v>
      </c>
      <c r="K504" s="5" t="s">
        <v>965</v>
      </c>
      <c r="L504" s="14" t="s">
        <v>968</v>
      </c>
      <c r="M504" s="24">
        <v>369900</v>
      </c>
      <c r="N504" s="7">
        <v>0.9</v>
      </c>
      <c r="O504" s="6">
        <f t="shared" si="16"/>
        <v>36990</v>
      </c>
      <c r="P504" s="5" t="s">
        <v>504</v>
      </c>
    </row>
    <row r="505" spans="1:16" s="1" customFormat="1" x14ac:dyDescent="0.35">
      <c r="A505" s="5" t="str">
        <f t="shared" si="15"/>
        <v>2023 H1 All Items D90</v>
      </c>
      <c r="B505" s="8">
        <f>'ALL 2024 H2 D80'!$B$2</f>
        <v>46114</v>
      </c>
      <c r="C505" s="8">
        <f>'ALL 2024 H2 D80'!$C$2</f>
        <v>46120</v>
      </c>
      <c r="D505" s="5">
        <v>3208</v>
      </c>
      <c r="E505" s="5">
        <v>320</v>
      </c>
      <c r="F505" s="5">
        <v>1</v>
      </c>
      <c r="G505" s="5">
        <v>10</v>
      </c>
      <c r="H505" s="5">
        <v>81406</v>
      </c>
      <c r="I505" s="5" t="s">
        <v>16</v>
      </c>
      <c r="J505" s="5">
        <v>80952369</v>
      </c>
      <c r="K505" s="5" t="s">
        <v>965</v>
      </c>
      <c r="L505" s="14" t="s">
        <v>969</v>
      </c>
      <c r="M505" s="24">
        <v>369900</v>
      </c>
      <c r="N505" s="7">
        <v>0.9</v>
      </c>
      <c r="O505" s="6">
        <f t="shared" si="16"/>
        <v>36990</v>
      </c>
      <c r="P505" s="5" t="s">
        <v>504</v>
      </c>
    </row>
    <row r="506" spans="1:16" s="1" customFormat="1" x14ac:dyDescent="0.35">
      <c r="A506" s="5" t="str">
        <f t="shared" si="15"/>
        <v>2023 H1 All Items D90</v>
      </c>
      <c r="B506" s="8">
        <f>'ALL 2024 H2 D80'!$B$2</f>
        <v>46114</v>
      </c>
      <c r="C506" s="8">
        <f>'ALL 2024 H2 D80'!$C$2</f>
        <v>46120</v>
      </c>
      <c r="D506" s="5">
        <v>3208</v>
      </c>
      <c r="E506" s="5">
        <v>320</v>
      </c>
      <c r="F506" s="5">
        <v>1</v>
      </c>
      <c r="G506" s="5">
        <v>10</v>
      </c>
      <c r="H506" s="5">
        <v>81406</v>
      </c>
      <c r="I506" s="5" t="s">
        <v>16</v>
      </c>
      <c r="J506" s="5">
        <v>80952378</v>
      </c>
      <c r="K506" s="5" t="s">
        <v>970</v>
      </c>
      <c r="L506" s="14" t="s">
        <v>971</v>
      </c>
      <c r="M506" s="24">
        <v>399900</v>
      </c>
      <c r="N506" s="7">
        <v>0.9</v>
      </c>
      <c r="O506" s="6">
        <f t="shared" si="16"/>
        <v>39990</v>
      </c>
      <c r="P506" s="5" t="s">
        <v>504</v>
      </c>
    </row>
    <row r="507" spans="1:16" s="1" customFormat="1" x14ac:dyDescent="0.35">
      <c r="A507" s="5" t="str">
        <f t="shared" si="15"/>
        <v>2023 H1 All Items D90</v>
      </c>
      <c r="B507" s="8">
        <f>'ALL 2024 H2 D80'!$B$2</f>
        <v>46114</v>
      </c>
      <c r="C507" s="8">
        <f>'ALL 2024 H2 D80'!$C$2</f>
        <v>46120</v>
      </c>
      <c r="D507" s="5">
        <v>3208</v>
      </c>
      <c r="E507" s="5">
        <v>320</v>
      </c>
      <c r="F507" s="5">
        <v>1</v>
      </c>
      <c r="G507" s="5">
        <v>10</v>
      </c>
      <c r="H507" s="5">
        <v>81406</v>
      </c>
      <c r="I507" s="5" t="s">
        <v>16</v>
      </c>
      <c r="J507" s="5">
        <v>80952387</v>
      </c>
      <c r="K507" s="5" t="s">
        <v>970</v>
      </c>
      <c r="L507" s="14" t="s">
        <v>972</v>
      </c>
      <c r="M507" s="24">
        <v>399900</v>
      </c>
      <c r="N507" s="7">
        <v>0.9</v>
      </c>
      <c r="O507" s="6">
        <f t="shared" si="16"/>
        <v>39990</v>
      </c>
      <c r="P507" s="5" t="s">
        <v>504</v>
      </c>
    </row>
    <row r="508" spans="1:16" s="1" customFormat="1" x14ac:dyDescent="0.35">
      <c r="A508" s="5" t="str">
        <f t="shared" si="15"/>
        <v>2023 H1 All Items D90</v>
      </c>
      <c r="B508" s="8">
        <f>'ALL 2024 H2 D80'!$B$2</f>
        <v>46114</v>
      </c>
      <c r="C508" s="8">
        <f>'ALL 2024 H2 D80'!$C$2</f>
        <v>46120</v>
      </c>
      <c r="D508" s="5">
        <v>3208</v>
      </c>
      <c r="E508" s="5">
        <v>320</v>
      </c>
      <c r="F508" s="5">
        <v>1</v>
      </c>
      <c r="G508" s="5">
        <v>10</v>
      </c>
      <c r="H508" s="5">
        <v>81406</v>
      </c>
      <c r="I508" s="5" t="s">
        <v>16</v>
      </c>
      <c r="J508" s="5">
        <v>80952396</v>
      </c>
      <c r="K508" s="5" t="s">
        <v>970</v>
      </c>
      <c r="L508" s="14" t="s">
        <v>973</v>
      </c>
      <c r="M508" s="24">
        <v>399900</v>
      </c>
      <c r="N508" s="7">
        <v>0.9</v>
      </c>
      <c r="O508" s="6">
        <f t="shared" si="16"/>
        <v>39990</v>
      </c>
      <c r="P508" s="5" t="s">
        <v>504</v>
      </c>
    </row>
    <row r="509" spans="1:16" s="1" customFormat="1" x14ac:dyDescent="0.35">
      <c r="A509" s="5" t="str">
        <f t="shared" si="15"/>
        <v>2023 H1 All Items D90</v>
      </c>
      <c r="B509" s="8">
        <f>'ALL 2024 H2 D80'!$B$2</f>
        <v>46114</v>
      </c>
      <c r="C509" s="8">
        <f>'ALL 2024 H2 D80'!$C$2</f>
        <v>46120</v>
      </c>
      <c r="D509" s="5">
        <v>3208</v>
      </c>
      <c r="E509" s="5">
        <v>320</v>
      </c>
      <c r="F509" s="5">
        <v>1</v>
      </c>
      <c r="G509" s="5">
        <v>10</v>
      </c>
      <c r="H509" s="5">
        <v>81406</v>
      </c>
      <c r="I509" s="5" t="s">
        <v>16</v>
      </c>
      <c r="J509" s="5">
        <v>80952403</v>
      </c>
      <c r="K509" s="5" t="s">
        <v>970</v>
      </c>
      <c r="L509" s="14" t="s">
        <v>974</v>
      </c>
      <c r="M509" s="24">
        <v>399900</v>
      </c>
      <c r="N509" s="7">
        <v>0.9</v>
      </c>
      <c r="O509" s="6">
        <f t="shared" si="16"/>
        <v>39990</v>
      </c>
      <c r="P509" s="5" t="s">
        <v>504</v>
      </c>
    </row>
    <row r="510" spans="1:16" s="1" customFormat="1" x14ac:dyDescent="0.35">
      <c r="A510" s="5" t="str">
        <f t="shared" si="15"/>
        <v>2023 H1 All Items D90</v>
      </c>
      <c r="B510" s="8">
        <f>'ALL 2024 H2 D80'!$B$2</f>
        <v>46114</v>
      </c>
      <c r="C510" s="8">
        <f>'ALL 2024 H2 D80'!$C$2</f>
        <v>46120</v>
      </c>
      <c r="D510" s="5">
        <v>3208</v>
      </c>
      <c r="E510" s="5">
        <v>320</v>
      </c>
      <c r="F510" s="5">
        <v>1</v>
      </c>
      <c r="G510" s="5">
        <v>10</v>
      </c>
      <c r="H510" s="5">
        <v>81406</v>
      </c>
      <c r="I510" s="5" t="s">
        <v>16</v>
      </c>
      <c r="J510" s="5">
        <v>81889767</v>
      </c>
      <c r="K510" s="5" t="s">
        <v>975</v>
      </c>
      <c r="L510" s="14" t="s">
        <v>976</v>
      </c>
      <c r="M510" s="24">
        <v>369900</v>
      </c>
      <c r="N510" s="7">
        <v>0.9</v>
      </c>
      <c r="O510" s="6">
        <f t="shared" si="16"/>
        <v>36990</v>
      </c>
      <c r="P510" s="5" t="s">
        <v>504</v>
      </c>
    </row>
    <row r="511" spans="1:16" s="1" customFormat="1" x14ac:dyDescent="0.35">
      <c r="A511" s="5" t="str">
        <f t="shared" si="15"/>
        <v>2023 H1 All Items D90</v>
      </c>
      <c r="B511" s="8">
        <f>'ALL 2024 H2 D80'!$B$2</f>
        <v>46114</v>
      </c>
      <c r="C511" s="8">
        <f>'ALL 2024 H2 D80'!$C$2</f>
        <v>46120</v>
      </c>
      <c r="D511" s="5">
        <v>3208</v>
      </c>
      <c r="E511" s="5">
        <v>320</v>
      </c>
      <c r="F511" s="5">
        <v>1</v>
      </c>
      <c r="G511" s="5">
        <v>10</v>
      </c>
      <c r="H511" s="5">
        <v>81406</v>
      </c>
      <c r="I511" s="5" t="s">
        <v>16</v>
      </c>
      <c r="J511" s="5">
        <v>81889776</v>
      </c>
      <c r="K511" s="5" t="s">
        <v>975</v>
      </c>
      <c r="L511" s="14" t="s">
        <v>977</v>
      </c>
      <c r="M511" s="24">
        <v>369900</v>
      </c>
      <c r="N511" s="7">
        <v>0.9</v>
      </c>
      <c r="O511" s="6">
        <f t="shared" si="16"/>
        <v>36990</v>
      </c>
      <c r="P511" s="5" t="s">
        <v>504</v>
      </c>
    </row>
    <row r="512" spans="1:16" x14ac:dyDescent="0.35">
      <c r="A512" s="5" t="str">
        <f t="shared" si="15"/>
        <v>2023 H1 All Items D90</v>
      </c>
      <c r="B512" s="8">
        <f>'ALL 2024 H2 D80'!$B$2</f>
        <v>46114</v>
      </c>
      <c r="C512" s="8">
        <f>'ALL 2024 H2 D80'!$C$2</f>
        <v>46120</v>
      </c>
      <c r="D512" s="5">
        <v>3208</v>
      </c>
      <c r="E512" s="5">
        <v>320</v>
      </c>
      <c r="F512" s="5">
        <v>1</v>
      </c>
      <c r="G512" s="27">
        <v>10</v>
      </c>
      <c r="H512" s="27">
        <v>81406</v>
      </c>
      <c r="I512" s="27" t="s">
        <v>16</v>
      </c>
      <c r="J512" s="27">
        <v>81889785</v>
      </c>
      <c r="K512" s="27" t="s">
        <v>975</v>
      </c>
      <c r="L512" s="36" t="s">
        <v>978</v>
      </c>
      <c r="M512" s="25">
        <v>369900</v>
      </c>
      <c r="N512" s="7">
        <v>0.9</v>
      </c>
      <c r="O512" s="6">
        <f t="shared" ref="O512:O533" si="17">M512-(M512*N512)</f>
        <v>36990</v>
      </c>
      <c r="P512" s="5" t="s">
        <v>504</v>
      </c>
    </row>
    <row r="513" spans="1:16" x14ac:dyDescent="0.35">
      <c r="A513" s="5" t="str">
        <f t="shared" si="15"/>
        <v>2023 H1 All Items D90</v>
      </c>
      <c r="B513" s="8">
        <f>'ALL 2024 H2 D80'!$B$2</f>
        <v>46114</v>
      </c>
      <c r="C513" s="8">
        <f>'ALL 2024 H2 D80'!$C$2</f>
        <v>46120</v>
      </c>
      <c r="D513" s="5">
        <v>3208</v>
      </c>
      <c r="E513" s="5">
        <v>320</v>
      </c>
      <c r="F513" s="5">
        <v>1</v>
      </c>
      <c r="G513" s="27">
        <v>10</v>
      </c>
      <c r="H513" s="27">
        <v>81406</v>
      </c>
      <c r="I513" s="27" t="s">
        <v>16</v>
      </c>
      <c r="J513" s="27">
        <v>81889794</v>
      </c>
      <c r="K513" s="27" t="s">
        <v>975</v>
      </c>
      <c r="L513" s="36" t="s">
        <v>979</v>
      </c>
      <c r="M513" s="25">
        <v>369900</v>
      </c>
      <c r="N513" s="7">
        <v>0.9</v>
      </c>
      <c r="O513" s="6">
        <f t="shared" si="17"/>
        <v>36990</v>
      </c>
      <c r="P513" s="5" t="s">
        <v>504</v>
      </c>
    </row>
    <row r="514" spans="1:16" x14ac:dyDescent="0.35">
      <c r="A514" s="5" t="str">
        <f t="shared" si="15"/>
        <v>2023 H1 All Items D90</v>
      </c>
      <c r="B514" s="8">
        <f>'ALL 2024 H2 D80'!$B$2</f>
        <v>46114</v>
      </c>
      <c r="C514" s="8">
        <f>'ALL 2024 H2 D80'!$C$2</f>
        <v>46120</v>
      </c>
      <c r="D514" s="5">
        <v>3208</v>
      </c>
      <c r="E514" s="5">
        <v>320</v>
      </c>
      <c r="F514" s="5">
        <v>1</v>
      </c>
      <c r="G514" s="27">
        <v>10</v>
      </c>
      <c r="H514" s="27">
        <v>81406</v>
      </c>
      <c r="I514" s="27" t="s">
        <v>16</v>
      </c>
      <c r="J514" s="27">
        <v>82238495</v>
      </c>
      <c r="K514" s="27" t="s">
        <v>980</v>
      </c>
      <c r="L514" s="36" t="s">
        <v>981</v>
      </c>
      <c r="M514" s="25">
        <v>299900</v>
      </c>
      <c r="N514" s="7">
        <v>0.9</v>
      </c>
      <c r="O514" s="6">
        <f t="shared" si="17"/>
        <v>29990</v>
      </c>
      <c r="P514" s="5" t="s">
        <v>504</v>
      </c>
    </row>
    <row r="515" spans="1:16" x14ac:dyDescent="0.35">
      <c r="A515" s="5" t="str">
        <f t="shared" si="15"/>
        <v>2023 H1 All Items D90</v>
      </c>
      <c r="B515" s="8">
        <f>'ALL 2024 H2 D80'!$B$2</f>
        <v>46114</v>
      </c>
      <c r="C515" s="8">
        <f>'ALL 2024 H2 D80'!$C$2</f>
        <v>46120</v>
      </c>
      <c r="D515" s="5">
        <v>3208</v>
      </c>
      <c r="E515" s="5">
        <v>320</v>
      </c>
      <c r="F515" s="5">
        <v>1</v>
      </c>
      <c r="G515" s="27">
        <v>10</v>
      </c>
      <c r="H515" s="27">
        <v>81406</v>
      </c>
      <c r="I515" s="27" t="s">
        <v>16</v>
      </c>
      <c r="J515" s="27">
        <v>82238502</v>
      </c>
      <c r="K515" s="27" t="s">
        <v>980</v>
      </c>
      <c r="L515" s="36" t="s">
        <v>982</v>
      </c>
      <c r="M515" s="25">
        <v>299900</v>
      </c>
      <c r="N515" s="7">
        <v>0.9</v>
      </c>
      <c r="O515" s="6">
        <f t="shared" si="17"/>
        <v>29990</v>
      </c>
      <c r="P515" s="5" t="s">
        <v>504</v>
      </c>
    </row>
    <row r="516" spans="1:16" x14ac:dyDescent="0.35">
      <c r="A516" s="5" t="str">
        <f t="shared" ref="A516:A533" si="18">$A$2</f>
        <v>2023 H1 All Items D90</v>
      </c>
      <c r="B516" s="8">
        <f>'ALL 2024 H2 D80'!$B$2</f>
        <v>46114</v>
      </c>
      <c r="C516" s="8">
        <f>'ALL 2024 H2 D80'!$C$2</f>
        <v>46120</v>
      </c>
      <c r="D516" s="5">
        <v>3208</v>
      </c>
      <c r="E516" s="5">
        <v>320</v>
      </c>
      <c r="F516" s="5">
        <v>1</v>
      </c>
      <c r="G516" s="27">
        <v>10</v>
      </c>
      <c r="H516" s="27">
        <v>81406</v>
      </c>
      <c r="I516" s="27" t="s">
        <v>16</v>
      </c>
      <c r="J516" s="27">
        <v>82238511</v>
      </c>
      <c r="K516" s="27" t="s">
        <v>980</v>
      </c>
      <c r="L516" s="36" t="s">
        <v>983</v>
      </c>
      <c r="M516" s="25">
        <v>299900</v>
      </c>
      <c r="N516" s="7">
        <v>0.9</v>
      </c>
      <c r="O516" s="6">
        <f t="shared" si="17"/>
        <v>29990</v>
      </c>
      <c r="P516" s="5" t="s">
        <v>504</v>
      </c>
    </row>
    <row r="517" spans="1:16" x14ac:dyDescent="0.35">
      <c r="A517" s="5" t="str">
        <f t="shared" si="18"/>
        <v>2023 H1 All Items D90</v>
      </c>
      <c r="B517" s="8">
        <f>'ALL 2024 H2 D80'!$B$2</f>
        <v>46114</v>
      </c>
      <c r="C517" s="8">
        <f>'ALL 2024 H2 D80'!$C$2</f>
        <v>46120</v>
      </c>
      <c r="D517" s="5">
        <v>3208</v>
      </c>
      <c r="E517" s="5">
        <v>320</v>
      </c>
      <c r="F517" s="5">
        <v>1</v>
      </c>
      <c r="G517" s="27">
        <v>10</v>
      </c>
      <c r="H517" s="27">
        <v>81406</v>
      </c>
      <c r="I517" s="27" t="s">
        <v>16</v>
      </c>
      <c r="J517" s="27">
        <v>82238520</v>
      </c>
      <c r="K517" s="27" t="s">
        <v>980</v>
      </c>
      <c r="L517" s="36" t="s">
        <v>984</v>
      </c>
      <c r="M517" s="25">
        <v>299900</v>
      </c>
      <c r="N517" s="7">
        <v>0.9</v>
      </c>
      <c r="O517" s="6">
        <f t="shared" si="17"/>
        <v>29990</v>
      </c>
      <c r="P517" s="5" t="s">
        <v>504</v>
      </c>
    </row>
    <row r="518" spans="1:16" x14ac:dyDescent="0.35">
      <c r="A518" s="5" t="str">
        <f t="shared" si="18"/>
        <v>2023 H1 All Items D90</v>
      </c>
      <c r="B518" s="8">
        <f>'ALL 2024 H2 D80'!$B$2</f>
        <v>46114</v>
      </c>
      <c r="C518" s="8">
        <f>'ALL 2024 H2 D80'!$C$2</f>
        <v>46120</v>
      </c>
      <c r="D518" s="5">
        <v>3208</v>
      </c>
      <c r="E518" s="5">
        <v>320</v>
      </c>
      <c r="F518" s="5">
        <v>1</v>
      </c>
      <c r="G518" s="27">
        <v>11</v>
      </c>
      <c r="H518" s="27">
        <v>81427</v>
      </c>
      <c r="I518" s="27" t="s">
        <v>16</v>
      </c>
      <c r="J518" s="27">
        <v>73866850</v>
      </c>
      <c r="K518" s="27" t="s">
        <v>2989</v>
      </c>
      <c r="L518" s="36" t="s">
        <v>2990</v>
      </c>
      <c r="M518" s="25">
        <v>149900</v>
      </c>
      <c r="N518" s="7">
        <v>0.9</v>
      </c>
      <c r="O518" s="6">
        <f t="shared" si="17"/>
        <v>14990</v>
      </c>
      <c r="P518" s="5" t="s">
        <v>504</v>
      </c>
    </row>
    <row r="519" spans="1:16" x14ac:dyDescent="0.35">
      <c r="A519" s="5" t="str">
        <f t="shared" si="18"/>
        <v>2023 H1 All Items D90</v>
      </c>
      <c r="B519" s="8">
        <f>'ALL 2024 H2 D80'!$B$2</f>
        <v>46114</v>
      </c>
      <c r="C519" s="8">
        <f>'ALL 2024 H2 D80'!$C$2</f>
        <v>46120</v>
      </c>
      <c r="D519" s="5">
        <v>3208</v>
      </c>
      <c r="E519" s="5">
        <v>320</v>
      </c>
      <c r="F519" s="5">
        <v>1</v>
      </c>
      <c r="G519" s="27">
        <v>11</v>
      </c>
      <c r="H519" s="27">
        <v>81427</v>
      </c>
      <c r="I519" s="27" t="s">
        <v>16</v>
      </c>
      <c r="J519" s="27">
        <v>73866869</v>
      </c>
      <c r="K519" s="27" t="s">
        <v>2989</v>
      </c>
      <c r="L519" s="36" t="s">
        <v>2991</v>
      </c>
      <c r="M519" s="25">
        <v>149900</v>
      </c>
      <c r="N519" s="7">
        <v>0.9</v>
      </c>
      <c r="O519" s="6">
        <f t="shared" si="17"/>
        <v>14990</v>
      </c>
      <c r="P519" s="5" t="s">
        <v>504</v>
      </c>
    </row>
    <row r="520" spans="1:16" x14ac:dyDescent="0.35">
      <c r="A520" s="5" t="str">
        <f t="shared" si="18"/>
        <v>2023 H1 All Items D90</v>
      </c>
      <c r="B520" s="8">
        <f>'ALL 2024 H2 D80'!$B$2</f>
        <v>46114</v>
      </c>
      <c r="C520" s="8">
        <f>'ALL 2024 H2 D80'!$C$2</f>
        <v>46120</v>
      </c>
      <c r="D520" s="5">
        <v>3208</v>
      </c>
      <c r="E520" s="5">
        <v>320</v>
      </c>
      <c r="F520" s="5">
        <v>1</v>
      </c>
      <c r="G520" s="27">
        <v>11</v>
      </c>
      <c r="H520" s="27">
        <v>81427</v>
      </c>
      <c r="I520" s="27" t="s">
        <v>16</v>
      </c>
      <c r="J520" s="27">
        <v>73866878</v>
      </c>
      <c r="K520" s="27" t="s">
        <v>2989</v>
      </c>
      <c r="L520" s="36" t="s">
        <v>2992</v>
      </c>
      <c r="M520" s="25">
        <v>149900</v>
      </c>
      <c r="N520" s="7">
        <v>0.9</v>
      </c>
      <c r="O520" s="6">
        <f t="shared" si="17"/>
        <v>14990</v>
      </c>
      <c r="P520" s="5" t="s">
        <v>504</v>
      </c>
    </row>
    <row r="521" spans="1:16" x14ac:dyDescent="0.35">
      <c r="A521" s="5" t="str">
        <f t="shared" si="18"/>
        <v>2023 H1 All Items D90</v>
      </c>
      <c r="B521" s="8">
        <f>'ALL 2024 H2 D80'!$B$2</f>
        <v>46114</v>
      </c>
      <c r="C521" s="8">
        <f>'ALL 2024 H2 D80'!$C$2</f>
        <v>46120</v>
      </c>
      <c r="D521" s="5">
        <v>3208</v>
      </c>
      <c r="E521" s="5">
        <v>320</v>
      </c>
      <c r="F521" s="5">
        <v>1</v>
      </c>
      <c r="G521" s="27">
        <v>11</v>
      </c>
      <c r="H521" s="27">
        <v>81427</v>
      </c>
      <c r="I521" s="27" t="s">
        <v>16</v>
      </c>
      <c r="J521" s="27">
        <v>73866887</v>
      </c>
      <c r="K521" s="27" t="s">
        <v>2989</v>
      </c>
      <c r="L521" s="36" t="s">
        <v>2993</v>
      </c>
      <c r="M521" s="25">
        <v>149900</v>
      </c>
      <c r="N521" s="7">
        <v>0.9</v>
      </c>
      <c r="O521" s="6">
        <f t="shared" si="17"/>
        <v>14990</v>
      </c>
      <c r="P521" s="5" t="s">
        <v>504</v>
      </c>
    </row>
    <row r="522" spans="1:16" x14ac:dyDescent="0.35">
      <c r="A522" s="5" t="str">
        <f t="shared" si="18"/>
        <v>2023 H1 All Items D90</v>
      </c>
      <c r="B522" s="8">
        <f>'ALL 2024 H2 D80'!$B$2</f>
        <v>46114</v>
      </c>
      <c r="C522" s="8">
        <f>'ALL 2024 H2 D80'!$C$2</f>
        <v>46120</v>
      </c>
      <c r="D522" s="5">
        <v>3208</v>
      </c>
      <c r="E522" s="5">
        <v>320</v>
      </c>
      <c r="F522" s="5">
        <v>1</v>
      </c>
      <c r="G522" s="27">
        <v>11</v>
      </c>
      <c r="H522" s="27">
        <v>81736</v>
      </c>
      <c r="I522" s="27" t="s">
        <v>16</v>
      </c>
      <c r="J522" s="27">
        <v>73866574</v>
      </c>
      <c r="K522" s="27" t="s">
        <v>2994</v>
      </c>
      <c r="L522" s="36" t="s">
        <v>2995</v>
      </c>
      <c r="M522" s="25">
        <v>229900</v>
      </c>
      <c r="N522" s="7">
        <v>0.9</v>
      </c>
      <c r="O522" s="6">
        <f t="shared" si="17"/>
        <v>22990</v>
      </c>
      <c r="P522" s="5" t="s">
        <v>504</v>
      </c>
    </row>
    <row r="523" spans="1:16" x14ac:dyDescent="0.35">
      <c r="A523" s="5" t="str">
        <f t="shared" si="18"/>
        <v>2023 H1 All Items D90</v>
      </c>
      <c r="B523" s="8">
        <f>'ALL 2024 H2 D80'!$B$2</f>
        <v>46114</v>
      </c>
      <c r="C523" s="8">
        <f>'ALL 2024 H2 D80'!$C$2</f>
        <v>46120</v>
      </c>
      <c r="D523" s="5">
        <v>3208</v>
      </c>
      <c r="E523" s="5">
        <v>320</v>
      </c>
      <c r="F523" s="5">
        <v>1</v>
      </c>
      <c r="G523" s="27">
        <v>11</v>
      </c>
      <c r="H523" s="27">
        <v>81736</v>
      </c>
      <c r="I523" s="27" t="s">
        <v>16</v>
      </c>
      <c r="J523" s="27">
        <v>73866583</v>
      </c>
      <c r="K523" s="27" t="s">
        <v>2994</v>
      </c>
      <c r="L523" s="36" t="s">
        <v>2996</v>
      </c>
      <c r="M523" s="25">
        <v>229900</v>
      </c>
      <c r="N523" s="7">
        <v>0.9</v>
      </c>
      <c r="O523" s="6">
        <f t="shared" si="17"/>
        <v>22990</v>
      </c>
      <c r="P523" s="5" t="s">
        <v>504</v>
      </c>
    </row>
    <row r="524" spans="1:16" x14ac:dyDescent="0.35">
      <c r="A524" s="5" t="str">
        <f t="shared" si="18"/>
        <v>2023 H1 All Items D90</v>
      </c>
      <c r="B524" s="8">
        <f>'ALL 2024 H2 D80'!$B$2</f>
        <v>46114</v>
      </c>
      <c r="C524" s="8">
        <f>'ALL 2024 H2 D80'!$C$2</f>
        <v>46120</v>
      </c>
      <c r="D524" s="5">
        <v>3208</v>
      </c>
      <c r="E524" s="5">
        <v>320</v>
      </c>
      <c r="F524" s="5">
        <v>1</v>
      </c>
      <c r="G524" s="27">
        <v>11</v>
      </c>
      <c r="H524" s="27">
        <v>81736</v>
      </c>
      <c r="I524" s="27" t="s">
        <v>16</v>
      </c>
      <c r="J524" s="27">
        <v>73866592</v>
      </c>
      <c r="K524" s="27" t="s">
        <v>2994</v>
      </c>
      <c r="L524" s="36" t="s">
        <v>2997</v>
      </c>
      <c r="M524" s="25">
        <v>229900</v>
      </c>
      <c r="N524" s="7">
        <v>0.9</v>
      </c>
      <c r="O524" s="6">
        <f t="shared" si="17"/>
        <v>22990</v>
      </c>
      <c r="P524" s="5" t="s">
        <v>504</v>
      </c>
    </row>
    <row r="525" spans="1:16" x14ac:dyDescent="0.35">
      <c r="A525" s="5" t="str">
        <f t="shared" si="18"/>
        <v>2023 H1 All Items D90</v>
      </c>
      <c r="B525" s="8">
        <f>'ALL 2024 H2 D80'!$B$2</f>
        <v>46114</v>
      </c>
      <c r="C525" s="8">
        <f>'ALL 2024 H2 D80'!$C$2</f>
        <v>46120</v>
      </c>
      <c r="D525" s="5">
        <v>3208</v>
      </c>
      <c r="E525" s="5">
        <v>320</v>
      </c>
      <c r="F525" s="5">
        <v>1</v>
      </c>
      <c r="G525" s="27">
        <v>11</v>
      </c>
      <c r="H525" s="27">
        <v>81736</v>
      </c>
      <c r="I525" s="27" t="s">
        <v>16</v>
      </c>
      <c r="J525" s="27">
        <v>73866609</v>
      </c>
      <c r="K525" s="27" t="s">
        <v>2994</v>
      </c>
      <c r="L525" s="36" t="s">
        <v>2998</v>
      </c>
      <c r="M525" s="25">
        <v>229900</v>
      </c>
      <c r="N525" s="7">
        <v>0.9</v>
      </c>
      <c r="O525" s="6">
        <f t="shared" si="17"/>
        <v>22990</v>
      </c>
      <c r="P525" s="5" t="s">
        <v>504</v>
      </c>
    </row>
    <row r="526" spans="1:16" x14ac:dyDescent="0.35">
      <c r="A526" s="5" t="str">
        <f t="shared" si="18"/>
        <v>2023 H1 All Items D90</v>
      </c>
      <c r="B526" s="8">
        <f>'ALL 2024 H2 D80'!$B$2</f>
        <v>46114</v>
      </c>
      <c r="C526" s="8">
        <f>'ALL 2024 H2 D80'!$C$2</f>
        <v>46120</v>
      </c>
      <c r="D526" s="5">
        <v>3208</v>
      </c>
      <c r="E526" s="5">
        <v>320</v>
      </c>
      <c r="F526" s="5">
        <v>1</v>
      </c>
      <c r="G526" s="27">
        <v>11</v>
      </c>
      <c r="H526" s="27">
        <v>81736</v>
      </c>
      <c r="I526" s="27" t="s">
        <v>16</v>
      </c>
      <c r="J526" s="27">
        <v>73866814</v>
      </c>
      <c r="K526" s="27" t="s">
        <v>2999</v>
      </c>
      <c r="L526" s="36" t="s">
        <v>3000</v>
      </c>
      <c r="M526" s="25">
        <v>299900</v>
      </c>
      <c r="N526" s="7">
        <v>0.9</v>
      </c>
      <c r="O526" s="6">
        <f t="shared" si="17"/>
        <v>29990</v>
      </c>
      <c r="P526" s="5" t="s">
        <v>504</v>
      </c>
    </row>
    <row r="527" spans="1:16" x14ac:dyDescent="0.35">
      <c r="A527" s="5" t="str">
        <f t="shared" si="18"/>
        <v>2023 H1 All Items D90</v>
      </c>
      <c r="B527" s="8">
        <f>'ALL 2024 H2 D80'!$B$2</f>
        <v>46114</v>
      </c>
      <c r="C527" s="8">
        <f>'ALL 2024 H2 D80'!$C$2</f>
        <v>46120</v>
      </c>
      <c r="D527" s="5">
        <v>3208</v>
      </c>
      <c r="E527" s="5">
        <v>320</v>
      </c>
      <c r="F527" s="5">
        <v>1</v>
      </c>
      <c r="G527" s="27">
        <v>11</v>
      </c>
      <c r="H527" s="27">
        <v>81736</v>
      </c>
      <c r="I527" s="27" t="s">
        <v>16</v>
      </c>
      <c r="J527" s="27">
        <v>73866823</v>
      </c>
      <c r="K527" s="27" t="s">
        <v>2999</v>
      </c>
      <c r="L527" s="36" t="s">
        <v>3001</v>
      </c>
      <c r="M527" s="25">
        <v>299900</v>
      </c>
      <c r="N527" s="7">
        <v>0.9</v>
      </c>
      <c r="O527" s="6">
        <f t="shared" si="17"/>
        <v>29990</v>
      </c>
      <c r="P527" s="5" t="s">
        <v>504</v>
      </c>
    </row>
    <row r="528" spans="1:16" x14ac:dyDescent="0.35">
      <c r="A528" s="5" t="str">
        <f t="shared" si="18"/>
        <v>2023 H1 All Items D90</v>
      </c>
      <c r="B528" s="8">
        <f>'ALL 2024 H2 D80'!$B$2</f>
        <v>46114</v>
      </c>
      <c r="C528" s="8">
        <f>'ALL 2024 H2 D80'!$C$2</f>
        <v>46120</v>
      </c>
      <c r="D528" s="5">
        <v>3208</v>
      </c>
      <c r="E528" s="5">
        <v>320</v>
      </c>
      <c r="F528" s="5">
        <v>1</v>
      </c>
      <c r="G528" s="27">
        <v>11</v>
      </c>
      <c r="H528" s="27">
        <v>81736</v>
      </c>
      <c r="I528" s="27" t="s">
        <v>16</v>
      </c>
      <c r="J528" s="27">
        <v>73866832</v>
      </c>
      <c r="K528" s="27" t="s">
        <v>2999</v>
      </c>
      <c r="L528" s="36" t="s">
        <v>3002</v>
      </c>
      <c r="M528" s="25">
        <v>299900</v>
      </c>
      <c r="N528" s="7">
        <v>0.9</v>
      </c>
      <c r="O528" s="6">
        <f t="shared" si="17"/>
        <v>29990</v>
      </c>
      <c r="P528" s="5" t="s">
        <v>504</v>
      </c>
    </row>
    <row r="529" spans="1:16" x14ac:dyDescent="0.35">
      <c r="A529" s="5" t="str">
        <f t="shared" si="18"/>
        <v>2023 H1 All Items D90</v>
      </c>
      <c r="B529" s="8">
        <f>'ALL 2024 H2 D80'!$B$2</f>
        <v>46114</v>
      </c>
      <c r="C529" s="8">
        <f>'ALL 2024 H2 D80'!$C$2</f>
        <v>46120</v>
      </c>
      <c r="D529" s="5">
        <v>3208</v>
      </c>
      <c r="E529" s="5">
        <v>320</v>
      </c>
      <c r="F529" s="5">
        <v>1</v>
      </c>
      <c r="G529" s="27">
        <v>11</v>
      </c>
      <c r="H529" s="27">
        <v>81736</v>
      </c>
      <c r="I529" s="27" t="s">
        <v>16</v>
      </c>
      <c r="J529" s="27">
        <v>73866841</v>
      </c>
      <c r="K529" s="27" t="s">
        <v>2999</v>
      </c>
      <c r="L529" s="36" t="s">
        <v>3003</v>
      </c>
      <c r="M529" s="25">
        <v>299900</v>
      </c>
      <c r="N529" s="7">
        <v>0.9</v>
      </c>
      <c r="O529" s="6">
        <f t="shared" si="17"/>
        <v>29990</v>
      </c>
      <c r="P529" s="5" t="s">
        <v>504</v>
      </c>
    </row>
    <row r="530" spans="1:16" x14ac:dyDescent="0.35">
      <c r="A530" s="5" t="str">
        <f t="shared" si="18"/>
        <v>2023 H1 All Items D90</v>
      </c>
      <c r="B530" s="8">
        <f>'ALL 2024 H2 D80'!$B$2</f>
        <v>46114</v>
      </c>
      <c r="C530" s="8">
        <f>'ALL 2024 H2 D80'!$C$2</f>
        <v>46120</v>
      </c>
      <c r="D530" s="5">
        <v>3208</v>
      </c>
      <c r="E530" s="5">
        <v>320</v>
      </c>
      <c r="F530" s="5">
        <v>1</v>
      </c>
      <c r="G530" s="27">
        <v>11</v>
      </c>
      <c r="H530" s="27">
        <v>81736</v>
      </c>
      <c r="I530" s="27" t="s">
        <v>16</v>
      </c>
      <c r="J530" s="27">
        <v>79673851</v>
      </c>
      <c r="K530" s="27" t="s">
        <v>3004</v>
      </c>
      <c r="L530" s="36" t="s">
        <v>3005</v>
      </c>
      <c r="M530" s="25">
        <v>249900</v>
      </c>
      <c r="N530" s="7">
        <v>0.9</v>
      </c>
      <c r="O530" s="6">
        <f t="shared" si="17"/>
        <v>24990</v>
      </c>
      <c r="P530" s="5" t="s">
        <v>504</v>
      </c>
    </row>
    <row r="531" spans="1:16" x14ac:dyDescent="0.35">
      <c r="A531" s="5" t="str">
        <f t="shared" si="18"/>
        <v>2023 H1 All Items D90</v>
      </c>
      <c r="B531" s="8">
        <f>'ALL 2024 H2 D80'!$B$2</f>
        <v>46114</v>
      </c>
      <c r="C531" s="8">
        <f>'ALL 2024 H2 D80'!$C$2</f>
        <v>46120</v>
      </c>
      <c r="D531" s="5">
        <v>3208</v>
      </c>
      <c r="E531" s="5">
        <v>320</v>
      </c>
      <c r="F531" s="5">
        <v>1</v>
      </c>
      <c r="G531" s="27">
        <v>11</v>
      </c>
      <c r="H531" s="27">
        <v>81736</v>
      </c>
      <c r="I531" s="27" t="s">
        <v>16</v>
      </c>
      <c r="J531" s="27">
        <v>79673860</v>
      </c>
      <c r="K531" s="27" t="s">
        <v>3004</v>
      </c>
      <c r="L531" s="36" t="s">
        <v>3006</v>
      </c>
      <c r="M531" s="25">
        <v>249900</v>
      </c>
      <c r="N531" s="7">
        <v>0.9</v>
      </c>
      <c r="O531" s="6">
        <f t="shared" si="17"/>
        <v>24990</v>
      </c>
      <c r="P531" s="5" t="s">
        <v>504</v>
      </c>
    </row>
    <row r="532" spans="1:16" x14ac:dyDescent="0.35">
      <c r="A532" s="5" t="str">
        <f t="shared" si="18"/>
        <v>2023 H1 All Items D90</v>
      </c>
      <c r="B532" s="8">
        <f>'ALL 2024 H2 D80'!$B$2</f>
        <v>46114</v>
      </c>
      <c r="C532" s="8">
        <f>'ALL 2024 H2 D80'!$C$2</f>
        <v>46120</v>
      </c>
      <c r="D532" s="5">
        <v>3208</v>
      </c>
      <c r="E532" s="5">
        <v>320</v>
      </c>
      <c r="F532" s="5">
        <v>1</v>
      </c>
      <c r="G532" s="27">
        <v>11</v>
      </c>
      <c r="H532" s="27">
        <v>81736</v>
      </c>
      <c r="I532" s="27" t="s">
        <v>16</v>
      </c>
      <c r="J532" s="27">
        <v>79673879</v>
      </c>
      <c r="K532" s="27" t="s">
        <v>3004</v>
      </c>
      <c r="L532" s="36" t="s">
        <v>3007</v>
      </c>
      <c r="M532" s="25">
        <v>249900</v>
      </c>
      <c r="N532" s="7">
        <v>0.9</v>
      </c>
      <c r="O532" s="6">
        <f t="shared" si="17"/>
        <v>24990</v>
      </c>
      <c r="P532" s="5" t="s">
        <v>504</v>
      </c>
    </row>
    <row r="533" spans="1:16" x14ac:dyDescent="0.35">
      <c r="A533" s="5" t="str">
        <f t="shared" si="18"/>
        <v>2023 H1 All Items D90</v>
      </c>
      <c r="B533" s="8">
        <f>'ALL 2024 H2 D80'!$B$2</f>
        <v>46114</v>
      </c>
      <c r="C533" s="8">
        <f>'ALL 2024 H2 D80'!$C$2</f>
        <v>46120</v>
      </c>
      <c r="D533" s="5">
        <v>3208</v>
      </c>
      <c r="E533" s="5">
        <v>320</v>
      </c>
      <c r="F533" s="5">
        <v>1</v>
      </c>
      <c r="G533" s="27">
        <v>11</v>
      </c>
      <c r="H533" s="27">
        <v>81736</v>
      </c>
      <c r="I533" s="27" t="s">
        <v>16</v>
      </c>
      <c r="J533" s="27">
        <v>79673888</v>
      </c>
      <c r="K533" s="27" t="s">
        <v>3004</v>
      </c>
      <c r="L533" s="36" t="s">
        <v>3008</v>
      </c>
      <c r="M533" s="25">
        <v>249900</v>
      </c>
      <c r="N533" s="7">
        <v>0.9</v>
      </c>
      <c r="O533" s="6">
        <f t="shared" si="17"/>
        <v>24990</v>
      </c>
      <c r="P533" s="5" t="s">
        <v>504</v>
      </c>
    </row>
  </sheetData>
  <conditionalFormatting sqref="J1:J153">
    <cfRule type="duplicateValues" dxfId="8" priority="3"/>
  </conditionalFormatting>
  <conditionalFormatting sqref="J154:J385">
    <cfRule type="duplicateValues" dxfId="7" priority="15"/>
  </conditionalFormatting>
  <conditionalFormatting sqref="J386:J511">
    <cfRule type="duplicateValues" dxfId="6" priority="12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P777"/>
  <sheetViews>
    <sheetView zoomScaleNormal="100" workbookViewId="0">
      <pane ySplit="1" topLeftCell="A2" activePane="bottomLeft" state="frozen"/>
      <selection activeCell="C11" sqref="C11"/>
      <selection pane="bottomLeft" activeCell="A4" sqref="A4"/>
    </sheetView>
  </sheetViews>
  <sheetFormatPr defaultColWidth="8.7265625" defaultRowHeight="14.5" x14ac:dyDescent="0.35"/>
  <cols>
    <col min="1" max="1" width="32" style="1" bestFit="1" customWidth="1"/>
    <col min="2" max="2" width="16.1796875" style="4" bestFit="1" customWidth="1"/>
    <col min="3" max="3" width="13.26953125" style="4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6.453125" style="1" bestFit="1" customWidth="1"/>
    <col min="10" max="10" width="9.453125" style="1" bestFit="1" customWidth="1"/>
    <col min="11" max="11" width="14.54296875" style="1" bestFit="1" customWidth="1"/>
    <col min="12" max="12" width="64.54296875" style="1" customWidth="1"/>
    <col min="13" max="13" width="16" style="2" bestFit="1" customWidth="1"/>
    <col min="14" max="14" width="12.453125" style="3" bestFit="1" customWidth="1"/>
    <col min="15" max="15" width="15" style="2" bestFit="1" customWidth="1"/>
    <col min="16" max="16" width="19.81640625" style="1" bestFit="1" customWidth="1"/>
    <col min="17" max="16384" width="8.7265625" style="1"/>
  </cols>
  <sheetData>
    <row r="1" spans="1:16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9" t="s">
        <v>4</v>
      </c>
      <c r="M1" s="10" t="s">
        <v>3</v>
      </c>
      <c r="N1" s="11" t="s">
        <v>2</v>
      </c>
      <c r="O1" s="10" t="s">
        <v>1</v>
      </c>
      <c r="P1" s="9" t="s">
        <v>0</v>
      </c>
    </row>
    <row r="2" spans="1:16" x14ac:dyDescent="0.35">
      <c r="A2" s="5" t="s">
        <v>3665</v>
      </c>
      <c r="B2" s="8">
        <f>'ALL 2024 H2 D80'!$B$2</f>
        <v>46114</v>
      </c>
      <c r="C2" s="8">
        <f>'ALL 2024 H2 D80'!$C$2</f>
        <v>46120</v>
      </c>
      <c r="D2" s="5">
        <v>3208</v>
      </c>
      <c r="E2" s="5">
        <v>320</v>
      </c>
      <c r="F2" s="5">
        <v>1</v>
      </c>
      <c r="G2" s="5">
        <v>1</v>
      </c>
      <c r="H2" s="5">
        <v>81044</v>
      </c>
      <c r="I2" s="5" t="s">
        <v>16</v>
      </c>
      <c r="J2" s="5">
        <v>26940750</v>
      </c>
      <c r="K2" s="5" t="s">
        <v>1559</v>
      </c>
      <c r="L2" s="5" t="s">
        <v>1560</v>
      </c>
      <c r="M2" s="6">
        <v>249900</v>
      </c>
      <c r="N2" s="7">
        <v>0.9</v>
      </c>
      <c r="O2" s="6">
        <f>M2-(M2*N2)</f>
        <v>24990</v>
      </c>
      <c r="P2" s="5" t="s">
        <v>504</v>
      </c>
    </row>
    <row r="3" spans="1:16" x14ac:dyDescent="0.35">
      <c r="A3" s="5" t="str">
        <f>$A$2</f>
        <v>2022 All Items D90</v>
      </c>
      <c r="B3" s="8">
        <f>'ALL 2024 H2 D80'!$B$2</f>
        <v>46114</v>
      </c>
      <c r="C3" s="8">
        <f>'ALL 2024 H2 D80'!$C$2</f>
        <v>46120</v>
      </c>
      <c r="D3" s="5">
        <v>3208</v>
      </c>
      <c r="E3" s="5">
        <v>320</v>
      </c>
      <c r="F3" s="5">
        <v>1</v>
      </c>
      <c r="G3" s="5">
        <v>1</v>
      </c>
      <c r="H3" s="5">
        <v>81044</v>
      </c>
      <c r="I3" s="5" t="s">
        <v>16</v>
      </c>
      <c r="J3" s="5">
        <v>26940769</v>
      </c>
      <c r="K3" s="5" t="s">
        <v>1559</v>
      </c>
      <c r="L3" s="5" t="s">
        <v>1561</v>
      </c>
      <c r="M3" s="6">
        <v>249900</v>
      </c>
      <c r="N3" s="7">
        <v>0.9</v>
      </c>
      <c r="O3" s="6">
        <f t="shared" ref="O3:O17" si="0">M3-(M3*N3)</f>
        <v>24990</v>
      </c>
      <c r="P3" s="5" t="s">
        <v>504</v>
      </c>
    </row>
    <row r="4" spans="1:16" x14ac:dyDescent="0.35">
      <c r="A4" s="5" t="str">
        <f t="shared" ref="A4:A67" si="1">$A$2</f>
        <v>2022 All Items D90</v>
      </c>
      <c r="B4" s="8">
        <f>'ALL 2024 H2 D80'!$B$2</f>
        <v>46114</v>
      </c>
      <c r="C4" s="8">
        <f>'ALL 2024 H2 D80'!$C$2</f>
        <v>46120</v>
      </c>
      <c r="D4" s="5">
        <v>3208</v>
      </c>
      <c r="E4" s="5">
        <v>320</v>
      </c>
      <c r="F4" s="5">
        <v>1</v>
      </c>
      <c r="G4" s="5">
        <v>1</v>
      </c>
      <c r="H4" s="5">
        <v>81044</v>
      </c>
      <c r="I4" s="5" t="s">
        <v>16</v>
      </c>
      <c r="J4" s="5">
        <v>26940787</v>
      </c>
      <c r="K4" s="5" t="s">
        <v>1559</v>
      </c>
      <c r="L4" s="5" t="s">
        <v>1562</v>
      </c>
      <c r="M4" s="6">
        <v>249900</v>
      </c>
      <c r="N4" s="7">
        <v>0.9</v>
      </c>
      <c r="O4" s="6">
        <f t="shared" si="0"/>
        <v>24990</v>
      </c>
      <c r="P4" s="5" t="s">
        <v>504</v>
      </c>
    </row>
    <row r="5" spans="1:16" x14ac:dyDescent="0.35">
      <c r="A5" s="5" t="str">
        <f t="shared" si="1"/>
        <v>2022 All Items D90</v>
      </c>
      <c r="B5" s="8">
        <f>'ALL 2024 H2 D80'!$B$2</f>
        <v>46114</v>
      </c>
      <c r="C5" s="8">
        <f>'ALL 2024 H2 D80'!$C$2</f>
        <v>46120</v>
      </c>
      <c r="D5" s="5">
        <v>3208</v>
      </c>
      <c r="E5" s="5">
        <v>320</v>
      </c>
      <c r="F5" s="5">
        <v>1</v>
      </c>
      <c r="G5" s="5">
        <v>1</v>
      </c>
      <c r="H5" s="5">
        <v>81044</v>
      </c>
      <c r="I5" s="5" t="s">
        <v>16</v>
      </c>
      <c r="J5" s="5">
        <v>26940910</v>
      </c>
      <c r="K5" s="5" t="s">
        <v>1563</v>
      </c>
      <c r="L5" s="5" t="s">
        <v>1564</v>
      </c>
      <c r="M5" s="6">
        <v>269900</v>
      </c>
      <c r="N5" s="7">
        <v>0.9</v>
      </c>
      <c r="O5" s="6">
        <f t="shared" si="0"/>
        <v>26990</v>
      </c>
      <c r="P5" s="5" t="s">
        <v>504</v>
      </c>
    </row>
    <row r="6" spans="1:16" x14ac:dyDescent="0.35">
      <c r="A6" s="5" t="str">
        <f t="shared" si="1"/>
        <v>2022 All Items D90</v>
      </c>
      <c r="B6" s="8">
        <f>'ALL 2024 H2 D80'!$B$2</f>
        <v>46114</v>
      </c>
      <c r="C6" s="8">
        <f>'ALL 2024 H2 D80'!$C$2</f>
        <v>46120</v>
      </c>
      <c r="D6" s="5">
        <v>3208</v>
      </c>
      <c r="E6" s="5">
        <v>320</v>
      </c>
      <c r="F6" s="5">
        <v>1</v>
      </c>
      <c r="G6" s="5">
        <v>1</v>
      </c>
      <c r="H6" s="5">
        <v>81044</v>
      </c>
      <c r="I6" s="5" t="s">
        <v>16</v>
      </c>
      <c r="J6" s="5">
        <v>26940929</v>
      </c>
      <c r="K6" s="5" t="s">
        <v>1563</v>
      </c>
      <c r="L6" s="5" t="s">
        <v>1565</v>
      </c>
      <c r="M6" s="6">
        <v>269900</v>
      </c>
      <c r="N6" s="7">
        <v>0.9</v>
      </c>
      <c r="O6" s="6">
        <f t="shared" si="0"/>
        <v>26990</v>
      </c>
      <c r="P6" s="5" t="s">
        <v>504</v>
      </c>
    </row>
    <row r="7" spans="1:16" x14ac:dyDescent="0.35">
      <c r="A7" s="5" t="str">
        <f t="shared" si="1"/>
        <v>2022 All Items D90</v>
      </c>
      <c r="B7" s="8">
        <f>'ALL 2024 H2 D80'!$B$2</f>
        <v>46114</v>
      </c>
      <c r="C7" s="8">
        <f>'ALL 2024 H2 D80'!$C$2</f>
        <v>46120</v>
      </c>
      <c r="D7" s="5">
        <v>3208</v>
      </c>
      <c r="E7" s="5">
        <v>320</v>
      </c>
      <c r="F7" s="5">
        <v>1</v>
      </c>
      <c r="G7" s="5">
        <v>1</v>
      </c>
      <c r="H7" s="5">
        <v>81044</v>
      </c>
      <c r="I7" s="5" t="s">
        <v>16</v>
      </c>
      <c r="J7" s="5">
        <v>26940938</v>
      </c>
      <c r="K7" s="5" t="s">
        <v>1563</v>
      </c>
      <c r="L7" s="5" t="s">
        <v>1566</v>
      </c>
      <c r="M7" s="6">
        <v>269900</v>
      </c>
      <c r="N7" s="7">
        <v>0.9</v>
      </c>
      <c r="O7" s="6">
        <f t="shared" si="0"/>
        <v>26990</v>
      </c>
      <c r="P7" s="5" t="s">
        <v>504</v>
      </c>
    </row>
    <row r="8" spans="1:16" x14ac:dyDescent="0.35">
      <c r="A8" s="5" t="str">
        <f t="shared" si="1"/>
        <v>2022 All Items D90</v>
      </c>
      <c r="B8" s="8">
        <f>'ALL 2024 H2 D80'!$B$2</f>
        <v>46114</v>
      </c>
      <c r="C8" s="8">
        <f>'ALL 2024 H2 D80'!$C$2</f>
        <v>46120</v>
      </c>
      <c r="D8" s="5">
        <v>3208</v>
      </c>
      <c r="E8" s="5">
        <v>320</v>
      </c>
      <c r="F8" s="5">
        <v>1</v>
      </c>
      <c r="G8" s="5">
        <v>1</v>
      </c>
      <c r="H8" s="5">
        <v>81044</v>
      </c>
      <c r="I8" s="5" t="s">
        <v>16</v>
      </c>
      <c r="J8" s="5">
        <v>26940947</v>
      </c>
      <c r="K8" s="5" t="s">
        <v>1563</v>
      </c>
      <c r="L8" s="5" t="s">
        <v>1567</v>
      </c>
      <c r="M8" s="6">
        <v>269900</v>
      </c>
      <c r="N8" s="7">
        <v>0.9</v>
      </c>
      <c r="O8" s="6">
        <f t="shared" si="0"/>
        <v>26990</v>
      </c>
      <c r="P8" s="5" t="s">
        <v>504</v>
      </c>
    </row>
    <row r="9" spans="1:16" x14ac:dyDescent="0.35">
      <c r="A9" s="5" t="str">
        <f t="shared" si="1"/>
        <v>2022 All Items D90</v>
      </c>
      <c r="B9" s="8">
        <f>'ALL 2024 H2 D80'!$B$2</f>
        <v>46114</v>
      </c>
      <c r="C9" s="8">
        <f>'ALL 2024 H2 D80'!$C$2</f>
        <v>46120</v>
      </c>
      <c r="D9" s="5">
        <v>3208</v>
      </c>
      <c r="E9" s="5">
        <v>320</v>
      </c>
      <c r="F9" s="5">
        <v>1</v>
      </c>
      <c r="G9" s="5">
        <v>1</v>
      </c>
      <c r="H9" s="5">
        <v>81044</v>
      </c>
      <c r="I9" s="5" t="s">
        <v>16</v>
      </c>
      <c r="J9" s="5">
        <v>26940956</v>
      </c>
      <c r="K9" s="5" t="s">
        <v>1563</v>
      </c>
      <c r="L9" s="5" t="s">
        <v>1568</v>
      </c>
      <c r="M9" s="6">
        <v>269900</v>
      </c>
      <c r="N9" s="7">
        <v>0.9</v>
      </c>
      <c r="O9" s="6">
        <f t="shared" si="0"/>
        <v>26990</v>
      </c>
      <c r="P9" s="5" t="s">
        <v>504</v>
      </c>
    </row>
    <row r="10" spans="1:16" x14ac:dyDescent="0.35">
      <c r="A10" s="5" t="str">
        <f t="shared" si="1"/>
        <v>2022 All Items D90</v>
      </c>
      <c r="B10" s="8">
        <f>'ALL 2024 H2 D80'!$B$2</f>
        <v>46114</v>
      </c>
      <c r="C10" s="8">
        <f>'ALL 2024 H2 D80'!$C$2</f>
        <v>46120</v>
      </c>
      <c r="D10" s="5">
        <v>3208</v>
      </c>
      <c r="E10" s="5">
        <v>320</v>
      </c>
      <c r="F10" s="5">
        <v>1</v>
      </c>
      <c r="G10" s="5">
        <v>1</v>
      </c>
      <c r="H10" s="5">
        <v>81044</v>
      </c>
      <c r="I10" s="5" t="s">
        <v>16</v>
      </c>
      <c r="J10" s="5">
        <v>26940965</v>
      </c>
      <c r="K10" s="5" t="s">
        <v>1563</v>
      </c>
      <c r="L10" s="5" t="s">
        <v>1569</v>
      </c>
      <c r="M10" s="6">
        <v>269900</v>
      </c>
      <c r="N10" s="7">
        <v>0.9</v>
      </c>
      <c r="O10" s="6">
        <f t="shared" si="0"/>
        <v>26990</v>
      </c>
      <c r="P10" s="5" t="s">
        <v>504</v>
      </c>
    </row>
    <row r="11" spans="1:16" x14ac:dyDescent="0.35">
      <c r="A11" s="5" t="str">
        <f t="shared" si="1"/>
        <v>2022 All Items D90</v>
      </c>
      <c r="B11" s="8">
        <f>'ALL 2024 H2 D80'!$B$2</f>
        <v>46114</v>
      </c>
      <c r="C11" s="8">
        <f>'ALL 2024 H2 D80'!$C$2</f>
        <v>46120</v>
      </c>
      <c r="D11" s="5">
        <v>3208</v>
      </c>
      <c r="E11" s="5">
        <v>320</v>
      </c>
      <c r="F11" s="5">
        <v>1</v>
      </c>
      <c r="G11" s="5">
        <v>1</v>
      </c>
      <c r="H11" s="5">
        <v>81044</v>
      </c>
      <c r="I11" s="5" t="s">
        <v>16</v>
      </c>
      <c r="J11" s="5">
        <v>26940974</v>
      </c>
      <c r="K11" s="5" t="s">
        <v>1563</v>
      </c>
      <c r="L11" s="5" t="s">
        <v>1570</v>
      </c>
      <c r="M11" s="6">
        <v>269900</v>
      </c>
      <c r="N11" s="7">
        <v>0.9</v>
      </c>
      <c r="O11" s="6">
        <f t="shared" si="0"/>
        <v>26990</v>
      </c>
      <c r="P11" s="5" t="s">
        <v>504</v>
      </c>
    </row>
    <row r="12" spans="1:16" x14ac:dyDescent="0.35">
      <c r="A12" s="5" t="str">
        <f t="shared" si="1"/>
        <v>2022 All Items D90</v>
      </c>
      <c r="B12" s="8">
        <f>'ALL 2024 H2 D80'!$B$2</f>
        <v>46114</v>
      </c>
      <c r="C12" s="8">
        <f>'ALL 2024 H2 D80'!$C$2</f>
        <v>46120</v>
      </c>
      <c r="D12" s="5">
        <v>3208</v>
      </c>
      <c r="E12" s="5">
        <v>320</v>
      </c>
      <c r="F12" s="5">
        <v>1</v>
      </c>
      <c r="G12" s="5">
        <v>1</v>
      </c>
      <c r="H12" s="5">
        <v>81044</v>
      </c>
      <c r="I12" s="5" t="s">
        <v>16</v>
      </c>
      <c r="J12" s="5">
        <v>26940983</v>
      </c>
      <c r="K12" s="5" t="s">
        <v>1563</v>
      </c>
      <c r="L12" s="5" t="s">
        <v>1571</v>
      </c>
      <c r="M12" s="6">
        <v>269900</v>
      </c>
      <c r="N12" s="7">
        <v>0.9</v>
      </c>
      <c r="O12" s="6">
        <f t="shared" si="0"/>
        <v>26990</v>
      </c>
      <c r="P12" s="5" t="s">
        <v>504</v>
      </c>
    </row>
    <row r="13" spans="1:16" x14ac:dyDescent="0.35">
      <c r="A13" s="5" t="str">
        <f t="shared" si="1"/>
        <v>2022 All Items D90</v>
      </c>
      <c r="B13" s="8">
        <f>'ALL 2024 H2 D80'!$B$2</f>
        <v>46114</v>
      </c>
      <c r="C13" s="8">
        <f>'ALL 2024 H2 D80'!$C$2</f>
        <v>46120</v>
      </c>
      <c r="D13" s="5">
        <v>3208</v>
      </c>
      <c r="E13" s="5">
        <v>320</v>
      </c>
      <c r="F13" s="5">
        <v>1</v>
      </c>
      <c r="G13" s="5">
        <v>1</v>
      </c>
      <c r="H13" s="5">
        <v>81044</v>
      </c>
      <c r="I13" s="5" t="s">
        <v>16</v>
      </c>
      <c r="J13" s="5">
        <v>26948690</v>
      </c>
      <c r="K13" s="5" t="s">
        <v>1572</v>
      </c>
      <c r="L13" s="5" t="s">
        <v>1573</v>
      </c>
      <c r="M13" s="6">
        <v>269900</v>
      </c>
      <c r="N13" s="7">
        <v>0.9</v>
      </c>
      <c r="O13" s="6">
        <f t="shared" si="0"/>
        <v>26990</v>
      </c>
      <c r="P13" s="5" t="s">
        <v>504</v>
      </c>
    </row>
    <row r="14" spans="1:16" x14ac:dyDescent="0.35">
      <c r="A14" s="5" t="str">
        <f t="shared" si="1"/>
        <v>2022 All Items D90</v>
      </c>
      <c r="B14" s="8">
        <f>'ALL 2024 H2 D80'!$B$2</f>
        <v>46114</v>
      </c>
      <c r="C14" s="8">
        <f>'ALL 2024 H2 D80'!$C$2</f>
        <v>46120</v>
      </c>
      <c r="D14" s="5">
        <v>3208</v>
      </c>
      <c r="E14" s="5">
        <v>320</v>
      </c>
      <c r="F14" s="5">
        <v>1</v>
      </c>
      <c r="G14" s="5">
        <v>1</v>
      </c>
      <c r="H14" s="5">
        <v>81044</v>
      </c>
      <c r="I14" s="5" t="s">
        <v>16</v>
      </c>
      <c r="J14" s="5">
        <v>26948707</v>
      </c>
      <c r="K14" s="5" t="s">
        <v>1572</v>
      </c>
      <c r="L14" s="5" t="s">
        <v>1574</v>
      </c>
      <c r="M14" s="6">
        <v>269900</v>
      </c>
      <c r="N14" s="7">
        <v>0.9</v>
      </c>
      <c r="O14" s="6">
        <f t="shared" si="0"/>
        <v>26990</v>
      </c>
      <c r="P14" s="5" t="s">
        <v>504</v>
      </c>
    </row>
    <row r="15" spans="1:16" x14ac:dyDescent="0.35">
      <c r="A15" s="5" t="str">
        <f t="shared" si="1"/>
        <v>2022 All Items D90</v>
      </c>
      <c r="B15" s="8">
        <f>'ALL 2024 H2 D80'!$B$2</f>
        <v>46114</v>
      </c>
      <c r="C15" s="8">
        <f>'ALL 2024 H2 D80'!$C$2</f>
        <v>46120</v>
      </c>
      <c r="D15" s="5">
        <v>3208</v>
      </c>
      <c r="E15" s="5">
        <v>320</v>
      </c>
      <c r="F15" s="5">
        <v>1</v>
      </c>
      <c r="G15" s="5">
        <v>1</v>
      </c>
      <c r="H15" s="5">
        <v>81044</v>
      </c>
      <c r="I15" s="5" t="s">
        <v>16</v>
      </c>
      <c r="J15" s="5">
        <v>26948716</v>
      </c>
      <c r="K15" s="5" t="s">
        <v>1572</v>
      </c>
      <c r="L15" s="5" t="s">
        <v>1575</v>
      </c>
      <c r="M15" s="6">
        <v>269900</v>
      </c>
      <c r="N15" s="7">
        <v>0.9</v>
      </c>
      <c r="O15" s="6">
        <f t="shared" si="0"/>
        <v>26990</v>
      </c>
      <c r="P15" s="5" t="s">
        <v>504</v>
      </c>
    </row>
    <row r="16" spans="1:16" x14ac:dyDescent="0.35">
      <c r="A16" s="5" t="str">
        <f t="shared" si="1"/>
        <v>2022 All Items D90</v>
      </c>
      <c r="B16" s="8">
        <f>'ALL 2024 H2 D80'!$B$2</f>
        <v>46114</v>
      </c>
      <c r="C16" s="8">
        <f>'ALL 2024 H2 D80'!$C$2</f>
        <v>46120</v>
      </c>
      <c r="D16" s="5">
        <v>3208</v>
      </c>
      <c r="E16" s="5">
        <v>320</v>
      </c>
      <c r="F16" s="5">
        <v>1</v>
      </c>
      <c r="G16" s="5">
        <v>1</v>
      </c>
      <c r="H16" s="5">
        <v>81044</v>
      </c>
      <c r="I16" s="5" t="s">
        <v>16</v>
      </c>
      <c r="J16" s="5">
        <v>28539084</v>
      </c>
      <c r="K16" s="5" t="s">
        <v>1576</v>
      </c>
      <c r="L16" s="5" t="s">
        <v>1577</v>
      </c>
      <c r="M16" s="6">
        <v>249900</v>
      </c>
      <c r="N16" s="7">
        <v>0.9</v>
      </c>
      <c r="O16" s="6">
        <f t="shared" si="0"/>
        <v>24990</v>
      </c>
      <c r="P16" s="5" t="s">
        <v>504</v>
      </c>
    </row>
    <row r="17" spans="1:16" x14ac:dyDescent="0.35">
      <c r="A17" s="5" t="str">
        <f t="shared" si="1"/>
        <v>2022 All Items D90</v>
      </c>
      <c r="B17" s="8">
        <f>'ALL 2024 H2 D80'!$B$2</f>
        <v>46114</v>
      </c>
      <c r="C17" s="8">
        <f>'ALL 2024 H2 D80'!$C$2</f>
        <v>46120</v>
      </c>
      <c r="D17" s="5">
        <v>3208</v>
      </c>
      <c r="E17" s="5">
        <v>320</v>
      </c>
      <c r="F17" s="5">
        <v>1</v>
      </c>
      <c r="G17" s="5">
        <v>1</v>
      </c>
      <c r="H17" s="5">
        <v>81044</v>
      </c>
      <c r="I17" s="5" t="s">
        <v>16</v>
      </c>
      <c r="J17" s="5">
        <v>28539100</v>
      </c>
      <c r="K17" s="5" t="s">
        <v>1576</v>
      </c>
      <c r="L17" s="5" t="s">
        <v>1578</v>
      </c>
      <c r="M17" s="6">
        <v>249900</v>
      </c>
      <c r="N17" s="7">
        <v>0.9</v>
      </c>
      <c r="O17" s="6">
        <f t="shared" si="0"/>
        <v>24990</v>
      </c>
      <c r="P17" s="5" t="s">
        <v>504</v>
      </c>
    </row>
    <row r="18" spans="1:16" x14ac:dyDescent="0.35">
      <c r="A18" s="5" t="str">
        <f t="shared" si="1"/>
        <v>2022 All Items D90</v>
      </c>
      <c r="B18" s="8">
        <f>'ALL 2024 H2 D80'!$B$2</f>
        <v>46114</v>
      </c>
      <c r="C18" s="8">
        <f>'ALL 2024 H2 D80'!$C$2</f>
        <v>46120</v>
      </c>
      <c r="D18" s="5">
        <v>3208</v>
      </c>
      <c r="E18" s="5">
        <v>320</v>
      </c>
      <c r="F18" s="5">
        <v>1</v>
      </c>
      <c r="G18" s="5">
        <v>1</v>
      </c>
      <c r="H18" s="5">
        <v>81044</v>
      </c>
      <c r="I18" s="5" t="s">
        <v>16</v>
      </c>
      <c r="J18" s="5">
        <v>33261953</v>
      </c>
      <c r="K18" s="5" t="s">
        <v>1579</v>
      </c>
      <c r="L18" s="5" t="s">
        <v>1580</v>
      </c>
      <c r="M18" s="6">
        <v>269900</v>
      </c>
      <c r="N18" s="7">
        <v>0.9</v>
      </c>
      <c r="O18" s="6">
        <f t="shared" ref="O18:O81" si="2">M18-(M18*N18)</f>
        <v>26990</v>
      </c>
      <c r="P18" s="5" t="s">
        <v>504</v>
      </c>
    </row>
    <row r="19" spans="1:16" x14ac:dyDescent="0.35">
      <c r="A19" s="5" t="str">
        <f t="shared" si="1"/>
        <v>2022 All Items D90</v>
      </c>
      <c r="B19" s="8">
        <f>'ALL 2024 H2 D80'!$B$2</f>
        <v>46114</v>
      </c>
      <c r="C19" s="8">
        <f>'ALL 2024 H2 D80'!$C$2</f>
        <v>46120</v>
      </c>
      <c r="D19" s="5">
        <v>3208</v>
      </c>
      <c r="E19" s="5">
        <v>320</v>
      </c>
      <c r="F19" s="5">
        <v>1</v>
      </c>
      <c r="G19" s="5">
        <v>1</v>
      </c>
      <c r="H19" s="5">
        <v>81044</v>
      </c>
      <c r="I19" s="5" t="s">
        <v>16</v>
      </c>
      <c r="J19" s="5">
        <v>33261962</v>
      </c>
      <c r="K19" s="5" t="s">
        <v>1579</v>
      </c>
      <c r="L19" s="5" t="s">
        <v>1581</v>
      </c>
      <c r="M19" s="6">
        <v>269900</v>
      </c>
      <c r="N19" s="7">
        <v>0.9</v>
      </c>
      <c r="O19" s="6">
        <f t="shared" si="2"/>
        <v>26990</v>
      </c>
      <c r="P19" s="5" t="s">
        <v>504</v>
      </c>
    </row>
    <row r="20" spans="1:16" x14ac:dyDescent="0.35">
      <c r="A20" s="5" t="str">
        <f t="shared" si="1"/>
        <v>2022 All Items D90</v>
      </c>
      <c r="B20" s="8">
        <f>'ALL 2024 H2 D80'!$B$2</f>
        <v>46114</v>
      </c>
      <c r="C20" s="8">
        <f>'ALL 2024 H2 D80'!$C$2</f>
        <v>46120</v>
      </c>
      <c r="D20" s="5">
        <v>3208</v>
      </c>
      <c r="E20" s="5">
        <v>320</v>
      </c>
      <c r="F20" s="5">
        <v>1</v>
      </c>
      <c r="G20" s="5">
        <v>1</v>
      </c>
      <c r="H20" s="5">
        <v>81044</v>
      </c>
      <c r="I20" s="5" t="s">
        <v>16</v>
      </c>
      <c r="J20" s="5">
        <v>33365332</v>
      </c>
      <c r="K20" s="5" t="s">
        <v>1582</v>
      </c>
      <c r="L20" s="5" t="s">
        <v>1583</v>
      </c>
      <c r="M20" s="6">
        <v>229900</v>
      </c>
      <c r="N20" s="7">
        <v>0.9</v>
      </c>
      <c r="O20" s="6">
        <f t="shared" si="2"/>
        <v>22990</v>
      </c>
      <c r="P20" s="5" t="s">
        <v>504</v>
      </c>
    </row>
    <row r="21" spans="1:16" x14ac:dyDescent="0.35">
      <c r="A21" s="5" t="str">
        <f t="shared" si="1"/>
        <v>2022 All Items D90</v>
      </c>
      <c r="B21" s="8">
        <f>'ALL 2024 H2 D80'!$B$2</f>
        <v>46114</v>
      </c>
      <c r="C21" s="8">
        <f>'ALL 2024 H2 D80'!$C$2</f>
        <v>46120</v>
      </c>
      <c r="D21" s="5">
        <v>3208</v>
      </c>
      <c r="E21" s="5">
        <v>320</v>
      </c>
      <c r="F21" s="5">
        <v>1</v>
      </c>
      <c r="G21" s="5">
        <v>1</v>
      </c>
      <c r="H21" s="5">
        <v>81044</v>
      </c>
      <c r="I21" s="5" t="s">
        <v>16</v>
      </c>
      <c r="J21" s="5">
        <v>33365341</v>
      </c>
      <c r="K21" s="5" t="s">
        <v>1582</v>
      </c>
      <c r="L21" s="5" t="s">
        <v>1584</v>
      </c>
      <c r="M21" s="6">
        <v>229900</v>
      </c>
      <c r="N21" s="7">
        <v>0.9</v>
      </c>
      <c r="O21" s="6">
        <f t="shared" si="2"/>
        <v>22990</v>
      </c>
      <c r="P21" s="5" t="s">
        <v>504</v>
      </c>
    </row>
    <row r="22" spans="1:16" x14ac:dyDescent="0.35">
      <c r="A22" s="5" t="str">
        <f t="shared" si="1"/>
        <v>2022 All Items D90</v>
      </c>
      <c r="B22" s="8">
        <f>'ALL 2024 H2 D80'!$B$2</f>
        <v>46114</v>
      </c>
      <c r="C22" s="8">
        <f>'ALL 2024 H2 D80'!$C$2</f>
        <v>46120</v>
      </c>
      <c r="D22" s="5">
        <v>3208</v>
      </c>
      <c r="E22" s="5">
        <v>320</v>
      </c>
      <c r="F22" s="5">
        <v>1</v>
      </c>
      <c r="G22" s="5">
        <v>1</v>
      </c>
      <c r="H22" s="5">
        <v>81044</v>
      </c>
      <c r="I22" s="5" t="s">
        <v>16</v>
      </c>
      <c r="J22" s="5">
        <v>33365350</v>
      </c>
      <c r="K22" s="5" t="s">
        <v>1582</v>
      </c>
      <c r="L22" s="5" t="s">
        <v>1585</v>
      </c>
      <c r="M22" s="6">
        <v>229900</v>
      </c>
      <c r="N22" s="7">
        <v>0.9</v>
      </c>
      <c r="O22" s="6">
        <f t="shared" si="2"/>
        <v>22990</v>
      </c>
      <c r="P22" s="5" t="s">
        <v>504</v>
      </c>
    </row>
    <row r="23" spans="1:16" x14ac:dyDescent="0.35">
      <c r="A23" s="5" t="str">
        <f t="shared" si="1"/>
        <v>2022 All Items D90</v>
      </c>
      <c r="B23" s="8">
        <f>'ALL 2024 H2 D80'!$B$2</f>
        <v>46114</v>
      </c>
      <c r="C23" s="8">
        <f>'ALL 2024 H2 D80'!$C$2</f>
        <v>46120</v>
      </c>
      <c r="D23" s="5">
        <v>3208</v>
      </c>
      <c r="E23" s="5">
        <v>320</v>
      </c>
      <c r="F23" s="5">
        <v>1</v>
      </c>
      <c r="G23" s="5">
        <v>1</v>
      </c>
      <c r="H23" s="5">
        <v>81044</v>
      </c>
      <c r="I23" s="5" t="s">
        <v>16</v>
      </c>
      <c r="J23" s="5">
        <v>33365369</v>
      </c>
      <c r="K23" s="5" t="s">
        <v>1582</v>
      </c>
      <c r="L23" s="5" t="s">
        <v>1586</v>
      </c>
      <c r="M23" s="6">
        <v>229900</v>
      </c>
      <c r="N23" s="7">
        <v>0.9</v>
      </c>
      <c r="O23" s="6">
        <f t="shared" si="2"/>
        <v>22990</v>
      </c>
      <c r="P23" s="5" t="s">
        <v>504</v>
      </c>
    </row>
    <row r="24" spans="1:16" x14ac:dyDescent="0.35">
      <c r="A24" s="5" t="str">
        <f t="shared" si="1"/>
        <v>2022 All Items D90</v>
      </c>
      <c r="B24" s="8">
        <f>'ALL 2024 H2 D80'!$B$2</f>
        <v>46114</v>
      </c>
      <c r="C24" s="8">
        <f>'ALL 2024 H2 D80'!$C$2</f>
        <v>46120</v>
      </c>
      <c r="D24" s="5">
        <v>3208</v>
      </c>
      <c r="E24" s="5">
        <v>320</v>
      </c>
      <c r="F24" s="5">
        <v>1</v>
      </c>
      <c r="G24" s="5">
        <v>1</v>
      </c>
      <c r="H24" s="5">
        <v>81044</v>
      </c>
      <c r="I24" s="5" t="s">
        <v>16</v>
      </c>
      <c r="J24" s="5">
        <v>60634286</v>
      </c>
      <c r="K24" s="5" t="s">
        <v>1587</v>
      </c>
      <c r="L24" s="5" t="s">
        <v>1588</v>
      </c>
      <c r="M24" s="6">
        <v>249900</v>
      </c>
      <c r="N24" s="7">
        <v>0.9</v>
      </c>
      <c r="O24" s="6">
        <f t="shared" si="2"/>
        <v>24990</v>
      </c>
      <c r="P24" s="5" t="s">
        <v>504</v>
      </c>
    </row>
    <row r="25" spans="1:16" x14ac:dyDescent="0.35">
      <c r="A25" s="5" t="str">
        <f t="shared" si="1"/>
        <v>2022 All Items D90</v>
      </c>
      <c r="B25" s="8">
        <f>'ALL 2024 H2 D80'!$B$2</f>
        <v>46114</v>
      </c>
      <c r="C25" s="8">
        <f>'ALL 2024 H2 D80'!$C$2</f>
        <v>46120</v>
      </c>
      <c r="D25" s="5">
        <v>3208</v>
      </c>
      <c r="E25" s="5">
        <v>320</v>
      </c>
      <c r="F25" s="5">
        <v>1</v>
      </c>
      <c r="G25" s="5">
        <v>1</v>
      </c>
      <c r="H25" s="5">
        <v>81044</v>
      </c>
      <c r="I25" s="5" t="s">
        <v>16</v>
      </c>
      <c r="J25" s="5">
        <v>60634295</v>
      </c>
      <c r="K25" s="5" t="s">
        <v>1587</v>
      </c>
      <c r="L25" s="5" t="s">
        <v>1589</v>
      </c>
      <c r="M25" s="6">
        <v>249900</v>
      </c>
      <c r="N25" s="7">
        <v>0.9</v>
      </c>
      <c r="O25" s="6">
        <f t="shared" si="2"/>
        <v>24990</v>
      </c>
      <c r="P25" s="5" t="s">
        <v>504</v>
      </c>
    </row>
    <row r="26" spans="1:16" x14ac:dyDescent="0.35">
      <c r="A26" s="5" t="str">
        <f t="shared" si="1"/>
        <v>2022 All Items D90</v>
      </c>
      <c r="B26" s="8">
        <f>'ALL 2024 H2 D80'!$B$2</f>
        <v>46114</v>
      </c>
      <c r="C26" s="8">
        <f>'ALL 2024 H2 D80'!$C$2</f>
        <v>46120</v>
      </c>
      <c r="D26" s="5">
        <v>3208</v>
      </c>
      <c r="E26" s="5">
        <v>320</v>
      </c>
      <c r="F26" s="5">
        <v>1</v>
      </c>
      <c r="G26" s="5">
        <v>1</v>
      </c>
      <c r="H26" s="5">
        <v>81044</v>
      </c>
      <c r="I26" s="5" t="s">
        <v>16</v>
      </c>
      <c r="J26" s="5">
        <v>60634302</v>
      </c>
      <c r="K26" s="5" t="s">
        <v>1587</v>
      </c>
      <c r="L26" s="5" t="s">
        <v>1590</v>
      </c>
      <c r="M26" s="6">
        <v>249900</v>
      </c>
      <c r="N26" s="7">
        <v>0.9</v>
      </c>
      <c r="O26" s="6">
        <f t="shared" si="2"/>
        <v>24990</v>
      </c>
      <c r="P26" s="5" t="s">
        <v>504</v>
      </c>
    </row>
    <row r="27" spans="1:16" x14ac:dyDescent="0.35">
      <c r="A27" s="5" t="str">
        <f t="shared" si="1"/>
        <v>2022 All Items D90</v>
      </c>
      <c r="B27" s="8">
        <f>'ALL 2024 H2 D80'!$B$2</f>
        <v>46114</v>
      </c>
      <c r="C27" s="8">
        <f>'ALL 2024 H2 D80'!$C$2</f>
        <v>46120</v>
      </c>
      <c r="D27" s="5">
        <v>3208</v>
      </c>
      <c r="E27" s="5">
        <v>320</v>
      </c>
      <c r="F27" s="5">
        <v>1</v>
      </c>
      <c r="G27" s="5">
        <v>1</v>
      </c>
      <c r="H27" s="5">
        <v>81044</v>
      </c>
      <c r="I27" s="5" t="s">
        <v>16</v>
      </c>
      <c r="J27" s="5">
        <v>60634795</v>
      </c>
      <c r="K27" s="5" t="s">
        <v>1591</v>
      </c>
      <c r="L27" s="5" t="s">
        <v>1592</v>
      </c>
      <c r="M27" s="6">
        <v>249900</v>
      </c>
      <c r="N27" s="7">
        <v>0.9</v>
      </c>
      <c r="O27" s="6">
        <f t="shared" si="2"/>
        <v>24990</v>
      </c>
      <c r="P27" s="5" t="s">
        <v>504</v>
      </c>
    </row>
    <row r="28" spans="1:16" x14ac:dyDescent="0.35">
      <c r="A28" s="5" t="str">
        <f t="shared" si="1"/>
        <v>2022 All Items D90</v>
      </c>
      <c r="B28" s="8">
        <f>'ALL 2024 H2 D80'!$B$2</f>
        <v>46114</v>
      </c>
      <c r="C28" s="8">
        <f>'ALL 2024 H2 D80'!$C$2</f>
        <v>46120</v>
      </c>
      <c r="D28" s="5">
        <v>3208</v>
      </c>
      <c r="E28" s="5">
        <v>320</v>
      </c>
      <c r="F28" s="5">
        <v>1</v>
      </c>
      <c r="G28" s="5">
        <v>1</v>
      </c>
      <c r="H28" s="5">
        <v>81044</v>
      </c>
      <c r="I28" s="5" t="s">
        <v>16</v>
      </c>
      <c r="J28" s="5">
        <v>60634802</v>
      </c>
      <c r="K28" s="5" t="s">
        <v>1591</v>
      </c>
      <c r="L28" s="5" t="s">
        <v>1593</v>
      </c>
      <c r="M28" s="6">
        <v>249900</v>
      </c>
      <c r="N28" s="7">
        <v>0.9</v>
      </c>
      <c r="O28" s="6">
        <f t="shared" si="2"/>
        <v>24990</v>
      </c>
      <c r="P28" s="5" t="s">
        <v>504</v>
      </c>
    </row>
    <row r="29" spans="1:16" x14ac:dyDescent="0.35">
      <c r="A29" s="5" t="str">
        <f t="shared" si="1"/>
        <v>2022 All Items D90</v>
      </c>
      <c r="B29" s="8">
        <f>'ALL 2024 H2 D80'!$B$2</f>
        <v>46114</v>
      </c>
      <c r="C29" s="8">
        <f>'ALL 2024 H2 D80'!$C$2</f>
        <v>46120</v>
      </c>
      <c r="D29" s="5">
        <v>3208</v>
      </c>
      <c r="E29" s="5">
        <v>320</v>
      </c>
      <c r="F29" s="5">
        <v>1</v>
      </c>
      <c r="G29" s="5">
        <v>1</v>
      </c>
      <c r="H29" s="5">
        <v>81044</v>
      </c>
      <c r="I29" s="5" t="s">
        <v>16</v>
      </c>
      <c r="J29" s="5">
        <v>60634811</v>
      </c>
      <c r="K29" s="5" t="s">
        <v>1591</v>
      </c>
      <c r="L29" s="5" t="s">
        <v>1594</v>
      </c>
      <c r="M29" s="6">
        <v>249900</v>
      </c>
      <c r="N29" s="7">
        <v>0.9</v>
      </c>
      <c r="O29" s="6">
        <f t="shared" si="2"/>
        <v>24990</v>
      </c>
      <c r="P29" s="5" t="s">
        <v>504</v>
      </c>
    </row>
    <row r="30" spans="1:16" x14ac:dyDescent="0.35">
      <c r="A30" s="5" t="str">
        <f t="shared" si="1"/>
        <v>2022 All Items D90</v>
      </c>
      <c r="B30" s="8">
        <f>'ALL 2024 H2 D80'!$B$2</f>
        <v>46114</v>
      </c>
      <c r="C30" s="8">
        <f>'ALL 2024 H2 D80'!$C$2</f>
        <v>46120</v>
      </c>
      <c r="D30" s="5">
        <v>3208</v>
      </c>
      <c r="E30" s="5">
        <v>320</v>
      </c>
      <c r="F30" s="5">
        <v>1</v>
      </c>
      <c r="G30" s="5">
        <v>1</v>
      </c>
      <c r="H30" s="5">
        <v>81044</v>
      </c>
      <c r="I30" s="5" t="s">
        <v>16</v>
      </c>
      <c r="J30" s="5">
        <v>60635105</v>
      </c>
      <c r="K30" s="5" t="s">
        <v>1595</v>
      </c>
      <c r="L30" s="5" t="s">
        <v>1596</v>
      </c>
      <c r="M30" s="6">
        <v>249900</v>
      </c>
      <c r="N30" s="7">
        <v>0.9</v>
      </c>
      <c r="O30" s="6">
        <f t="shared" si="2"/>
        <v>24990</v>
      </c>
      <c r="P30" s="5" t="s">
        <v>504</v>
      </c>
    </row>
    <row r="31" spans="1:16" x14ac:dyDescent="0.35">
      <c r="A31" s="5" t="str">
        <f t="shared" si="1"/>
        <v>2022 All Items D90</v>
      </c>
      <c r="B31" s="8">
        <f>'ALL 2024 H2 D80'!$B$2</f>
        <v>46114</v>
      </c>
      <c r="C31" s="8">
        <f>'ALL 2024 H2 D80'!$C$2</f>
        <v>46120</v>
      </c>
      <c r="D31" s="5">
        <v>3208</v>
      </c>
      <c r="E31" s="5">
        <v>320</v>
      </c>
      <c r="F31" s="5">
        <v>1</v>
      </c>
      <c r="G31" s="5">
        <v>1</v>
      </c>
      <c r="H31" s="5">
        <v>81044</v>
      </c>
      <c r="I31" s="5" t="s">
        <v>16</v>
      </c>
      <c r="J31" s="5">
        <v>60635114</v>
      </c>
      <c r="K31" s="5" t="s">
        <v>1595</v>
      </c>
      <c r="L31" s="5" t="s">
        <v>1597</v>
      </c>
      <c r="M31" s="6">
        <v>249900</v>
      </c>
      <c r="N31" s="7">
        <v>0.9</v>
      </c>
      <c r="O31" s="6">
        <f t="shared" si="2"/>
        <v>24990</v>
      </c>
      <c r="P31" s="5" t="s">
        <v>504</v>
      </c>
    </row>
    <row r="32" spans="1:16" x14ac:dyDescent="0.35">
      <c r="A32" s="5" t="str">
        <f t="shared" si="1"/>
        <v>2022 All Items D90</v>
      </c>
      <c r="B32" s="8">
        <f>'ALL 2024 H2 D80'!$B$2</f>
        <v>46114</v>
      </c>
      <c r="C32" s="8">
        <f>'ALL 2024 H2 D80'!$C$2</f>
        <v>46120</v>
      </c>
      <c r="D32" s="5">
        <v>3208</v>
      </c>
      <c r="E32" s="5">
        <v>320</v>
      </c>
      <c r="F32" s="5">
        <v>1</v>
      </c>
      <c r="G32" s="5">
        <v>1</v>
      </c>
      <c r="H32" s="5">
        <v>81044</v>
      </c>
      <c r="I32" s="5" t="s">
        <v>16</v>
      </c>
      <c r="J32" s="5">
        <v>60635123</v>
      </c>
      <c r="K32" s="5" t="s">
        <v>1595</v>
      </c>
      <c r="L32" s="5" t="s">
        <v>1598</v>
      </c>
      <c r="M32" s="6">
        <v>249900</v>
      </c>
      <c r="N32" s="7">
        <v>0.9</v>
      </c>
      <c r="O32" s="6">
        <f t="shared" si="2"/>
        <v>24990</v>
      </c>
      <c r="P32" s="5" t="s">
        <v>504</v>
      </c>
    </row>
    <row r="33" spans="1:16" x14ac:dyDescent="0.35">
      <c r="A33" s="5" t="str">
        <f t="shared" si="1"/>
        <v>2022 All Items D90</v>
      </c>
      <c r="B33" s="8">
        <f>'ALL 2024 H2 D80'!$B$2</f>
        <v>46114</v>
      </c>
      <c r="C33" s="8">
        <f>'ALL 2024 H2 D80'!$C$2</f>
        <v>46120</v>
      </c>
      <c r="D33" s="5">
        <v>3208</v>
      </c>
      <c r="E33" s="5">
        <v>320</v>
      </c>
      <c r="F33" s="5">
        <v>1</v>
      </c>
      <c r="G33" s="5">
        <v>1</v>
      </c>
      <c r="H33" s="5">
        <v>81044</v>
      </c>
      <c r="I33" s="5" t="s">
        <v>16</v>
      </c>
      <c r="J33" s="5">
        <v>60635132</v>
      </c>
      <c r="K33" s="5" t="s">
        <v>1595</v>
      </c>
      <c r="L33" s="5" t="s">
        <v>1599</v>
      </c>
      <c r="M33" s="6">
        <v>249900</v>
      </c>
      <c r="N33" s="7">
        <v>0.9</v>
      </c>
      <c r="O33" s="6">
        <f t="shared" si="2"/>
        <v>24990</v>
      </c>
      <c r="P33" s="5" t="s">
        <v>504</v>
      </c>
    </row>
    <row r="34" spans="1:16" x14ac:dyDescent="0.35">
      <c r="A34" s="5" t="str">
        <f t="shared" si="1"/>
        <v>2022 All Items D90</v>
      </c>
      <c r="B34" s="8">
        <f>'ALL 2024 H2 D80'!$B$2</f>
        <v>46114</v>
      </c>
      <c r="C34" s="8">
        <f>'ALL 2024 H2 D80'!$C$2</f>
        <v>46120</v>
      </c>
      <c r="D34" s="5">
        <v>3208</v>
      </c>
      <c r="E34" s="5">
        <v>320</v>
      </c>
      <c r="F34" s="5">
        <v>1</v>
      </c>
      <c r="G34" s="5">
        <v>1</v>
      </c>
      <c r="H34" s="5">
        <v>81044</v>
      </c>
      <c r="I34" s="5" t="s">
        <v>16</v>
      </c>
      <c r="J34" s="5">
        <v>60635203</v>
      </c>
      <c r="K34" s="5" t="s">
        <v>1600</v>
      </c>
      <c r="L34" s="5" t="s">
        <v>1601</v>
      </c>
      <c r="M34" s="6">
        <v>249900</v>
      </c>
      <c r="N34" s="7">
        <v>0.9</v>
      </c>
      <c r="O34" s="6">
        <f t="shared" si="2"/>
        <v>24990</v>
      </c>
      <c r="P34" s="5" t="s">
        <v>504</v>
      </c>
    </row>
    <row r="35" spans="1:16" x14ac:dyDescent="0.35">
      <c r="A35" s="5" t="str">
        <f t="shared" si="1"/>
        <v>2022 All Items D90</v>
      </c>
      <c r="B35" s="8">
        <f>'ALL 2024 H2 D80'!$B$2</f>
        <v>46114</v>
      </c>
      <c r="C35" s="8">
        <f>'ALL 2024 H2 D80'!$C$2</f>
        <v>46120</v>
      </c>
      <c r="D35" s="5">
        <v>3208</v>
      </c>
      <c r="E35" s="5">
        <v>320</v>
      </c>
      <c r="F35" s="5">
        <v>1</v>
      </c>
      <c r="G35" s="5">
        <v>1</v>
      </c>
      <c r="H35" s="5">
        <v>81044</v>
      </c>
      <c r="I35" s="5" t="s">
        <v>16</v>
      </c>
      <c r="J35" s="5">
        <v>60635212</v>
      </c>
      <c r="K35" s="5" t="s">
        <v>1600</v>
      </c>
      <c r="L35" s="5" t="s">
        <v>1602</v>
      </c>
      <c r="M35" s="6">
        <v>249900</v>
      </c>
      <c r="N35" s="7">
        <v>0.9</v>
      </c>
      <c r="O35" s="6">
        <f t="shared" si="2"/>
        <v>24990</v>
      </c>
      <c r="P35" s="5" t="s">
        <v>504</v>
      </c>
    </row>
    <row r="36" spans="1:16" x14ac:dyDescent="0.35">
      <c r="A36" s="5" t="str">
        <f t="shared" si="1"/>
        <v>2022 All Items D90</v>
      </c>
      <c r="B36" s="8">
        <f>'ALL 2024 H2 D80'!$B$2</f>
        <v>46114</v>
      </c>
      <c r="C36" s="8">
        <f>'ALL 2024 H2 D80'!$C$2</f>
        <v>46120</v>
      </c>
      <c r="D36" s="5">
        <v>3208</v>
      </c>
      <c r="E36" s="5">
        <v>320</v>
      </c>
      <c r="F36" s="5">
        <v>1</v>
      </c>
      <c r="G36" s="5">
        <v>1</v>
      </c>
      <c r="H36" s="5">
        <v>81044</v>
      </c>
      <c r="I36" s="5" t="s">
        <v>16</v>
      </c>
      <c r="J36" s="5">
        <v>60635221</v>
      </c>
      <c r="K36" s="5" t="s">
        <v>1600</v>
      </c>
      <c r="L36" s="5" t="s">
        <v>1603</v>
      </c>
      <c r="M36" s="6">
        <v>249900</v>
      </c>
      <c r="N36" s="7">
        <v>0.9</v>
      </c>
      <c r="O36" s="6">
        <f t="shared" si="2"/>
        <v>24990</v>
      </c>
      <c r="P36" s="5" t="s">
        <v>504</v>
      </c>
    </row>
    <row r="37" spans="1:16" x14ac:dyDescent="0.35">
      <c r="A37" s="5" t="str">
        <f t="shared" si="1"/>
        <v>2022 All Items D90</v>
      </c>
      <c r="B37" s="8">
        <f>'ALL 2024 H2 D80'!$B$2</f>
        <v>46114</v>
      </c>
      <c r="C37" s="8">
        <f>'ALL 2024 H2 D80'!$C$2</f>
        <v>46120</v>
      </c>
      <c r="D37" s="5">
        <v>3208</v>
      </c>
      <c r="E37" s="5">
        <v>320</v>
      </c>
      <c r="F37" s="5">
        <v>1</v>
      </c>
      <c r="G37" s="5">
        <v>1</v>
      </c>
      <c r="H37" s="5">
        <v>81044</v>
      </c>
      <c r="I37" s="5" t="s">
        <v>16</v>
      </c>
      <c r="J37" s="5">
        <v>60635230</v>
      </c>
      <c r="K37" s="5" t="s">
        <v>1600</v>
      </c>
      <c r="L37" s="5" t="s">
        <v>1604</v>
      </c>
      <c r="M37" s="6">
        <v>249900</v>
      </c>
      <c r="N37" s="7">
        <v>0.9</v>
      </c>
      <c r="O37" s="6">
        <f t="shared" si="2"/>
        <v>24990</v>
      </c>
      <c r="P37" s="5" t="s">
        <v>504</v>
      </c>
    </row>
    <row r="38" spans="1:16" x14ac:dyDescent="0.35">
      <c r="A38" s="5" t="str">
        <f t="shared" si="1"/>
        <v>2022 All Items D90</v>
      </c>
      <c r="B38" s="8">
        <f>'ALL 2024 H2 D80'!$B$2</f>
        <v>46114</v>
      </c>
      <c r="C38" s="8">
        <f>'ALL 2024 H2 D80'!$C$2</f>
        <v>46120</v>
      </c>
      <c r="D38" s="5">
        <v>3208</v>
      </c>
      <c r="E38" s="5">
        <v>320</v>
      </c>
      <c r="F38" s="5">
        <v>1</v>
      </c>
      <c r="G38" s="5">
        <v>1</v>
      </c>
      <c r="H38" s="5">
        <v>81044</v>
      </c>
      <c r="I38" s="5" t="s">
        <v>16</v>
      </c>
      <c r="J38" s="5">
        <v>60635365</v>
      </c>
      <c r="K38" s="5" t="s">
        <v>1605</v>
      </c>
      <c r="L38" s="5" t="s">
        <v>1606</v>
      </c>
      <c r="M38" s="6">
        <v>239900</v>
      </c>
      <c r="N38" s="7">
        <v>0.9</v>
      </c>
      <c r="O38" s="6">
        <f t="shared" si="2"/>
        <v>23990</v>
      </c>
      <c r="P38" s="5" t="s">
        <v>504</v>
      </c>
    </row>
    <row r="39" spans="1:16" x14ac:dyDescent="0.35">
      <c r="A39" s="5" t="str">
        <f t="shared" si="1"/>
        <v>2022 All Items D90</v>
      </c>
      <c r="B39" s="8">
        <f>'ALL 2024 H2 D80'!$B$2</f>
        <v>46114</v>
      </c>
      <c r="C39" s="8">
        <f>'ALL 2024 H2 D80'!$C$2</f>
        <v>46120</v>
      </c>
      <c r="D39" s="5">
        <v>3208</v>
      </c>
      <c r="E39" s="5">
        <v>320</v>
      </c>
      <c r="F39" s="5">
        <v>1</v>
      </c>
      <c r="G39" s="5">
        <v>1</v>
      </c>
      <c r="H39" s="5">
        <v>81044</v>
      </c>
      <c r="I39" s="5" t="s">
        <v>16</v>
      </c>
      <c r="J39" s="5">
        <v>60635383</v>
      </c>
      <c r="K39" s="5" t="s">
        <v>1605</v>
      </c>
      <c r="L39" s="5" t="s">
        <v>1607</v>
      </c>
      <c r="M39" s="6">
        <v>239900</v>
      </c>
      <c r="N39" s="7">
        <v>0.9</v>
      </c>
      <c r="O39" s="6">
        <f t="shared" si="2"/>
        <v>23990</v>
      </c>
      <c r="P39" s="5" t="s">
        <v>504</v>
      </c>
    </row>
    <row r="40" spans="1:16" x14ac:dyDescent="0.35">
      <c r="A40" s="5" t="str">
        <f t="shared" si="1"/>
        <v>2022 All Items D90</v>
      </c>
      <c r="B40" s="8">
        <f>'ALL 2024 H2 D80'!$B$2</f>
        <v>46114</v>
      </c>
      <c r="C40" s="8">
        <f>'ALL 2024 H2 D80'!$C$2</f>
        <v>46120</v>
      </c>
      <c r="D40" s="5">
        <v>3208</v>
      </c>
      <c r="E40" s="5">
        <v>320</v>
      </c>
      <c r="F40" s="5">
        <v>1</v>
      </c>
      <c r="G40" s="5">
        <v>1</v>
      </c>
      <c r="H40" s="5">
        <v>81044</v>
      </c>
      <c r="I40" s="5" t="s">
        <v>16</v>
      </c>
      <c r="J40" s="5">
        <v>62040093</v>
      </c>
      <c r="K40" s="5" t="s">
        <v>1608</v>
      </c>
      <c r="L40" s="5" t="s">
        <v>1609</v>
      </c>
      <c r="M40" s="6">
        <v>249900</v>
      </c>
      <c r="N40" s="7">
        <v>0.9</v>
      </c>
      <c r="O40" s="6">
        <f t="shared" si="2"/>
        <v>24990</v>
      </c>
      <c r="P40" s="5" t="s">
        <v>504</v>
      </c>
    </row>
    <row r="41" spans="1:16" x14ac:dyDescent="0.35">
      <c r="A41" s="5" t="str">
        <f t="shared" si="1"/>
        <v>2022 All Items D90</v>
      </c>
      <c r="B41" s="8">
        <f>'ALL 2024 H2 D80'!$B$2</f>
        <v>46114</v>
      </c>
      <c r="C41" s="8">
        <f>'ALL 2024 H2 D80'!$C$2</f>
        <v>46120</v>
      </c>
      <c r="D41" s="5">
        <v>3208</v>
      </c>
      <c r="E41" s="5">
        <v>320</v>
      </c>
      <c r="F41" s="5">
        <v>1</v>
      </c>
      <c r="G41" s="5">
        <v>1</v>
      </c>
      <c r="H41" s="5">
        <v>81044</v>
      </c>
      <c r="I41" s="5" t="s">
        <v>16</v>
      </c>
      <c r="J41" s="5">
        <v>62040119</v>
      </c>
      <c r="K41" s="5" t="s">
        <v>1608</v>
      </c>
      <c r="L41" s="5" t="s">
        <v>1610</v>
      </c>
      <c r="M41" s="6">
        <v>249900</v>
      </c>
      <c r="N41" s="7">
        <v>0.9</v>
      </c>
      <c r="O41" s="6">
        <f t="shared" si="2"/>
        <v>24990</v>
      </c>
      <c r="P41" s="5" t="s">
        <v>504</v>
      </c>
    </row>
    <row r="42" spans="1:16" x14ac:dyDescent="0.35">
      <c r="A42" s="5" t="str">
        <f t="shared" si="1"/>
        <v>2022 All Items D90</v>
      </c>
      <c r="B42" s="8">
        <f>'ALL 2024 H2 D80'!$B$2</f>
        <v>46114</v>
      </c>
      <c r="C42" s="8">
        <f>'ALL 2024 H2 D80'!$C$2</f>
        <v>46120</v>
      </c>
      <c r="D42" s="5">
        <v>3208</v>
      </c>
      <c r="E42" s="5">
        <v>320</v>
      </c>
      <c r="F42" s="5">
        <v>1</v>
      </c>
      <c r="G42" s="5">
        <v>1</v>
      </c>
      <c r="H42" s="5">
        <v>81044</v>
      </c>
      <c r="I42" s="5" t="s">
        <v>16</v>
      </c>
      <c r="J42" s="5">
        <v>62464448</v>
      </c>
      <c r="K42" s="5" t="s">
        <v>1611</v>
      </c>
      <c r="L42" s="5" t="s">
        <v>1612</v>
      </c>
      <c r="M42" s="6">
        <v>229900</v>
      </c>
      <c r="N42" s="7">
        <v>0.9</v>
      </c>
      <c r="O42" s="6">
        <f t="shared" si="2"/>
        <v>22990</v>
      </c>
      <c r="P42" s="5" t="s">
        <v>504</v>
      </c>
    </row>
    <row r="43" spans="1:16" x14ac:dyDescent="0.35">
      <c r="A43" s="5" t="str">
        <f t="shared" si="1"/>
        <v>2022 All Items D90</v>
      </c>
      <c r="B43" s="8">
        <f>'ALL 2024 H2 D80'!$B$2</f>
        <v>46114</v>
      </c>
      <c r="C43" s="8">
        <f>'ALL 2024 H2 D80'!$C$2</f>
        <v>46120</v>
      </c>
      <c r="D43" s="5">
        <v>3208</v>
      </c>
      <c r="E43" s="5">
        <v>320</v>
      </c>
      <c r="F43" s="5">
        <v>1</v>
      </c>
      <c r="G43" s="5">
        <v>1</v>
      </c>
      <c r="H43" s="5">
        <v>81044</v>
      </c>
      <c r="I43" s="5" t="s">
        <v>16</v>
      </c>
      <c r="J43" s="5">
        <v>62464457</v>
      </c>
      <c r="K43" s="5" t="s">
        <v>1611</v>
      </c>
      <c r="L43" s="5" t="s">
        <v>1613</v>
      </c>
      <c r="M43" s="6">
        <v>229900</v>
      </c>
      <c r="N43" s="7">
        <v>0.9</v>
      </c>
      <c r="O43" s="6">
        <f t="shared" si="2"/>
        <v>22990</v>
      </c>
      <c r="P43" s="5" t="s">
        <v>504</v>
      </c>
    </row>
    <row r="44" spans="1:16" x14ac:dyDescent="0.35">
      <c r="A44" s="5" t="str">
        <f t="shared" si="1"/>
        <v>2022 All Items D90</v>
      </c>
      <c r="B44" s="8">
        <f>'ALL 2024 H2 D80'!$B$2</f>
        <v>46114</v>
      </c>
      <c r="C44" s="8">
        <f>'ALL 2024 H2 D80'!$C$2</f>
        <v>46120</v>
      </c>
      <c r="D44" s="5">
        <v>3208</v>
      </c>
      <c r="E44" s="5">
        <v>320</v>
      </c>
      <c r="F44" s="5">
        <v>1</v>
      </c>
      <c r="G44" s="5">
        <v>1</v>
      </c>
      <c r="H44" s="5">
        <v>81044</v>
      </c>
      <c r="I44" s="5" t="s">
        <v>16</v>
      </c>
      <c r="J44" s="5">
        <v>62464466</v>
      </c>
      <c r="K44" s="5" t="s">
        <v>1611</v>
      </c>
      <c r="L44" s="5" t="s">
        <v>1614</v>
      </c>
      <c r="M44" s="6">
        <v>229900</v>
      </c>
      <c r="N44" s="7">
        <v>0.9</v>
      </c>
      <c r="O44" s="6">
        <f t="shared" si="2"/>
        <v>22990</v>
      </c>
      <c r="P44" s="5" t="s">
        <v>504</v>
      </c>
    </row>
    <row r="45" spans="1:16" x14ac:dyDescent="0.35">
      <c r="A45" s="5" t="str">
        <f t="shared" si="1"/>
        <v>2022 All Items D90</v>
      </c>
      <c r="B45" s="8">
        <f>'ALL 2024 H2 D80'!$B$2</f>
        <v>46114</v>
      </c>
      <c r="C45" s="8">
        <f>'ALL 2024 H2 D80'!$C$2</f>
        <v>46120</v>
      </c>
      <c r="D45" s="5">
        <v>3208</v>
      </c>
      <c r="E45" s="5">
        <v>320</v>
      </c>
      <c r="F45" s="5">
        <v>1</v>
      </c>
      <c r="G45" s="5">
        <v>1</v>
      </c>
      <c r="H45" s="5">
        <v>81044</v>
      </c>
      <c r="I45" s="5" t="s">
        <v>16</v>
      </c>
      <c r="J45" s="5">
        <v>62464475</v>
      </c>
      <c r="K45" s="5" t="s">
        <v>1611</v>
      </c>
      <c r="L45" s="5" t="s">
        <v>1615</v>
      </c>
      <c r="M45" s="6">
        <v>229900</v>
      </c>
      <c r="N45" s="7">
        <v>0.9</v>
      </c>
      <c r="O45" s="6">
        <f t="shared" si="2"/>
        <v>22990</v>
      </c>
      <c r="P45" s="5" t="s">
        <v>504</v>
      </c>
    </row>
    <row r="46" spans="1:16" x14ac:dyDescent="0.35">
      <c r="A46" s="5" t="str">
        <f t="shared" si="1"/>
        <v>2022 All Items D90</v>
      </c>
      <c r="B46" s="8">
        <f>'ALL 2024 H2 D80'!$B$2</f>
        <v>46114</v>
      </c>
      <c r="C46" s="8">
        <f>'ALL 2024 H2 D80'!$C$2</f>
        <v>46120</v>
      </c>
      <c r="D46" s="5">
        <v>3208</v>
      </c>
      <c r="E46" s="5">
        <v>320</v>
      </c>
      <c r="F46" s="5">
        <v>1</v>
      </c>
      <c r="G46" s="5">
        <v>1</v>
      </c>
      <c r="H46" s="5">
        <v>81044</v>
      </c>
      <c r="I46" s="5" t="s">
        <v>16</v>
      </c>
      <c r="J46" s="5">
        <v>62464484</v>
      </c>
      <c r="K46" s="5" t="s">
        <v>1616</v>
      </c>
      <c r="L46" s="5" t="s">
        <v>1617</v>
      </c>
      <c r="M46" s="6">
        <v>239900</v>
      </c>
      <c r="N46" s="7">
        <v>0.9</v>
      </c>
      <c r="O46" s="6">
        <f t="shared" si="2"/>
        <v>23990</v>
      </c>
      <c r="P46" s="5" t="s">
        <v>504</v>
      </c>
    </row>
    <row r="47" spans="1:16" x14ac:dyDescent="0.35">
      <c r="A47" s="5" t="str">
        <f t="shared" si="1"/>
        <v>2022 All Items D90</v>
      </c>
      <c r="B47" s="8">
        <f>'ALL 2024 H2 D80'!$B$2</f>
        <v>46114</v>
      </c>
      <c r="C47" s="8">
        <f>'ALL 2024 H2 D80'!$C$2</f>
        <v>46120</v>
      </c>
      <c r="D47" s="5">
        <v>3208</v>
      </c>
      <c r="E47" s="5">
        <v>320</v>
      </c>
      <c r="F47" s="5">
        <v>1</v>
      </c>
      <c r="G47" s="5">
        <v>1</v>
      </c>
      <c r="H47" s="5">
        <v>81044</v>
      </c>
      <c r="I47" s="5" t="s">
        <v>16</v>
      </c>
      <c r="J47" s="5">
        <v>62464493</v>
      </c>
      <c r="K47" s="5" t="s">
        <v>1616</v>
      </c>
      <c r="L47" s="5" t="s">
        <v>1618</v>
      </c>
      <c r="M47" s="6">
        <v>239900</v>
      </c>
      <c r="N47" s="7">
        <v>0.9</v>
      </c>
      <c r="O47" s="6">
        <f t="shared" si="2"/>
        <v>23990</v>
      </c>
      <c r="P47" s="5" t="s">
        <v>504</v>
      </c>
    </row>
    <row r="48" spans="1:16" x14ac:dyDescent="0.35">
      <c r="A48" s="5" t="str">
        <f t="shared" si="1"/>
        <v>2022 All Items D90</v>
      </c>
      <c r="B48" s="8">
        <f>'ALL 2024 H2 D80'!$B$2</f>
        <v>46114</v>
      </c>
      <c r="C48" s="8">
        <f>'ALL 2024 H2 D80'!$C$2</f>
        <v>46120</v>
      </c>
      <c r="D48" s="5">
        <v>3208</v>
      </c>
      <c r="E48" s="5">
        <v>320</v>
      </c>
      <c r="F48" s="5">
        <v>1</v>
      </c>
      <c r="G48" s="5">
        <v>1</v>
      </c>
      <c r="H48" s="5">
        <v>81044</v>
      </c>
      <c r="I48" s="5" t="s">
        <v>16</v>
      </c>
      <c r="J48" s="5">
        <v>62464500</v>
      </c>
      <c r="K48" s="5" t="s">
        <v>1616</v>
      </c>
      <c r="L48" s="5" t="s">
        <v>1619</v>
      </c>
      <c r="M48" s="6">
        <v>239900</v>
      </c>
      <c r="N48" s="7">
        <v>0.9</v>
      </c>
      <c r="O48" s="6">
        <f t="shared" si="2"/>
        <v>23990</v>
      </c>
      <c r="P48" s="5" t="s">
        <v>504</v>
      </c>
    </row>
    <row r="49" spans="1:16" x14ac:dyDescent="0.35">
      <c r="A49" s="5" t="str">
        <f t="shared" si="1"/>
        <v>2022 All Items D90</v>
      </c>
      <c r="B49" s="8">
        <f>'ALL 2024 H2 D80'!$B$2</f>
        <v>46114</v>
      </c>
      <c r="C49" s="8">
        <f>'ALL 2024 H2 D80'!$C$2</f>
        <v>46120</v>
      </c>
      <c r="D49" s="5">
        <v>3208</v>
      </c>
      <c r="E49" s="5">
        <v>320</v>
      </c>
      <c r="F49" s="5">
        <v>1</v>
      </c>
      <c r="G49" s="5">
        <v>1</v>
      </c>
      <c r="H49" s="5">
        <v>81044</v>
      </c>
      <c r="I49" s="5" t="s">
        <v>16</v>
      </c>
      <c r="J49" s="5">
        <v>62464519</v>
      </c>
      <c r="K49" s="5" t="s">
        <v>1616</v>
      </c>
      <c r="L49" s="5" t="s">
        <v>1620</v>
      </c>
      <c r="M49" s="6">
        <v>239900</v>
      </c>
      <c r="N49" s="7">
        <v>0.9</v>
      </c>
      <c r="O49" s="6">
        <f t="shared" si="2"/>
        <v>23990</v>
      </c>
      <c r="P49" s="5" t="s">
        <v>504</v>
      </c>
    </row>
    <row r="50" spans="1:16" x14ac:dyDescent="0.35">
      <c r="A50" s="5" t="str">
        <f t="shared" si="1"/>
        <v>2022 All Items D90</v>
      </c>
      <c r="B50" s="8">
        <f>'ALL 2024 H2 D80'!$B$2</f>
        <v>46114</v>
      </c>
      <c r="C50" s="8">
        <f>'ALL 2024 H2 D80'!$C$2</f>
        <v>46120</v>
      </c>
      <c r="D50" s="5">
        <v>3208</v>
      </c>
      <c r="E50" s="5">
        <v>320</v>
      </c>
      <c r="F50" s="5">
        <v>1</v>
      </c>
      <c r="G50" s="5">
        <v>1</v>
      </c>
      <c r="H50" s="5">
        <v>81044</v>
      </c>
      <c r="I50" s="5" t="s">
        <v>16</v>
      </c>
      <c r="J50" s="5">
        <v>65898466</v>
      </c>
      <c r="K50" s="5" t="s">
        <v>1621</v>
      </c>
      <c r="L50" s="5" t="s">
        <v>1622</v>
      </c>
      <c r="M50" s="6">
        <v>249900</v>
      </c>
      <c r="N50" s="7">
        <v>0.9</v>
      </c>
      <c r="O50" s="6">
        <f t="shared" si="2"/>
        <v>24990</v>
      </c>
      <c r="P50" s="5" t="s">
        <v>504</v>
      </c>
    </row>
    <row r="51" spans="1:16" x14ac:dyDescent="0.35">
      <c r="A51" s="5" t="str">
        <f t="shared" si="1"/>
        <v>2022 All Items D90</v>
      </c>
      <c r="B51" s="8">
        <f>'ALL 2024 H2 D80'!$B$2</f>
        <v>46114</v>
      </c>
      <c r="C51" s="8">
        <f>'ALL 2024 H2 D80'!$C$2</f>
        <v>46120</v>
      </c>
      <c r="D51" s="5">
        <v>3208</v>
      </c>
      <c r="E51" s="5">
        <v>320</v>
      </c>
      <c r="F51" s="5">
        <v>1</v>
      </c>
      <c r="G51" s="5">
        <v>1</v>
      </c>
      <c r="H51" s="5">
        <v>81044</v>
      </c>
      <c r="I51" s="5" t="s">
        <v>16</v>
      </c>
      <c r="J51" s="5">
        <v>65898475</v>
      </c>
      <c r="K51" s="5" t="s">
        <v>1621</v>
      </c>
      <c r="L51" s="5" t="s">
        <v>1623</v>
      </c>
      <c r="M51" s="6">
        <v>249900</v>
      </c>
      <c r="N51" s="7">
        <v>0.9</v>
      </c>
      <c r="O51" s="6">
        <f t="shared" si="2"/>
        <v>24990</v>
      </c>
      <c r="P51" s="5" t="s">
        <v>504</v>
      </c>
    </row>
    <row r="52" spans="1:16" x14ac:dyDescent="0.35">
      <c r="A52" s="5" t="str">
        <f t="shared" si="1"/>
        <v>2022 All Items D90</v>
      </c>
      <c r="B52" s="8">
        <f>'ALL 2024 H2 D80'!$B$2</f>
        <v>46114</v>
      </c>
      <c r="C52" s="8">
        <f>'ALL 2024 H2 D80'!$C$2</f>
        <v>46120</v>
      </c>
      <c r="D52" s="5">
        <v>3208</v>
      </c>
      <c r="E52" s="5">
        <v>320</v>
      </c>
      <c r="F52" s="5">
        <v>1</v>
      </c>
      <c r="G52" s="5">
        <v>1</v>
      </c>
      <c r="H52" s="5">
        <v>81044</v>
      </c>
      <c r="I52" s="5" t="s">
        <v>16</v>
      </c>
      <c r="J52" s="5">
        <v>65898484</v>
      </c>
      <c r="K52" s="5" t="s">
        <v>1621</v>
      </c>
      <c r="L52" s="5" t="s">
        <v>1624</v>
      </c>
      <c r="M52" s="6">
        <v>249900</v>
      </c>
      <c r="N52" s="7">
        <v>0.9</v>
      </c>
      <c r="O52" s="6">
        <f t="shared" si="2"/>
        <v>24990</v>
      </c>
      <c r="P52" s="5" t="s">
        <v>504</v>
      </c>
    </row>
    <row r="53" spans="1:16" x14ac:dyDescent="0.35">
      <c r="A53" s="5" t="str">
        <f t="shared" si="1"/>
        <v>2022 All Items D90</v>
      </c>
      <c r="B53" s="8">
        <f>'ALL 2024 H2 D80'!$B$2</f>
        <v>46114</v>
      </c>
      <c r="C53" s="8">
        <f>'ALL 2024 H2 D80'!$C$2</f>
        <v>46120</v>
      </c>
      <c r="D53" s="5">
        <v>3208</v>
      </c>
      <c r="E53" s="5">
        <v>320</v>
      </c>
      <c r="F53" s="5">
        <v>1</v>
      </c>
      <c r="G53" s="5">
        <v>1</v>
      </c>
      <c r="H53" s="5">
        <v>81044</v>
      </c>
      <c r="I53" s="5" t="s">
        <v>16</v>
      </c>
      <c r="J53" s="5">
        <v>65898493</v>
      </c>
      <c r="K53" s="5" t="s">
        <v>1625</v>
      </c>
      <c r="L53" s="5" t="s">
        <v>1626</v>
      </c>
      <c r="M53" s="6">
        <v>269900</v>
      </c>
      <c r="N53" s="7">
        <v>0.9</v>
      </c>
      <c r="O53" s="6">
        <f t="shared" si="2"/>
        <v>26990</v>
      </c>
      <c r="P53" s="5" t="s">
        <v>504</v>
      </c>
    </row>
    <row r="54" spans="1:16" x14ac:dyDescent="0.35">
      <c r="A54" s="5" t="str">
        <f t="shared" si="1"/>
        <v>2022 All Items D90</v>
      </c>
      <c r="B54" s="8">
        <f>'ALL 2024 H2 D80'!$B$2</f>
        <v>46114</v>
      </c>
      <c r="C54" s="8">
        <f>'ALL 2024 H2 D80'!$C$2</f>
        <v>46120</v>
      </c>
      <c r="D54" s="5">
        <v>3208</v>
      </c>
      <c r="E54" s="5">
        <v>320</v>
      </c>
      <c r="F54" s="5">
        <v>1</v>
      </c>
      <c r="G54" s="5">
        <v>1</v>
      </c>
      <c r="H54" s="5">
        <v>81044</v>
      </c>
      <c r="I54" s="5" t="s">
        <v>16</v>
      </c>
      <c r="J54" s="5">
        <v>65898519</v>
      </c>
      <c r="K54" s="5" t="s">
        <v>1625</v>
      </c>
      <c r="L54" s="5" t="s">
        <v>1627</v>
      </c>
      <c r="M54" s="6">
        <v>269900</v>
      </c>
      <c r="N54" s="7">
        <v>0.9</v>
      </c>
      <c r="O54" s="6">
        <f t="shared" si="2"/>
        <v>26990</v>
      </c>
      <c r="P54" s="5" t="s">
        <v>504</v>
      </c>
    </row>
    <row r="55" spans="1:16" x14ac:dyDescent="0.35">
      <c r="A55" s="5" t="str">
        <f t="shared" si="1"/>
        <v>2022 All Items D90</v>
      </c>
      <c r="B55" s="8">
        <f>'ALL 2024 H2 D80'!$B$2</f>
        <v>46114</v>
      </c>
      <c r="C55" s="8">
        <f>'ALL 2024 H2 D80'!$C$2</f>
        <v>46120</v>
      </c>
      <c r="D55" s="5">
        <v>3208</v>
      </c>
      <c r="E55" s="5">
        <v>320</v>
      </c>
      <c r="F55" s="5">
        <v>1</v>
      </c>
      <c r="G55" s="5">
        <v>1</v>
      </c>
      <c r="H55" s="5">
        <v>81044</v>
      </c>
      <c r="I55" s="5" t="s">
        <v>16</v>
      </c>
      <c r="J55" s="5">
        <v>65898528</v>
      </c>
      <c r="K55" s="5" t="s">
        <v>1625</v>
      </c>
      <c r="L55" s="5" t="s">
        <v>1628</v>
      </c>
      <c r="M55" s="6">
        <v>269900</v>
      </c>
      <c r="N55" s="7">
        <v>0.9</v>
      </c>
      <c r="O55" s="6">
        <f t="shared" si="2"/>
        <v>26990</v>
      </c>
      <c r="P55" s="5" t="s">
        <v>504</v>
      </c>
    </row>
    <row r="56" spans="1:16" x14ac:dyDescent="0.35">
      <c r="A56" s="5" t="str">
        <f t="shared" si="1"/>
        <v>2022 All Items D90</v>
      </c>
      <c r="B56" s="8">
        <f>'ALL 2024 H2 D80'!$B$2</f>
        <v>46114</v>
      </c>
      <c r="C56" s="8">
        <f>'ALL 2024 H2 D80'!$C$2</f>
        <v>46120</v>
      </c>
      <c r="D56" s="5">
        <v>3208</v>
      </c>
      <c r="E56" s="5">
        <v>320</v>
      </c>
      <c r="F56" s="5">
        <v>1</v>
      </c>
      <c r="G56" s="5">
        <v>1</v>
      </c>
      <c r="H56" s="5">
        <v>81044</v>
      </c>
      <c r="I56" s="5" t="s">
        <v>16</v>
      </c>
      <c r="J56" s="5">
        <v>65898573</v>
      </c>
      <c r="K56" s="5" t="s">
        <v>1629</v>
      </c>
      <c r="L56" s="5" t="s">
        <v>1630</v>
      </c>
      <c r="M56" s="6">
        <v>229900</v>
      </c>
      <c r="N56" s="7">
        <v>0.9</v>
      </c>
      <c r="O56" s="6">
        <f t="shared" si="2"/>
        <v>22990</v>
      </c>
      <c r="P56" s="5" t="s">
        <v>504</v>
      </c>
    </row>
    <row r="57" spans="1:16" x14ac:dyDescent="0.35">
      <c r="A57" s="5" t="str">
        <f t="shared" si="1"/>
        <v>2022 All Items D90</v>
      </c>
      <c r="B57" s="8">
        <f>'ALL 2024 H2 D80'!$B$2</f>
        <v>46114</v>
      </c>
      <c r="C57" s="8">
        <f>'ALL 2024 H2 D80'!$C$2</f>
        <v>46120</v>
      </c>
      <c r="D57" s="5">
        <v>3208</v>
      </c>
      <c r="E57" s="5">
        <v>320</v>
      </c>
      <c r="F57" s="5">
        <v>1</v>
      </c>
      <c r="G57" s="5">
        <v>1</v>
      </c>
      <c r="H57" s="5">
        <v>81044</v>
      </c>
      <c r="I57" s="5" t="s">
        <v>16</v>
      </c>
      <c r="J57" s="5">
        <v>65898662</v>
      </c>
      <c r="K57" s="5" t="s">
        <v>1631</v>
      </c>
      <c r="L57" s="5" t="s">
        <v>1632</v>
      </c>
      <c r="M57" s="6">
        <v>249900</v>
      </c>
      <c r="N57" s="7">
        <v>0.9</v>
      </c>
      <c r="O57" s="6">
        <f t="shared" si="2"/>
        <v>24990</v>
      </c>
      <c r="P57" s="5" t="s">
        <v>504</v>
      </c>
    </row>
    <row r="58" spans="1:16" x14ac:dyDescent="0.35">
      <c r="A58" s="5" t="str">
        <f t="shared" si="1"/>
        <v>2022 All Items D90</v>
      </c>
      <c r="B58" s="8">
        <f>'ALL 2024 H2 D80'!$B$2</f>
        <v>46114</v>
      </c>
      <c r="C58" s="8">
        <f>'ALL 2024 H2 D80'!$C$2</f>
        <v>46120</v>
      </c>
      <c r="D58" s="5">
        <v>3208</v>
      </c>
      <c r="E58" s="5">
        <v>320</v>
      </c>
      <c r="F58" s="5">
        <v>1</v>
      </c>
      <c r="G58" s="5">
        <v>1</v>
      </c>
      <c r="H58" s="5">
        <v>81044</v>
      </c>
      <c r="I58" s="5" t="s">
        <v>16</v>
      </c>
      <c r="J58" s="5">
        <v>65898671</v>
      </c>
      <c r="K58" s="5" t="s">
        <v>1631</v>
      </c>
      <c r="L58" s="5" t="s">
        <v>1633</v>
      </c>
      <c r="M58" s="6">
        <v>249900</v>
      </c>
      <c r="N58" s="7">
        <v>0.9</v>
      </c>
      <c r="O58" s="6">
        <f t="shared" si="2"/>
        <v>24990</v>
      </c>
      <c r="P58" s="5" t="s">
        <v>504</v>
      </c>
    </row>
    <row r="59" spans="1:16" x14ac:dyDescent="0.35">
      <c r="A59" s="5" t="str">
        <f t="shared" si="1"/>
        <v>2022 All Items D90</v>
      </c>
      <c r="B59" s="8">
        <f>'ALL 2024 H2 D80'!$B$2</f>
        <v>46114</v>
      </c>
      <c r="C59" s="8">
        <f>'ALL 2024 H2 D80'!$C$2</f>
        <v>46120</v>
      </c>
      <c r="D59" s="5">
        <v>3208</v>
      </c>
      <c r="E59" s="5">
        <v>320</v>
      </c>
      <c r="F59" s="5">
        <v>1</v>
      </c>
      <c r="G59" s="5">
        <v>1</v>
      </c>
      <c r="H59" s="5">
        <v>81044</v>
      </c>
      <c r="I59" s="5" t="s">
        <v>16</v>
      </c>
      <c r="J59" s="5">
        <v>65898680</v>
      </c>
      <c r="K59" s="5" t="s">
        <v>1631</v>
      </c>
      <c r="L59" s="5" t="s">
        <v>1634</v>
      </c>
      <c r="M59" s="6">
        <v>249900</v>
      </c>
      <c r="N59" s="7">
        <v>0.9</v>
      </c>
      <c r="O59" s="6">
        <f t="shared" si="2"/>
        <v>24990</v>
      </c>
      <c r="P59" s="5" t="s">
        <v>504</v>
      </c>
    </row>
    <row r="60" spans="1:16" x14ac:dyDescent="0.35">
      <c r="A60" s="5" t="str">
        <f t="shared" si="1"/>
        <v>2022 All Items D90</v>
      </c>
      <c r="B60" s="8">
        <f>'ALL 2024 H2 D80'!$B$2</f>
        <v>46114</v>
      </c>
      <c r="C60" s="8">
        <f>'ALL 2024 H2 D80'!$C$2</f>
        <v>46120</v>
      </c>
      <c r="D60" s="5">
        <v>3208</v>
      </c>
      <c r="E60" s="5">
        <v>320</v>
      </c>
      <c r="F60" s="5">
        <v>1</v>
      </c>
      <c r="G60" s="5">
        <v>1</v>
      </c>
      <c r="H60" s="5">
        <v>81044</v>
      </c>
      <c r="I60" s="5" t="s">
        <v>16</v>
      </c>
      <c r="J60" s="5">
        <v>65898699</v>
      </c>
      <c r="K60" s="5" t="s">
        <v>1631</v>
      </c>
      <c r="L60" s="5" t="s">
        <v>1635</v>
      </c>
      <c r="M60" s="6">
        <v>249900</v>
      </c>
      <c r="N60" s="7">
        <v>0.9</v>
      </c>
      <c r="O60" s="6">
        <f t="shared" si="2"/>
        <v>24990</v>
      </c>
      <c r="P60" s="5" t="s">
        <v>504</v>
      </c>
    </row>
    <row r="61" spans="1:16" x14ac:dyDescent="0.35">
      <c r="A61" s="5" t="str">
        <f t="shared" si="1"/>
        <v>2022 All Items D90</v>
      </c>
      <c r="B61" s="8">
        <f>'ALL 2024 H2 D80'!$B$2</f>
        <v>46114</v>
      </c>
      <c r="C61" s="8">
        <f>'ALL 2024 H2 D80'!$C$2</f>
        <v>46120</v>
      </c>
      <c r="D61" s="5">
        <v>3208</v>
      </c>
      <c r="E61" s="5">
        <v>320</v>
      </c>
      <c r="F61" s="5">
        <v>1</v>
      </c>
      <c r="G61" s="5">
        <v>1</v>
      </c>
      <c r="H61" s="5">
        <v>81044</v>
      </c>
      <c r="I61" s="5" t="s">
        <v>16</v>
      </c>
      <c r="J61" s="5">
        <v>65898706</v>
      </c>
      <c r="K61" s="5" t="s">
        <v>1631</v>
      </c>
      <c r="L61" s="5" t="s">
        <v>1636</v>
      </c>
      <c r="M61" s="6">
        <v>249900</v>
      </c>
      <c r="N61" s="7">
        <v>0.9</v>
      </c>
      <c r="O61" s="6">
        <f t="shared" si="2"/>
        <v>24990</v>
      </c>
      <c r="P61" s="5" t="s">
        <v>504</v>
      </c>
    </row>
    <row r="62" spans="1:16" x14ac:dyDescent="0.35">
      <c r="A62" s="5" t="str">
        <f t="shared" si="1"/>
        <v>2022 All Items D90</v>
      </c>
      <c r="B62" s="8">
        <f>'ALL 2024 H2 D80'!$B$2</f>
        <v>46114</v>
      </c>
      <c r="C62" s="8">
        <f>'ALL 2024 H2 D80'!$C$2</f>
        <v>46120</v>
      </c>
      <c r="D62" s="5">
        <v>3208</v>
      </c>
      <c r="E62" s="5">
        <v>320</v>
      </c>
      <c r="F62" s="5">
        <v>1</v>
      </c>
      <c r="G62" s="5">
        <v>1</v>
      </c>
      <c r="H62" s="5">
        <v>81044</v>
      </c>
      <c r="I62" s="5" t="s">
        <v>16</v>
      </c>
      <c r="J62" s="5">
        <v>65898715</v>
      </c>
      <c r="K62" s="5" t="s">
        <v>1631</v>
      </c>
      <c r="L62" s="5" t="s">
        <v>1637</v>
      </c>
      <c r="M62" s="6">
        <v>249900</v>
      </c>
      <c r="N62" s="7">
        <v>0.9</v>
      </c>
      <c r="O62" s="6">
        <f t="shared" si="2"/>
        <v>24990</v>
      </c>
      <c r="P62" s="5" t="s">
        <v>504</v>
      </c>
    </row>
    <row r="63" spans="1:16" x14ac:dyDescent="0.35">
      <c r="A63" s="5" t="str">
        <f t="shared" si="1"/>
        <v>2022 All Items D90</v>
      </c>
      <c r="B63" s="8">
        <f>'ALL 2024 H2 D80'!$B$2</f>
        <v>46114</v>
      </c>
      <c r="C63" s="8">
        <f>'ALL 2024 H2 D80'!$C$2</f>
        <v>46120</v>
      </c>
      <c r="D63" s="5">
        <v>3208</v>
      </c>
      <c r="E63" s="5">
        <v>320</v>
      </c>
      <c r="F63" s="5">
        <v>1</v>
      </c>
      <c r="G63" s="5">
        <v>1</v>
      </c>
      <c r="H63" s="5">
        <v>81044</v>
      </c>
      <c r="I63" s="5" t="s">
        <v>16</v>
      </c>
      <c r="J63" s="5">
        <v>65898733</v>
      </c>
      <c r="K63" s="5" t="s">
        <v>1631</v>
      </c>
      <c r="L63" s="5" t="s">
        <v>1638</v>
      </c>
      <c r="M63" s="6">
        <v>249900</v>
      </c>
      <c r="N63" s="7">
        <v>0.9</v>
      </c>
      <c r="O63" s="6">
        <f t="shared" si="2"/>
        <v>24990</v>
      </c>
      <c r="P63" s="5" t="s">
        <v>504</v>
      </c>
    </row>
    <row r="64" spans="1:16" x14ac:dyDescent="0.35">
      <c r="A64" s="5" t="str">
        <f t="shared" si="1"/>
        <v>2022 All Items D90</v>
      </c>
      <c r="B64" s="8">
        <f>'ALL 2024 H2 D80'!$B$2</f>
        <v>46114</v>
      </c>
      <c r="C64" s="8">
        <f>'ALL 2024 H2 D80'!$C$2</f>
        <v>46120</v>
      </c>
      <c r="D64" s="5">
        <v>3208</v>
      </c>
      <c r="E64" s="5">
        <v>320</v>
      </c>
      <c r="F64" s="5">
        <v>1</v>
      </c>
      <c r="G64" s="5">
        <v>1</v>
      </c>
      <c r="H64" s="5">
        <v>81044</v>
      </c>
      <c r="I64" s="5" t="s">
        <v>16</v>
      </c>
      <c r="J64" s="5">
        <v>65898751</v>
      </c>
      <c r="K64" s="5" t="s">
        <v>1639</v>
      </c>
      <c r="L64" s="5" t="s">
        <v>1640</v>
      </c>
      <c r="M64" s="6">
        <v>249900</v>
      </c>
      <c r="N64" s="7">
        <v>0.9</v>
      </c>
      <c r="O64" s="6">
        <f t="shared" si="2"/>
        <v>24990</v>
      </c>
      <c r="P64" s="5" t="s">
        <v>504</v>
      </c>
    </row>
    <row r="65" spans="1:16" x14ac:dyDescent="0.35">
      <c r="A65" s="5" t="str">
        <f t="shared" si="1"/>
        <v>2022 All Items D90</v>
      </c>
      <c r="B65" s="8">
        <f>'ALL 2024 H2 D80'!$B$2</f>
        <v>46114</v>
      </c>
      <c r="C65" s="8">
        <f>'ALL 2024 H2 D80'!$C$2</f>
        <v>46120</v>
      </c>
      <c r="D65" s="5">
        <v>3208</v>
      </c>
      <c r="E65" s="5">
        <v>320</v>
      </c>
      <c r="F65" s="5">
        <v>1</v>
      </c>
      <c r="G65" s="5">
        <v>1</v>
      </c>
      <c r="H65" s="5">
        <v>81044</v>
      </c>
      <c r="I65" s="5" t="s">
        <v>16</v>
      </c>
      <c r="J65" s="5">
        <v>65898788</v>
      </c>
      <c r="K65" s="5" t="s">
        <v>1641</v>
      </c>
      <c r="L65" s="5" t="s">
        <v>1642</v>
      </c>
      <c r="M65" s="6">
        <v>269900</v>
      </c>
      <c r="N65" s="7">
        <v>0.9</v>
      </c>
      <c r="O65" s="6">
        <f t="shared" si="2"/>
        <v>26990</v>
      </c>
      <c r="P65" s="5" t="s">
        <v>504</v>
      </c>
    </row>
    <row r="66" spans="1:16" x14ac:dyDescent="0.35">
      <c r="A66" s="5" t="str">
        <f t="shared" si="1"/>
        <v>2022 All Items D90</v>
      </c>
      <c r="B66" s="8">
        <f>'ALL 2024 H2 D80'!$B$2</f>
        <v>46114</v>
      </c>
      <c r="C66" s="8">
        <f>'ALL 2024 H2 D80'!$C$2</f>
        <v>46120</v>
      </c>
      <c r="D66" s="5">
        <v>3208</v>
      </c>
      <c r="E66" s="5">
        <v>320</v>
      </c>
      <c r="F66" s="5">
        <v>1</v>
      </c>
      <c r="G66" s="5">
        <v>1</v>
      </c>
      <c r="H66" s="5">
        <v>81044</v>
      </c>
      <c r="I66" s="5" t="s">
        <v>16</v>
      </c>
      <c r="J66" s="5">
        <v>65898797</v>
      </c>
      <c r="K66" s="5" t="s">
        <v>1641</v>
      </c>
      <c r="L66" s="5" t="s">
        <v>1643</v>
      </c>
      <c r="M66" s="6">
        <v>269900</v>
      </c>
      <c r="N66" s="7">
        <v>0.9</v>
      </c>
      <c r="O66" s="6">
        <f t="shared" si="2"/>
        <v>26990</v>
      </c>
      <c r="P66" s="5" t="s">
        <v>504</v>
      </c>
    </row>
    <row r="67" spans="1:16" x14ac:dyDescent="0.35">
      <c r="A67" s="5" t="str">
        <f t="shared" si="1"/>
        <v>2022 All Items D90</v>
      </c>
      <c r="B67" s="8">
        <f>'ALL 2024 H2 D80'!$B$2</f>
        <v>46114</v>
      </c>
      <c r="C67" s="8">
        <f>'ALL 2024 H2 D80'!$C$2</f>
        <v>46120</v>
      </c>
      <c r="D67" s="5">
        <v>3208</v>
      </c>
      <c r="E67" s="5">
        <v>320</v>
      </c>
      <c r="F67" s="5">
        <v>1</v>
      </c>
      <c r="G67" s="5">
        <v>1</v>
      </c>
      <c r="H67" s="5">
        <v>81044</v>
      </c>
      <c r="I67" s="5" t="s">
        <v>16</v>
      </c>
      <c r="J67" s="5">
        <v>65898804</v>
      </c>
      <c r="K67" s="5" t="s">
        <v>1641</v>
      </c>
      <c r="L67" s="5" t="s">
        <v>1644</v>
      </c>
      <c r="M67" s="6">
        <v>269900</v>
      </c>
      <c r="N67" s="7">
        <v>0.9</v>
      </c>
      <c r="O67" s="6">
        <f t="shared" si="2"/>
        <v>26990</v>
      </c>
      <c r="P67" s="5" t="s">
        <v>504</v>
      </c>
    </row>
    <row r="68" spans="1:16" x14ac:dyDescent="0.35">
      <c r="A68" s="5" t="str">
        <f t="shared" ref="A68:A131" si="3">$A$2</f>
        <v>2022 All Items D90</v>
      </c>
      <c r="B68" s="8">
        <f>'ALL 2024 H2 D80'!$B$2</f>
        <v>46114</v>
      </c>
      <c r="C68" s="8">
        <f>'ALL 2024 H2 D80'!$C$2</f>
        <v>46120</v>
      </c>
      <c r="D68" s="5">
        <v>3208</v>
      </c>
      <c r="E68" s="5">
        <v>320</v>
      </c>
      <c r="F68" s="5">
        <v>1</v>
      </c>
      <c r="G68" s="5">
        <v>1</v>
      </c>
      <c r="H68" s="5">
        <v>81044</v>
      </c>
      <c r="I68" s="5" t="s">
        <v>16</v>
      </c>
      <c r="J68" s="5">
        <v>65898813</v>
      </c>
      <c r="K68" s="5" t="s">
        <v>1641</v>
      </c>
      <c r="L68" s="5" t="s">
        <v>1645</v>
      </c>
      <c r="M68" s="6">
        <v>269900</v>
      </c>
      <c r="N68" s="7">
        <v>0.9</v>
      </c>
      <c r="O68" s="6">
        <f t="shared" si="2"/>
        <v>26990</v>
      </c>
      <c r="P68" s="5" t="s">
        <v>504</v>
      </c>
    </row>
    <row r="69" spans="1:16" x14ac:dyDescent="0.35">
      <c r="A69" s="5" t="str">
        <f t="shared" si="3"/>
        <v>2022 All Items D90</v>
      </c>
      <c r="B69" s="8">
        <f>'ALL 2024 H2 D80'!$B$2</f>
        <v>46114</v>
      </c>
      <c r="C69" s="8">
        <f>'ALL 2024 H2 D80'!$C$2</f>
        <v>46120</v>
      </c>
      <c r="D69" s="5">
        <v>3208</v>
      </c>
      <c r="E69" s="5">
        <v>320</v>
      </c>
      <c r="F69" s="5">
        <v>1</v>
      </c>
      <c r="G69" s="5">
        <v>1</v>
      </c>
      <c r="H69" s="5">
        <v>81044</v>
      </c>
      <c r="I69" s="5" t="s">
        <v>16</v>
      </c>
      <c r="J69" s="5">
        <v>66164596</v>
      </c>
      <c r="K69" s="5" t="s">
        <v>1646</v>
      </c>
      <c r="L69" s="5" t="s">
        <v>1647</v>
      </c>
      <c r="M69" s="6">
        <v>249900</v>
      </c>
      <c r="N69" s="7">
        <v>0.9</v>
      </c>
      <c r="O69" s="6">
        <f t="shared" si="2"/>
        <v>24990</v>
      </c>
      <c r="P69" s="5" t="s">
        <v>504</v>
      </c>
    </row>
    <row r="70" spans="1:16" x14ac:dyDescent="0.35">
      <c r="A70" s="5" t="str">
        <f t="shared" si="3"/>
        <v>2022 All Items D90</v>
      </c>
      <c r="B70" s="8">
        <f>'ALL 2024 H2 D80'!$B$2</f>
        <v>46114</v>
      </c>
      <c r="C70" s="8">
        <f>'ALL 2024 H2 D80'!$C$2</f>
        <v>46120</v>
      </c>
      <c r="D70" s="5">
        <v>3208</v>
      </c>
      <c r="E70" s="5">
        <v>320</v>
      </c>
      <c r="F70" s="5">
        <v>1</v>
      </c>
      <c r="G70" s="5">
        <v>1</v>
      </c>
      <c r="H70" s="5">
        <v>81044</v>
      </c>
      <c r="I70" s="5" t="s">
        <v>16</v>
      </c>
      <c r="J70" s="5">
        <v>66164603</v>
      </c>
      <c r="K70" s="5" t="s">
        <v>1646</v>
      </c>
      <c r="L70" s="5" t="s">
        <v>1648</v>
      </c>
      <c r="M70" s="6">
        <v>249900</v>
      </c>
      <c r="N70" s="7">
        <v>0.9</v>
      </c>
      <c r="O70" s="6">
        <f t="shared" si="2"/>
        <v>24990</v>
      </c>
      <c r="P70" s="5" t="s">
        <v>504</v>
      </c>
    </row>
    <row r="71" spans="1:16" x14ac:dyDescent="0.35">
      <c r="A71" s="5" t="str">
        <f t="shared" si="3"/>
        <v>2022 All Items D90</v>
      </c>
      <c r="B71" s="8">
        <f>'ALL 2024 H2 D80'!$B$2</f>
        <v>46114</v>
      </c>
      <c r="C71" s="8">
        <f>'ALL 2024 H2 D80'!$C$2</f>
        <v>46120</v>
      </c>
      <c r="D71" s="5">
        <v>3208</v>
      </c>
      <c r="E71" s="5">
        <v>320</v>
      </c>
      <c r="F71" s="5">
        <v>1</v>
      </c>
      <c r="G71" s="5">
        <v>1</v>
      </c>
      <c r="H71" s="5">
        <v>81044</v>
      </c>
      <c r="I71" s="5" t="s">
        <v>16</v>
      </c>
      <c r="J71" s="5">
        <v>66255194</v>
      </c>
      <c r="K71" s="5" t="s">
        <v>1442</v>
      </c>
      <c r="L71" s="5" t="s">
        <v>1443</v>
      </c>
      <c r="M71" s="6">
        <v>349900</v>
      </c>
      <c r="N71" s="7">
        <v>0.9</v>
      </c>
      <c r="O71" s="6">
        <f t="shared" si="2"/>
        <v>34990</v>
      </c>
      <c r="P71" s="5" t="s">
        <v>504</v>
      </c>
    </row>
    <row r="72" spans="1:16" x14ac:dyDescent="0.35">
      <c r="A72" s="5" t="str">
        <f t="shared" si="3"/>
        <v>2022 All Items D90</v>
      </c>
      <c r="B72" s="8">
        <f>'ALL 2024 H2 D80'!$B$2</f>
        <v>46114</v>
      </c>
      <c r="C72" s="8">
        <f>'ALL 2024 H2 D80'!$C$2</f>
        <v>46120</v>
      </c>
      <c r="D72" s="5">
        <v>3208</v>
      </c>
      <c r="E72" s="5">
        <v>320</v>
      </c>
      <c r="F72" s="5">
        <v>1</v>
      </c>
      <c r="G72" s="5">
        <v>1</v>
      </c>
      <c r="H72" s="5">
        <v>81044</v>
      </c>
      <c r="I72" s="5" t="s">
        <v>16</v>
      </c>
      <c r="J72" s="5">
        <v>66255201</v>
      </c>
      <c r="K72" s="5" t="s">
        <v>1442</v>
      </c>
      <c r="L72" s="5" t="s">
        <v>1444</v>
      </c>
      <c r="M72" s="6">
        <v>349900</v>
      </c>
      <c r="N72" s="7">
        <v>0.9</v>
      </c>
      <c r="O72" s="6">
        <f t="shared" si="2"/>
        <v>34990</v>
      </c>
      <c r="P72" s="5" t="s">
        <v>504</v>
      </c>
    </row>
    <row r="73" spans="1:16" x14ac:dyDescent="0.35">
      <c r="A73" s="5" t="str">
        <f t="shared" si="3"/>
        <v>2022 All Items D90</v>
      </c>
      <c r="B73" s="8">
        <f>'ALL 2024 H2 D80'!$B$2</f>
        <v>46114</v>
      </c>
      <c r="C73" s="8">
        <f>'ALL 2024 H2 D80'!$C$2</f>
        <v>46120</v>
      </c>
      <c r="D73" s="5">
        <v>3208</v>
      </c>
      <c r="E73" s="5">
        <v>320</v>
      </c>
      <c r="F73" s="5">
        <v>1</v>
      </c>
      <c r="G73" s="5">
        <v>1</v>
      </c>
      <c r="H73" s="5">
        <v>81044</v>
      </c>
      <c r="I73" s="5" t="s">
        <v>16</v>
      </c>
      <c r="J73" s="5">
        <v>66255210</v>
      </c>
      <c r="K73" s="5" t="s">
        <v>1442</v>
      </c>
      <c r="L73" s="5" t="s">
        <v>1445</v>
      </c>
      <c r="M73" s="6">
        <v>349900</v>
      </c>
      <c r="N73" s="7">
        <v>0.9</v>
      </c>
      <c r="O73" s="6">
        <f t="shared" si="2"/>
        <v>34990</v>
      </c>
      <c r="P73" s="5" t="s">
        <v>504</v>
      </c>
    </row>
    <row r="74" spans="1:16" x14ac:dyDescent="0.35">
      <c r="A74" s="5" t="str">
        <f t="shared" si="3"/>
        <v>2022 All Items D90</v>
      </c>
      <c r="B74" s="8">
        <f>'ALL 2024 H2 D80'!$B$2</f>
        <v>46114</v>
      </c>
      <c r="C74" s="8">
        <f>'ALL 2024 H2 D80'!$C$2</f>
        <v>46120</v>
      </c>
      <c r="D74" s="5">
        <v>3208</v>
      </c>
      <c r="E74" s="5">
        <v>320</v>
      </c>
      <c r="F74" s="5">
        <v>1</v>
      </c>
      <c r="G74" s="5">
        <v>1</v>
      </c>
      <c r="H74" s="5">
        <v>81044</v>
      </c>
      <c r="I74" s="5" t="s">
        <v>16</v>
      </c>
      <c r="J74" s="5">
        <v>66255229</v>
      </c>
      <c r="K74" s="5" t="s">
        <v>1442</v>
      </c>
      <c r="L74" s="5" t="s">
        <v>1446</v>
      </c>
      <c r="M74" s="6">
        <v>349900</v>
      </c>
      <c r="N74" s="7">
        <v>0.9</v>
      </c>
      <c r="O74" s="6">
        <f t="shared" si="2"/>
        <v>34990</v>
      </c>
      <c r="P74" s="5" t="s">
        <v>504</v>
      </c>
    </row>
    <row r="75" spans="1:16" x14ac:dyDescent="0.35">
      <c r="A75" s="5" t="str">
        <f t="shared" si="3"/>
        <v>2022 All Items D90</v>
      </c>
      <c r="B75" s="8">
        <f>'ALL 2024 H2 D80'!$B$2</f>
        <v>46114</v>
      </c>
      <c r="C75" s="8">
        <f>'ALL 2024 H2 D80'!$C$2</f>
        <v>46120</v>
      </c>
      <c r="D75" s="5">
        <v>3208</v>
      </c>
      <c r="E75" s="5">
        <v>320</v>
      </c>
      <c r="F75" s="5">
        <v>1</v>
      </c>
      <c r="G75" s="5">
        <v>1</v>
      </c>
      <c r="H75" s="5">
        <v>81044</v>
      </c>
      <c r="I75" s="5" t="s">
        <v>16</v>
      </c>
      <c r="J75" s="5">
        <v>75659437</v>
      </c>
      <c r="K75" s="5" t="s">
        <v>1033</v>
      </c>
      <c r="L75" s="5" t="s">
        <v>1034</v>
      </c>
      <c r="M75" s="6">
        <v>279900</v>
      </c>
      <c r="N75" s="7">
        <v>0.9</v>
      </c>
      <c r="O75" s="6">
        <f t="shared" si="2"/>
        <v>27990</v>
      </c>
      <c r="P75" s="5" t="s">
        <v>504</v>
      </c>
    </row>
    <row r="76" spans="1:16" x14ac:dyDescent="0.35">
      <c r="A76" s="5" t="str">
        <f t="shared" si="3"/>
        <v>2022 All Items D90</v>
      </c>
      <c r="B76" s="8">
        <f>'ALL 2024 H2 D80'!$B$2</f>
        <v>46114</v>
      </c>
      <c r="C76" s="8">
        <f>'ALL 2024 H2 D80'!$C$2</f>
        <v>46120</v>
      </c>
      <c r="D76" s="5">
        <v>3208</v>
      </c>
      <c r="E76" s="5">
        <v>320</v>
      </c>
      <c r="F76" s="5">
        <v>1</v>
      </c>
      <c r="G76" s="5">
        <v>1</v>
      </c>
      <c r="H76" s="5">
        <v>81044</v>
      </c>
      <c r="I76" s="5" t="s">
        <v>16</v>
      </c>
      <c r="J76" s="5">
        <v>75659446</v>
      </c>
      <c r="K76" s="5" t="s">
        <v>1033</v>
      </c>
      <c r="L76" s="5" t="s">
        <v>1035</v>
      </c>
      <c r="M76" s="6">
        <v>279900</v>
      </c>
      <c r="N76" s="7">
        <v>0.9</v>
      </c>
      <c r="O76" s="6">
        <f t="shared" si="2"/>
        <v>27990</v>
      </c>
      <c r="P76" s="5" t="s">
        <v>504</v>
      </c>
    </row>
    <row r="77" spans="1:16" x14ac:dyDescent="0.35">
      <c r="A77" s="5" t="str">
        <f t="shared" si="3"/>
        <v>2022 All Items D90</v>
      </c>
      <c r="B77" s="8">
        <f>'ALL 2024 H2 D80'!$B$2</f>
        <v>46114</v>
      </c>
      <c r="C77" s="8">
        <f>'ALL 2024 H2 D80'!$C$2</f>
        <v>46120</v>
      </c>
      <c r="D77" s="5">
        <v>3208</v>
      </c>
      <c r="E77" s="5">
        <v>320</v>
      </c>
      <c r="F77" s="5">
        <v>1</v>
      </c>
      <c r="G77" s="5">
        <v>1</v>
      </c>
      <c r="H77" s="5">
        <v>81044</v>
      </c>
      <c r="I77" s="5" t="s">
        <v>16</v>
      </c>
      <c r="J77" s="5">
        <v>75659464</v>
      </c>
      <c r="K77" s="5" t="s">
        <v>1033</v>
      </c>
      <c r="L77" s="5" t="s">
        <v>1036</v>
      </c>
      <c r="M77" s="6">
        <v>279900</v>
      </c>
      <c r="N77" s="7">
        <v>0.9</v>
      </c>
      <c r="O77" s="6">
        <f t="shared" si="2"/>
        <v>27990</v>
      </c>
      <c r="P77" s="5" t="s">
        <v>504</v>
      </c>
    </row>
    <row r="78" spans="1:16" x14ac:dyDescent="0.35">
      <c r="A78" s="5" t="str">
        <f t="shared" si="3"/>
        <v>2022 All Items D90</v>
      </c>
      <c r="B78" s="8">
        <f>'ALL 2024 H2 D80'!$B$2</f>
        <v>46114</v>
      </c>
      <c r="C78" s="8">
        <f>'ALL 2024 H2 D80'!$C$2</f>
        <v>46120</v>
      </c>
      <c r="D78" s="5">
        <v>3208</v>
      </c>
      <c r="E78" s="5">
        <v>320</v>
      </c>
      <c r="F78" s="5">
        <v>1</v>
      </c>
      <c r="G78" s="5">
        <v>1</v>
      </c>
      <c r="H78" s="5">
        <v>81044</v>
      </c>
      <c r="I78" s="5" t="s">
        <v>16</v>
      </c>
      <c r="J78" s="5">
        <v>75659633</v>
      </c>
      <c r="K78" s="5" t="s">
        <v>1037</v>
      </c>
      <c r="L78" s="5" t="s">
        <v>1038</v>
      </c>
      <c r="M78" s="6">
        <v>269900</v>
      </c>
      <c r="N78" s="7">
        <v>0.9</v>
      </c>
      <c r="O78" s="6">
        <f t="shared" si="2"/>
        <v>26990</v>
      </c>
      <c r="P78" s="5" t="s">
        <v>504</v>
      </c>
    </row>
    <row r="79" spans="1:16" x14ac:dyDescent="0.35">
      <c r="A79" s="5" t="str">
        <f t="shared" si="3"/>
        <v>2022 All Items D90</v>
      </c>
      <c r="B79" s="8">
        <f>'ALL 2024 H2 D80'!$B$2</f>
        <v>46114</v>
      </c>
      <c r="C79" s="8">
        <f>'ALL 2024 H2 D80'!$C$2</f>
        <v>46120</v>
      </c>
      <c r="D79" s="5">
        <v>3208</v>
      </c>
      <c r="E79" s="5">
        <v>320</v>
      </c>
      <c r="F79" s="5">
        <v>1</v>
      </c>
      <c r="G79" s="5">
        <v>1</v>
      </c>
      <c r="H79" s="5">
        <v>81044</v>
      </c>
      <c r="I79" s="5" t="s">
        <v>16</v>
      </c>
      <c r="J79" s="5">
        <v>75659642</v>
      </c>
      <c r="K79" s="5" t="s">
        <v>1037</v>
      </c>
      <c r="L79" s="5" t="s">
        <v>1039</v>
      </c>
      <c r="M79" s="6">
        <v>269900</v>
      </c>
      <c r="N79" s="7">
        <v>0.9</v>
      </c>
      <c r="O79" s="6">
        <f t="shared" si="2"/>
        <v>26990</v>
      </c>
      <c r="P79" s="5" t="s">
        <v>504</v>
      </c>
    </row>
    <row r="80" spans="1:16" x14ac:dyDescent="0.35">
      <c r="A80" s="5" t="str">
        <f t="shared" si="3"/>
        <v>2022 All Items D90</v>
      </c>
      <c r="B80" s="8">
        <f>'ALL 2024 H2 D80'!$B$2</f>
        <v>46114</v>
      </c>
      <c r="C80" s="8">
        <f>'ALL 2024 H2 D80'!$C$2</f>
        <v>46120</v>
      </c>
      <c r="D80" s="5">
        <v>3208</v>
      </c>
      <c r="E80" s="5">
        <v>320</v>
      </c>
      <c r="F80" s="5">
        <v>1</v>
      </c>
      <c r="G80" s="5">
        <v>1</v>
      </c>
      <c r="H80" s="5">
        <v>81044</v>
      </c>
      <c r="I80" s="5" t="s">
        <v>16</v>
      </c>
      <c r="J80" s="5">
        <v>75659651</v>
      </c>
      <c r="K80" s="5" t="s">
        <v>1037</v>
      </c>
      <c r="L80" s="5" t="s">
        <v>1040</v>
      </c>
      <c r="M80" s="6">
        <v>269900</v>
      </c>
      <c r="N80" s="7">
        <v>0.9</v>
      </c>
      <c r="O80" s="6">
        <f t="shared" si="2"/>
        <v>26990</v>
      </c>
      <c r="P80" s="5" t="s">
        <v>504</v>
      </c>
    </row>
    <row r="81" spans="1:16" x14ac:dyDescent="0.35">
      <c r="A81" s="5" t="str">
        <f t="shared" si="3"/>
        <v>2022 All Items D90</v>
      </c>
      <c r="B81" s="8">
        <f>'ALL 2024 H2 D80'!$B$2</f>
        <v>46114</v>
      </c>
      <c r="C81" s="8">
        <f>'ALL 2024 H2 D80'!$C$2</f>
        <v>46120</v>
      </c>
      <c r="D81" s="5">
        <v>3208</v>
      </c>
      <c r="E81" s="5">
        <v>320</v>
      </c>
      <c r="F81" s="5">
        <v>1</v>
      </c>
      <c r="G81" s="5">
        <v>1</v>
      </c>
      <c r="H81" s="5">
        <v>81044</v>
      </c>
      <c r="I81" s="5" t="s">
        <v>16</v>
      </c>
      <c r="J81" s="5">
        <v>75659660</v>
      </c>
      <c r="K81" s="5" t="s">
        <v>1037</v>
      </c>
      <c r="L81" s="5" t="s">
        <v>1041</v>
      </c>
      <c r="M81" s="6">
        <v>269900</v>
      </c>
      <c r="N81" s="7">
        <v>0.9</v>
      </c>
      <c r="O81" s="6">
        <f t="shared" si="2"/>
        <v>26990</v>
      </c>
      <c r="P81" s="5" t="s">
        <v>504</v>
      </c>
    </row>
    <row r="82" spans="1:16" x14ac:dyDescent="0.35">
      <c r="A82" s="5" t="str">
        <f t="shared" si="3"/>
        <v>2022 All Items D90</v>
      </c>
      <c r="B82" s="8">
        <f>'ALL 2024 H2 D80'!$B$2</f>
        <v>46114</v>
      </c>
      <c r="C82" s="8">
        <f>'ALL 2024 H2 D80'!$C$2</f>
        <v>46120</v>
      </c>
      <c r="D82" s="5">
        <v>3208</v>
      </c>
      <c r="E82" s="5">
        <v>320</v>
      </c>
      <c r="F82" s="5">
        <v>1</v>
      </c>
      <c r="G82" s="5">
        <v>1</v>
      </c>
      <c r="H82" s="5">
        <v>81044</v>
      </c>
      <c r="I82" s="5" t="s">
        <v>16</v>
      </c>
      <c r="J82" s="5">
        <v>75659893</v>
      </c>
      <c r="K82" s="5" t="s">
        <v>1042</v>
      </c>
      <c r="L82" s="5" t="s">
        <v>1043</v>
      </c>
      <c r="M82" s="6">
        <v>269900</v>
      </c>
      <c r="N82" s="7">
        <v>0.9</v>
      </c>
      <c r="O82" s="6">
        <f t="shared" ref="O82:O137" si="4">M82-(M82*N82)</f>
        <v>26990</v>
      </c>
      <c r="P82" s="5" t="s">
        <v>504</v>
      </c>
    </row>
    <row r="83" spans="1:16" x14ac:dyDescent="0.35">
      <c r="A83" s="5" t="str">
        <f t="shared" si="3"/>
        <v>2022 All Items D90</v>
      </c>
      <c r="B83" s="8">
        <f>'ALL 2024 H2 D80'!$B$2</f>
        <v>46114</v>
      </c>
      <c r="C83" s="8">
        <f>'ALL 2024 H2 D80'!$C$2</f>
        <v>46120</v>
      </c>
      <c r="D83" s="5">
        <v>3208</v>
      </c>
      <c r="E83" s="5">
        <v>320</v>
      </c>
      <c r="F83" s="5">
        <v>1</v>
      </c>
      <c r="G83" s="5">
        <v>1</v>
      </c>
      <c r="H83" s="5">
        <v>81044</v>
      </c>
      <c r="I83" s="5" t="s">
        <v>16</v>
      </c>
      <c r="J83" s="5">
        <v>75659900</v>
      </c>
      <c r="K83" s="5" t="s">
        <v>1042</v>
      </c>
      <c r="L83" s="5" t="s">
        <v>1044</v>
      </c>
      <c r="M83" s="6">
        <v>269900</v>
      </c>
      <c r="N83" s="7">
        <v>0.9</v>
      </c>
      <c r="O83" s="6">
        <f t="shared" si="4"/>
        <v>26990</v>
      </c>
      <c r="P83" s="5" t="s">
        <v>504</v>
      </c>
    </row>
    <row r="84" spans="1:16" x14ac:dyDescent="0.35">
      <c r="A84" s="5" t="str">
        <f t="shared" si="3"/>
        <v>2022 All Items D90</v>
      </c>
      <c r="B84" s="8">
        <f>'ALL 2024 H2 D80'!$B$2</f>
        <v>46114</v>
      </c>
      <c r="C84" s="8">
        <f>'ALL 2024 H2 D80'!$C$2</f>
        <v>46120</v>
      </c>
      <c r="D84" s="5">
        <v>3208</v>
      </c>
      <c r="E84" s="5">
        <v>320</v>
      </c>
      <c r="F84" s="5">
        <v>1</v>
      </c>
      <c r="G84" s="5">
        <v>1</v>
      </c>
      <c r="H84" s="5">
        <v>81044</v>
      </c>
      <c r="I84" s="5" t="s">
        <v>16</v>
      </c>
      <c r="J84" s="5">
        <v>75659919</v>
      </c>
      <c r="K84" s="5" t="s">
        <v>1042</v>
      </c>
      <c r="L84" s="5" t="s">
        <v>1045</v>
      </c>
      <c r="M84" s="6">
        <v>269900</v>
      </c>
      <c r="N84" s="7">
        <v>0.9</v>
      </c>
      <c r="O84" s="6">
        <f t="shared" si="4"/>
        <v>26990</v>
      </c>
      <c r="P84" s="5" t="s">
        <v>504</v>
      </c>
    </row>
    <row r="85" spans="1:16" x14ac:dyDescent="0.35">
      <c r="A85" s="5" t="str">
        <f t="shared" si="3"/>
        <v>2022 All Items D90</v>
      </c>
      <c r="B85" s="8">
        <f>'ALL 2024 H2 D80'!$B$2</f>
        <v>46114</v>
      </c>
      <c r="C85" s="8">
        <f>'ALL 2024 H2 D80'!$C$2</f>
        <v>46120</v>
      </c>
      <c r="D85" s="5">
        <v>3208</v>
      </c>
      <c r="E85" s="5">
        <v>320</v>
      </c>
      <c r="F85" s="5">
        <v>1</v>
      </c>
      <c r="G85" s="5">
        <v>1</v>
      </c>
      <c r="H85" s="5">
        <v>81044</v>
      </c>
      <c r="I85" s="5" t="s">
        <v>16</v>
      </c>
      <c r="J85" s="5">
        <v>75659928</v>
      </c>
      <c r="K85" s="5" t="s">
        <v>1042</v>
      </c>
      <c r="L85" s="5" t="s">
        <v>1046</v>
      </c>
      <c r="M85" s="6">
        <v>269900</v>
      </c>
      <c r="N85" s="7">
        <v>0.9</v>
      </c>
      <c r="O85" s="6">
        <f t="shared" si="4"/>
        <v>26990</v>
      </c>
      <c r="P85" s="5" t="s">
        <v>504</v>
      </c>
    </row>
    <row r="86" spans="1:16" x14ac:dyDescent="0.35">
      <c r="A86" s="5" t="str">
        <f t="shared" si="3"/>
        <v>2022 All Items D90</v>
      </c>
      <c r="B86" s="8">
        <f>'ALL 2024 H2 D80'!$B$2</f>
        <v>46114</v>
      </c>
      <c r="C86" s="8">
        <f>'ALL 2024 H2 D80'!$C$2</f>
        <v>46120</v>
      </c>
      <c r="D86" s="5">
        <v>3208</v>
      </c>
      <c r="E86" s="5">
        <v>320</v>
      </c>
      <c r="F86" s="5">
        <v>1</v>
      </c>
      <c r="G86" s="5">
        <v>1</v>
      </c>
      <c r="H86" s="5">
        <v>81044</v>
      </c>
      <c r="I86" s="5" t="s">
        <v>16</v>
      </c>
      <c r="J86" s="5">
        <v>75659991</v>
      </c>
      <c r="K86" s="5" t="s">
        <v>1047</v>
      </c>
      <c r="L86" s="5" t="s">
        <v>1048</v>
      </c>
      <c r="M86" s="6">
        <v>249900</v>
      </c>
      <c r="N86" s="7">
        <v>0.9</v>
      </c>
      <c r="O86" s="6">
        <f t="shared" si="4"/>
        <v>24990</v>
      </c>
      <c r="P86" s="5" t="s">
        <v>504</v>
      </c>
    </row>
    <row r="87" spans="1:16" x14ac:dyDescent="0.35">
      <c r="A87" s="5" t="str">
        <f t="shared" si="3"/>
        <v>2022 All Items D90</v>
      </c>
      <c r="B87" s="8">
        <f>'ALL 2024 H2 D80'!$B$2</f>
        <v>46114</v>
      </c>
      <c r="C87" s="8">
        <f>'ALL 2024 H2 D80'!$C$2</f>
        <v>46120</v>
      </c>
      <c r="D87" s="5">
        <v>3208</v>
      </c>
      <c r="E87" s="5">
        <v>320</v>
      </c>
      <c r="F87" s="5">
        <v>1</v>
      </c>
      <c r="G87" s="5">
        <v>1</v>
      </c>
      <c r="H87" s="5">
        <v>81044</v>
      </c>
      <c r="I87" s="5" t="s">
        <v>16</v>
      </c>
      <c r="J87" s="5">
        <v>75660014</v>
      </c>
      <c r="K87" s="5" t="s">
        <v>1047</v>
      </c>
      <c r="L87" s="5" t="s">
        <v>1049</v>
      </c>
      <c r="M87" s="6">
        <v>249900</v>
      </c>
      <c r="N87" s="7">
        <v>0.9</v>
      </c>
      <c r="O87" s="6">
        <f t="shared" si="4"/>
        <v>24990</v>
      </c>
      <c r="P87" s="5" t="s">
        <v>504</v>
      </c>
    </row>
    <row r="88" spans="1:16" x14ac:dyDescent="0.35">
      <c r="A88" s="5" t="str">
        <f t="shared" si="3"/>
        <v>2022 All Items D90</v>
      </c>
      <c r="B88" s="8">
        <f>'ALL 2024 H2 D80'!$B$2</f>
        <v>46114</v>
      </c>
      <c r="C88" s="8">
        <f>'ALL 2024 H2 D80'!$C$2</f>
        <v>46120</v>
      </c>
      <c r="D88" s="5">
        <v>3208</v>
      </c>
      <c r="E88" s="5">
        <v>320</v>
      </c>
      <c r="F88" s="5">
        <v>1</v>
      </c>
      <c r="G88" s="5">
        <v>1</v>
      </c>
      <c r="H88" s="5">
        <v>81044</v>
      </c>
      <c r="I88" s="5" t="s">
        <v>16</v>
      </c>
      <c r="J88" s="5">
        <v>75660023</v>
      </c>
      <c r="K88" s="5" t="s">
        <v>1047</v>
      </c>
      <c r="L88" s="5" t="s">
        <v>1050</v>
      </c>
      <c r="M88" s="6">
        <v>249900</v>
      </c>
      <c r="N88" s="7">
        <v>0.9</v>
      </c>
      <c r="O88" s="6">
        <f t="shared" si="4"/>
        <v>24990</v>
      </c>
      <c r="P88" s="5" t="s">
        <v>504</v>
      </c>
    </row>
    <row r="89" spans="1:16" x14ac:dyDescent="0.35">
      <c r="A89" s="5" t="str">
        <f t="shared" si="3"/>
        <v>2022 All Items D90</v>
      </c>
      <c r="B89" s="8">
        <f>'ALL 2024 H2 D80'!$B$2</f>
        <v>46114</v>
      </c>
      <c r="C89" s="8">
        <f>'ALL 2024 H2 D80'!$C$2</f>
        <v>46120</v>
      </c>
      <c r="D89" s="5">
        <v>3208</v>
      </c>
      <c r="E89" s="5">
        <v>320</v>
      </c>
      <c r="F89" s="5">
        <v>1</v>
      </c>
      <c r="G89" s="5">
        <v>1</v>
      </c>
      <c r="H89" s="5">
        <v>81044</v>
      </c>
      <c r="I89" s="5" t="s">
        <v>16</v>
      </c>
      <c r="J89" s="5">
        <v>76705465</v>
      </c>
      <c r="K89" s="5" t="s">
        <v>1059</v>
      </c>
      <c r="L89" s="5" t="s">
        <v>1060</v>
      </c>
      <c r="M89" s="6">
        <v>269900</v>
      </c>
      <c r="N89" s="7">
        <v>0.9</v>
      </c>
      <c r="O89" s="6">
        <f t="shared" si="4"/>
        <v>26990</v>
      </c>
      <c r="P89" s="5" t="s">
        <v>504</v>
      </c>
    </row>
    <row r="90" spans="1:16" x14ac:dyDescent="0.35">
      <c r="A90" s="5" t="str">
        <f t="shared" si="3"/>
        <v>2022 All Items D90</v>
      </c>
      <c r="B90" s="8">
        <f>'ALL 2024 H2 D80'!$B$2</f>
        <v>46114</v>
      </c>
      <c r="C90" s="8">
        <f>'ALL 2024 H2 D80'!$C$2</f>
        <v>46120</v>
      </c>
      <c r="D90" s="5">
        <v>3208</v>
      </c>
      <c r="E90" s="5">
        <v>320</v>
      </c>
      <c r="F90" s="5">
        <v>1</v>
      </c>
      <c r="G90" s="5">
        <v>1</v>
      </c>
      <c r="H90" s="5">
        <v>81044</v>
      </c>
      <c r="I90" s="5" t="s">
        <v>16</v>
      </c>
      <c r="J90" s="5">
        <v>76705474</v>
      </c>
      <c r="K90" s="5" t="s">
        <v>1059</v>
      </c>
      <c r="L90" s="5" t="s">
        <v>1061</v>
      </c>
      <c r="M90" s="6">
        <v>269900</v>
      </c>
      <c r="N90" s="7">
        <v>0.9</v>
      </c>
      <c r="O90" s="6">
        <f t="shared" si="4"/>
        <v>26990</v>
      </c>
      <c r="P90" s="5" t="s">
        <v>504</v>
      </c>
    </row>
    <row r="91" spans="1:16" x14ac:dyDescent="0.35">
      <c r="A91" s="5" t="str">
        <f t="shared" si="3"/>
        <v>2022 All Items D90</v>
      </c>
      <c r="B91" s="8">
        <f>'ALL 2024 H2 D80'!$B$2</f>
        <v>46114</v>
      </c>
      <c r="C91" s="8">
        <f>'ALL 2024 H2 D80'!$C$2</f>
        <v>46120</v>
      </c>
      <c r="D91" s="5">
        <v>3208</v>
      </c>
      <c r="E91" s="5">
        <v>320</v>
      </c>
      <c r="F91" s="5">
        <v>1</v>
      </c>
      <c r="G91" s="5">
        <v>1</v>
      </c>
      <c r="H91" s="5">
        <v>81044</v>
      </c>
      <c r="I91" s="5" t="s">
        <v>16</v>
      </c>
      <c r="J91" s="5">
        <v>76705483</v>
      </c>
      <c r="K91" s="5" t="s">
        <v>1059</v>
      </c>
      <c r="L91" s="5" t="s">
        <v>1062</v>
      </c>
      <c r="M91" s="6">
        <v>269900</v>
      </c>
      <c r="N91" s="7">
        <v>0.9</v>
      </c>
      <c r="O91" s="6">
        <f t="shared" si="4"/>
        <v>26990</v>
      </c>
      <c r="P91" s="5" t="s">
        <v>504</v>
      </c>
    </row>
    <row r="92" spans="1:16" x14ac:dyDescent="0.35">
      <c r="A92" s="5" t="str">
        <f t="shared" si="3"/>
        <v>2022 All Items D90</v>
      </c>
      <c r="B92" s="8">
        <f>'ALL 2024 H2 D80'!$B$2</f>
        <v>46114</v>
      </c>
      <c r="C92" s="8">
        <f>'ALL 2024 H2 D80'!$C$2</f>
        <v>46120</v>
      </c>
      <c r="D92" s="5">
        <v>3208</v>
      </c>
      <c r="E92" s="5">
        <v>320</v>
      </c>
      <c r="F92" s="5">
        <v>1</v>
      </c>
      <c r="G92" s="5">
        <v>1</v>
      </c>
      <c r="H92" s="5">
        <v>81044</v>
      </c>
      <c r="I92" s="5" t="s">
        <v>16</v>
      </c>
      <c r="J92" s="5">
        <v>76705492</v>
      </c>
      <c r="K92" s="5" t="s">
        <v>1059</v>
      </c>
      <c r="L92" s="5" t="s">
        <v>1063</v>
      </c>
      <c r="M92" s="6">
        <v>269900</v>
      </c>
      <c r="N92" s="7">
        <v>0.9</v>
      </c>
      <c r="O92" s="6">
        <f t="shared" si="4"/>
        <v>26990</v>
      </c>
      <c r="P92" s="5" t="s">
        <v>504</v>
      </c>
    </row>
    <row r="93" spans="1:16" x14ac:dyDescent="0.35">
      <c r="A93" s="5" t="str">
        <f t="shared" si="3"/>
        <v>2022 All Items D90</v>
      </c>
      <c r="B93" s="8">
        <f>'ALL 2024 H2 D80'!$B$2</f>
        <v>46114</v>
      </c>
      <c r="C93" s="8">
        <f>'ALL 2024 H2 D80'!$C$2</f>
        <v>46120</v>
      </c>
      <c r="D93" s="5">
        <v>3208</v>
      </c>
      <c r="E93" s="5">
        <v>320</v>
      </c>
      <c r="F93" s="5">
        <v>1</v>
      </c>
      <c r="G93" s="5">
        <v>1</v>
      </c>
      <c r="H93" s="5">
        <v>81044</v>
      </c>
      <c r="I93" s="5" t="s">
        <v>16</v>
      </c>
      <c r="J93" s="5">
        <v>76705509</v>
      </c>
      <c r="K93" s="5" t="s">
        <v>1064</v>
      </c>
      <c r="L93" s="5" t="s">
        <v>1065</v>
      </c>
      <c r="M93" s="6">
        <v>269900</v>
      </c>
      <c r="N93" s="7">
        <v>0.9</v>
      </c>
      <c r="O93" s="6">
        <f t="shared" si="4"/>
        <v>26990</v>
      </c>
      <c r="P93" s="5" t="s">
        <v>504</v>
      </c>
    </row>
    <row r="94" spans="1:16" x14ac:dyDescent="0.35">
      <c r="A94" s="5" t="str">
        <f t="shared" si="3"/>
        <v>2022 All Items D90</v>
      </c>
      <c r="B94" s="8">
        <f>'ALL 2024 H2 D80'!$B$2</f>
        <v>46114</v>
      </c>
      <c r="C94" s="8">
        <f>'ALL 2024 H2 D80'!$C$2</f>
        <v>46120</v>
      </c>
      <c r="D94" s="5">
        <v>3208</v>
      </c>
      <c r="E94" s="5">
        <v>320</v>
      </c>
      <c r="F94" s="5">
        <v>1</v>
      </c>
      <c r="G94" s="5">
        <v>1</v>
      </c>
      <c r="H94" s="5">
        <v>81044</v>
      </c>
      <c r="I94" s="5" t="s">
        <v>16</v>
      </c>
      <c r="J94" s="5">
        <v>76705527</v>
      </c>
      <c r="K94" s="5" t="s">
        <v>1064</v>
      </c>
      <c r="L94" s="5" t="s">
        <v>1066</v>
      </c>
      <c r="M94" s="6">
        <v>269900</v>
      </c>
      <c r="N94" s="7">
        <v>0.9</v>
      </c>
      <c r="O94" s="6">
        <f t="shared" si="4"/>
        <v>26990</v>
      </c>
      <c r="P94" s="5" t="s">
        <v>504</v>
      </c>
    </row>
    <row r="95" spans="1:16" x14ac:dyDescent="0.35">
      <c r="A95" s="5" t="str">
        <f t="shared" si="3"/>
        <v>2022 All Items D90</v>
      </c>
      <c r="B95" s="8">
        <f>'ALL 2024 H2 D80'!$B$2</f>
        <v>46114</v>
      </c>
      <c r="C95" s="8">
        <f>'ALL 2024 H2 D80'!$C$2</f>
        <v>46120</v>
      </c>
      <c r="D95" s="5">
        <v>3208</v>
      </c>
      <c r="E95" s="5">
        <v>320</v>
      </c>
      <c r="F95" s="5">
        <v>1</v>
      </c>
      <c r="G95" s="5">
        <v>1</v>
      </c>
      <c r="H95" s="5">
        <v>81044</v>
      </c>
      <c r="I95" s="5" t="s">
        <v>16</v>
      </c>
      <c r="J95" s="5">
        <v>76705536</v>
      </c>
      <c r="K95" s="5" t="s">
        <v>1064</v>
      </c>
      <c r="L95" s="5" t="s">
        <v>1067</v>
      </c>
      <c r="M95" s="6">
        <v>269900</v>
      </c>
      <c r="N95" s="7">
        <v>0.9</v>
      </c>
      <c r="O95" s="6">
        <f t="shared" si="4"/>
        <v>26990</v>
      </c>
      <c r="P95" s="5" t="s">
        <v>504</v>
      </c>
    </row>
    <row r="96" spans="1:16" x14ac:dyDescent="0.35">
      <c r="A96" s="5" t="str">
        <f t="shared" si="3"/>
        <v>2022 All Items D90</v>
      </c>
      <c r="B96" s="8">
        <f>'ALL 2024 H2 D80'!$B$2</f>
        <v>46114</v>
      </c>
      <c r="C96" s="8">
        <f>'ALL 2024 H2 D80'!$C$2</f>
        <v>46120</v>
      </c>
      <c r="D96" s="5">
        <v>3208</v>
      </c>
      <c r="E96" s="5">
        <v>320</v>
      </c>
      <c r="F96" s="5">
        <v>1</v>
      </c>
      <c r="G96" s="5">
        <v>1</v>
      </c>
      <c r="H96" s="5">
        <v>81495</v>
      </c>
      <c r="I96" s="5" t="s">
        <v>16</v>
      </c>
      <c r="J96" s="5">
        <v>26491414</v>
      </c>
      <c r="K96" s="5" t="s">
        <v>1649</v>
      </c>
      <c r="L96" s="5" t="s">
        <v>1650</v>
      </c>
      <c r="M96" s="6">
        <v>229900</v>
      </c>
      <c r="N96" s="7">
        <v>0.9</v>
      </c>
      <c r="O96" s="6">
        <f t="shared" si="4"/>
        <v>22990</v>
      </c>
      <c r="P96" s="5" t="s">
        <v>504</v>
      </c>
    </row>
    <row r="97" spans="1:16" x14ac:dyDescent="0.35">
      <c r="A97" s="5" t="str">
        <f t="shared" si="3"/>
        <v>2022 All Items D90</v>
      </c>
      <c r="B97" s="8">
        <f>'ALL 2024 H2 D80'!$B$2</f>
        <v>46114</v>
      </c>
      <c r="C97" s="8">
        <f>'ALL 2024 H2 D80'!$C$2</f>
        <v>46120</v>
      </c>
      <c r="D97" s="5">
        <v>3208</v>
      </c>
      <c r="E97" s="5">
        <v>320</v>
      </c>
      <c r="F97" s="5">
        <v>1</v>
      </c>
      <c r="G97" s="5">
        <v>1</v>
      </c>
      <c r="H97" s="5">
        <v>81495</v>
      </c>
      <c r="I97" s="5" t="s">
        <v>16</v>
      </c>
      <c r="J97" s="5">
        <v>26491423</v>
      </c>
      <c r="K97" s="5" t="s">
        <v>1649</v>
      </c>
      <c r="L97" s="5" t="s">
        <v>1651</v>
      </c>
      <c r="M97" s="6">
        <v>229900</v>
      </c>
      <c r="N97" s="7">
        <v>0.9</v>
      </c>
      <c r="O97" s="6">
        <f t="shared" si="4"/>
        <v>22990</v>
      </c>
      <c r="P97" s="5" t="s">
        <v>504</v>
      </c>
    </row>
    <row r="98" spans="1:16" x14ac:dyDescent="0.35">
      <c r="A98" s="5" t="str">
        <f t="shared" si="3"/>
        <v>2022 All Items D90</v>
      </c>
      <c r="B98" s="8">
        <f>'ALL 2024 H2 D80'!$B$2</f>
        <v>46114</v>
      </c>
      <c r="C98" s="8">
        <f>'ALL 2024 H2 D80'!$C$2</f>
        <v>46120</v>
      </c>
      <c r="D98" s="5">
        <v>3208</v>
      </c>
      <c r="E98" s="5">
        <v>320</v>
      </c>
      <c r="F98" s="5">
        <v>1</v>
      </c>
      <c r="G98" s="5">
        <v>1</v>
      </c>
      <c r="H98" s="5">
        <v>81495</v>
      </c>
      <c r="I98" s="5" t="s">
        <v>16</v>
      </c>
      <c r="J98" s="5">
        <v>26491432</v>
      </c>
      <c r="K98" s="5" t="s">
        <v>1649</v>
      </c>
      <c r="L98" s="5" t="s">
        <v>1652</v>
      </c>
      <c r="M98" s="6">
        <v>229900</v>
      </c>
      <c r="N98" s="7">
        <v>0.9</v>
      </c>
      <c r="O98" s="6">
        <f t="shared" si="4"/>
        <v>22990</v>
      </c>
      <c r="P98" s="5" t="s">
        <v>504</v>
      </c>
    </row>
    <row r="99" spans="1:16" x14ac:dyDescent="0.35">
      <c r="A99" s="5" t="str">
        <f t="shared" si="3"/>
        <v>2022 All Items D90</v>
      </c>
      <c r="B99" s="8">
        <f>'ALL 2024 H2 D80'!$B$2</f>
        <v>46114</v>
      </c>
      <c r="C99" s="8">
        <f>'ALL 2024 H2 D80'!$C$2</f>
        <v>46120</v>
      </c>
      <c r="D99" s="5">
        <v>3208</v>
      </c>
      <c r="E99" s="5">
        <v>320</v>
      </c>
      <c r="F99" s="5">
        <v>1</v>
      </c>
      <c r="G99" s="5">
        <v>1</v>
      </c>
      <c r="H99" s="5">
        <v>81495</v>
      </c>
      <c r="I99" s="5" t="s">
        <v>16</v>
      </c>
      <c r="J99" s="5">
        <v>26491441</v>
      </c>
      <c r="K99" s="5" t="s">
        <v>1649</v>
      </c>
      <c r="L99" s="5" t="s">
        <v>1653</v>
      </c>
      <c r="M99" s="6">
        <v>229900</v>
      </c>
      <c r="N99" s="7">
        <v>0.9</v>
      </c>
      <c r="O99" s="6">
        <f t="shared" si="4"/>
        <v>22990</v>
      </c>
      <c r="P99" s="5" t="s">
        <v>504</v>
      </c>
    </row>
    <row r="100" spans="1:16" x14ac:dyDescent="0.35">
      <c r="A100" s="5" t="str">
        <f t="shared" si="3"/>
        <v>2022 All Items D90</v>
      </c>
      <c r="B100" s="8">
        <f>'ALL 2024 H2 D80'!$B$2</f>
        <v>46114</v>
      </c>
      <c r="C100" s="8">
        <f>'ALL 2024 H2 D80'!$C$2</f>
        <v>46120</v>
      </c>
      <c r="D100" s="5">
        <v>3208</v>
      </c>
      <c r="E100" s="5">
        <v>320</v>
      </c>
      <c r="F100" s="5">
        <v>1</v>
      </c>
      <c r="G100" s="5">
        <v>1</v>
      </c>
      <c r="H100" s="5">
        <v>81495</v>
      </c>
      <c r="I100" s="5" t="s">
        <v>16</v>
      </c>
      <c r="J100" s="5">
        <v>32375207</v>
      </c>
      <c r="K100" s="5" t="s">
        <v>604</v>
      </c>
      <c r="L100" s="5" t="s">
        <v>1654</v>
      </c>
      <c r="M100" s="6">
        <v>219900</v>
      </c>
      <c r="N100" s="7">
        <v>0.9</v>
      </c>
      <c r="O100" s="6">
        <f t="shared" si="4"/>
        <v>21990</v>
      </c>
      <c r="P100" s="5" t="s">
        <v>504</v>
      </c>
    </row>
    <row r="101" spans="1:16" x14ac:dyDescent="0.35">
      <c r="A101" s="5" t="str">
        <f t="shared" si="3"/>
        <v>2022 All Items D90</v>
      </c>
      <c r="B101" s="8">
        <f>'ALL 2024 H2 D80'!$B$2</f>
        <v>46114</v>
      </c>
      <c r="C101" s="8">
        <f>'ALL 2024 H2 D80'!$C$2</f>
        <v>46120</v>
      </c>
      <c r="D101" s="5">
        <v>3208</v>
      </c>
      <c r="E101" s="5">
        <v>320</v>
      </c>
      <c r="F101" s="5">
        <v>1</v>
      </c>
      <c r="G101" s="5">
        <v>1</v>
      </c>
      <c r="H101" s="5">
        <v>81495</v>
      </c>
      <c r="I101" s="5" t="s">
        <v>16</v>
      </c>
      <c r="J101" s="5">
        <v>32375216</v>
      </c>
      <c r="K101" s="5" t="s">
        <v>604</v>
      </c>
      <c r="L101" s="5" t="s">
        <v>1655</v>
      </c>
      <c r="M101" s="6">
        <v>219900</v>
      </c>
      <c r="N101" s="7">
        <v>0.9</v>
      </c>
      <c r="O101" s="6">
        <f t="shared" si="4"/>
        <v>21990</v>
      </c>
      <c r="P101" s="5" t="s">
        <v>504</v>
      </c>
    </row>
    <row r="102" spans="1:16" x14ac:dyDescent="0.35">
      <c r="A102" s="5" t="str">
        <f t="shared" si="3"/>
        <v>2022 All Items D90</v>
      </c>
      <c r="B102" s="8">
        <f>'ALL 2024 H2 D80'!$B$2</f>
        <v>46114</v>
      </c>
      <c r="C102" s="8">
        <f>'ALL 2024 H2 D80'!$C$2</f>
        <v>46120</v>
      </c>
      <c r="D102" s="5">
        <v>3208</v>
      </c>
      <c r="E102" s="5">
        <v>320</v>
      </c>
      <c r="F102" s="5">
        <v>1</v>
      </c>
      <c r="G102" s="5">
        <v>1</v>
      </c>
      <c r="H102" s="5">
        <v>81495</v>
      </c>
      <c r="I102" s="5" t="s">
        <v>16</v>
      </c>
      <c r="J102" s="5">
        <v>32375225</v>
      </c>
      <c r="K102" s="5" t="s">
        <v>604</v>
      </c>
      <c r="L102" s="5" t="s">
        <v>1656</v>
      </c>
      <c r="M102" s="6">
        <v>219900</v>
      </c>
      <c r="N102" s="7">
        <v>0.9</v>
      </c>
      <c r="O102" s="6">
        <f t="shared" si="4"/>
        <v>21990</v>
      </c>
      <c r="P102" s="5" t="s">
        <v>504</v>
      </c>
    </row>
    <row r="103" spans="1:16" x14ac:dyDescent="0.35">
      <c r="A103" s="5" t="str">
        <f t="shared" si="3"/>
        <v>2022 All Items D90</v>
      </c>
      <c r="B103" s="8">
        <f>'ALL 2024 H2 D80'!$B$2</f>
        <v>46114</v>
      </c>
      <c r="C103" s="8">
        <f>'ALL 2024 H2 D80'!$C$2</f>
        <v>46120</v>
      </c>
      <c r="D103" s="5">
        <v>3208</v>
      </c>
      <c r="E103" s="5">
        <v>320</v>
      </c>
      <c r="F103" s="5">
        <v>1</v>
      </c>
      <c r="G103" s="5">
        <v>1</v>
      </c>
      <c r="H103" s="5">
        <v>81495</v>
      </c>
      <c r="I103" s="5" t="s">
        <v>16</v>
      </c>
      <c r="J103" s="5">
        <v>32375234</v>
      </c>
      <c r="K103" s="5" t="s">
        <v>604</v>
      </c>
      <c r="L103" s="5" t="s">
        <v>1657</v>
      </c>
      <c r="M103" s="6">
        <v>219900</v>
      </c>
      <c r="N103" s="7">
        <v>0.9</v>
      </c>
      <c r="O103" s="6">
        <f t="shared" si="4"/>
        <v>21990</v>
      </c>
      <c r="P103" s="5" t="s">
        <v>504</v>
      </c>
    </row>
    <row r="104" spans="1:16" x14ac:dyDescent="0.35">
      <c r="A104" s="5" t="str">
        <f t="shared" si="3"/>
        <v>2022 All Items D90</v>
      </c>
      <c r="B104" s="8">
        <f>'ALL 2024 H2 D80'!$B$2</f>
        <v>46114</v>
      </c>
      <c r="C104" s="8">
        <f>'ALL 2024 H2 D80'!$C$2</f>
        <v>46120</v>
      </c>
      <c r="D104" s="5">
        <v>3208</v>
      </c>
      <c r="E104" s="5">
        <v>320</v>
      </c>
      <c r="F104" s="5">
        <v>1</v>
      </c>
      <c r="G104" s="5">
        <v>1</v>
      </c>
      <c r="H104" s="5">
        <v>81495</v>
      </c>
      <c r="I104" s="5" t="s">
        <v>16</v>
      </c>
      <c r="J104" s="5">
        <v>59361770</v>
      </c>
      <c r="K104" s="5" t="s">
        <v>1658</v>
      </c>
      <c r="L104" s="5" t="s">
        <v>1659</v>
      </c>
      <c r="M104" s="6">
        <v>249900</v>
      </c>
      <c r="N104" s="7">
        <v>0.9</v>
      </c>
      <c r="O104" s="6">
        <f t="shared" si="4"/>
        <v>24990</v>
      </c>
      <c r="P104" s="5" t="s">
        <v>504</v>
      </c>
    </row>
    <row r="105" spans="1:16" x14ac:dyDescent="0.35">
      <c r="A105" s="5" t="str">
        <f t="shared" si="3"/>
        <v>2022 All Items D90</v>
      </c>
      <c r="B105" s="8">
        <f>'ALL 2024 H2 D80'!$B$2</f>
        <v>46114</v>
      </c>
      <c r="C105" s="8">
        <f>'ALL 2024 H2 D80'!$C$2</f>
        <v>46120</v>
      </c>
      <c r="D105" s="5">
        <v>3208</v>
      </c>
      <c r="E105" s="5">
        <v>320</v>
      </c>
      <c r="F105" s="5">
        <v>1</v>
      </c>
      <c r="G105" s="5">
        <v>1</v>
      </c>
      <c r="H105" s="5">
        <v>81495</v>
      </c>
      <c r="I105" s="5" t="s">
        <v>16</v>
      </c>
      <c r="J105" s="5">
        <v>59361789</v>
      </c>
      <c r="K105" s="5" t="s">
        <v>1658</v>
      </c>
      <c r="L105" s="5" t="s">
        <v>1660</v>
      </c>
      <c r="M105" s="6">
        <v>249900</v>
      </c>
      <c r="N105" s="7">
        <v>0.9</v>
      </c>
      <c r="O105" s="6">
        <f t="shared" si="4"/>
        <v>24990</v>
      </c>
      <c r="P105" s="5" t="s">
        <v>504</v>
      </c>
    </row>
    <row r="106" spans="1:16" x14ac:dyDescent="0.35">
      <c r="A106" s="5" t="str">
        <f t="shared" si="3"/>
        <v>2022 All Items D90</v>
      </c>
      <c r="B106" s="8">
        <f>'ALL 2024 H2 D80'!$B$2</f>
        <v>46114</v>
      </c>
      <c r="C106" s="8">
        <f>'ALL 2024 H2 D80'!$C$2</f>
        <v>46120</v>
      </c>
      <c r="D106" s="5">
        <v>3208</v>
      </c>
      <c r="E106" s="5">
        <v>320</v>
      </c>
      <c r="F106" s="5">
        <v>1</v>
      </c>
      <c r="G106" s="5">
        <v>1</v>
      </c>
      <c r="H106" s="5">
        <v>81495</v>
      </c>
      <c r="I106" s="5" t="s">
        <v>16</v>
      </c>
      <c r="J106" s="5">
        <v>59361798</v>
      </c>
      <c r="K106" s="5" t="s">
        <v>1658</v>
      </c>
      <c r="L106" s="5" t="s">
        <v>1661</v>
      </c>
      <c r="M106" s="6">
        <v>249900</v>
      </c>
      <c r="N106" s="7">
        <v>0.9</v>
      </c>
      <c r="O106" s="6">
        <f t="shared" si="4"/>
        <v>24990</v>
      </c>
      <c r="P106" s="5" t="s">
        <v>504</v>
      </c>
    </row>
    <row r="107" spans="1:16" x14ac:dyDescent="0.35">
      <c r="A107" s="5" t="str">
        <f t="shared" si="3"/>
        <v>2022 All Items D90</v>
      </c>
      <c r="B107" s="8">
        <f>'ALL 2024 H2 D80'!$B$2</f>
        <v>46114</v>
      </c>
      <c r="C107" s="8">
        <f>'ALL 2024 H2 D80'!$C$2</f>
        <v>46120</v>
      </c>
      <c r="D107" s="5">
        <v>3208</v>
      </c>
      <c r="E107" s="5">
        <v>320</v>
      </c>
      <c r="F107" s="5">
        <v>1</v>
      </c>
      <c r="G107" s="5">
        <v>1</v>
      </c>
      <c r="H107" s="5">
        <v>81495</v>
      </c>
      <c r="I107" s="5" t="s">
        <v>16</v>
      </c>
      <c r="J107" s="5">
        <v>59361805</v>
      </c>
      <c r="K107" s="5" t="s">
        <v>1658</v>
      </c>
      <c r="L107" s="5" t="s">
        <v>1662</v>
      </c>
      <c r="M107" s="6">
        <v>249900</v>
      </c>
      <c r="N107" s="7">
        <v>0.9</v>
      </c>
      <c r="O107" s="6">
        <f t="shared" si="4"/>
        <v>24990</v>
      </c>
      <c r="P107" s="5" t="s">
        <v>504</v>
      </c>
    </row>
    <row r="108" spans="1:16" x14ac:dyDescent="0.35">
      <c r="A108" s="5" t="str">
        <f t="shared" si="3"/>
        <v>2022 All Items D90</v>
      </c>
      <c r="B108" s="8">
        <f>'ALL 2024 H2 D80'!$B$2</f>
        <v>46114</v>
      </c>
      <c r="C108" s="8">
        <f>'ALL 2024 H2 D80'!$C$2</f>
        <v>46120</v>
      </c>
      <c r="D108" s="5">
        <v>3208</v>
      </c>
      <c r="E108" s="5">
        <v>320</v>
      </c>
      <c r="F108" s="5">
        <v>1</v>
      </c>
      <c r="G108" s="5">
        <v>1</v>
      </c>
      <c r="H108" s="5">
        <v>81495</v>
      </c>
      <c r="I108" s="5" t="s">
        <v>16</v>
      </c>
      <c r="J108" s="5">
        <v>59362000</v>
      </c>
      <c r="K108" s="5" t="s">
        <v>1658</v>
      </c>
      <c r="L108" s="5" t="s">
        <v>1663</v>
      </c>
      <c r="M108" s="6">
        <v>249900</v>
      </c>
      <c r="N108" s="7">
        <v>0.9</v>
      </c>
      <c r="O108" s="6">
        <f t="shared" si="4"/>
        <v>24990</v>
      </c>
      <c r="P108" s="5" t="s">
        <v>504</v>
      </c>
    </row>
    <row r="109" spans="1:16" x14ac:dyDescent="0.35">
      <c r="A109" s="5" t="str">
        <f t="shared" si="3"/>
        <v>2022 All Items D90</v>
      </c>
      <c r="B109" s="8">
        <f>'ALL 2024 H2 D80'!$B$2</f>
        <v>46114</v>
      </c>
      <c r="C109" s="8">
        <f>'ALL 2024 H2 D80'!$C$2</f>
        <v>46120</v>
      </c>
      <c r="D109" s="5">
        <v>3208</v>
      </c>
      <c r="E109" s="5">
        <v>320</v>
      </c>
      <c r="F109" s="5">
        <v>1</v>
      </c>
      <c r="G109" s="5">
        <v>1</v>
      </c>
      <c r="H109" s="5">
        <v>81495</v>
      </c>
      <c r="I109" s="5" t="s">
        <v>16</v>
      </c>
      <c r="J109" s="5">
        <v>59362019</v>
      </c>
      <c r="K109" s="5" t="s">
        <v>1658</v>
      </c>
      <c r="L109" s="5" t="s">
        <v>1664</v>
      </c>
      <c r="M109" s="6">
        <v>249900</v>
      </c>
      <c r="N109" s="7">
        <v>0.9</v>
      </c>
      <c r="O109" s="6">
        <f t="shared" si="4"/>
        <v>24990</v>
      </c>
      <c r="P109" s="5" t="s">
        <v>504</v>
      </c>
    </row>
    <row r="110" spans="1:16" x14ac:dyDescent="0.35">
      <c r="A110" s="5" t="str">
        <f t="shared" si="3"/>
        <v>2022 All Items D90</v>
      </c>
      <c r="B110" s="8">
        <f>'ALL 2024 H2 D80'!$B$2</f>
        <v>46114</v>
      </c>
      <c r="C110" s="8">
        <f>'ALL 2024 H2 D80'!$C$2</f>
        <v>46120</v>
      </c>
      <c r="D110" s="5">
        <v>3208</v>
      </c>
      <c r="E110" s="5">
        <v>320</v>
      </c>
      <c r="F110" s="5">
        <v>1</v>
      </c>
      <c r="G110" s="5">
        <v>1</v>
      </c>
      <c r="H110" s="5">
        <v>81495</v>
      </c>
      <c r="I110" s="5" t="s">
        <v>16</v>
      </c>
      <c r="J110" s="5">
        <v>59362028</v>
      </c>
      <c r="K110" s="5" t="s">
        <v>1658</v>
      </c>
      <c r="L110" s="5" t="s">
        <v>1665</v>
      </c>
      <c r="M110" s="6">
        <v>249900</v>
      </c>
      <c r="N110" s="7">
        <v>0.9</v>
      </c>
      <c r="O110" s="6">
        <f t="shared" si="4"/>
        <v>24990</v>
      </c>
      <c r="P110" s="5" t="s">
        <v>504</v>
      </c>
    </row>
    <row r="111" spans="1:16" x14ac:dyDescent="0.35">
      <c r="A111" s="5" t="str">
        <f t="shared" si="3"/>
        <v>2022 All Items D90</v>
      </c>
      <c r="B111" s="8">
        <f>'ALL 2024 H2 D80'!$B$2</f>
        <v>46114</v>
      </c>
      <c r="C111" s="8">
        <f>'ALL 2024 H2 D80'!$C$2</f>
        <v>46120</v>
      </c>
      <c r="D111" s="5">
        <v>3208</v>
      </c>
      <c r="E111" s="5">
        <v>320</v>
      </c>
      <c r="F111" s="5">
        <v>1</v>
      </c>
      <c r="G111" s="5">
        <v>1</v>
      </c>
      <c r="H111" s="5">
        <v>81495</v>
      </c>
      <c r="I111" s="5" t="s">
        <v>16</v>
      </c>
      <c r="J111" s="5">
        <v>59362037</v>
      </c>
      <c r="K111" s="5" t="s">
        <v>1658</v>
      </c>
      <c r="L111" s="5" t="s">
        <v>1666</v>
      </c>
      <c r="M111" s="6">
        <v>249900</v>
      </c>
      <c r="N111" s="7">
        <v>0.9</v>
      </c>
      <c r="O111" s="6">
        <f t="shared" si="4"/>
        <v>24990</v>
      </c>
      <c r="P111" s="5" t="s">
        <v>504</v>
      </c>
    </row>
    <row r="112" spans="1:16" x14ac:dyDescent="0.35">
      <c r="A112" s="5" t="str">
        <f t="shared" si="3"/>
        <v>2022 All Items D90</v>
      </c>
      <c r="B112" s="8">
        <f>'ALL 2024 H2 D80'!$B$2</f>
        <v>46114</v>
      </c>
      <c r="C112" s="8">
        <f>'ALL 2024 H2 D80'!$C$2</f>
        <v>46120</v>
      </c>
      <c r="D112" s="5">
        <v>3208</v>
      </c>
      <c r="E112" s="5">
        <v>320</v>
      </c>
      <c r="F112" s="5">
        <v>1</v>
      </c>
      <c r="G112" s="5">
        <v>1</v>
      </c>
      <c r="H112" s="5">
        <v>81495</v>
      </c>
      <c r="I112" s="5" t="s">
        <v>16</v>
      </c>
      <c r="J112" s="5">
        <v>65898537</v>
      </c>
      <c r="K112" s="5" t="s">
        <v>1667</v>
      </c>
      <c r="L112" s="5" t="s">
        <v>1668</v>
      </c>
      <c r="M112" s="6">
        <v>249900</v>
      </c>
      <c r="N112" s="7">
        <v>0.9</v>
      </c>
      <c r="O112" s="6">
        <f t="shared" si="4"/>
        <v>24990</v>
      </c>
      <c r="P112" s="5" t="s">
        <v>504</v>
      </c>
    </row>
    <row r="113" spans="1:16" x14ac:dyDescent="0.35">
      <c r="A113" s="5" t="str">
        <f t="shared" si="3"/>
        <v>2022 All Items D90</v>
      </c>
      <c r="B113" s="8">
        <f>'ALL 2024 H2 D80'!$B$2</f>
        <v>46114</v>
      </c>
      <c r="C113" s="8">
        <f>'ALL 2024 H2 D80'!$C$2</f>
        <v>46120</v>
      </c>
      <c r="D113" s="5">
        <v>3208</v>
      </c>
      <c r="E113" s="5">
        <v>320</v>
      </c>
      <c r="F113" s="5">
        <v>1</v>
      </c>
      <c r="G113" s="5">
        <v>1</v>
      </c>
      <c r="H113" s="5">
        <v>81495</v>
      </c>
      <c r="I113" s="5" t="s">
        <v>16</v>
      </c>
      <c r="J113" s="5">
        <v>65898546</v>
      </c>
      <c r="K113" s="5" t="s">
        <v>1667</v>
      </c>
      <c r="L113" s="5" t="s">
        <v>1669</v>
      </c>
      <c r="M113" s="6">
        <v>249900</v>
      </c>
      <c r="N113" s="7">
        <v>0.9</v>
      </c>
      <c r="O113" s="6">
        <f t="shared" si="4"/>
        <v>24990</v>
      </c>
      <c r="P113" s="5" t="s">
        <v>504</v>
      </c>
    </row>
    <row r="114" spans="1:16" x14ac:dyDescent="0.35">
      <c r="A114" s="5" t="str">
        <f t="shared" si="3"/>
        <v>2022 All Items D90</v>
      </c>
      <c r="B114" s="8">
        <f>'ALL 2024 H2 D80'!$B$2</f>
        <v>46114</v>
      </c>
      <c r="C114" s="8">
        <f>'ALL 2024 H2 D80'!$C$2</f>
        <v>46120</v>
      </c>
      <c r="D114" s="5">
        <v>3208</v>
      </c>
      <c r="E114" s="5">
        <v>320</v>
      </c>
      <c r="F114" s="5">
        <v>1</v>
      </c>
      <c r="G114" s="5">
        <v>1</v>
      </c>
      <c r="H114" s="5">
        <v>81495</v>
      </c>
      <c r="I114" s="5" t="s">
        <v>16</v>
      </c>
      <c r="J114" s="5">
        <v>65898555</v>
      </c>
      <c r="K114" s="5" t="s">
        <v>1667</v>
      </c>
      <c r="L114" s="5" t="s">
        <v>1670</v>
      </c>
      <c r="M114" s="6">
        <v>249900</v>
      </c>
      <c r="N114" s="7">
        <v>0.9</v>
      </c>
      <c r="O114" s="6">
        <f t="shared" si="4"/>
        <v>24990</v>
      </c>
      <c r="P114" s="5" t="s">
        <v>504</v>
      </c>
    </row>
    <row r="115" spans="1:16" x14ac:dyDescent="0.35">
      <c r="A115" s="5" t="str">
        <f t="shared" si="3"/>
        <v>2022 All Items D90</v>
      </c>
      <c r="B115" s="8">
        <f>'ALL 2024 H2 D80'!$B$2</f>
        <v>46114</v>
      </c>
      <c r="C115" s="8">
        <f>'ALL 2024 H2 D80'!$C$2</f>
        <v>46120</v>
      </c>
      <c r="D115" s="5">
        <v>3208</v>
      </c>
      <c r="E115" s="5">
        <v>320</v>
      </c>
      <c r="F115" s="5">
        <v>1</v>
      </c>
      <c r="G115" s="5">
        <v>1</v>
      </c>
      <c r="H115" s="5">
        <v>81495</v>
      </c>
      <c r="I115" s="5" t="s">
        <v>16</v>
      </c>
      <c r="J115" s="5">
        <v>65898564</v>
      </c>
      <c r="K115" s="5" t="s">
        <v>1667</v>
      </c>
      <c r="L115" s="5" t="s">
        <v>1671</v>
      </c>
      <c r="M115" s="6">
        <v>249900</v>
      </c>
      <c r="N115" s="7">
        <v>0.9</v>
      </c>
      <c r="O115" s="6">
        <f t="shared" si="4"/>
        <v>24990</v>
      </c>
      <c r="P115" s="5" t="s">
        <v>504</v>
      </c>
    </row>
    <row r="116" spans="1:16" x14ac:dyDescent="0.35">
      <c r="A116" s="5" t="str">
        <f t="shared" si="3"/>
        <v>2022 All Items D90</v>
      </c>
      <c r="B116" s="8">
        <f>'ALL 2024 H2 D80'!$B$2</f>
        <v>46114</v>
      </c>
      <c r="C116" s="8">
        <f>'ALL 2024 H2 D80'!$C$2</f>
        <v>46120</v>
      </c>
      <c r="D116" s="5">
        <v>3208</v>
      </c>
      <c r="E116" s="5">
        <v>320</v>
      </c>
      <c r="F116" s="5">
        <v>1</v>
      </c>
      <c r="G116" s="5">
        <v>1</v>
      </c>
      <c r="H116" s="5">
        <v>81495</v>
      </c>
      <c r="I116" s="5" t="s">
        <v>16</v>
      </c>
      <c r="J116" s="5">
        <v>66163202</v>
      </c>
      <c r="K116" s="5" t="s">
        <v>1672</v>
      </c>
      <c r="L116" s="5" t="s">
        <v>1673</v>
      </c>
      <c r="M116" s="6">
        <v>229900</v>
      </c>
      <c r="N116" s="7">
        <v>0.9</v>
      </c>
      <c r="O116" s="6">
        <f t="shared" si="4"/>
        <v>22990</v>
      </c>
      <c r="P116" s="5" t="s">
        <v>504</v>
      </c>
    </row>
    <row r="117" spans="1:16" x14ac:dyDescent="0.35">
      <c r="A117" s="5" t="str">
        <f t="shared" si="3"/>
        <v>2022 All Items D90</v>
      </c>
      <c r="B117" s="8">
        <f>'ALL 2024 H2 D80'!$B$2</f>
        <v>46114</v>
      </c>
      <c r="C117" s="8">
        <f>'ALL 2024 H2 D80'!$C$2</f>
        <v>46120</v>
      </c>
      <c r="D117" s="5">
        <v>3208</v>
      </c>
      <c r="E117" s="5">
        <v>320</v>
      </c>
      <c r="F117" s="5">
        <v>1</v>
      </c>
      <c r="G117" s="5">
        <v>1</v>
      </c>
      <c r="H117" s="5">
        <v>81495</v>
      </c>
      <c r="I117" s="5" t="s">
        <v>16</v>
      </c>
      <c r="J117" s="5">
        <v>66163211</v>
      </c>
      <c r="K117" s="5" t="s">
        <v>1672</v>
      </c>
      <c r="L117" s="5" t="s">
        <v>1674</v>
      </c>
      <c r="M117" s="6">
        <v>229900</v>
      </c>
      <c r="N117" s="7">
        <v>0.9</v>
      </c>
      <c r="O117" s="6">
        <f t="shared" si="4"/>
        <v>22990</v>
      </c>
      <c r="P117" s="5" t="s">
        <v>504</v>
      </c>
    </row>
    <row r="118" spans="1:16" x14ac:dyDescent="0.35">
      <c r="A118" s="5" t="str">
        <f t="shared" si="3"/>
        <v>2022 All Items D90</v>
      </c>
      <c r="B118" s="8">
        <f>'ALL 2024 H2 D80'!$B$2</f>
        <v>46114</v>
      </c>
      <c r="C118" s="8">
        <f>'ALL 2024 H2 D80'!$C$2</f>
        <v>46120</v>
      </c>
      <c r="D118" s="5">
        <v>3208</v>
      </c>
      <c r="E118" s="5">
        <v>320</v>
      </c>
      <c r="F118" s="5">
        <v>1</v>
      </c>
      <c r="G118" s="5">
        <v>1</v>
      </c>
      <c r="H118" s="5">
        <v>81495</v>
      </c>
      <c r="I118" s="5" t="s">
        <v>16</v>
      </c>
      <c r="J118" s="5">
        <v>66164229</v>
      </c>
      <c r="K118" s="5" t="s">
        <v>1675</v>
      </c>
      <c r="L118" s="5" t="s">
        <v>1676</v>
      </c>
      <c r="M118" s="6">
        <v>249900</v>
      </c>
      <c r="N118" s="7">
        <v>0.9</v>
      </c>
      <c r="O118" s="6">
        <f t="shared" si="4"/>
        <v>24990</v>
      </c>
      <c r="P118" s="5" t="s">
        <v>504</v>
      </c>
    </row>
    <row r="119" spans="1:16" x14ac:dyDescent="0.35">
      <c r="A119" s="5" t="str">
        <f t="shared" si="3"/>
        <v>2022 All Items D90</v>
      </c>
      <c r="B119" s="8">
        <f>'ALL 2024 H2 D80'!$B$2</f>
        <v>46114</v>
      </c>
      <c r="C119" s="8">
        <f>'ALL 2024 H2 D80'!$C$2</f>
        <v>46120</v>
      </c>
      <c r="D119" s="5">
        <v>3208</v>
      </c>
      <c r="E119" s="5">
        <v>320</v>
      </c>
      <c r="F119" s="5">
        <v>1</v>
      </c>
      <c r="G119" s="5">
        <v>1</v>
      </c>
      <c r="H119" s="5">
        <v>81495</v>
      </c>
      <c r="I119" s="5" t="s">
        <v>16</v>
      </c>
      <c r="J119" s="5">
        <v>66164238</v>
      </c>
      <c r="K119" s="5" t="s">
        <v>1675</v>
      </c>
      <c r="L119" s="5" t="s">
        <v>1677</v>
      </c>
      <c r="M119" s="6">
        <v>249900</v>
      </c>
      <c r="N119" s="7">
        <v>0.9</v>
      </c>
      <c r="O119" s="6">
        <f t="shared" si="4"/>
        <v>24990</v>
      </c>
      <c r="P119" s="5" t="s">
        <v>504</v>
      </c>
    </row>
    <row r="120" spans="1:16" x14ac:dyDescent="0.35">
      <c r="A120" s="5" t="str">
        <f t="shared" si="3"/>
        <v>2022 All Items D90</v>
      </c>
      <c r="B120" s="8">
        <f>'ALL 2024 H2 D80'!$B$2</f>
        <v>46114</v>
      </c>
      <c r="C120" s="8">
        <f>'ALL 2024 H2 D80'!$C$2</f>
        <v>46120</v>
      </c>
      <c r="D120" s="5">
        <v>3208</v>
      </c>
      <c r="E120" s="5">
        <v>320</v>
      </c>
      <c r="F120" s="5">
        <v>1</v>
      </c>
      <c r="G120" s="5">
        <v>1</v>
      </c>
      <c r="H120" s="5">
        <v>81495</v>
      </c>
      <c r="I120" s="5" t="s">
        <v>16</v>
      </c>
      <c r="J120" s="5">
        <v>66164247</v>
      </c>
      <c r="K120" s="5" t="s">
        <v>1675</v>
      </c>
      <c r="L120" s="5" t="s">
        <v>1678</v>
      </c>
      <c r="M120" s="6">
        <v>249900</v>
      </c>
      <c r="N120" s="7">
        <v>0.9</v>
      </c>
      <c r="O120" s="6">
        <f t="shared" si="4"/>
        <v>24990</v>
      </c>
      <c r="P120" s="5" t="s">
        <v>504</v>
      </c>
    </row>
    <row r="121" spans="1:16" x14ac:dyDescent="0.35">
      <c r="A121" s="5" t="str">
        <f t="shared" si="3"/>
        <v>2022 All Items D90</v>
      </c>
      <c r="B121" s="8">
        <f>'ALL 2024 H2 D80'!$B$2</f>
        <v>46114</v>
      </c>
      <c r="C121" s="8">
        <f>'ALL 2024 H2 D80'!$C$2</f>
        <v>46120</v>
      </c>
      <c r="D121" s="5">
        <v>3208</v>
      </c>
      <c r="E121" s="5">
        <v>320</v>
      </c>
      <c r="F121" s="5">
        <v>1</v>
      </c>
      <c r="G121" s="5">
        <v>1</v>
      </c>
      <c r="H121" s="5">
        <v>81495</v>
      </c>
      <c r="I121" s="5" t="s">
        <v>16</v>
      </c>
      <c r="J121" s="5">
        <v>66164256</v>
      </c>
      <c r="K121" s="5" t="s">
        <v>1675</v>
      </c>
      <c r="L121" s="5" t="s">
        <v>1679</v>
      </c>
      <c r="M121" s="6">
        <v>249900</v>
      </c>
      <c r="N121" s="7">
        <v>0.9</v>
      </c>
      <c r="O121" s="6">
        <f t="shared" si="4"/>
        <v>24990</v>
      </c>
      <c r="P121" s="5" t="s">
        <v>504</v>
      </c>
    </row>
    <row r="122" spans="1:16" x14ac:dyDescent="0.35">
      <c r="A122" s="5" t="str">
        <f t="shared" si="3"/>
        <v>2022 All Items D90</v>
      </c>
      <c r="B122" s="8">
        <f>'ALL 2024 H2 D80'!$B$2</f>
        <v>46114</v>
      </c>
      <c r="C122" s="8">
        <f>'ALL 2024 H2 D80'!$C$2</f>
        <v>46120</v>
      </c>
      <c r="D122" s="5">
        <v>3208</v>
      </c>
      <c r="E122" s="5">
        <v>320</v>
      </c>
      <c r="F122" s="5">
        <v>1</v>
      </c>
      <c r="G122" s="5">
        <v>1</v>
      </c>
      <c r="H122" s="5">
        <v>81495</v>
      </c>
      <c r="I122" s="5" t="s">
        <v>16</v>
      </c>
      <c r="J122" s="5">
        <v>66254524</v>
      </c>
      <c r="K122" s="5" t="s">
        <v>1447</v>
      </c>
      <c r="L122" s="5" t="s">
        <v>1448</v>
      </c>
      <c r="M122" s="6">
        <v>249900</v>
      </c>
      <c r="N122" s="7">
        <v>0.9</v>
      </c>
      <c r="O122" s="6">
        <f t="shared" si="4"/>
        <v>24990</v>
      </c>
      <c r="P122" s="5" t="s">
        <v>504</v>
      </c>
    </row>
    <row r="123" spans="1:16" x14ac:dyDescent="0.35">
      <c r="A123" s="5" t="str">
        <f t="shared" si="3"/>
        <v>2022 All Items D90</v>
      </c>
      <c r="B123" s="8">
        <f>'ALL 2024 H2 D80'!$B$2</f>
        <v>46114</v>
      </c>
      <c r="C123" s="8">
        <f>'ALL 2024 H2 D80'!$C$2</f>
        <v>46120</v>
      </c>
      <c r="D123" s="5">
        <v>3208</v>
      </c>
      <c r="E123" s="5">
        <v>320</v>
      </c>
      <c r="F123" s="5">
        <v>1</v>
      </c>
      <c r="G123" s="5">
        <v>1</v>
      </c>
      <c r="H123" s="5">
        <v>81495</v>
      </c>
      <c r="I123" s="5" t="s">
        <v>16</v>
      </c>
      <c r="J123" s="5">
        <v>66254542</v>
      </c>
      <c r="K123" s="5" t="s">
        <v>1447</v>
      </c>
      <c r="L123" s="5" t="s">
        <v>1449</v>
      </c>
      <c r="M123" s="6">
        <v>249900</v>
      </c>
      <c r="N123" s="7">
        <v>0.9</v>
      </c>
      <c r="O123" s="6">
        <f t="shared" si="4"/>
        <v>24990</v>
      </c>
      <c r="P123" s="5" t="s">
        <v>504</v>
      </c>
    </row>
    <row r="124" spans="1:16" x14ac:dyDescent="0.35">
      <c r="A124" s="5" t="str">
        <f t="shared" si="3"/>
        <v>2022 All Items D90</v>
      </c>
      <c r="B124" s="8">
        <f>'ALL 2024 H2 D80'!$B$2</f>
        <v>46114</v>
      </c>
      <c r="C124" s="8">
        <f>'ALL 2024 H2 D80'!$C$2</f>
        <v>46120</v>
      </c>
      <c r="D124" s="5">
        <v>3208</v>
      </c>
      <c r="E124" s="5">
        <v>320</v>
      </c>
      <c r="F124" s="5">
        <v>1</v>
      </c>
      <c r="G124" s="5">
        <v>1</v>
      </c>
      <c r="H124" s="5">
        <v>81495</v>
      </c>
      <c r="I124" s="5" t="s">
        <v>16</v>
      </c>
      <c r="J124" s="5">
        <v>66254882</v>
      </c>
      <c r="K124" s="5" t="s">
        <v>1429</v>
      </c>
      <c r="L124" s="5" t="s">
        <v>1430</v>
      </c>
      <c r="M124" s="6">
        <v>249900</v>
      </c>
      <c r="N124" s="7">
        <v>0.9</v>
      </c>
      <c r="O124" s="6">
        <f t="shared" si="4"/>
        <v>24990</v>
      </c>
      <c r="P124" s="5" t="s">
        <v>504</v>
      </c>
    </row>
    <row r="125" spans="1:16" x14ac:dyDescent="0.35">
      <c r="A125" s="5" t="str">
        <f t="shared" si="3"/>
        <v>2022 All Items D90</v>
      </c>
      <c r="B125" s="8">
        <f>'ALL 2024 H2 D80'!$B$2</f>
        <v>46114</v>
      </c>
      <c r="C125" s="8">
        <f>'ALL 2024 H2 D80'!$C$2</f>
        <v>46120</v>
      </c>
      <c r="D125" s="5">
        <v>3208</v>
      </c>
      <c r="E125" s="5">
        <v>320</v>
      </c>
      <c r="F125" s="5">
        <v>1</v>
      </c>
      <c r="G125" s="5">
        <v>1</v>
      </c>
      <c r="H125" s="5">
        <v>81495</v>
      </c>
      <c r="I125" s="5" t="s">
        <v>16</v>
      </c>
      <c r="J125" s="5">
        <v>66254891</v>
      </c>
      <c r="K125" s="5" t="s">
        <v>1429</v>
      </c>
      <c r="L125" s="5" t="s">
        <v>1431</v>
      </c>
      <c r="M125" s="6">
        <v>249900</v>
      </c>
      <c r="N125" s="7">
        <v>0.9</v>
      </c>
      <c r="O125" s="6">
        <f t="shared" si="4"/>
        <v>24990</v>
      </c>
      <c r="P125" s="5" t="s">
        <v>504</v>
      </c>
    </row>
    <row r="126" spans="1:16" x14ac:dyDescent="0.35">
      <c r="A126" s="5" t="str">
        <f t="shared" si="3"/>
        <v>2022 All Items D90</v>
      </c>
      <c r="B126" s="8">
        <f>'ALL 2024 H2 D80'!$B$2</f>
        <v>46114</v>
      </c>
      <c r="C126" s="8">
        <f>'ALL 2024 H2 D80'!$C$2</f>
        <v>46120</v>
      </c>
      <c r="D126" s="5">
        <v>3208</v>
      </c>
      <c r="E126" s="5">
        <v>320</v>
      </c>
      <c r="F126" s="5">
        <v>1</v>
      </c>
      <c r="G126" s="5">
        <v>1</v>
      </c>
      <c r="H126" s="5">
        <v>81495</v>
      </c>
      <c r="I126" s="5" t="s">
        <v>16</v>
      </c>
      <c r="J126" s="5">
        <v>66254908</v>
      </c>
      <c r="K126" s="5" t="s">
        <v>1429</v>
      </c>
      <c r="L126" s="5" t="s">
        <v>1432</v>
      </c>
      <c r="M126" s="6">
        <v>249900</v>
      </c>
      <c r="N126" s="7">
        <v>0.9</v>
      </c>
      <c r="O126" s="6">
        <f t="shared" si="4"/>
        <v>24990</v>
      </c>
      <c r="P126" s="5" t="s">
        <v>504</v>
      </c>
    </row>
    <row r="127" spans="1:16" x14ac:dyDescent="0.35">
      <c r="A127" s="5" t="str">
        <f t="shared" si="3"/>
        <v>2022 All Items D90</v>
      </c>
      <c r="B127" s="8">
        <f>'ALL 2024 H2 D80'!$B$2</f>
        <v>46114</v>
      </c>
      <c r="C127" s="8">
        <f>'ALL 2024 H2 D80'!$C$2</f>
        <v>46120</v>
      </c>
      <c r="D127" s="5">
        <v>3208</v>
      </c>
      <c r="E127" s="5">
        <v>320</v>
      </c>
      <c r="F127" s="5">
        <v>1</v>
      </c>
      <c r="G127" s="5">
        <v>1</v>
      </c>
      <c r="H127" s="5">
        <v>81495</v>
      </c>
      <c r="I127" s="5" t="s">
        <v>16</v>
      </c>
      <c r="J127" s="5">
        <v>66254917</v>
      </c>
      <c r="K127" s="5" t="s">
        <v>1429</v>
      </c>
      <c r="L127" s="5" t="s">
        <v>1433</v>
      </c>
      <c r="M127" s="6">
        <v>249900</v>
      </c>
      <c r="N127" s="7">
        <v>0.9</v>
      </c>
      <c r="O127" s="6">
        <f t="shared" si="4"/>
        <v>24990</v>
      </c>
      <c r="P127" s="5" t="s">
        <v>504</v>
      </c>
    </row>
    <row r="128" spans="1:16" x14ac:dyDescent="0.35">
      <c r="A128" s="5" t="str">
        <f t="shared" si="3"/>
        <v>2022 All Items D90</v>
      </c>
      <c r="B128" s="8">
        <f>'ALL 2024 H2 D80'!$B$2</f>
        <v>46114</v>
      </c>
      <c r="C128" s="8">
        <f>'ALL 2024 H2 D80'!$C$2</f>
        <v>46120</v>
      </c>
      <c r="D128" s="5">
        <v>3208</v>
      </c>
      <c r="E128" s="5">
        <v>320</v>
      </c>
      <c r="F128" s="5">
        <v>1</v>
      </c>
      <c r="G128" s="5">
        <v>1</v>
      </c>
      <c r="H128" s="5">
        <v>81495</v>
      </c>
      <c r="I128" s="5" t="s">
        <v>16</v>
      </c>
      <c r="J128" s="5">
        <v>66254971</v>
      </c>
      <c r="K128" s="5" t="s">
        <v>1434</v>
      </c>
      <c r="L128" s="5" t="s">
        <v>1435</v>
      </c>
      <c r="M128" s="6">
        <v>329900</v>
      </c>
      <c r="N128" s="7">
        <v>0.9</v>
      </c>
      <c r="O128" s="6">
        <f t="shared" si="4"/>
        <v>32990</v>
      </c>
      <c r="P128" s="5" t="s">
        <v>504</v>
      </c>
    </row>
    <row r="129" spans="1:16" x14ac:dyDescent="0.35">
      <c r="A129" s="5" t="str">
        <f t="shared" si="3"/>
        <v>2022 All Items D90</v>
      </c>
      <c r="B129" s="8">
        <f>'ALL 2024 H2 D80'!$B$2</f>
        <v>46114</v>
      </c>
      <c r="C129" s="8">
        <f>'ALL 2024 H2 D80'!$C$2</f>
        <v>46120</v>
      </c>
      <c r="D129" s="5">
        <v>3208</v>
      </c>
      <c r="E129" s="5">
        <v>320</v>
      </c>
      <c r="F129" s="5">
        <v>1</v>
      </c>
      <c r="G129" s="5">
        <v>1</v>
      </c>
      <c r="H129" s="5">
        <v>81495</v>
      </c>
      <c r="I129" s="5" t="s">
        <v>16</v>
      </c>
      <c r="J129" s="5">
        <v>66254980</v>
      </c>
      <c r="K129" s="5" t="s">
        <v>1434</v>
      </c>
      <c r="L129" s="5" t="s">
        <v>1436</v>
      </c>
      <c r="M129" s="6">
        <v>329900</v>
      </c>
      <c r="N129" s="7">
        <v>0.9</v>
      </c>
      <c r="O129" s="6">
        <f t="shared" si="4"/>
        <v>32990</v>
      </c>
      <c r="P129" s="5" t="s">
        <v>504</v>
      </c>
    </row>
    <row r="130" spans="1:16" x14ac:dyDescent="0.35">
      <c r="A130" s="5" t="str">
        <f t="shared" si="3"/>
        <v>2022 All Items D90</v>
      </c>
      <c r="B130" s="8">
        <f>'ALL 2024 H2 D80'!$B$2</f>
        <v>46114</v>
      </c>
      <c r="C130" s="8">
        <f>'ALL 2024 H2 D80'!$C$2</f>
        <v>46120</v>
      </c>
      <c r="D130" s="5">
        <v>3208</v>
      </c>
      <c r="E130" s="5">
        <v>320</v>
      </c>
      <c r="F130" s="5">
        <v>1</v>
      </c>
      <c r="G130" s="5">
        <v>1</v>
      </c>
      <c r="H130" s="5">
        <v>81495</v>
      </c>
      <c r="I130" s="5" t="s">
        <v>16</v>
      </c>
      <c r="J130" s="5">
        <v>66254999</v>
      </c>
      <c r="K130" s="5" t="s">
        <v>1434</v>
      </c>
      <c r="L130" s="5" t="s">
        <v>1437</v>
      </c>
      <c r="M130" s="6">
        <v>329900</v>
      </c>
      <c r="N130" s="7">
        <v>0.9</v>
      </c>
      <c r="O130" s="6">
        <f t="shared" si="4"/>
        <v>32990</v>
      </c>
      <c r="P130" s="5" t="s">
        <v>504</v>
      </c>
    </row>
    <row r="131" spans="1:16" x14ac:dyDescent="0.35">
      <c r="A131" s="5" t="str">
        <f t="shared" si="3"/>
        <v>2022 All Items D90</v>
      </c>
      <c r="B131" s="8">
        <f>'ALL 2024 H2 D80'!$B$2</f>
        <v>46114</v>
      </c>
      <c r="C131" s="8">
        <f>'ALL 2024 H2 D80'!$C$2</f>
        <v>46120</v>
      </c>
      <c r="D131" s="5">
        <v>3208</v>
      </c>
      <c r="E131" s="5">
        <v>320</v>
      </c>
      <c r="F131" s="5">
        <v>1</v>
      </c>
      <c r="G131" s="5">
        <v>1</v>
      </c>
      <c r="H131" s="5">
        <v>81495</v>
      </c>
      <c r="I131" s="5" t="s">
        <v>16</v>
      </c>
      <c r="J131" s="5">
        <v>66255005</v>
      </c>
      <c r="K131" s="5" t="s">
        <v>1434</v>
      </c>
      <c r="L131" s="5" t="s">
        <v>1438</v>
      </c>
      <c r="M131" s="6">
        <v>329900</v>
      </c>
      <c r="N131" s="7">
        <v>0.9</v>
      </c>
      <c r="O131" s="6">
        <f t="shared" si="4"/>
        <v>32990</v>
      </c>
      <c r="P131" s="5" t="s">
        <v>504</v>
      </c>
    </row>
    <row r="132" spans="1:16" x14ac:dyDescent="0.35">
      <c r="A132" s="5" t="str">
        <f t="shared" ref="A132:A195" si="5">$A$2</f>
        <v>2022 All Items D90</v>
      </c>
      <c r="B132" s="8">
        <f>'ALL 2024 H2 D80'!$B$2</f>
        <v>46114</v>
      </c>
      <c r="C132" s="8">
        <f>'ALL 2024 H2 D80'!$C$2</f>
        <v>46120</v>
      </c>
      <c r="D132" s="5">
        <v>3208</v>
      </c>
      <c r="E132" s="5">
        <v>320</v>
      </c>
      <c r="F132" s="5">
        <v>1</v>
      </c>
      <c r="G132" s="5">
        <v>1</v>
      </c>
      <c r="H132" s="5">
        <v>81495</v>
      </c>
      <c r="I132" s="5" t="s">
        <v>16</v>
      </c>
      <c r="J132" s="5">
        <v>66255069</v>
      </c>
      <c r="K132" s="5" t="s">
        <v>1439</v>
      </c>
      <c r="L132" s="5" t="s">
        <v>1440</v>
      </c>
      <c r="M132" s="6">
        <v>329900</v>
      </c>
      <c r="N132" s="7">
        <v>0.9</v>
      </c>
      <c r="O132" s="6">
        <f t="shared" si="4"/>
        <v>32990</v>
      </c>
      <c r="P132" s="5" t="s">
        <v>504</v>
      </c>
    </row>
    <row r="133" spans="1:16" x14ac:dyDescent="0.35">
      <c r="A133" s="5" t="str">
        <f t="shared" si="5"/>
        <v>2022 All Items D90</v>
      </c>
      <c r="B133" s="8">
        <f>'ALL 2024 H2 D80'!$B$2</f>
        <v>46114</v>
      </c>
      <c r="C133" s="8">
        <f>'ALL 2024 H2 D80'!$C$2</f>
        <v>46120</v>
      </c>
      <c r="D133" s="5">
        <v>3208</v>
      </c>
      <c r="E133" s="5">
        <v>320</v>
      </c>
      <c r="F133" s="5">
        <v>1</v>
      </c>
      <c r="G133" s="5">
        <v>1</v>
      </c>
      <c r="H133" s="5">
        <v>81495</v>
      </c>
      <c r="I133" s="5" t="s">
        <v>16</v>
      </c>
      <c r="J133" s="5">
        <v>66255078</v>
      </c>
      <c r="K133" s="5" t="s">
        <v>1439</v>
      </c>
      <c r="L133" s="5" t="s">
        <v>1441</v>
      </c>
      <c r="M133" s="6">
        <v>329900</v>
      </c>
      <c r="N133" s="7">
        <v>0.9</v>
      </c>
      <c r="O133" s="6">
        <f t="shared" si="4"/>
        <v>32990</v>
      </c>
      <c r="P133" s="5" t="s">
        <v>504</v>
      </c>
    </row>
    <row r="134" spans="1:16" x14ac:dyDescent="0.35">
      <c r="A134" s="5" t="str">
        <f t="shared" si="5"/>
        <v>2022 All Items D90</v>
      </c>
      <c r="B134" s="8">
        <f>'ALL 2024 H2 D80'!$B$2</f>
        <v>46114</v>
      </c>
      <c r="C134" s="8">
        <f>'ALL 2024 H2 D80'!$C$2</f>
        <v>46120</v>
      </c>
      <c r="D134" s="5">
        <v>3208</v>
      </c>
      <c r="E134" s="5">
        <v>320</v>
      </c>
      <c r="F134" s="5">
        <v>1</v>
      </c>
      <c r="G134" s="5">
        <v>1</v>
      </c>
      <c r="H134" s="5">
        <v>81495</v>
      </c>
      <c r="I134" s="5" t="s">
        <v>16</v>
      </c>
      <c r="J134" s="5">
        <v>66255121</v>
      </c>
      <c r="K134" s="5" t="s">
        <v>1452</v>
      </c>
      <c r="L134" s="5" t="s">
        <v>1453</v>
      </c>
      <c r="M134" s="6">
        <v>249900</v>
      </c>
      <c r="N134" s="7">
        <v>0.9</v>
      </c>
      <c r="O134" s="6">
        <f t="shared" si="4"/>
        <v>24990</v>
      </c>
      <c r="P134" s="5" t="s">
        <v>504</v>
      </c>
    </row>
    <row r="135" spans="1:16" x14ac:dyDescent="0.35">
      <c r="A135" s="5" t="str">
        <f t="shared" si="5"/>
        <v>2022 All Items D90</v>
      </c>
      <c r="B135" s="8">
        <f>'ALL 2024 H2 D80'!$B$2</f>
        <v>46114</v>
      </c>
      <c r="C135" s="8">
        <f>'ALL 2024 H2 D80'!$C$2</f>
        <v>46120</v>
      </c>
      <c r="D135" s="5">
        <v>3208</v>
      </c>
      <c r="E135" s="5">
        <v>320</v>
      </c>
      <c r="F135" s="5">
        <v>1</v>
      </c>
      <c r="G135" s="5">
        <v>1</v>
      </c>
      <c r="H135" s="5">
        <v>81495</v>
      </c>
      <c r="I135" s="5" t="s">
        <v>16</v>
      </c>
      <c r="J135" s="5">
        <v>66255292</v>
      </c>
      <c r="K135" s="5" t="s">
        <v>1450</v>
      </c>
      <c r="L135" s="5" t="s">
        <v>1451</v>
      </c>
      <c r="M135" s="6">
        <v>279900</v>
      </c>
      <c r="N135" s="7">
        <v>0.9</v>
      </c>
      <c r="O135" s="6">
        <f t="shared" si="4"/>
        <v>27990</v>
      </c>
      <c r="P135" s="5" t="s">
        <v>504</v>
      </c>
    </row>
    <row r="136" spans="1:16" x14ac:dyDescent="0.35">
      <c r="A136" s="5" t="str">
        <f t="shared" si="5"/>
        <v>2022 All Items D90</v>
      </c>
      <c r="B136" s="8">
        <f>'ALL 2024 H2 D80'!$B$2</f>
        <v>46114</v>
      </c>
      <c r="C136" s="8">
        <f>'ALL 2024 H2 D80'!$C$2</f>
        <v>46120</v>
      </c>
      <c r="D136" s="5">
        <v>3208</v>
      </c>
      <c r="E136" s="5">
        <v>320</v>
      </c>
      <c r="F136" s="5">
        <v>1</v>
      </c>
      <c r="G136" s="5">
        <v>1</v>
      </c>
      <c r="H136" s="5">
        <v>81495</v>
      </c>
      <c r="I136" s="5" t="s">
        <v>16</v>
      </c>
      <c r="J136" s="5">
        <v>66255327</v>
      </c>
      <c r="K136" s="5" t="s">
        <v>1680</v>
      </c>
      <c r="L136" s="5" t="s">
        <v>1681</v>
      </c>
      <c r="M136" s="6">
        <v>279900</v>
      </c>
      <c r="N136" s="7">
        <v>0.9</v>
      </c>
      <c r="O136" s="6">
        <f t="shared" si="4"/>
        <v>27990</v>
      </c>
      <c r="P136" s="5" t="s">
        <v>504</v>
      </c>
    </row>
    <row r="137" spans="1:16" x14ac:dyDescent="0.35">
      <c r="A137" s="5" t="str">
        <f t="shared" si="5"/>
        <v>2022 All Items D90</v>
      </c>
      <c r="B137" s="8">
        <f>'ALL 2024 H2 D80'!$B$2</f>
        <v>46114</v>
      </c>
      <c r="C137" s="8">
        <f>'ALL 2024 H2 D80'!$C$2</f>
        <v>46120</v>
      </c>
      <c r="D137" s="5">
        <v>3208</v>
      </c>
      <c r="E137" s="5">
        <v>320</v>
      </c>
      <c r="F137" s="5">
        <v>1</v>
      </c>
      <c r="G137" s="5">
        <v>1</v>
      </c>
      <c r="H137" s="5">
        <v>81495</v>
      </c>
      <c r="I137" s="5" t="s">
        <v>16</v>
      </c>
      <c r="J137" s="5">
        <v>66255336</v>
      </c>
      <c r="K137" s="5" t="s">
        <v>1680</v>
      </c>
      <c r="L137" s="5" t="s">
        <v>1682</v>
      </c>
      <c r="M137" s="6">
        <v>279900</v>
      </c>
      <c r="N137" s="7">
        <v>0.9</v>
      </c>
      <c r="O137" s="6">
        <f t="shared" si="4"/>
        <v>27990</v>
      </c>
      <c r="P137" s="5" t="s">
        <v>504</v>
      </c>
    </row>
    <row r="138" spans="1:16" x14ac:dyDescent="0.35">
      <c r="A138" s="5" t="str">
        <f t="shared" si="5"/>
        <v>2022 All Items D90</v>
      </c>
      <c r="B138" s="8">
        <f>'ALL 2024 H2 D80'!$B$2</f>
        <v>46114</v>
      </c>
      <c r="C138" s="8">
        <f>'ALL 2024 H2 D80'!$C$2</f>
        <v>46120</v>
      </c>
      <c r="D138" s="5">
        <v>3208</v>
      </c>
      <c r="E138" s="5">
        <v>320</v>
      </c>
      <c r="F138" s="5">
        <v>1</v>
      </c>
      <c r="G138" s="5">
        <v>1</v>
      </c>
      <c r="H138" s="5">
        <v>81495</v>
      </c>
      <c r="I138" s="5" t="s">
        <v>16</v>
      </c>
      <c r="J138" s="5">
        <v>66255345</v>
      </c>
      <c r="K138" s="5" t="s">
        <v>1680</v>
      </c>
      <c r="L138" s="5" t="s">
        <v>1683</v>
      </c>
      <c r="M138" s="6">
        <v>279900</v>
      </c>
      <c r="N138" s="7">
        <v>0.9</v>
      </c>
      <c r="O138" s="6">
        <f t="shared" ref="O138:O201" si="6">M138-(M138*N138)</f>
        <v>27990</v>
      </c>
      <c r="P138" s="5" t="s">
        <v>504</v>
      </c>
    </row>
    <row r="139" spans="1:16" x14ac:dyDescent="0.35">
      <c r="A139" s="5" t="str">
        <f t="shared" si="5"/>
        <v>2022 All Items D90</v>
      </c>
      <c r="B139" s="8">
        <f>'ALL 2024 H2 D80'!$B$2</f>
        <v>46114</v>
      </c>
      <c r="C139" s="8">
        <f>'ALL 2024 H2 D80'!$C$2</f>
        <v>46120</v>
      </c>
      <c r="D139" s="5">
        <v>3208</v>
      </c>
      <c r="E139" s="5">
        <v>320</v>
      </c>
      <c r="F139" s="5">
        <v>1</v>
      </c>
      <c r="G139" s="5">
        <v>1</v>
      </c>
      <c r="H139" s="5">
        <v>81495</v>
      </c>
      <c r="I139" s="5" t="s">
        <v>16</v>
      </c>
      <c r="J139" s="5">
        <v>66255354</v>
      </c>
      <c r="K139" s="5" t="s">
        <v>1680</v>
      </c>
      <c r="L139" s="5" t="s">
        <v>1684</v>
      </c>
      <c r="M139" s="6">
        <v>279900</v>
      </c>
      <c r="N139" s="7">
        <v>0.9</v>
      </c>
      <c r="O139" s="6">
        <f t="shared" si="6"/>
        <v>27990</v>
      </c>
      <c r="P139" s="5" t="s">
        <v>504</v>
      </c>
    </row>
    <row r="140" spans="1:16" x14ac:dyDescent="0.35">
      <c r="A140" s="5" t="str">
        <f t="shared" si="5"/>
        <v>2022 All Items D90</v>
      </c>
      <c r="B140" s="8">
        <f>'ALL 2024 H2 D80'!$B$2</f>
        <v>46114</v>
      </c>
      <c r="C140" s="8">
        <f>'ALL 2024 H2 D80'!$C$2</f>
        <v>46120</v>
      </c>
      <c r="D140" s="5">
        <v>3208</v>
      </c>
      <c r="E140" s="5">
        <v>320</v>
      </c>
      <c r="F140" s="5">
        <v>1</v>
      </c>
      <c r="G140" s="5">
        <v>1</v>
      </c>
      <c r="H140" s="5">
        <v>81495</v>
      </c>
      <c r="I140" s="5" t="s">
        <v>16</v>
      </c>
      <c r="J140" s="5">
        <v>66255827</v>
      </c>
      <c r="K140" s="5" t="s">
        <v>1685</v>
      </c>
      <c r="L140" s="5" t="s">
        <v>1686</v>
      </c>
      <c r="M140" s="6">
        <v>199900</v>
      </c>
      <c r="N140" s="7">
        <v>0.9</v>
      </c>
      <c r="O140" s="6">
        <f t="shared" si="6"/>
        <v>19990</v>
      </c>
      <c r="P140" s="5" t="s">
        <v>504</v>
      </c>
    </row>
    <row r="141" spans="1:16" x14ac:dyDescent="0.35">
      <c r="A141" s="5" t="str">
        <f t="shared" si="5"/>
        <v>2022 All Items D90</v>
      </c>
      <c r="B141" s="8">
        <f>'ALL 2024 H2 D80'!$B$2</f>
        <v>46114</v>
      </c>
      <c r="C141" s="8">
        <f>'ALL 2024 H2 D80'!$C$2</f>
        <v>46120</v>
      </c>
      <c r="D141" s="5">
        <v>3208</v>
      </c>
      <c r="E141" s="5">
        <v>320</v>
      </c>
      <c r="F141" s="5">
        <v>1</v>
      </c>
      <c r="G141" s="5">
        <v>1</v>
      </c>
      <c r="H141" s="5">
        <v>81495</v>
      </c>
      <c r="I141" s="5" t="s">
        <v>16</v>
      </c>
      <c r="J141" s="5">
        <v>66255845</v>
      </c>
      <c r="K141" s="5" t="s">
        <v>1685</v>
      </c>
      <c r="L141" s="5" t="s">
        <v>1687</v>
      </c>
      <c r="M141" s="6">
        <v>199900</v>
      </c>
      <c r="N141" s="7">
        <v>0.9</v>
      </c>
      <c r="O141" s="6">
        <f t="shared" si="6"/>
        <v>19990</v>
      </c>
      <c r="P141" s="5" t="s">
        <v>504</v>
      </c>
    </row>
    <row r="142" spans="1:16" x14ac:dyDescent="0.35">
      <c r="A142" s="5" t="str">
        <f t="shared" si="5"/>
        <v>2022 All Items D90</v>
      </c>
      <c r="B142" s="8">
        <f>'ALL 2024 H2 D80'!$B$2</f>
        <v>46114</v>
      </c>
      <c r="C142" s="8">
        <f>'ALL 2024 H2 D80'!$C$2</f>
        <v>46120</v>
      </c>
      <c r="D142" s="5">
        <v>3208</v>
      </c>
      <c r="E142" s="5">
        <v>320</v>
      </c>
      <c r="F142" s="5">
        <v>1</v>
      </c>
      <c r="G142" s="5">
        <v>1</v>
      </c>
      <c r="H142" s="5">
        <v>81495</v>
      </c>
      <c r="I142" s="5" t="s">
        <v>16</v>
      </c>
      <c r="J142" s="5">
        <v>66255854</v>
      </c>
      <c r="K142" s="5" t="s">
        <v>1685</v>
      </c>
      <c r="L142" s="5" t="s">
        <v>1688</v>
      </c>
      <c r="M142" s="6">
        <v>199900</v>
      </c>
      <c r="N142" s="7">
        <v>0.9</v>
      </c>
      <c r="O142" s="6">
        <f t="shared" si="6"/>
        <v>19990</v>
      </c>
      <c r="P142" s="5" t="s">
        <v>504</v>
      </c>
    </row>
    <row r="143" spans="1:16" x14ac:dyDescent="0.35">
      <c r="A143" s="5" t="str">
        <f t="shared" si="5"/>
        <v>2022 All Items D90</v>
      </c>
      <c r="B143" s="8">
        <f>'ALL 2024 H2 D80'!$B$2</f>
        <v>46114</v>
      </c>
      <c r="C143" s="8">
        <f>'ALL 2024 H2 D80'!$C$2</f>
        <v>46120</v>
      </c>
      <c r="D143" s="5">
        <v>3208</v>
      </c>
      <c r="E143" s="5">
        <v>320</v>
      </c>
      <c r="F143" s="5">
        <v>1</v>
      </c>
      <c r="G143" s="5">
        <v>1</v>
      </c>
      <c r="H143" s="5">
        <v>81495</v>
      </c>
      <c r="I143" s="5" t="s">
        <v>16</v>
      </c>
      <c r="J143" s="5">
        <v>73314553</v>
      </c>
      <c r="K143" s="5" t="s">
        <v>1076</v>
      </c>
      <c r="L143" s="5" t="s">
        <v>1077</v>
      </c>
      <c r="M143" s="6">
        <v>249900</v>
      </c>
      <c r="N143" s="7">
        <v>0.9</v>
      </c>
      <c r="O143" s="6">
        <f t="shared" si="6"/>
        <v>24990</v>
      </c>
      <c r="P143" s="5" t="s">
        <v>504</v>
      </c>
    </row>
    <row r="144" spans="1:16" x14ac:dyDescent="0.35">
      <c r="A144" s="5" t="str">
        <f t="shared" si="5"/>
        <v>2022 All Items D90</v>
      </c>
      <c r="B144" s="8">
        <f>'ALL 2024 H2 D80'!$B$2</f>
        <v>46114</v>
      </c>
      <c r="C144" s="8">
        <f>'ALL 2024 H2 D80'!$C$2</f>
        <v>46120</v>
      </c>
      <c r="D144" s="5">
        <v>3208</v>
      </c>
      <c r="E144" s="5">
        <v>320</v>
      </c>
      <c r="F144" s="5">
        <v>1</v>
      </c>
      <c r="G144" s="5">
        <v>1</v>
      </c>
      <c r="H144" s="5">
        <v>81495</v>
      </c>
      <c r="I144" s="5" t="s">
        <v>16</v>
      </c>
      <c r="J144" s="5">
        <v>73314562</v>
      </c>
      <c r="K144" s="5" t="s">
        <v>1076</v>
      </c>
      <c r="L144" s="5" t="s">
        <v>1078</v>
      </c>
      <c r="M144" s="6">
        <v>249900</v>
      </c>
      <c r="N144" s="7">
        <v>0.9</v>
      </c>
      <c r="O144" s="6">
        <f t="shared" si="6"/>
        <v>24990</v>
      </c>
      <c r="P144" s="5" t="s">
        <v>504</v>
      </c>
    </row>
    <row r="145" spans="1:16" x14ac:dyDescent="0.35">
      <c r="A145" s="5" t="str">
        <f t="shared" si="5"/>
        <v>2022 All Items D90</v>
      </c>
      <c r="B145" s="8">
        <f>'ALL 2024 H2 D80'!$B$2</f>
        <v>46114</v>
      </c>
      <c r="C145" s="8">
        <f>'ALL 2024 H2 D80'!$C$2</f>
        <v>46120</v>
      </c>
      <c r="D145" s="5">
        <v>3208</v>
      </c>
      <c r="E145" s="5">
        <v>320</v>
      </c>
      <c r="F145" s="5">
        <v>1</v>
      </c>
      <c r="G145" s="5">
        <v>1</v>
      </c>
      <c r="H145" s="5">
        <v>81495</v>
      </c>
      <c r="I145" s="5" t="s">
        <v>16</v>
      </c>
      <c r="J145" s="5">
        <v>73314580</v>
      </c>
      <c r="K145" s="5" t="s">
        <v>1076</v>
      </c>
      <c r="L145" s="5" t="s">
        <v>1079</v>
      </c>
      <c r="M145" s="6">
        <v>249900</v>
      </c>
      <c r="N145" s="7">
        <v>0.9</v>
      </c>
      <c r="O145" s="6">
        <f t="shared" si="6"/>
        <v>24990</v>
      </c>
      <c r="P145" s="5" t="s">
        <v>504</v>
      </c>
    </row>
    <row r="146" spans="1:16" x14ac:dyDescent="0.35">
      <c r="A146" s="5" t="str">
        <f t="shared" si="5"/>
        <v>2022 All Items D90</v>
      </c>
      <c r="B146" s="8">
        <f>'ALL 2024 H2 D80'!$B$2</f>
        <v>46114</v>
      </c>
      <c r="C146" s="8">
        <f>'ALL 2024 H2 D80'!$C$2</f>
        <v>46120</v>
      </c>
      <c r="D146" s="5">
        <v>3208</v>
      </c>
      <c r="E146" s="5">
        <v>320</v>
      </c>
      <c r="F146" s="5">
        <v>1</v>
      </c>
      <c r="G146" s="5">
        <v>1</v>
      </c>
      <c r="H146" s="5">
        <v>81495</v>
      </c>
      <c r="I146" s="5" t="s">
        <v>16</v>
      </c>
      <c r="J146" s="5">
        <v>73314624</v>
      </c>
      <c r="K146" s="5" t="s">
        <v>1689</v>
      </c>
      <c r="L146" s="5" t="s">
        <v>1690</v>
      </c>
      <c r="M146" s="6">
        <v>269900</v>
      </c>
      <c r="N146" s="7">
        <v>0.9</v>
      </c>
      <c r="O146" s="6">
        <f t="shared" si="6"/>
        <v>26990</v>
      </c>
      <c r="P146" s="5" t="s">
        <v>504</v>
      </c>
    </row>
    <row r="147" spans="1:16" x14ac:dyDescent="0.35">
      <c r="A147" s="5" t="str">
        <f t="shared" si="5"/>
        <v>2022 All Items D90</v>
      </c>
      <c r="B147" s="8">
        <f>'ALL 2024 H2 D80'!$B$2</f>
        <v>46114</v>
      </c>
      <c r="C147" s="8">
        <f>'ALL 2024 H2 D80'!$C$2</f>
        <v>46120</v>
      </c>
      <c r="D147" s="5">
        <v>3208</v>
      </c>
      <c r="E147" s="5">
        <v>320</v>
      </c>
      <c r="F147" s="5">
        <v>1</v>
      </c>
      <c r="G147" s="5">
        <v>1</v>
      </c>
      <c r="H147" s="5">
        <v>81495</v>
      </c>
      <c r="I147" s="5" t="s">
        <v>16</v>
      </c>
      <c r="J147" s="5">
        <v>73314633</v>
      </c>
      <c r="K147" s="5" t="s">
        <v>1689</v>
      </c>
      <c r="L147" s="5" t="s">
        <v>1691</v>
      </c>
      <c r="M147" s="6">
        <v>269900</v>
      </c>
      <c r="N147" s="7">
        <v>0.9</v>
      </c>
      <c r="O147" s="6">
        <f t="shared" si="6"/>
        <v>26990</v>
      </c>
      <c r="P147" s="5" t="s">
        <v>504</v>
      </c>
    </row>
    <row r="148" spans="1:16" x14ac:dyDescent="0.35">
      <c r="A148" s="5" t="str">
        <f t="shared" si="5"/>
        <v>2022 All Items D90</v>
      </c>
      <c r="B148" s="8">
        <f>'ALL 2024 H2 D80'!$B$2</f>
        <v>46114</v>
      </c>
      <c r="C148" s="8">
        <f>'ALL 2024 H2 D80'!$C$2</f>
        <v>46120</v>
      </c>
      <c r="D148" s="5">
        <v>3208</v>
      </c>
      <c r="E148" s="5">
        <v>320</v>
      </c>
      <c r="F148" s="5">
        <v>1</v>
      </c>
      <c r="G148" s="5">
        <v>1</v>
      </c>
      <c r="H148" s="5">
        <v>81495</v>
      </c>
      <c r="I148" s="5" t="s">
        <v>16</v>
      </c>
      <c r="J148" s="5">
        <v>73314651</v>
      </c>
      <c r="K148" s="5" t="s">
        <v>1689</v>
      </c>
      <c r="L148" s="5" t="s">
        <v>1692</v>
      </c>
      <c r="M148" s="6">
        <v>269900</v>
      </c>
      <c r="N148" s="7">
        <v>0.9</v>
      </c>
      <c r="O148" s="6">
        <f t="shared" si="6"/>
        <v>26990</v>
      </c>
      <c r="P148" s="5" t="s">
        <v>504</v>
      </c>
    </row>
    <row r="149" spans="1:16" x14ac:dyDescent="0.35">
      <c r="A149" s="5" t="str">
        <f t="shared" si="5"/>
        <v>2022 All Items D90</v>
      </c>
      <c r="B149" s="8">
        <f>'ALL 2024 H2 D80'!$B$2</f>
        <v>46114</v>
      </c>
      <c r="C149" s="8">
        <f>'ALL 2024 H2 D80'!$C$2</f>
        <v>46120</v>
      </c>
      <c r="D149" s="5">
        <v>3208</v>
      </c>
      <c r="E149" s="5">
        <v>320</v>
      </c>
      <c r="F149" s="5">
        <v>1</v>
      </c>
      <c r="G149" s="5">
        <v>1</v>
      </c>
      <c r="H149" s="5">
        <v>81495</v>
      </c>
      <c r="I149" s="5" t="s">
        <v>16</v>
      </c>
      <c r="J149" s="5">
        <v>75733972</v>
      </c>
      <c r="K149" s="5" t="s">
        <v>1076</v>
      </c>
      <c r="L149" s="5" t="s">
        <v>1080</v>
      </c>
      <c r="M149" s="6">
        <v>249900</v>
      </c>
      <c r="N149" s="7">
        <v>0.9</v>
      </c>
      <c r="O149" s="6">
        <f t="shared" si="6"/>
        <v>24990</v>
      </c>
      <c r="P149" s="5" t="s">
        <v>504</v>
      </c>
    </row>
    <row r="150" spans="1:16" x14ac:dyDescent="0.35">
      <c r="A150" s="5" t="str">
        <f t="shared" si="5"/>
        <v>2022 All Items D90</v>
      </c>
      <c r="B150" s="8">
        <f>'ALL 2024 H2 D80'!$B$2</f>
        <v>46114</v>
      </c>
      <c r="C150" s="8">
        <f>'ALL 2024 H2 D80'!$C$2</f>
        <v>46120</v>
      </c>
      <c r="D150" s="5">
        <v>3208</v>
      </c>
      <c r="E150" s="5">
        <v>320</v>
      </c>
      <c r="F150" s="5">
        <v>1</v>
      </c>
      <c r="G150" s="5">
        <v>1</v>
      </c>
      <c r="H150" s="5">
        <v>81495</v>
      </c>
      <c r="I150" s="5" t="s">
        <v>16</v>
      </c>
      <c r="J150" s="5">
        <v>75733981</v>
      </c>
      <c r="K150" s="5" t="s">
        <v>1076</v>
      </c>
      <c r="L150" s="5" t="s">
        <v>1081</v>
      </c>
      <c r="M150" s="6">
        <v>249900</v>
      </c>
      <c r="N150" s="7">
        <v>0.9</v>
      </c>
      <c r="O150" s="6">
        <f t="shared" si="6"/>
        <v>24990</v>
      </c>
      <c r="P150" s="5" t="s">
        <v>504</v>
      </c>
    </row>
    <row r="151" spans="1:16" x14ac:dyDescent="0.35">
      <c r="A151" s="5" t="str">
        <f t="shared" si="5"/>
        <v>2022 All Items D90</v>
      </c>
      <c r="B151" s="8">
        <f>'ALL 2024 H2 D80'!$B$2</f>
        <v>46114</v>
      </c>
      <c r="C151" s="8">
        <f>'ALL 2024 H2 D80'!$C$2</f>
        <v>46120</v>
      </c>
      <c r="D151" s="5">
        <v>3208</v>
      </c>
      <c r="E151" s="5">
        <v>320</v>
      </c>
      <c r="F151" s="5">
        <v>1</v>
      </c>
      <c r="G151" s="5">
        <v>1</v>
      </c>
      <c r="H151" s="5">
        <v>81495</v>
      </c>
      <c r="I151" s="5" t="s">
        <v>16</v>
      </c>
      <c r="J151" s="5">
        <v>75733990</v>
      </c>
      <c r="K151" s="5" t="s">
        <v>1076</v>
      </c>
      <c r="L151" s="5" t="s">
        <v>1082</v>
      </c>
      <c r="M151" s="6">
        <v>249900</v>
      </c>
      <c r="N151" s="7">
        <v>0.9</v>
      </c>
      <c r="O151" s="6">
        <f t="shared" si="6"/>
        <v>24990</v>
      </c>
      <c r="P151" s="5" t="s">
        <v>504</v>
      </c>
    </row>
    <row r="152" spans="1:16" x14ac:dyDescent="0.35">
      <c r="A152" s="5" t="str">
        <f t="shared" si="5"/>
        <v>2022 All Items D90</v>
      </c>
      <c r="B152" s="8">
        <f>'ALL 2024 H2 D80'!$B$2</f>
        <v>46114</v>
      </c>
      <c r="C152" s="8">
        <f>'ALL 2024 H2 D80'!$C$2</f>
        <v>46120</v>
      </c>
      <c r="D152" s="5">
        <v>3208</v>
      </c>
      <c r="E152" s="5">
        <v>320</v>
      </c>
      <c r="F152" s="5">
        <v>1</v>
      </c>
      <c r="G152" s="5">
        <v>1</v>
      </c>
      <c r="H152" s="5">
        <v>81495</v>
      </c>
      <c r="I152" s="5" t="s">
        <v>16</v>
      </c>
      <c r="J152" s="5">
        <v>75734006</v>
      </c>
      <c r="K152" s="5" t="s">
        <v>1076</v>
      </c>
      <c r="L152" s="5" t="s">
        <v>1083</v>
      </c>
      <c r="M152" s="6">
        <v>249900</v>
      </c>
      <c r="N152" s="7">
        <v>0.9</v>
      </c>
      <c r="O152" s="6">
        <f t="shared" si="6"/>
        <v>24990</v>
      </c>
      <c r="P152" s="5" t="s">
        <v>504</v>
      </c>
    </row>
    <row r="153" spans="1:16" x14ac:dyDescent="0.35">
      <c r="A153" s="5" t="str">
        <f t="shared" si="5"/>
        <v>2022 All Items D90</v>
      </c>
      <c r="B153" s="8">
        <f>'ALL 2024 H2 D80'!$B$2</f>
        <v>46114</v>
      </c>
      <c r="C153" s="8">
        <f>'ALL 2024 H2 D80'!$C$2</f>
        <v>46120</v>
      </c>
      <c r="D153" s="5">
        <v>3208</v>
      </c>
      <c r="E153" s="5">
        <v>320</v>
      </c>
      <c r="F153" s="5">
        <v>1</v>
      </c>
      <c r="G153" s="5">
        <v>1</v>
      </c>
      <c r="H153" s="5">
        <v>81495</v>
      </c>
      <c r="I153" s="5" t="s">
        <v>16</v>
      </c>
      <c r="J153" s="5">
        <v>76453899</v>
      </c>
      <c r="K153" s="5" t="s">
        <v>1084</v>
      </c>
      <c r="L153" s="5" t="s">
        <v>1085</v>
      </c>
      <c r="M153" s="6">
        <v>269900</v>
      </c>
      <c r="N153" s="7">
        <v>0.9</v>
      </c>
      <c r="O153" s="6">
        <f t="shared" si="6"/>
        <v>26990</v>
      </c>
      <c r="P153" s="5" t="s">
        <v>504</v>
      </c>
    </row>
    <row r="154" spans="1:16" x14ac:dyDescent="0.35">
      <c r="A154" s="5" t="str">
        <f t="shared" si="5"/>
        <v>2022 All Items D90</v>
      </c>
      <c r="B154" s="8">
        <f>'ALL 2024 H2 D80'!$B$2</f>
        <v>46114</v>
      </c>
      <c r="C154" s="8">
        <f>'ALL 2024 H2 D80'!$C$2</f>
        <v>46120</v>
      </c>
      <c r="D154" s="5">
        <v>3208</v>
      </c>
      <c r="E154" s="5">
        <v>320</v>
      </c>
      <c r="F154" s="5">
        <v>1</v>
      </c>
      <c r="G154" s="5">
        <v>1</v>
      </c>
      <c r="H154" s="5">
        <v>81495</v>
      </c>
      <c r="I154" s="5" t="s">
        <v>16</v>
      </c>
      <c r="J154" s="5">
        <v>76453906</v>
      </c>
      <c r="K154" s="5" t="s">
        <v>1084</v>
      </c>
      <c r="L154" s="5" t="s">
        <v>1086</v>
      </c>
      <c r="M154" s="6">
        <v>269900</v>
      </c>
      <c r="N154" s="7">
        <v>0.9</v>
      </c>
      <c r="O154" s="6">
        <f t="shared" si="6"/>
        <v>26990</v>
      </c>
      <c r="P154" s="5" t="s">
        <v>504</v>
      </c>
    </row>
    <row r="155" spans="1:16" x14ac:dyDescent="0.35">
      <c r="A155" s="5" t="str">
        <f t="shared" si="5"/>
        <v>2022 All Items D90</v>
      </c>
      <c r="B155" s="8">
        <f>'ALL 2024 H2 D80'!$B$2</f>
        <v>46114</v>
      </c>
      <c r="C155" s="8">
        <f>'ALL 2024 H2 D80'!$C$2</f>
        <v>46120</v>
      </c>
      <c r="D155" s="5">
        <v>3208</v>
      </c>
      <c r="E155" s="5">
        <v>320</v>
      </c>
      <c r="F155" s="5">
        <v>1</v>
      </c>
      <c r="G155" s="5">
        <v>1</v>
      </c>
      <c r="H155" s="5">
        <v>81495</v>
      </c>
      <c r="I155" s="5" t="s">
        <v>16</v>
      </c>
      <c r="J155" s="5">
        <v>76453915</v>
      </c>
      <c r="K155" s="5" t="s">
        <v>1084</v>
      </c>
      <c r="L155" s="5" t="s">
        <v>1087</v>
      </c>
      <c r="M155" s="6">
        <v>269900</v>
      </c>
      <c r="N155" s="7">
        <v>0.9</v>
      </c>
      <c r="O155" s="6">
        <f t="shared" si="6"/>
        <v>26990</v>
      </c>
      <c r="P155" s="5" t="s">
        <v>504</v>
      </c>
    </row>
    <row r="156" spans="1:16" x14ac:dyDescent="0.35">
      <c r="A156" s="5" t="str">
        <f t="shared" si="5"/>
        <v>2022 All Items D90</v>
      </c>
      <c r="B156" s="8">
        <f>'ALL 2024 H2 D80'!$B$2</f>
        <v>46114</v>
      </c>
      <c r="C156" s="8">
        <f>'ALL 2024 H2 D80'!$C$2</f>
        <v>46120</v>
      </c>
      <c r="D156" s="5">
        <v>3208</v>
      </c>
      <c r="E156" s="5">
        <v>320</v>
      </c>
      <c r="F156" s="5">
        <v>1</v>
      </c>
      <c r="G156" s="5">
        <v>1</v>
      </c>
      <c r="H156" s="5">
        <v>81495</v>
      </c>
      <c r="I156" s="5" t="s">
        <v>16</v>
      </c>
      <c r="J156" s="5">
        <v>76453924</v>
      </c>
      <c r="K156" s="5" t="s">
        <v>1084</v>
      </c>
      <c r="L156" s="5" t="s">
        <v>1088</v>
      </c>
      <c r="M156" s="6">
        <v>269900</v>
      </c>
      <c r="N156" s="7">
        <v>0.9</v>
      </c>
      <c r="O156" s="6">
        <f t="shared" si="6"/>
        <v>26990</v>
      </c>
      <c r="P156" s="5" t="s">
        <v>504</v>
      </c>
    </row>
    <row r="157" spans="1:16" x14ac:dyDescent="0.35">
      <c r="A157" s="5" t="str">
        <f t="shared" si="5"/>
        <v>2022 All Items D90</v>
      </c>
      <c r="B157" s="8">
        <f>'ALL 2024 H2 D80'!$B$2</f>
        <v>46114</v>
      </c>
      <c r="C157" s="8">
        <f>'ALL 2024 H2 D80'!$C$2</f>
        <v>46120</v>
      </c>
      <c r="D157" s="5">
        <v>3208</v>
      </c>
      <c r="E157" s="5">
        <v>320</v>
      </c>
      <c r="F157" s="5">
        <v>1</v>
      </c>
      <c r="G157" s="5">
        <v>1</v>
      </c>
      <c r="H157" s="5">
        <v>81495</v>
      </c>
      <c r="I157" s="5" t="s">
        <v>16</v>
      </c>
      <c r="J157" s="5">
        <v>76453933</v>
      </c>
      <c r="K157" s="5" t="s">
        <v>1084</v>
      </c>
      <c r="L157" s="5" t="s">
        <v>1089</v>
      </c>
      <c r="M157" s="6">
        <v>269900</v>
      </c>
      <c r="N157" s="7">
        <v>0.9</v>
      </c>
      <c r="O157" s="6">
        <f t="shared" si="6"/>
        <v>26990</v>
      </c>
      <c r="P157" s="5" t="s">
        <v>504</v>
      </c>
    </row>
    <row r="158" spans="1:16" x14ac:dyDescent="0.35">
      <c r="A158" s="5" t="str">
        <f t="shared" si="5"/>
        <v>2022 All Items D90</v>
      </c>
      <c r="B158" s="8">
        <f>'ALL 2024 H2 D80'!$B$2</f>
        <v>46114</v>
      </c>
      <c r="C158" s="8">
        <f>'ALL 2024 H2 D80'!$C$2</f>
        <v>46120</v>
      </c>
      <c r="D158" s="5">
        <v>3208</v>
      </c>
      <c r="E158" s="5">
        <v>320</v>
      </c>
      <c r="F158" s="5">
        <v>1</v>
      </c>
      <c r="G158" s="5">
        <v>1</v>
      </c>
      <c r="H158" s="5">
        <v>81495</v>
      </c>
      <c r="I158" s="5" t="s">
        <v>16</v>
      </c>
      <c r="J158" s="5">
        <v>76453942</v>
      </c>
      <c r="K158" s="5" t="s">
        <v>1084</v>
      </c>
      <c r="L158" s="5" t="s">
        <v>1090</v>
      </c>
      <c r="M158" s="6">
        <v>269900</v>
      </c>
      <c r="N158" s="7">
        <v>0.9</v>
      </c>
      <c r="O158" s="6">
        <f t="shared" si="6"/>
        <v>26990</v>
      </c>
      <c r="P158" s="5" t="s">
        <v>504</v>
      </c>
    </row>
    <row r="159" spans="1:16" x14ac:dyDescent="0.35">
      <c r="A159" s="5" t="str">
        <f t="shared" si="5"/>
        <v>2022 All Items D90</v>
      </c>
      <c r="B159" s="8">
        <f>'ALL 2024 H2 D80'!$B$2</f>
        <v>46114</v>
      </c>
      <c r="C159" s="8">
        <f>'ALL 2024 H2 D80'!$C$2</f>
        <v>46120</v>
      </c>
      <c r="D159" s="5">
        <v>3208</v>
      </c>
      <c r="E159" s="5">
        <v>320</v>
      </c>
      <c r="F159" s="5">
        <v>1</v>
      </c>
      <c r="G159" s="5">
        <v>1</v>
      </c>
      <c r="H159" s="5">
        <v>81495</v>
      </c>
      <c r="I159" s="5" t="s">
        <v>16</v>
      </c>
      <c r="J159" s="5">
        <v>76453951</v>
      </c>
      <c r="K159" s="5" t="s">
        <v>1084</v>
      </c>
      <c r="L159" s="5" t="s">
        <v>1091</v>
      </c>
      <c r="M159" s="6">
        <v>269900</v>
      </c>
      <c r="N159" s="7">
        <v>0.9</v>
      </c>
      <c r="O159" s="6">
        <f t="shared" si="6"/>
        <v>26990</v>
      </c>
      <c r="P159" s="5" t="s">
        <v>504</v>
      </c>
    </row>
    <row r="160" spans="1:16" x14ac:dyDescent="0.35">
      <c r="A160" s="5" t="str">
        <f t="shared" si="5"/>
        <v>2022 All Items D90</v>
      </c>
      <c r="B160" s="8">
        <f>'ALL 2024 H2 D80'!$B$2</f>
        <v>46114</v>
      </c>
      <c r="C160" s="8">
        <f>'ALL 2024 H2 D80'!$C$2</f>
        <v>46120</v>
      </c>
      <c r="D160" s="5">
        <v>3208</v>
      </c>
      <c r="E160" s="5">
        <v>320</v>
      </c>
      <c r="F160" s="5">
        <v>1</v>
      </c>
      <c r="G160" s="5">
        <v>1</v>
      </c>
      <c r="H160" s="5">
        <v>81495</v>
      </c>
      <c r="I160" s="5" t="s">
        <v>16</v>
      </c>
      <c r="J160" s="5">
        <v>76453960</v>
      </c>
      <c r="K160" s="5" t="s">
        <v>1084</v>
      </c>
      <c r="L160" s="5" t="s">
        <v>1092</v>
      </c>
      <c r="M160" s="6">
        <v>269900</v>
      </c>
      <c r="N160" s="7">
        <v>0.9</v>
      </c>
      <c r="O160" s="6">
        <f t="shared" si="6"/>
        <v>26990</v>
      </c>
      <c r="P160" s="5" t="s">
        <v>504</v>
      </c>
    </row>
    <row r="161" spans="1:16" x14ac:dyDescent="0.35">
      <c r="A161" s="5" t="str">
        <f t="shared" si="5"/>
        <v>2022 All Items D90</v>
      </c>
      <c r="B161" s="8">
        <f>'ALL 2024 H2 D80'!$B$2</f>
        <v>46114</v>
      </c>
      <c r="C161" s="8">
        <f>'ALL 2024 H2 D80'!$C$2</f>
        <v>46120</v>
      </c>
      <c r="D161" s="5">
        <v>3208</v>
      </c>
      <c r="E161" s="5">
        <v>320</v>
      </c>
      <c r="F161" s="5">
        <v>1</v>
      </c>
      <c r="G161" s="5">
        <v>1</v>
      </c>
      <c r="H161" s="5">
        <v>81495</v>
      </c>
      <c r="I161" s="5" t="s">
        <v>16</v>
      </c>
      <c r="J161" s="5">
        <v>76453979</v>
      </c>
      <c r="K161" s="5" t="s">
        <v>1084</v>
      </c>
      <c r="L161" s="5" t="s">
        <v>1093</v>
      </c>
      <c r="M161" s="6">
        <v>269900</v>
      </c>
      <c r="N161" s="7">
        <v>0.9</v>
      </c>
      <c r="O161" s="6">
        <f t="shared" si="6"/>
        <v>26990</v>
      </c>
      <c r="P161" s="5" t="s">
        <v>504</v>
      </c>
    </row>
    <row r="162" spans="1:16" x14ac:dyDescent="0.35">
      <c r="A162" s="5" t="str">
        <f t="shared" si="5"/>
        <v>2022 All Items D90</v>
      </c>
      <c r="B162" s="8">
        <f>'ALL 2024 H2 D80'!$B$2</f>
        <v>46114</v>
      </c>
      <c r="C162" s="8">
        <f>'ALL 2024 H2 D80'!$C$2</f>
        <v>46120</v>
      </c>
      <c r="D162" s="5">
        <v>3208</v>
      </c>
      <c r="E162" s="5">
        <v>320</v>
      </c>
      <c r="F162" s="5">
        <v>1</v>
      </c>
      <c r="G162" s="5">
        <v>1</v>
      </c>
      <c r="H162" s="5">
        <v>81495</v>
      </c>
      <c r="I162" s="5" t="s">
        <v>16</v>
      </c>
      <c r="J162" s="5">
        <v>76453988</v>
      </c>
      <c r="K162" s="5" t="s">
        <v>1084</v>
      </c>
      <c r="L162" s="5" t="s">
        <v>1094</v>
      </c>
      <c r="M162" s="6">
        <v>269900</v>
      </c>
      <c r="N162" s="7">
        <v>0.9</v>
      </c>
      <c r="O162" s="6">
        <f t="shared" si="6"/>
        <v>26990</v>
      </c>
      <c r="P162" s="5" t="s">
        <v>504</v>
      </c>
    </row>
    <row r="163" spans="1:16" x14ac:dyDescent="0.35">
      <c r="A163" s="5" t="str">
        <f t="shared" si="5"/>
        <v>2022 All Items D90</v>
      </c>
      <c r="B163" s="8">
        <f>'ALL 2024 H2 D80'!$B$2</f>
        <v>46114</v>
      </c>
      <c r="C163" s="8">
        <f>'ALL 2024 H2 D80'!$C$2</f>
        <v>46120</v>
      </c>
      <c r="D163" s="5">
        <v>3208</v>
      </c>
      <c r="E163" s="5">
        <v>320</v>
      </c>
      <c r="F163" s="5">
        <v>1</v>
      </c>
      <c r="G163" s="5">
        <v>1</v>
      </c>
      <c r="H163" s="5">
        <v>81495</v>
      </c>
      <c r="I163" s="5" t="s">
        <v>16</v>
      </c>
      <c r="J163" s="5">
        <v>76453997</v>
      </c>
      <c r="K163" s="5" t="s">
        <v>1084</v>
      </c>
      <c r="L163" s="5" t="s">
        <v>1095</v>
      </c>
      <c r="M163" s="6">
        <v>269900</v>
      </c>
      <c r="N163" s="7">
        <v>0.9</v>
      </c>
      <c r="O163" s="6">
        <f t="shared" si="6"/>
        <v>26990</v>
      </c>
      <c r="P163" s="5" t="s">
        <v>504</v>
      </c>
    </row>
    <row r="164" spans="1:16" x14ac:dyDescent="0.35">
      <c r="A164" s="5" t="str">
        <f t="shared" si="5"/>
        <v>2022 All Items D90</v>
      </c>
      <c r="B164" s="8">
        <f>'ALL 2024 H2 D80'!$B$2</f>
        <v>46114</v>
      </c>
      <c r="C164" s="8">
        <f>'ALL 2024 H2 D80'!$C$2</f>
        <v>46120</v>
      </c>
      <c r="D164" s="5">
        <v>3208</v>
      </c>
      <c r="E164" s="5">
        <v>320</v>
      </c>
      <c r="F164" s="5">
        <v>1</v>
      </c>
      <c r="G164" s="5">
        <v>1</v>
      </c>
      <c r="H164" s="5">
        <v>81495</v>
      </c>
      <c r="I164" s="5" t="s">
        <v>16</v>
      </c>
      <c r="J164" s="5">
        <v>76454003</v>
      </c>
      <c r="K164" s="5" t="s">
        <v>1084</v>
      </c>
      <c r="L164" s="5" t="s">
        <v>1096</v>
      </c>
      <c r="M164" s="6">
        <v>269900</v>
      </c>
      <c r="N164" s="7">
        <v>0.9</v>
      </c>
      <c r="O164" s="6">
        <f t="shared" si="6"/>
        <v>26990</v>
      </c>
      <c r="P164" s="5" t="s">
        <v>504</v>
      </c>
    </row>
    <row r="165" spans="1:16" x14ac:dyDescent="0.35">
      <c r="A165" s="5" t="str">
        <f t="shared" si="5"/>
        <v>2022 All Items D90</v>
      </c>
      <c r="B165" s="8">
        <f>'ALL 2024 H2 D80'!$B$2</f>
        <v>46114</v>
      </c>
      <c r="C165" s="8">
        <f>'ALL 2024 H2 D80'!$C$2</f>
        <v>46120</v>
      </c>
      <c r="D165" s="5">
        <v>3208</v>
      </c>
      <c r="E165" s="5">
        <v>320</v>
      </c>
      <c r="F165" s="5">
        <v>1</v>
      </c>
      <c r="G165" s="5">
        <v>1</v>
      </c>
      <c r="H165" s="5">
        <v>81495</v>
      </c>
      <c r="I165" s="5" t="s">
        <v>16</v>
      </c>
      <c r="J165" s="5">
        <v>76705269</v>
      </c>
      <c r="K165" s="5" t="s">
        <v>1097</v>
      </c>
      <c r="L165" s="5" t="s">
        <v>1098</v>
      </c>
      <c r="M165" s="6">
        <v>269900</v>
      </c>
      <c r="N165" s="7">
        <v>0.9</v>
      </c>
      <c r="O165" s="6">
        <f t="shared" si="6"/>
        <v>26990</v>
      </c>
      <c r="P165" s="5" t="s">
        <v>504</v>
      </c>
    </row>
    <row r="166" spans="1:16" x14ac:dyDescent="0.35">
      <c r="A166" s="5" t="str">
        <f t="shared" si="5"/>
        <v>2022 All Items D90</v>
      </c>
      <c r="B166" s="8">
        <f>'ALL 2024 H2 D80'!$B$2</f>
        <v>46114</v>
      </c>
      <c r="C166" s="8">
        <f>'ALL 2024 H2 D80'!$C$2</f>
        <v>46120</v>
      </c>
      <c r="D166" s="5">
        <v>3208</v>
      </c>
      <c r="E166" s="5">
        <v>320</v>
      </c>
      <c r="F166" s="5">
        <v>1</v>
      </c>
      <c r="G166" s="5">
        <v>1</v>
      </c>
      <c r="H166" s="5">
        <v>81495</v>
      </c>
      <c r="I166" s="5" t="s">
        <v>16</v>
      </c>
      <c r="J166" s="5">
        <v>76705278</v>
      </c>
      <c r="K166" s="5" t="s">
        <v>1097</v>
      </c>
      <c r="L166" s="5" t="s">
        <v>1099</v>
      </c>
      <c r="M166" s="6">
        <v>269900</v>
      </c>
      <c r="N166" s="7">
        <v>0.9</v>
      </c>
      <c r="O166" s="6">
        <f t="shared" si="6"/>
        <v>26990</v>
      </c>
      <c r="P166" s="5" t="s">
        <v>504</v>
      </c>
    </row>
    <row r="167" spans="1:16" x14ac:dyDescent="0.35">
      <c r="A167" s="5" t="str">
        <f t="shared" si="5"/>
        <v>2022 All Items D90</v>
      </c>
      <c r="B167" s="8">
        <f>'ALL 2024 H2 D80'!$B$2</f>
        <v>46114</v>
      </c>
      <c r="C167" s="8">
        <f>'ALL 2024 H2 D80'!$C$2</f>
        <v>46120</v>
      </c>
      <c r="D167" s="5">
        <v>3208</v>
      </c>
      <c r="E167" s="5">
        <v>320</v>
      </c>
      <c r="F167" s="5">
        <v>1</v>
      </c>
      <c r="G167" s="5">
        <v>1</v>
      </c>
      <c r="H167" s="5">
        <v>81495</v>
      </c>
      <c r="I167" s="5" t="s">
        <v>16</v>
      </c>
      <c r="J167" s="5">
        <v>76705287</v>
      </c>
      <c r="K167" s="5" t="s">
        <v>1097</v>
      </c>
      <c r="L167" s="5" t="s">
        <v>1100</v>
      </c>
      <c r="M167" s="6">
        <v>269900</v>
      </c>
      <c r="N167" s="7">
        <v>0.9</v>
      </c>
      <c r="O167" s="6">
        <f t="shared" si="6"/>
        <v>26990</v>
      </c>
      <c r="P167" s="5" t="s">
        <v>504</v>
      </c>
    </row>
    <row r="168" spans="1:16" x14ac:dyDescent="0.35">
      <c r="A168" s="5" t="str">
        <f t="shared" si="5"/>
        <v>2022 All Items D90</v>
      </c>
      <c r="B168" s="8">
        <f>'ALL 2024 H2 D80'!$B$2</f>
        <v>46114</v>
      </c>
      <c r="C168" s="8">
        <f>'ALL 2024 H2 D80'!$C$2</f>
        <v>46120</v>
      </c>
      <c r="D168" s="5">
        <v>3208</v>
      </c>
      <c r="E168" s="5">
        <v>320</v>
      </c>
      <c r="F168" s="5">
        <v>1</v>
      </c>
      <c r="G168" s="5">
        <v>1</v>
      </c>
      <c r="H168" s="5">
        <v>81495</v>
      </c>
      <c r="I168" s="5" t="s">
        <v>16</v>
      </c>
      <c r="J168" s="5">
        <v>76705296</v>
      </c>
      <c r="K168" s="5" t="s">
        <v>1097</v>
      </c>
      <c r="L168" s="5" t="s">
        <v>1101</v>
      </c>
      <c r="M168" s="6">
        <v>269900</v>
      </c>
      <c r="N168" s="7">
        <v>0.9</v>
      </c>
      <c r="O168" s="6">
        <f t="shared" si="6"/>
        <v>26990</v>
      </c>
      <c r="P168" s="5" t="s">
        <v>504</v>
      </c>
    </row>
    <row r="169" spans="1:16" x14ac:dyDescent="0.35">
      <c r="A169" s="5" t="str">
        <f t="shared" si="5"/>
        <v>2022 All Items D90</v>
      </c>
      <c r="B169" s="8">
        <f>'ALL 2024 H2 D80'!$B$2</f>
        <v>46114</v>
      </c>
      <c r="C169" s="8">
        <f>'ALL 2024 H2 D80'!$C$2</f>
        <v>46120</v>
      </c>
      <c r="D169" s="5">
        <v>3208</v>
      </c>
      <c r="E169" s="5">
        <v>320</v>
      </c>
      <c r="F169" s="5">
        <v>1</v>
      </c>
      <c r="G169" s="5">
        <v>1</v>
      </c>
      <c r="H169" s="5">
        <v>80903</v>
      </c>
      <c r="I169" s="5" t="s">
        <v>16</v>
      </c>
      <c r="J169" s="5">
        <v>66165755</v>
      </c>
      <c r="K169" s="5" t="s">
        <v>1693</v>
      </c>
      <c r="L169" s="5" t="s">
        <v>1694</v>
      </c>
      <c r="M169" s="6">
        <v>229900</v>
      </c>
      <c r="N169" s="7">
        <v>0.9</v>
      </c>
      <c r="O169" s="6">
        <f t="shared" si="6"/>
        <v>22990</v>
      </c>
      <c r="P169" s="5" t="s">
        <v>504</v>
      </c>
    </row>
    <row r="170" spans="1:16" x14ac:dyDescent="0.35">
      <c r="A170" s="5" t="str">
        <f t="shared" si="5"/>
        <v>2022 All Items D90</v>
      </c>
      <c r="B170" s="8">
        <f>'ALL 2024 H2 D80'!$B$2</f>
        <v>46114</v>
      </c>
      <c r="C170" s="8">
        <f>'ALL 2024 H2 D80'!$C$2</f>
        <v>46120</v>
      </c>
      <c r="D170" s="5">
        <v>3208</v>
      </c>
      <c r="E170" s="5">
        <v>320</v>
      </c>
      <c r="F170" s="5">
        <v>1</v>
      </c>
      <c r="G170" s="5">
        <v>1</v>
      </c>
      <c r="H170" s="5">
        <v>80903</v>
      </c>
      <c r="I170" s="5" t="s">
        <v>16</v>
      </c>
      <c r="J170" s="5">
        <v>66165764</v>
      </c>
      <c r="K170" s="5" t="s">
        <v>1693</v>
      </c>
      <c r="L170" s="5" t="s">
        <v>1695</v>
      </c>
      <c r="M170" s="6">
        <v>229900</v>
      </c>
      <c r="N170" s="7">
        <v>0.9</v>
      </c>
      <c r="O170" s="6">
        <f t="shared" si="6"/>
        <v>22990</v>
      </c>
      <c r="P170" s="5" t="s">
        <v>504</v>
      </c>
    </row>
    <row r="171" spans="1:16" x14ac:dyDescent="0.35">
      <c r="A171" s="5" t="str">
        <f t="shared" si="5"/>
        <v>2022 All Items D90</v>
      </c>
      <c r="B171" s="8">
        <f>'ALL 2024 H2 D80'!$B$2</f>
        <v>46114</v>
      </c>
      <c r="C171" s="8">
        <f>'ALL 2024 H2 D80'!$C$2</f>
        <v>46120</v>
      </c>
      <c r="D171" s="5">
        <v>3208</v>
      </c>
      <c r="E171" s="5">
        <v>320</v>
      </c>
      <c r="F171" s="5">
        <v>1</v>
      </c>
      <c r="G171" s="5">
        <v>1</v>
      </c>
      <c r="H171" s="5">
        <v>80903</v>
      </c>
      <c r="I171" s="5" t="s">
        <v>16</v>
      </c>
      <c r="J171" s="5">
        <v>66165773</v>
      </c>
      <c r="K171" s="5" t="s">
        <v>1693</v>
      </c>
      <c r="L171" s="5" t="s">
        <v>1696</v>
      </c>
      <c r="M171" s="6">
        <v>229900</v>
      </c>
      <c r="N171" s="7">
        <v>0.9</v>
      </c>
      <c r="O171" s="6">
        <f t="shared" si="6"/>
        <v>22990</v>
      </c>
      <c r="P171" s="5" t="s">
        <v>504</v>
      </c>
    </row>
    <row r="172" spans="1:16" x14ac:dyDescent="0.35">
      <c r="A172" s="5" t="str">
        <f t="shared" si="5"/>
        <v>2022 All Items D90</v>
      </c>
      <c r="B172" s="8">
        <f>'ALL 2024 H2 D80'!$B$2</f>
        <v>46114</v>
      </c>
      <c r="C172" s="8">
        <f>'ALL 2024 H2 D80'!$C$2</f>
        <v>46120</v>
      </c>
      <c r="D172" s="5">
        <v>3208</v>
      </c>
      <c r="E172" s="5">
        <v>320</v>
      </c>
      <c r="F172" s="5">
        <v>1</v>
      </c>
      <c r="G172" s="5">
        <v>1</v>
      </c>
      <c r="H172" s="5">
        <v>80903</v>
      </c>
      <c r="I172" s="5" t="s">
        <v>16</v>
      </c>
      <c r="J172" s="5">
        <v>66165782</v>
      </c>
      <c r="K172" s="5" t="s">
        <v>1693</v>
      </c>
      <c r="L172" s="5" t="s">
        <v>1697</v>
      </c>
      <c r="M172" s="6">
        <v>229900</v>
      </c>
      <c r="N172" s="7">
        <v>0.9</v>
      </c>
      <c r="O172" s="6">
        <f t="shared" si="6"/>
        <v>22990</v>
      </c>
      <c r="P172" s="5" t="s">
        <v>504</v>
      </c>
    </row>
    <row r="173" spans="1:16" x14ac:dyDescent="0.35">
      <c r="A173" s="5" t="str">
        <f t="shared" si="5"/>
        <v>2022 All Items D90</v>
      </c>
      <c r="B173" s="8">
        <f>'ALL 2024 H2 D80'!$B$2</f>
        <v>46114</v>
      </c>
      <c r="C173" s="8">
        <f>'ALL 2024 H2 D80'!$C$2</f>
        <v>46120</v>
      </c>
      <c r="D173" s="5">
        <v>3208</v>
      </c>
      <c r="E173" s="5">
        <v>320</v>
      </c>
      <c r="F173" s="5">
        <v>1</v>
      </c>
      <c r="G173" s="5">
        <v>1</v>
      </c>
      <c r="H173" s="5">
        <v>80300</v>
      </c>
      <c r="I173" s="5" t="s">
        <v>16</v>
      </c>
      <c r="J173" s="5">
        <v>59363009</v>
      </c>
      <c r="K173" s="5" t="s">
        <v>1698</v>
      </c>
      <c r="L173" s="5" t="s">
        <v>1699</v>
      </c>
      <c r="M173" s="6">
        <v>269900</v>
      </c>
      <c r="N173" s="7">
        <v>0.9</v>
      </c>
      <c r="O173" s="6">
        <f t="shared" si="6"/>
        <v>26990</v>
      </c>
      <c r="P173" s="5" t="s">
        <v>504</v>
      </c>
    </row>
    <row r="174" spans="1:16" x14ac:dyDescent="0.35">
      <c r="A174" s="5" t="str">
        <f t="shared" si="5"/>
        <v>2022 All Items D90</v>
      </c>
      <c r="B174" s="8">
        <f>'ALL 2024 H2 D80'!$B$2</f>
        <v>46114</v>
      </c>
      <c r="C174" s="8">
        <f>'ALL 2024 H2 D80'!$C$2</f>
        <v>46120</v>
      </c>
      <c r="D174" s="5">
        <v>3208</v>
      </c>
      <c r="E174" s="5">
        <v>320</v>
      </c>
      <c r="F174" s="5">
        <v>1</v>
      </c>
      <c r="G174" s="5">
        <v>1</v>
      </c>
      <c r="H174" s="5">
        <v>80300</v>
      </c>
      <c r="I174" s="5" t="s">
        <v>16</v>
      </c>
      <c r="J174" s="5">
        <v>59363018</v>
      </c>
      <c r="K174" s="5" t="s">
        <v>1698</v>
      </c>
      <c r="L174" s="5" t="s">
        <v>1700</v>
      </c>
      <c r="M174" s="6">
        <v>269900</v>
      </c>
      <c r="N174" s="7">
        <v>0.9</v>
      </c>
      <c r="O174" s="6">
        <f t="shared" si="6"/>
        <v>26990</v>
      </c>
      <c r="P174" s="5" t="s">
        <v>504</v>
      </c>
    </row>
    <row r="175" spans="1:16" x14ac:dyDescent="0.35">
      <c r="A175" s="5" t="str">
        <f t="shared" si="5"/>
        <v>2022 All Items D90</v>
      </c>
      <c r="B175" s="8">
        <f>'ALL 2024 H2 D80'!$B$2</f>
        <v>46114</v>
      </c>
      <c r="C175" s="8">
        <f>'ALL 2024 H2 D80'!$C$2</f>
        <v>46120</v>
      </c>
      <c r="D175" s="5">
        <v>3208</v>
      </c>
      <c r="E175" s="5">
        <v>320</v>
      </c>
      <c r="F175" s="5">
        <v>1</v>
      </c>
      <c r="G175" s="5">
        <v>1</v>
      </c>
      <c r="H175" s="5">
        <v>80300</v>
      </c>
      <c r="I175" s="5" t="s">
        <v>16</v>
      </c>
      <c r="J175" s="5">
        <v>59363027</v>
      </c>
      <c r="K175" s="5" t="s">
        <v>1698</v>
      </c>
      <c r="L175" s="5" t="s">
        <v>1701</v>
      </c>
      <c r="M175" s="6">
        <v>269900</v>
      </c>
      <c r="N175" s="7">
        <v>0.9</v>
      </c>
      <c r="O175" s="6">
        <f t="shared" si="6"/>
        <v>26990</v>
      </c>
      <c r="P175" s="5" t="s">
        <v>504</v>
      </c>
    </row>
    <row r="176" spans="1:16" x14ac:dyDescent="0.35">
      <c r="A176" s="5" t="str">
        <f t="shared" si="5"/>
        <v>2022 All Items D90</v>
      </c>
      <c r="B176" s="8">
        <f>'ALL 2024 H2 D80'!$B$2</f>
        <v>46114</v>
      </c>
      <c r="C176" s="8">
        <f>'ALL 2024 H2 D80'!$C$2</f>
        <v>46120</v>
      </c>
      <c r="D176" s="5">
        <v>3208</v>
      </c>
      <c r="E176" s="5">
        <v>320</v>
      </c>
      <c r="F176" s="5">
        <v>1</v>
      </c>
      <c r="G176" s="5">
        <v>1</v>
      </c>
      <c r="H176" s="5">
        <v>80300</v>
      </c>
      <c r="I176" s="5" t="s">
        <v>16</v>
      </c>
      <c r="J176" s="5">
        <v>59363045</v>
      </c>
      <c r="K176" s="5" t="s">
        <v>1698</v>
      </c>
      <c r="L176" s="5" t="s">
        <v>1702</v>
      </c>
      <c r="M176" s="6">
        <v>269900</v>
      </c>
      <c r="N176" s="7">
        <v>0.9</v>
      </c>
      <c r="O176" s="6">
        <f t="shared" si="6"/>
        <v>26990</v>
      </c>
      <c r="P176" s="5" t="s">
        <v>504</v>
      </c>
    </row>
    <row r="177" spans="1:16" x14ac:dyDescent="0.35">
      <c r="A177" s="5" t="str">
        <f t="shared" si="5"/>
        <v>2022 All Items D90</v>
      </c>
      <c r="B177" s="8">
        <f>'ALL 2024 H2 D80'!$B$2</f>
        <v>46114</v>
      </c>
      <c r="C177" s="8">
        <f>'ALL 2024 H2 D80'!$C$2</f>
        <v>46120</v>
      </c>
      <c r="D177" s="5">
        <v>3208</v>
      </c>
      <c r="E177" s="5">
        <v>320</v>
      </c>
      <c r="F177" s="5">
        <v>1</v>
      </c>
      <c r="G177" s="5">
        <v>1</v>
      </c>
      <c r="H177" s="5">
        <v>80300</v>
      </c>
      <c r="I177" s="5" t="s">
        <v>16</v>
      </c>
      <c r="J177" s="5">
        <v>59363054</v>
      </c>
      <c r="K177" s="5" t="s">
        <v>1698</v>
      </c>
      <c r="L177" s="5" t="s">
        <v>1703</v>
      </c>
      <c r="M177" s="6">
        <v>269900</v>
      </c>
      <c r="N177" s="7">
        <v>0.9</v>
      </c>
      <c r="O177" s="6">
        <f t="shared" si="6"/>
        <v>26990</v>
      </c>
      <c r="P177" s="5" t="s">
        <v>504</v>
      </c>
    </row>
    <row r="178" spans="1:16" x14ac:dyDescent="0.35">
      <c r="A178" s="5" t="str">
        <f t="shared" si="5"/>
        <v>2022 All Items D90</v>
      </c>
      <c r="B178" s="8">
        <f>'ALL 2024 H2 D80'!$B$2</f>
        <v>46114</v>
      </c>
      <c r="C178" s="8">
        <f>'ALL 2024 H2 D80'!$C$2</f>
        <v>46120</v>
      </c>
      <c r="D178" s="5">
        <v>3208</v>
      </c>
      <c r="E178" s="5">
        <v>320</v>
      </c>
      <c r="F178" s="5">
        <v>1</v>
      </c>
      <c r="G178" s="5">
        <v>1</v>
      </c>
      <c r="H178" s="5">
        <v>81507</v>
      </c>
      <c r="I178" s="5" t="s">
        <v>16</v>
      </c>
      <c r="J178" s="5">
        <v>75659473</v>
      </c>
      <c r="K178" s="5" t="s">
        <v>1102</v>
      </c>
      <c r="L178" s="5" t="s">
        <v>1103</v>
      </c>
      <c r="M178" s="6">
        <v>299900</v>
      </c>
      <c r="N178" s="7">
        <v>0.9</v>
      </c>
      <c r="O178" s="6">
        <f t="shared" si="6"/>
        <v>29990</v>
      </c>
      <c r="P178" s="5" t="s">
        <v>504</v>
      </c>
    </row>
    <row r="179" spans="1:16" x14ac:dyDescent="0.35">
      <c r="A179" s="5" t="str">
        <f t="shared" si="5"/>
        <v>2022 All Items D90</v>
      </c>
      <c r="B179" s="8">
        <f>'ALL 2024 H2 D80'!$B$2</f>
        <v>46114</v>
      </c>
      <c r="C179" s="8">
        <f>'ALL 2024 H2 D80'!$C$2</f>
        <v>46120</v>
      </c>
      <c r="D179" s="5">
        <v>3208</v>
      </c>
      <c r="E179" s="5">
        <v>320</v>
      </c>
      <c r="F179" s="5">
        <v>1</v>
      </c>
      <c r="G179" s="5">
        <v>1</v>
      </c>
      <c r="H179" s="5">
        <v>81507</v>
      </c>
      <c r="I179" s="5" t="s">
        <v>16</v>
      </c>
      <c r="J179" s="5">
        <v>75659482</v>
      </c>
      <c r="K179" s="5" t="s">
        <v>1102</v>
      </c>
      <c r="L179" s="5" t="s">
        <v>1104</v>
      </c>
      <c r="M179" s="6">
        <v>299900</v>
      </c>
      <c r="N179" s="7">
        <v>0.9</v>
      </c>
      <c r="O179" s="6">
        <f t="shared" si="6"/>
        <v>29990</v>
      </c>
      <c r="P179" s="5" t="s">
        <v>504</v>
      </c>
    </row>
    <row r="180" spans="1:16" x14ac:dyDescent="0.35">
      <c r="A180" s="5" t="str">
        <f t="shared" si="5"/>
        <v>2022 All Items D90</v>
      </c>
      <c r="B180" s="8">
        <f>'ALL 2024 H2 D80'!$B$2</f>
        <v>46114</v>
      </c>
      <c r="C180" s="8">
        <f>'ALL 2024 H2 D80'!$C$2</f>
        <v>46120</v>
      </c>
      <c r="D180" s="5">
        <v>3208</v>
      </c>
      <c r="E180" s="5">
        <v>320</v>
      </c>
      <c r="F180" s="5">
        <v>1</v>
      </c>
      <c r="G180" s="5">
        <v>1</v>
      </c>
      <c r="H180" s="5">
        <v>81507</v>
      </c>
      <c r="I180" s="5" t="s">
        <v>16</v>
      </c>
      <c r="J180" s="5">
        <v>75659491</v>
      </c>
      <c r="K180" s="5" t="s">
        <v>1102</v>
      </c>
      <c r="L180" s="5" t="s">
        <v>1105</v>
      </c>
      <c r="M180" s="6">
        <v>299900</v>
      </c>
      <c r="N180" s="7">
        <v>0.9</v>
      </c>
      <c r="O180" s="6">
        <f t="shared" si="6"/>
        <v>29990</v>
      </c>
      <c r="P180" s="5" t="s">
        <v>504</v>
      </c>
    </row>
    <row r="181" spans="1:16" x14ac:dyDescent="0.35">
      <c r="A181" s="5" t="str">
        <f t="shared" si="5"/>
        <v>2022 All Items D90</v>
      </c>
      <c r="B181" s="8">
        <f>'ALL 2024 H2 D80'!$B$2</f>
        <v>46114</v>
      </c>
      <c r="C181" s="8">
        <f>'ALL 2024 H2 D80'!$C$2</f>
        <v>46120</v>
      </c>
      <c r="D181" s="5">
        <v>3208</v>
      </c>
      <c r="E181" s="5">
        <v>320</v>
      </c>
      <c r="F181" s="5">
        <v>1</v>
      </c>
      <c r="G181" s="5">
        <v>1</v>
      </c>
      <c r="H181" s="5">
        <v>81507</v>
      </c>
      <c r="I181" s="5" t="s">
        <v>16</v>
      </c>
      <c r="J181" s="5">
        <v>75659508</v>
      </c>
      <c r="K181" s="5" t="s">
        <v>1102</v>
      </c>
      <c r="L181" s="5" t="s">
        <v>1106</v>
      </c>
      <c r="M181" s="6">
        <v>299900</v>
      </c>
      <c r="N181" s="7">
        <v>0.9</v>
      </c>
      <c r="O181" s="6">
        <f t="shared" si="6"/>
        <v>29990</v>
      </c>
      <c r="P181" s="5" t="s">
        <v>504</v>
      </c>
    </row>
    <row r="182" spans="1:16" x14ac:dyDescent="0.35">
      <c r="A182" s="5" t="str">
        <f t="shared" si="5"/>
        <v>2022 All Items D90</v>
      </c>
      <c r="B182" s="8">
        <f>'ALL 2024 H2 D80'!$B$2</f>
        <v>46114</v>
      </c>
      <c r="C182" s="8">
        <f>'ALL 2024 H2 D80'!$C$2</f>
        <v>46120</v>
      </c>
      <c r="D182" s="5">
        <v>3208</v>
      </c>
      <c r="E182" s="5">
        <v>320</v>
      </c>
      <c r="F182" s="5">
        <v>1</v>
      </c>
      <c r="G182" s="5">
        <v>1</v>
      </c>
      <c r="H182" s="5">
        <v>81507</v>
      </c>
      <c r="I182" s="5" t="s">
        <v>16</v>
      </c>
      <c r="J182" s="5">
        <v>78793554</v>
      </c>
      <c r="K182" s="5" t="s">
        <v>1107</v>
      </c>
      <c r="L182" s="5" t="s">
        <v>1108</v>
      </c>
      <c r="M182" s="6">
        <v>249900</v>
      </c>
      <c r="N182" s="7">
        <v>0.9</v>
      </c>
      <c r="O182" s="6">
        <f t="shared" si="6"/>
        <v>24990</v>
      </c>
      <c r="P182" s="5" t="s">
        <v>504</v>
      </c>
    </row>
    <row r="183" spans="1:16" x14ac:dyDescent="0.35">
      <c r="A183" s="5" t="str">
        <f t="shared" si="5"/>
        <v>2022 All Items D90</v>
      </c>
      <c r="B183" s="8">
        <f>'ALL 2024 H2 D80'!$B$2</f>
        <v>46114</v>
      </c>
      <c r="C183" s="8">
        <f>'ALL 2024 H2 D80'!$C$2</f>
        <v>46120</v>
      </c>
      <c r="D183" s="5">
        <v>3208</v>
      </c>
      <c r="E183" s="5">
        <v>320</v>
      </c>
      <c r="F183" s="5">
        <v>1</v>
      </c>
      <c r="G183" s="5">
        <v>1</v>
      </c>
      <c r="H183" s="5">
        <v>81490</v>
      </c>
      <c r="I183" s="5" t="s">
        <v>16</v>
      </c>
      <c r="J183" s="5">
        <v>76705349</v>
      </c>
      <c r="K183" s="5" t="s">
        <v>289</v>
      </c>
      <c r="L183" s="5" t="s">
        <v>1051</v>
      </c>
      <c r="M183" s="6">
        <v>249900</v>
      </c>
      <c r="N183" s="7">
        <v>0.9</v>
      </c>
      <c r="O183" s="6">
        <f t="shared" si="6"/>
        <v>24990</v>
      </c>
      <c r="P183" s="5" t="s">
        <v>504</v>
      </c>
    </row>
    <row r="184" spans="1:16" x14ac:dyDescent="0.35">
      <c r="A184" s="5" t="str">
        <f t="shared" si="5"/>
        <v>2022 All Items D90</v>
      </c>
      <c r="B184" s="8">
        <f>'ALL 2024 H2 D80'!$B$2</f>
        <v>46114</v>
      </c>
      <c r="C184" s="8">
        <f>'ALL 2024 H2 D80'!$C$2</f>
        <v>46120</v>
      </c>
      <c r="D184" s="5">
        <v>3208</v>
      </c>
      <c r="E184" s="5">
        <v>320</v>
      </c>
      <c r="F184" s="5">
        <v>1</v>
      </c>
      <c r="G184" s="5">
        <v>1</v>
      </c>
      <c r="H184" s="5">
        <v>81490</v>
      </c>
      <c r="I184" s="5" t="s">
        <v>16</v>
      </c>
      <c r="J184" s="5">
        <v>76705358</v>
      </c>
      <c r="K184" s="5" t="s">
        <v>289</v>
      </c>
      <c r="L184" s="5" t="s">
        <v>1052</v>
      </c>
      <c r="M184" s="6">
        <v>249900</v>
      </c>
      <c r="N184" s="7">
        <v>0.9</v>
      </c>
      <c r="O184" s="6">
        <f t="shared" si="6"/>
        <v>24990</v>
      </c>
      <c r="P184" s="5" t="s">
        <v>504</v>
      </c>
    </row>
    <row r="185" spans="1:16" x14ac:dyDescent="0.35">
      <c r="A185" s="5" t="str">
        <f t="shared" si="5"/>
        <v>2022 All Items D90</v>
      </c>
      <c r="B185" s="8">
        <f>'ALL 2024 H2 D80'!$B$2</f>
        <v>46114</v>
      </c>
      <c r="C185" s="8">
        <f>'ALL 2024 H2 D80'!$C$2</f>
        <v>46120</v>
      </c>
      <c r="D185" s="5">
        <v>3208</v>
      </c>
      <c r="E185" s="5">
        <v>320</v>
      </c>
      <c r="F185" s="5">
        <v>1</v>
      </c>
      <c r="G185" s="5">
        <v>1</v>
      </c>
      <c r="H185" s="5">
        <v>81490</v>
      </c>
      <c r="I185" s="5" t="s">
        <v>16</v>
      </c>
      <c r="J185" s="5">
        <v>76705367</v>
      </c>
      <c r="K185" s="5" t="s">
        <v>289</v>
      </c>
      <c r="L185" s="5" t="s">
        <v>1053</v>
      </c>
      <c r="M185" s="6">
        <v>249900</v>
      </c>
      <c r="N185" s="7">
        <v>0.9</v>
      </c>
      <c r="O185" s="6">
        <f t="shared" si="6"/>
        <v>24990</v>
      </c>
      <c r="P185" s="5" t="s">
        <v>504</v>
      </c>
    </row>
    <row r="186" spans="1:16" x14ac:dyDescent="0.35">
      <c r="A186" s="5" t="str">
        <f t="shared" si="5"/>
        <v>2022 All Items D90</v>
      </c>
      <c r="B186" s="8">
        <f>'ALL 2024 H2 D80'!$B$2</f>
        <v>46114</v>
      </c>
      <c r="C186" s="8">
        <f>'ALL 2024 H2 D80'!$C$2</f>
        <v>46120</v>
      </c>
      <c r="D186" s="5">
        <v>3208</v>
      </c>
      <c r="E186" s="5">
        <v>320</v>
      </c>
      <c r="F186" s="5">
        <v>1</v>
      </c>
      <c r="G186" s="5">
        <v>1</v>
      </c>
      <c r="H186" s="5">
        <v>81490</v>
      </c>
      <c r="I186" s="5" t="s">
        <v>16</v>
      </c>
      <c r="J186" s="5">
        <v>76705376</v>
      </c>
      <c r="K186" s="5" t="s">
        <v>289</v>
      </c>
      <c r="L186" s="5" t="s">
        <v>1054</v>
      </c>
      <c r="M186" s="6">
        <v>249900</v>
      </c>
      <c r="N186" s="7">
        <v>0.9</v>
      </c>
      <c r="O186" s="6">
        <f t="shared" si="6"/>
        <v>24990</v>
      </c>
      <c r="P186" s="5" t="s">
        <v>504</v>
      </c>
    </row>
    <row r="187" spans="1:16" x14ac:dyDescent="0.35">
      <c r="A187" s="5" t="str">
        <f t="shared" si="5"/>
        <v>2022 All Items D90</v>
      </c>
      <c r="B187" s="8">
        <f>'ALL 2024 H2 D80'!$B$2</f>
        <v>46114</v>
      </c>
      <c r="C187" s="8">
        <f>'ALL 2024 H2 D80'!$C$2</f>
        <v>46120</v>
      </c>
      <c r="D187" s="5">
        <v>3208</v>
      </c>
      <c r="E187" s="5">
        <v>320</v>
      </c>
      <c r="F187" s="5">
        <v>1</v>
      </c>
      <c r="G187" s="5">
        <v>1</v>
      </c>
      <c r="H187" s="5">
        <v>81490</v>
      </c>
      <c r="I187" s="5" t="s">
        <v>16</v>
      </c>
      <c r="J187" s="5">
        <v>76705429</v>
      </c>
      <c r="K187" s="5" t="s">
        <v>289</v>
      </c>
      <c r="L187" s="5" t="s">
        <v>1055</v>
      </c>
      <c r="M187" s="6">
        <v>249900</v>
      </c>
      <c r="N187" s="7">
        <v>0.9</v>
      </c>
      <c r="O187" s="6">
        <f t="shared" si="6"/>
        <v>24990</v>
      </c>
      <c r="P187" s="5" t="s">
        <v>504</v>
      </c>
    </row>
    <row r="188" spans="1:16" x14ac:dyDescent="0.35">
      <c r="A188" s="5" t="str">
        <f t="shared" si="5"/>
        <v>2022 All Items D90</v>
      </c>
      <c r="B188" s="8">
        <f>'ALL 2024 H2 D80'!$B$2</f>
        <v>46114</v>
      </c>
      <c r="C188" s="8">
        <f>'ALL 2024 H2 D80'!$C$2</f>
        <v>46120</v>
      </c>
      <c r="D188" s="5">
        <v>3208</v>
      </c>
      <c r="E188" s="5">
        <v>320</v>
      </c>
      <c r="F188" s="5">
        <v>1</v>
      </c>
      <c r="G188" s="5">
        <v>1</v>
      </c>
      <c r="H188" s="5">
        <v>81490</v>
      </c>
      <c r="I188" s="5" t="s">
        <v>16</v>
      </c>
      <c r="J188" s="5">
        <v>76705438</v>
      </c>
      <c r="K188" s="5" t="s">
        <v>289</v>
      </c>
      <c r="L188" s="5" t="s">
        <v>1056</v>
      </c>
      <c r="M188" s="6">
        <v>249900</v>
      </c>
      <c r="N188" s="7">
        <v>0.9</v>
      </c>
      <c r="O188" s="6">
        <f t="shared" si="6"/>
        <v>24990</v>
      </c>
      <c r="P188" s="5" t="s">
        <v>504</v>
      </c>
    </row>
    <row r="189" spans="1:16" x14ac:dyDescent="0.35">
      <c r="A189" s="5" t="str">
        <f t="shared" si="5"/>
        <v>2022 All Items D90</v>
      </c>
      <c r="B189" s="8">
        <f>'ALL 2024 H2 D80'!$B$2</f>
        <v>46114</v>
      </c>
      <c r="C189" s="8">
        <f>'ALL 2024 H2 D80'!$C$2</f>
        <v>46120</v>
      </c>
      <c r="D189" s="5">
        <v>3208</v>
      </c>
      <c r="E189" s="5">
        <v>320</v>
      </c>
      <c r="F189" s="5">
        <v>1</v>
      </c>
      <c r="G189" s="5">
        <v>1</v>
      </c>
      <c r="H189" s="5">
        <v>81490</v>
      </c>
      <c r="I189" s="5" t="s">
        <v>16</v>
      </c>
      <c r="J189" s="5">
        <v>76705447</v>
      </c>
      <c r="K189" s="5" t="s">
        <v>289</v>
      </c>
      <c r="L189" s="5" t="s">
        <v>1057</v>
      </c>
      <c r="M189" s="6">
        <v>249900</v>
      </c>
      <c r="N189" s="7">
        <v>0.9</v>
      </c>
      <c r="O189" s="6">
        <f t="shared" si="6"/>
        <v>24990</v>
      </c>
      <c r="P189" s="5" t="s">
        <v>504</v>
      </c>
    </row>
    <row r="190" spans="1:16" x14ac:dyDescent="0.35">
      <c r="A190" s="5" t="str">
        <f t="shared" si="5"/>
        <v>2022 All Items D90</v>
      </c>
      <c r="B190" s="8">
        <f>'ALL 2024 H2 D80'!$B$2</f>
        <v>46114</v>
      </c>
      <c r="C190" s="8">
        <f>'ALL 2024 H2 D80'!$C$2</f>
        <v>46120</v>
      </c>
      <c r="D190" s="5">
        <v>3208</v>
      </c>
      <c r="E190" s="5">
        <v>320</v>
      </c>
      <c r="F190" s="5">
        <v>1</v>
      </c>
      <c r="G190" s="5">
        <v>1</v>
      </c>
      <c r="H190" s="5">
        <v>81490</v>
      </c>
      <c r="I190" s="5" t="s">
        <v>16</v>
      </c>
      <c r="J190" s="5">
        <v>76705456</v>
      </c>
      <c r="K190" s="5" t="s">
        <v>289</v>
      </c>
      <c r="L190" s="5" t="s">
        <v>1058</v>
      </c>
      <c r="M190" s="6">
        <v>249900</v>
      </c>
      <c r="N190" s="7">
        <v>0.9</v>
      </c>
      <c r="O190" s="6">
        <f t="shared" si="6"/>
        <v>24990</v>
      </c>
      <c r="P190" s="5" t="s">
        <v>504</v>
      </c>
    </row>
    <row r="191" spans="1:16" x14ac:dyDescent="0.35">
      <c r="A191" s="5" t="str">
        <f t="shared" si="5"/>
        <v>2022 All Items D90</v>
      </c>
      <c r="B191" s="8">
        <f>'ALL 2024 H2 D80'!$B$2</f>
        <v>46114</v>
      </c>
      <c r="C191" s="8">
        <f>'ALL 2024 H2 D80'!$C$2</f>
        <v>46120</v>
      </c>
      <c r="D191" s="5">
        <v>3208</v>
      </c>
      <c r="E191" s="5">
        <v>320</v>
      </c>
      <c r="F191" s="5">
        <v>1</v>
      </c>
      <c r="G191" s="5">
        <v>1</v>
      </c>
      <c r="H191" s="5">
        <v>81490</v>
      </c>
      <c r="I191" s="5" t="s">
        <v>16</v>
      </c>
      <c r="J191" s="5">
        <v>78793474</v>
      </c>
      <c r="K191" s="5" t="s">
        <v>284</v>
      </c>
      <c r="L191" s="5" t="s">
        <v>1068</v>
      </c>
      <c r="M191" s="6">
        <v>269900</v>
      </c>
      <c r="N191" s="7">
        <v>0.9</v>
      </c>
      <c r="O191" s="6">
        <f t="shared" si="6"/>
        <v>26990</v>
      </c>
      <c r="P191" s="5" t="s">
        <v>504</v>
      </c>
    </row>
    <row r="192" spans="1:16" x14ac:dyDescent="0.35">
      <c r="A192" s="5" t="str">
        <f t="shared" si="5"/>
        <v>2022 All Items D90</v>
      </c>
      <c r="B192" s="8">
        <f>'ALL 2024 H2 D80'!$B$2</f>
        <v>46114</v>
      </c>
      <c r="C192" s="8">
        <f>'ALL 2024 H2 D80'!$C$2</f>
        <v>46120</v>
      </c>
      <c r="D192" s="5">
        <v>3208</v>
      </c>
      <c r="E192" s="5">
        <v>320</v>
      </c>
      <c r="F192" s="5">
        <v>1</v>
      </c>
      <c r="G192" s="5">
        <v>1</v>
      </c>
      <c r="H192" s="5">
        <v>81490</v>
      </c>
      <c r="I192" s="5" t="s">
        <v>16</v>
      </c>
      <c r="J192" s="5">
        <v>78793483</v>
      </c>
      <c r="K192" s="5" t="s">
        <v>284</v>
      </c>
      <c r="L192" s="5" t="s">
        <v>1069</v>
      </c>
      <c r="M192" s="6">
        <v>269900</v>
      </c>
      <c r="N192" s="7">
        <v>0.9</v>
      </c>
      <c r="O192" s="6">
        <f t="shared" si="6"/>
        <v>26990</v>
      </c>
      <c r="P192" s="5" t="s">
        <v>504</v>
      </c>
    </row>
    <row r="193" spans="1:16" x14ac:dyDescent="0.35">
      <c r="A193" s="5" t="str">
        <f t="shared" si="5"/>
        <v>2022 All Items D90</v>
      </c>
      <c r="B193" s="8">
        <f>'ALL 2024 H2 D80'!$B$2</f>
        <v>46114</v>
      </c>
      <c r="C193" s="8">
        <f>'ALL 2024 H2 D80'!$C$2</f>
        <v>46120</v>
      </c>
      <c r="D193" s="5">
        <v>3208</v>
      </c>
      <c r="E193" s="5">
        <v>320</v>
      </c>
      <c r="F193" s="5">
        <v>1</v>
      </c>
      <c r="G193" s="5">
        <v>1</v>
      </c>
      <c r="H193" s="5">
        <v>81490</v>
      </c>
      <c r="I193" s="5" t="s">
        <v>16</v>
      </c>
      <c r="J193" s="5">
        <v>78793492</v>
      </c>
      <c r="K193" s="5" t="s">
        <v>284</v>
      </c>
      <c r="L193" s="5" t="s">
        <v>1070</v>
      </c>
      <c r="M193" s="6">
        <v>269900</v>
      </c>
      <c r="N193" s="7">
        <v>0.9</v>
      </c>
      <c r="O193" s="6">
        <f t="shared" si="6"/>
        <v>26990</v>
      </c>
      <c r="P193" s="5" t="s">
        <v>504</v>
      </c>
    </row>
    <row r="194" spans="1:16" x14ac:dyDescent="0.35">
      <c r="A194" s="5" t="str">
        <f t="shared" si="5"/>
        <v>2022 All Items D90</v>
      </c>
      <c r="B194" s="8">
        <f>'ALL 2024 H2 D80'!$B$2</f>
        <v>46114</v>
      </c>
      <c r="C194" s="8">
        <f>'ALL 2024 H2 D80'!$C$2</f>
        <v>46120</v>
      </c>
      <c r="D194" s="5">
        <v>3208</v>
      </c>
      <c r="E194" s="5">
        <v>320</v>
      </c>
      <c r="F194" s="5">
        <v>1</v>
      </c>
      <c r="G194" s="5">
        <v>1</v>
      </c>
      <c r="H194" s="5">
        <v>81490</v>
      </c>
      <c r="I194" s="5" t="s">
        <v>16</v>
      </c>
      <c r="J194" s="5">
        <v>78793509</v>
      </c>
      <c r="K194" s="5" t="s">
        <v>284</v>
      </c>
      <c r="L194" s="5" t="s">
        <v>1071</v>
      </c>
      <c r="M194" s="6">
        <v>269900</v>
      </c>
      <c r="N194" s="7">
        <v>0.9</v>
      </c>
      <c r="O194" s="6">
        <f t="shared" si="6"/>
        <v>26990</v>
      </c>
      <c r="P194" s="5" t="s">
        <v>504</v>
      </c>
    </row>
    <row r="195" spans="1:16" x14ac:dyDescent="0.35">
      <c r="A195" s="5" t="str">
        <f t="shared" si="5"/>
        <v>2022 All Items D90</v>
      </c>
      <c r="B195" s="8">
        <f>'ALL 2024 H2 D80'!$B$2</f>
        <v>46114</v>
      </c>
      <c r="C195" s="8">
        <f>'ALL 2024 H2 D80'!$C$2</f>
        <v>46120</v>
      </c>
      <c r="D195" s="5">
        <v>3208</v>
      </c>
      <c r="E195" s="5">
        <v>320</v>
      </c>
      <c r="F195" s="5">
        <v>1</v>
      </c>
      <c r="G195" s="5">
        <v>1</v>
      </c>
      <c r="H195" s="5">
        <v>81490</v>
      </c>
      <c r="I195" s="5" t="s">
        <v>16</v>
      </c>
      <c r="J195" s="5">
        <v>78793518</v>
      </c>
      <c r="K195" s="5" t="s">
        <v>284</v>
      </c>
      <c r="L195" s="5" t="s">
        <v>1072</v>
      </c>
      <c r="M195" s="6">
        <v>269900</v>
      </c>
      <c r="N195" s="7">
        <v>0.9</v>
      </c>
      <c r="O195" s="6">
        <f t="shared" si="6"/>
        <v>26990</v>
      </c>
      <c r="P195" s="5" t="s">
        <v>504</v>
      </c>
    </row>
    <row r="196" spans="1:16" x14ac:dyDescent="0.35">
      <c r="A196" s="5" t="str">
        <f t="shared" ref="A196:A259" si="7">$A$2</f>
        <v>2022 All Items D90</v>
      </c>
      <c r="B196" s="8">
        <f>'ALL 2024 H2 D80'!$B$2</f>
        <v>46114</v>
      </c>
      <c r="C196" s="8">
        <f>'ALL 2024 H2 D80'!$C$2</f>
        <v>46120</v>
      </c>
      <c r="D196" s="5">
        <v>3208</v>
      </c>
      <c r="E196" s="5">
        <v>320</v>
      </c>
      <c r="F196" s="5">
        <v>1</v>
      </c>
      <c r="G196" s="5">
        <v>1</v>
      </c>
      <c r="H196" s="5">
        <v>81490</v>
      </c>
      <c r="I196" s="5" t="s">
        <v>16</v>
      </c>
      <c r="J196" s="5">
        <v>78793527</v>
      </c>
      <c r="K196" s="5" t="s">
        <v>284</v>
      </c>
      <c r="L196" s="5" t="s">
        <v>1073</v>
      </c>
      <c r="M196" s="6">
        <v>269900</v>
      </c>
      <c r="N196" s="7">
        <v>0.9</v>
      </c>
      <c r="O196" s="6">
        <f t="shared" si="6"/>
        <v>26990</v>
      </c>
      <c r="P196" s="5" t="s">
        <v>504</v>
      </c>
    </row>
    <row r="197" spans="1:16" x14ac:dyDescent="0.35">
      <c r="A197" s="5" t="str">
        <f t="shared" si="7"/>
        <v>2022 All Items D90</v>
      </c>
      <c r="B197" s="8">
        <f>'ALL 2024 H2 D80'!$B$2</f>
        <v>46114</v>
      </c>
      <c r="C197" s="8">
        <f>'ALL 2024 H2 D80'!$C$2</f>
        <v>46120</v>
      </c>
      <c r="D197" s="5">
        <v>3208</v>
      </c>
      <c r="E197" s="5">
        <v>320</v>
      </c>
      <c r="F197" s="5">
        <v>1</v>
      </c>
      <c r="G197" s="5">
        <v>1</v>
      </c>
      <c r="H197" s="5">
        <v>81490</v>
      </c>
      <c r="I197" s="5" t="s">
        <v>16</v>
      </c>
      <c r="J197" s="5">
        <v>78793536</v>
      </c>
      <c r="K197" s="5" t="s">
        <v>284</v>
      </c>
      <c r="L197" s="5" t="s">
        <v>1074</v>
      </c>
      <c r="M197" s="6">
        <v>269900</v>
      </c>
      <c r="N197" s="7">
        <v>0.9</v>
      </c>
      <c r="O197" s="6">
        <f t="shared" si="6"/>
        <v>26990</v>
      </c>
      <c r="P197" s="5" t="s">
        <v>504</v>
      </c>
    </row>
    <row r="198" spans="1:16" x14ac:dyDescent="0.35">
      <c r="A198" s="5" t="str">
        <f t="shared" si="7"/>
        <v>2022 All Items D90</v>
      </c>
      <c r="B198" s="8">
        <f>'ALL 2024 H2 D80'!$B$2</f>
        <v>46114</v>
      </c>
      <c r="C198" s="8">
        <f>'ALL 2024 H2 D80'!$C$2</f>
        <v>46120</v>
      </c>
      <c r="D198" s="5">
        <v>3208</v>
      </c>
      <c r="E198" s="5">
        <v>320</v>
      </c>
      <c r="F198" s="5">
        <v>1</v>
      </c>
      <c r="G198" s="5">
        <v>1</v>
      </c>
      <c r="H198" s="5">
        <v>81490</v>
      </c>
      <c r="I198" s="5" t="s">
        <v>16</v>
      </c>
      <c r="J198" s="5">
        <v>78793545</v>
      </c>
      <c r="K198" s="5" t="s">
        <v>284</v>
      </c>
      <c r="L198" s="5" t="s">
        <v>1075</v>
      </c>
      <c r="M198" s="6">
        <v>269900</v>
      </c>
      <c r="N198" s="7">
        <v>0.9</v>
      </c>
      <c r="O198" s="6">
        <f t="shared" si="6"/>
        <v>26990</v>
      </c>
      <c r="P198" s="5" t="s">
        <v>504</v>
      </c>
    </row>
    <row r="199" spans="1:16" x14ac:dyDescent="0.35">
      <c r="A199" s="5" t="str">
        <f t="shared" si="7"/>
        <v>2022 All Items D90</v>
      </c>
      <c r="B199" s="8">
        <f>'ALL 2024 H2 D80'!$B$2</f>
        <v>46114</v>
      </c>
      <c r="C199" s="8">
        <f>'ALL 2024 H2 D80'!$C$2</f>
        <v>46120</v>
      </c>
      <c r="D199" s="5">
        <v>3208</v>
      </c>
      <c r="E199" s="5">
        <v>320</v>
      </c>
      <c r="F199" s="5">
        <v>1</v>
      </c>
      <c r="G199" s="5">
        <v>2</v>
      </c>
      <c r="H199" s="5">
        <v>81736</v>
      </c>
      <c r="I199" s="5" t="s">
        <v>16</v>
      </c>
      <c r="J199" s="5">
        <v>26952363</v>
      </c>
      <c r="K199" s="5" t="s">
        <v>1704</v>
      </c>
      <c r="L199" s="5" t="s">
        <v>1705</v>
      </c>
      <c r="M199" s="6">
        <v>189900</v>
      </c>
      <c r="N199" s="7">
        <v>0.9</v>
      </c>
      <c r="O199" s="6">
        <f t="shared" si="6"/>
        <v>18990</v>
      </c>
      <c r="P199" s="5" t="s">
        <v>504</v>
      </c>
    </row>
    <row r="200" spans="1:16" x14ac:dyDescent="0.35">
      <c r="A200" s="5" t="str">
        <f t="shared" si="7"/>
        <v>2022 All Items D90</v>
      </c>
      <c r="B200" s="8">
        <f>'ALL 2024 H2 D80'!$B$2</f>
        <v>46114</v>
      </c>
      <c r="C200" s="8">
        <f>'ALL 2024 H2 D80'!$C$2</f>
        <v>46120</v>
      </c>
      <c r="D200" s="5">
        <v>3208</v>
      </c>
      <c r="E200" s="5">
        <v>320</v>
      </c>
      <c r="F200" s="5">
        <v>1</v>
      </c>
      <c r="G200" s="5">
        <v>2</v>
      </c>
      <c r="H200" s="5">
        <v>81736</v>
      </c>
      <c r="I200" s="5" t="s">
        <v>16</v>
      </c>
      <c r="J200" s="5">
        <v>26952372</v>
      </c>
      <c r="K200" s="5" t="s">
        <v>1704</v>
      </c>
      <c r="L200" s="5" t="s">
        <v>1706</v>
      </c>
      <c r="M200" s="6">
        <v>189900</v>
      </c>
      <c r="N200" s="7">
        <v>0.9</v>
      </c>
      <c r="O200" s="6">
        <f t="shared" si="6"/>
        <v>18990</v>
      </c>
      <c r="P200" s="5" t="s">
        <v>504</v>
      </c>
    </row>
    <row r="201" spans="1:16" x14ac:dyDescent="0.35">
      <c r="A201" s="5" t="str">
        <f t="shared" si="7"/>
        <v>2022 All Items D90</v>
      </c>
      <c r="B201" s="8">
        <f>'ALL 2024 H2 D80'!$B$2</f>
        <v>46114</v>
      </c>
      <c r="C201" s="8">
        <f>'ALL 2024 H2 D80'!$C$2</f>
        <v>46120</v>
      </c>
      <c r="D201" s="5">
        <v>3208</v>
      </c>
      <c r="E201" s="5">
        <v>320</v>
      </c>
      <c r="F201" s="5">
        <v>1</v>
      </c>
      <c r="G201" s="5">
        <v>2</v>
      </c>
      <c r="H201" s="5">
        <v>81736</v>
      </c>
      <c r="I201" s="5" t="s">
        <v>16</v>
      </c>
      <c r="J201" s="5">
        <v>26952381</v>
      </c>
      <c r="K201" s="5" t="s">
        <v>1704</v>
      </c>
      <c r="L201" s="5" t="s">
        <v>1707</v>
      </c>
      <c r="M201" s="6">
        <v>189900</v>
      </c>
      <c r="N201" s="7">
        <v>0.9</v>
      </c>
      <c r="O201" s="6">
        <f t="shared" si="6"/>
        <v>18990</v>
      </c>
      <c r="P201" s="5" t="s">
        <v>504</v>
      </c>
    </row>
    <row r="202" spans="1:16" x14ac:dyDescent="0.35">
      <c r="A202" s="5" t="str">
        <f t="shared" si="7"/>
        <v>2022 All Items D90</v>
      </c>
      <c r="B202" s="8">
        <f>'ALL 2024 H2 D80'!$B$2</f>
        <v>46114</v>
      </c>
      <c r="C202" s="8">
        <f>'ALL 2024 H2 D80'!$C$2</f>
        <v>46120</v>
      </c>
      <c r="D202" s="5">
        <v>3208</v>
      </c>
      <c r="E202" s="5">
        <v>320</v>
      </c>
      <c r="F202" s="5">
        <v>1</v>
      </c>
      <c r="G202" s="5">
        <v>2</v>
      </c>
      <c r="H202" s="5">
        <v>81736</v>
      </c>
      <c r="I202" s="5" t="s">
        <v>16</v>
      </c>
      <c r="J202" s="5">
        <v>26952390</v>
      </c>
      <c r="K202" s="5" t="s">
        <v>1704</v>
      </c>
      <c r="L202" s="5" t="s">
        <v>1708</v>
      </c>
      <c r="M202" s="6">
        <v>189900</v>
      </c>
      <c r="N202" s="7">
        <v>0.9</v>
      </c>
      <c r="O202" s="6">
        <f t="shared" ref="O202:O265" si="8">M202-(M202*N202)</f>
        <v>18990</v>
      </c>
      <c r="P202" s="5" t="s">
        <v>504</v>
      </c>
    </row>
    <row r="203" spans="1:16" x14ac:dyDescent="0.35">
      <c r="A203" s="5" t="str">
        <f t="shared" si="7"/>
        <v>2022 All Items D90</v>
      </c>
      <c r="B203" s="8">
        <f>'ALL 2024 H2 D80'!$B$2</f>
        <v>46114</v>
      </c>
      <c r="C203" s="8">
        <f>'ALL 2024 H2 D80'!$C$2</f>
        <v>46120</v>
      </c>
      <c r="D203" s="5">
        <v>3208</v>
      </c>
      <c r="E203" s="5">
        <v>320</v>
      </c>
      <c r="F203" s="5">
        <v>1</v>
      </c>
      <c r="G203" s="5">
        <v>2</v>
      </c>
      <c r="H203" s="5">
        <v>81736</v>
      </c>
      <c r="I203" s="5" t="s">
        <v>16</v>
      </c>
      <c r="J203" s="5">
        <v>31634705</v>
      </c>
      <c r="K203" s="5" t="s">
        <v>1709</v>
      </c>
      <c r="L203" s="5" t="s">
        <v>1710</v>
      </c>
      <c r="M203" s="6">
        <v>199900</v>
      </c>
      <c r="N203" s="7">
        <v>0.9</v>
      </c>
      <c r="O203" s="6">
        <f t="shared" si="8"/>
        <v>19990</v>
      </c>
      <c r="P203" s="5" t="s">
        <v>504</v>
      </c>
    </row>
    <row r="204" spans="1:16" x14ac:dyDescent="0.35">
      <c r="A204" s="5" t="str">
        <f t="shared" si="7"/>
        <v>2022 All Items D90</v>
      </c>
      <c r="B204" s="8">
        <f>'ALL 2024 H2 D80'!$B$2</f>
        <v>46114</v>
      </c>
      <c r="C204" s="8">
        <f>'ALL 2024 H2 D80'!$C$2</f>
        <v>46120</v>
      </c>
      <c r="D204" s="5">
        <v>3208</v>
      </c>
      <c r="E204" s="5">
        <v>320</v>
      </c>
      <c r="F204" s="5">
        <v>1</v>
      </c>
      <c r="G204" s="5">
        <v>2</v>
      </c>
      <c r="H204" s="5">
        <v>81736</v>
      </c>
      <c r="I204" s="5" t="s">
        <v>16</v>
      </c>
      <c r="J204" s="5">
        <v>31634714</v>
      </c>
      <c r="K204" s="5" t="s">
        <v>1709</v>
      </c>
      <c r="L204" s="5" t="s">
        <v>1711</v>
      </c>
      <c r="M204" s="6">
        <v>199900</v>
      </c>
      <c r="N204" s="7">
        <v>0.9</v>
      </c>
      <c r="O204" s="6">
        <f t="shared" si="8"/>
        <v>19990</v>
      </c>
      <c r="P204" s="5" t="s">
        <v>504</v>
      </c>
    </row>
    <row r="205" spans="1:16" x14ac:dyDescent="0.35">
      <c r="A205" s="5" t="str">
        <f t="shared" si="7"/>
        <v>2022 All Items D90</v>
      </c>
      <c r="B205" s="8">
        <f>'ALL 2024 H2 D80'!$B$2</f>
        <v>46114</v>
      </c>
      <c r="C205" s="8">
        <f>'ALL 2024 H2 D80'!$C$2</f>
        <v>46120</v>
      </c>
      <c r="D205" s="5">
        <v>3208</v>
      </c>
      <c r="E205" s="5">
        <v>320</v>
      </c>
      <c r="F205" s="5">
        <v>1</v>
      </c>
      <c r="G205" s="5">
        <v>2</v>
      </c>
      <c r="H205" s="5">
        <v>81736</v>
      </c>
      <c r="I205" s="5" t="s">
        <v>16</v>
      </c>
      <c r="J205" s="5">
        <v>31634723</v>
      </c>
      <c r="K205" s="5" t="s">
        <v>1709</v>
      </c>
      <c r="L205" s="5" t="s">
        <v>1712</v>
      </c>
      <c r="M205" s="6">
        <v>199900</v>
      </c>
      <c r="N205" s="7">
        <v>0.9</v>
      </c>
      <c r="O205" s="6">
        <f t="shared" si="8"/>
        <v>19990</v>
      </c>
      <c r="P205" s="5" t="s">
        <v>504</v>
      </c>
    </row>
    <row r="206" spans="1:16" x14ac:dyDescent="0.35">
      <c r="A206" s="5" t="str">
        <f t="shared" si="7"/>
        <v>2022 All Items D90</v>
      </c>
      <c r="B206" s="8">
        <f>'ALL 2024 H2 D80'!$B$2</f>
        <v>46114</v>
      </c>
      <c r="C206" s="8">
        <f>'ALL 2024 H2 D80'!$C$2</f>
        <v>46120</v>
      </c>
      <c r="D206" s="5">
        <v>3208</v>
      </c>
      <c r="E206" s="5">
        <v>320</v>
      </c>
      <c r="F206" s="5">
        <v>1</v>
      </c>
      <c r="G206" s="5">
        <v>2</v>
      </c>
      <c r="H206" s="5">
        <v>81736</v>
      </c>
      <c r="I206" s="5" t="s">
        <v>16</v>
      </c>
      <c r="J206" s="5">
        <v>31634732</v>
      </c>
      <c r="K206" s="5" t="s">
        <v>1709</v>
      </c>
      <c r="L206" s="5" t="s">
        <v>1713</v>
      </c>
      <c r="M206" s="6">
        <v>199900</v>
      </c>
      <c r="N206" s="7">
        <v>0.9</v>
      </c>
      <c r="O206" s="6">
        <f t="shared" si="8"/>
        <v>19990</v>
      </c>
      <c r="P206" s="5" t="s">
        <v>504</v>
      </c>
    </row>
    <row r="207" spans="1:16" x14ac:dyDescent="0.35">
      <c r="A207" s="5" t="str">
        <f t="shared" si="7"/>
        <v>2022 All Items D90</v>
      </c>
      <c r="B207" s="8">
        <f>'ALL 2024 H2 D80'!$B$2</f>
        <v>46114</v>
      </c>
      <c r="C207" s="8">
        <f>'ALL 2024 H2 D80'!$C$2</f>
        <v>46120</v>
      </c>
      <c r="D207" s="5">
        <v>3208</v>
      </c>
      <c r="E207" s="5">
        <v>320</v>
      </c>
      <c r="F207" s="5">
        <v>1</v>
      </c>
      <c r="G207" s="5">
        <v>2</v>
      </c>
      <c r="H207" s="5">
        <v>81736</v>
      </c>
      <c r="I207" s="5" t="s">
        <v>16</v>
      </c>
      <c r="J207" s="5">
        <v>32660934</v>
      </c>
      <c r="K207" s="5" t="s">
        <v>1457</v>
      </c>
      <c r="L207" s="5" t="s">
        <v>1458</v>
      </c>
      <c r="M207" s="6">
        <v>189900</v>
      </c>
      <c r="N207" s="7">
        <v>0.9</v>
      </c>
      <c r="O207" s="6">
        <f t="shared" si="8"/>
        <v>18990</v>
      </c>
      <c r="P207" s="5" t="s">
        <v>504</v>
      </c>
    </row>
    <row r="208" spans="1:16" x14ac:dyDescent="0.35">
      <c r="A208" s="5" t="str">
        <f t="shared" si="7"/>
        <v>2022 All Items D90</v>
      </c>
      <c r="B208" s="8">
        <f>'ALL 2024 H2 D80'!$B$2</f>
        <v>46114</v>
      </c>
      <c r="C208" s="8">
        <f>'ALL 2024 H2 D80'!$C$2</f>
        <v>46120</v>
      </c>
      <c r="D208" s="5">
        <v>3208</v>
      </c>
      <c r="E208" s="5">
        <v>320</v>
      </c>
      <c r="F208" s="5">
        <v>1</v>
      </c>
      <c r="G208" s="5">
        <v>2</v>
      </c>
      <c r="H208" s="5">
        <v>81736</v>
      </c>
      <c r="I208" s="5" t="s">
        <v>16</v>
      </c>
      <c r="J208" s="5">
        <v>32660943</v>
      </c>
      <c r="K208" s="5" t="s">
        <v>1457</v>
      </c>
      <c r="L208" s="5" t="s">
        <v>1459</v>
      </c>
      <c r="M208" s="6">
        <v>189900</v>
      </c>
      <c r="N208" s="7">
        <v>0.9</v>
      </c>
      <c r="O208" s="6">
        <f t="shared" si="8"/>
        <v>18990</v>
      </c>
      <c r="P208" s="5" t="s">
        <v>504</v>
      </c>
    </row>
    <row r="209" spans="1:16" x14ac:dyDescent="0.35">
      <c r="A209" s="5" t="str">
        <f t="shared" si="7"/>
        <v>2022 All Items D90</v>
      </c>
      <c r="B209" s="8">
        <f>'ALL 2024 H2 D80'!$B$2</f>
        <v>46114</v>
      </c>
      <c r="C209" s="8">
        <f>'ALL 2024 H2 D80'!$C$2</f>
        <v>46120</v>
      </c>
      <c r="D209" s="5">
        <v>3208</v>
      </c>
      <c r="E209" s="5">
        <v>320</v>
      </c>
      <c r="F209" s="5">
        <v>1</v>
      </c>
      <c r="G209" s="5">
        <v>2</v>
      </c>
      <c r="H209" s="5">
        <v>81736</v>
      </c>
      <c r="I209" s="5" t="s">
        <v>16</v>
      </c>
      <c r="J209" s="5">
        <v>32660952</v>
      </c>
      <c r="K209" s="5" t="s">
        <v>1457</v>
      </c>
      <c r="L209" s="5" t="s">
        <v>1460</v>
      </c>
      <c r="M209" s="6">
        <v>189900</v>
      </c>
      <c r="N209" s="7">
        <v>0.9</v>
      </c>
      <c r="O209" s="6">
        <f t="shared" si="8"/>
        <v>18990</v>
      </c>
      <c r="P209" s="5" t="s">
        <v>504</v>
      </c>
    </row>
    <row r="210" spans="1:16" x14ac:dyDescent="0.35">
      <c r="A210" s="5" t="str">
        <f t="shared" si="7"/>
        <v>2022 All Items D90</v>
      </c>
      <c r="B210" s="8">
        <f>'ALL 2024 H2 D80'!$B$2</f>
        <v>46114</v>
      </c>
      <c r="C210" s="8">
        <f>'ALL 2024 H2 D80'!$C$2</f>
        <v>46120</v>
      </c>
      <c r="D210" s="5">
        <v>3208</v>
      </c>
      <c r="E210" s="5">
        <v>320</v>
      </c>
      <c r="F210" s="5">
        <v>1</v>
      </c>
      <c r="G210" s="5">
        <v>2</v>
      </c>
      <c r="H210" s="5">
        <v>81736</v>
      </c>
      <c r="I210" s="5" t="s">
        <v>16</v>
      </c>
      <c r="J210" s="5">
        <v>32660961</v>
      </c>
      <c r="K210" s="5" t="s">
        <v>1457</v>
      </c>
      <c r="L210" s="5" t="s">
        <v>1461</v>
      </c>
      <c r="M210" s="6">
        <v>189900</v>
      </c>
      <c r="N210" s="7">
        <v>0.9</v>
      </c>
      <c r="O210" s="6">
        <f t="shared" si="8"/>
        <v>18990</v>
      </c>
      <c r="P210" s="5" t="s">
        <v>504</v>
      </c>
    </row>
    <row r="211" spans="1:16" x14ac:dyDescent="0.35">
      <c r="A211" s="5" t="str">
        <f t="shared" si="7"/>
        <v>2022 All Items D90</v>
      </c>
      <c r="B211" s="8">
        <f>'ALL 2024 H2 D80'!$B$2</f>
        <v>46114</v>
      </c>
      <c r="C211" s="8">
        <f>'ALL 2024 H2 D80'!$C$2</f>
        <v>46120</v>
      </c>
      <c r="D211" s="5">
        <v>3208</v>
      </c>
      <c r="E211" s="5">
        <v>320</v>
      </c>
      <c r="F211" s="5">
        <v>1</v>
      </c>
      <c r="G211" s="5">
        <v>2</v>
      </c>
      <c r="H211" s="5">
        <v>81736</v>
      </c>
      <c r="I211" s="5" t="s">
        <v>16</v>
      </c>
      <c r="J211" s="5">
        <v>33260874</v>
      </c>
      <c r="K211" s="5" t="s">
        <v>1462</v>
      </c>
      <c r="L211" s="5" t="s">
        <v>1463</v>
      </c>
      <c r="M211" s="6">
        <v>199900</v>
      </c>
      <c r="N211" s="7">
        <v>0.9</v>
      </c>
      <c r="O211" s="6">
        <f t="shared" si="8"/>
        <v>19990</v>
      </c>
      <c r="P211" s="5" t="s">
        <v>504</v>
      </c>
    </row>
    <row r="212" spans="1:16" x14ac:dyDescent="0.35">
      <c r="A212" s="5" t="str">
        <f t="shared" si="7"/>
        <v>2022 All Items D90</v>
      </c>
      <c r="B212" s="8">
        <f>'ALL 2024 H2 D80'!$B$2</f>
        <v>46114</v>
      </c>
      <c r="C212" s="8">
        <f>'ALL 2024 H2 D80'!$C$2</f>
        <v>46120</v>
      </c>
      <c r="D212" s="5">
        <v>3208</v>
      </c>
      <c r="E212" s="5">
        <v>320</v>
      </c>
      <c r="F212" s="5">
        <v>1</v>
      </c>
      <c r="G212" s="5">
        <v>2</v>
      </c>
      <c r="H212" s="5">
        <v>81736</v>
      </c>
      <c r="I212" s="5" t="s">
        <v>16</v>
      </c>
      <c r="J212" s="5">
        <v>33260883</v>
      </c>
      <c r="K212" s="5" t="s">
        <v>1462</v>
      </c>
      <c r="L212" s="5" t="s">
        <v>1464</v>
      </c>
      <c r="M212" s="6">
        <v>199900</v>
      </c>
      <c r="N212" s="7">
        <v>0.9</v>
      </c>
      <c r="O212" s="6">
        <f t="shared" si="8"/>
        <v>19990</v>
      </c>
      <c r="P212" s="5" t="s">
        <v>504</v>
      </c>
    </row>
    <row r="213" spans="1:16" x14ac:dyDescent="0.35">
      <c r="A213" s="5" t="str">
        <f t="shared" si="7"/>
        <v>2022 All Items D90</v>
      </c>
      <c r="B213" s="8">
        <f>'ALL 2024 H2 D80'!$B$2</f>
        <v>46114</v>
      </c>
      <c r="C213" s="8">
        <f>'ALL 2024 H2 D80'!$C$2</f>
        <v>46120</v>
      </c>
      <c r="D213" s="5">
        <v>3208</v>
      </c>
      <c r="E213" s="5">
        <v>320</v>
      </c>
      <c r="F213" s="5">
        <v>1</v>
      </c>
      <c r="G213" s="5">
        <v>2</v>
      </c>
      <c r="H213" s="5">
        <v>81736</v>
      </c>
      <c r="I213" s="5" t="s">
        <v>16</v>
      </c>
      <c r="J213" s="5">
        <v>33260892</v>
      </c>
      <c r="K213" s="5" t="s">
        <v>1462</v>
      </c>
      <c r="L213" s="5" t="s">
        <v>1465</v>
      </c>
      <c r="M213" s="6">
        <v>199900</v>
      </c>
      <c r="N213" s="7">
        <v>0.9</v>
      </c>
      <c r="O213" s="6">
        <f t="shared" si="8"/>
        <v>19990</v>
      </c>
      <c r="P213" s="5" t="s">
        <v>504</v>
      </c>
    </row>
    <row r="214" spans="1:16" x14ac:dyDescent="0.35">
      <c r="A214" s="5" t="str">
        <f t="shared" si="7"/>
        <v>2022 All Items D90</v>
      </c>
      <c r="B214" s="8">
        <f>'ALL 2024 H2 D80'!$B$2</f>
        <v>46114</v>
      </c>
      <c r="C214" s="8">
        <f>'ALL 2024 H2 D80'!$C$2</f>
        <v>46120</v>
      </c>
      <c r="D214" s="5">
        <v>3208</v>
      </c>
      <c r="E214" s="5">
        <v>320</v>
      </c>
      <c r="F214" s="5">
        <v>1</v>
      </c>
      <c r="G214" s="5">
        <v>2</v>
      </c>
      <c r="H214" s="5">
        <v>81736</v>
      </c>
      <c r="I214" s="5" t="s">
        <v>16</v>
      </c>
      <c r="J214" s="5">
        <v>33260909</v>
      </c>
      <c r="K214" s="5" t="s">
        <v>1462</v>
      </c>
      <c r="L214" s="5" t="s">
        <v>1466</v>
      </c>
      <c r="M214" s="6">
        <v>199900</v>
      </c>
      <c r="N214" s="7">
        <v>0.9</v>
      </c>
      <c r="O214" s="6">
        <f t="shared" si="8"/>
        <v>19990</v>
      </c>
      <c r="P214" s="5" t="s">
        <v>504</v>
      </c>
    </row>
    <row r="215" spans="1:16" x14ac:dyDescent="0.35">
      <c r="A215" s="5" t="str">
        <f t="shared" si="7"/>
        <v>2022 All Items D90</v>
      </c>
      <c r="B215" s="8">
        <f>'ALL 2024 H2 D80'!$B$2</f>
        <v>46114</v>
      </c>
      <c r="C215" s="8">
        <f>'ALL 2024 H2 D80'!$C$2</f>
        <v>46120</v>
      </c>
      <c r="D215" s="5">
        <v>3208</v>
      </c>
      <c r="E215" s="5">
        <v>320</v>
      </c>
      <c r="F215" s="5">
        <v>1</v>
      </c>
      <c r="G215" s="5">
        <v>2</v>
      </c>
      <c r="H215" s="5">
        <v>81736</v>
      </c>
      <c r="I215" s="5" t="s">
        <v>16</v>
      </c>
      <c r="J215" s="5">
        <v>33261248</v>
      </c>
      <c r="K215" s="5" t="s">
        <v>1714</v>
      </c>
      <c r="L215" s="5" t="s">
        <v>1715</v>
      </c>
      <c r="M215" s="6">
        <v>219900</v>
      </c>
      <c r="N215" s="7">
        <v>0.9</v>
      </c>
      <c r="O215" s="6">
        <f t="shared" si="8"/>
        <v>21990</v>
      </c>
      <c r="P215" s="5" t="s">
        <v>504</v>
      </c>
    </row>
    <row r="216" spans="1:16" x14ac:dyDescent="0.35">
      <c r="A216" s="5" t="str">
        <f t="shared" si="7"/>
        <v>2022 All Items D90</v>
      </c>
      <c r="B216" s="8">
        <f>'ALL 2024 H2 D80'!$B$2</f>
        <v>46114</v>
      </c>
      <c r="C216" s="8">
        <f>'ALL 2024 H2 D80'!$C$2</f>
        <v>46120</v>
      </c>
      <c r="D216" s="5">
        <v>3208</v>
      </c>
      <c r="E216" s="5">
        <v>320</v>
      </c>
      <c r="F216" s="5">
        <v>1</v>
      </c>
      <c r="G216" s="5">
        <v>2</v>
      </c>
      <c r="H216" s="5">
        <v>81736</v>
      </c>
      <c r="I216" s="5" t="s">
        <v>16</v>
      </c>
      <c r="J216" s="5">
        <v>33261266</v>
      </c>
      <c r="K216" s="5" t="s">
        <v>1714</v>
      </c>
      <c r="L216" s="5" t="s">
        <v>1716</v>
      </c>
      <c r="M216" s="6">
        <v>219900</v>
      </c>
      <c r="N216" s="7">
        <v>0.9</v>
      </c>
      <c r="O216" s="6">
        <f t="shared" si="8"/>
        <v>21990</v>
      </c>
      <c r="P216" s="5" t="s">
        <v>504</v>
      </c>
    </row>
    <row r="217" spans="1:16" x14ac:dyDescent="0.35">
      <c r="A217" s="5" t="str">
        <f t="shared" si="7"/>
        <v>2022 All Items D90</v>
      </c>
      <c r="B217" s="8">
        <f>'ALL 2024 H2 D80'!$B$2</f>
        <v>46114</v>
      </c>
      <c r="C217" s="8">
        <f>'ALL 2024 H2 D80'!$C$2</f>
        <v>46120</v>
      </c>
      <c r="D217" s="5">
        <v>3208</v>
      </c>
      <c r="E217" s="5">
        <v>320</v>
      </c>
      <c r="F217" s="5">
        <v>1</v>
      </c>
      <c r="G217" s="5">
        <v>2</v>
      </c>
      <c r="H217" s="5">
        <v>81736</v>
      </c>
      <c r="I217" s="5" t="s">
        <v>16</v>
      </c>
      <c r="J217" s="5">
        <v>33261275</v>
      </c>
      <c r="K217" s="5" t="s">
        <v>1714</v>
      </c>
      <c r="L217" s="5" t="s">
        <v>1717</v>
      </c>
      <c r="M217" s="6">
        <v>219900</v>
      </c>
      <c r="N217" s="7">
        <v>0.9</v>
      </c>
      <c r="O217" s="6">
        <f t="shared" si="8"/>
        <v>21990</v>
      </c>
      <c r="P217" s="5" t="s">
        <v>504</v>
      </c>
    </row>
    <row r="218" spans="1:16" x14ac:dyDescent="0.35">
      <c r="A218" s="5" t="str">
        <f t="shared" si="7"/>
        <v>2022 All Items D90</v>
      </c>
      <c r="B218" s="8">
        <f>'ALL 2024 H2 D80'!$B$2</f>
        <v>46114</v>
      </c>
      <c r="C218" s="8">
        <f>'ALL 2024 H2 D80'!$C$2</f>
        <v>46120</v>
      </c>
      <c r="D218" s="5">
        <v>3208</v>
      </c>
      <c r="E218" s="5">
        <v>320</v>
      </c>
      <c r="F218" s="5">
        <v>1</v>
      </c>
      <c r="G218" s="5">
        <v>2</v>
      </c>
      <c r="H218" s="5">
        <v>81736</v>
      </c>
      <c r="I218" s="5" t="s">
        <v>16</v>
      </c>
      <c r="J218" s="5">
        <v>33375170</v>
      </c>
      <c r="K218" s="5" t="s">
        <v>1467</v>
      </c>
      <c r="L218" s="5" t="s">
        <v>1468</v>
      </c>
      <c r="M218" s="6">
        <v>189900</v>
      </c>
      <c r="N218" s="7">
        <v>0.9</v>
      </c>
      <c r="O218" s="6">
        <f t="shared" si="8"/>
        <v>18990</v>
      </c>
      <c r="P218" s="5" t="s">
        <v>504</v>
      </c>
    </row>
    <row r="219" spans="1:16" x14ac:dyDescent="0.35">
      <c r="A219" s="5" t="str">
        <f t="shared" si="7"/>
        <v>2022 All Items D90</v>
      </c>
      <c r="B219" s="8">
        <f>'ALL 2024 H2 D80'!$B$2</f>
        <v>46114</v>
      </c>
      <c r="C219" s="8">
        <f>'ALL 2024 H2 D80'!$C$2</f>
        <v>46120</v>
      </c>
      <c r="D219" s="5">
        <v>3208</v>
      </c>
      <c r="E219" s="5">
        <v>320</v>
      </c>
      <c r="F219" s="5">
        <v>1</v>
      </c>
      <c r="G219" s="5">
        <v>2</v>
      </c>
      <c r="H219" s="5">
        <v>81736</v>
      </c>
      <c r="I219" s="5" t="s">
        <v>16</v>
      </c>
      <c r="J219" s="5">
        <v>33375189</v>
      </c>
      <c r="K219" s="5" t="s">
        <v>1467</v>
      </c>
      <c r="L219" s="5" t="s">
        <v>1469</v>
      </c>
      <c r="M219" s="6">
        <v>189900</v>
      </c>
      <c r="N219" s="7">
        <v>0.9</v>
      </c>
      <c r="O219" s="6">
        <f t="shared" si="8"/>
        <v>18990</v>
      </c>
      <c r="P219" s="5" t="s">
        <v>504</v>
      </c>
    </row>
    <row r="220" spans="1:16" x14ac:dyDescent="0.35">
      <c r="A220" s="5" t="str">
        <f t="shared" si="7"/>
        <v>2022 All Items D90</v>
      </c>
      <c r="B220" s="8">
        <f>'ALL 2024 H2 D80'!$B$2</f>
        <v>46114</v>
      </c>
      <c r="C220" s="8">
        <f>'ALL 2024 H2 D80'!$C$2</f>
        <v>46120</v>
      </c>
      <c r="D220" s="5">
        <v>3208</v>
      </c>
      <c r="E220" s="5">
        <v>320</v>
      </c>
      <c r="F220" s="5">
        <v>1</v>
      </c>
      <c r="G220" s="5">
        <v>2</v>
      </c>
      <c r="H220" s="5">
        <v>81736</v>
      </c>
      <c r="I220" s="5" t="s">
        <v>16</v>
      </c>
      <c r="J220" s="5">
        <v>33375198</v>
      </c>
      <c r="K220" s="5" t="s">
        <v>1467</v>
      </c>
      <c r="L220" s="5" t="s">
        <v>1470</v>
      </c>
      <c r="M220" s="6">
        <v>189900</v>
      </c>
      <c r="N220" s="7">
        <v>0.9</v>
      </c>
      <c r="O220" s="6">
        <f t="shared" si="8"/>
        <v>18990</v>
      </c>
      <c r="P220" s="5" t="s">
        <v>504</v>
      </c>
    </row>
    <row r="221" spans="1:16" x14ac:dyDescent="0.35">
      <c r="A221" s="5" t="str">
        <f t="shared" si="7"/>
        <v>2022 All Items D90</v>
      </c>
      <c r="B221" s="8">
        <f>'ALL 2024 H2 D80'!$B$2</f>
        <v>46114</v>
      </c>
      <c r="C221" s="8">
        <f>'ALL 2024 H2 D80'!$C$2</f>
        <v>46120</v>
      </c>
      <c r="D221" s="5">
        <v>3208</v>
      </c>
      <c r="E221" s="5">
        <v>320</v>
      </c>
      <c r="F221" s="5">
        <v>1</v>
      </c>
      <c r="G221" s="5">
        <v>2</v>
      </c>
      <c r="H221" s="5">
        <v>81736</v>
      </c>
      <c r="I221" s="5" t="s">
        <v>16</v>
      </c>
      <c r="J221" s="5">
        <v>33375205</v>
      </c>
      <c r="K221" s="5" t="s">
        <v>1467</v>
      </c>
      <c r="L221" s="5" t="s">
        <v>1471</v>
      </c>
      <c r="M221" s="6">
        <v>189900</v>
      </c>
      <c r="N221" s="7">
        <v>0.9</v>
      </c>
      <c r="O221" s="6">
        <f t="shared" si="8"/>
        <v>18990</v>
      </c>
      <c r="P221" s="5" t="s">
        <v>504</v>
      </c>
    </row>
    <row r="222" spans="1:16" x14ac:dyDescent="0.35">
      <c r="A222" s="5" t="str">
        <f t="shared" si="7"/>
        <v>2022 All Items D90</v>
      </c>
      <c r="B222" s="8">
        <f>'ALL 2024 H2 D80'!$B$2</f>
        <v>46114</v>
      </c>
      <c r="C222" s="8">
        <f>'ALL 2024 H2 D80'!$C$2</f>
        <v>46120</v>
      </c>
      <c r="D222" s="5">
        <v>3208</v>
      </c>
      <c r="E222" s="5">
        <v>320</v>
      </c>
      <c r="F222" s="5">
        <v>1</v>
      </c>
      <c r="G222" s="5">
        <v>2</v>
      </c>
      <c r="H222" s="5">
        <v>81736</v>
      </c>
      <c r="I222" s="5" t="s">
        <v>16</v>
      </c>
      <c r="J222" s="5">
        <v>33375214</v>
      </c>
      <c r="K222" s="5" t="s">
        <v>1472</v>
      </c>
      <c r="L222" s="5" t="s">
        <v>1473</v>
      </c>
      <c r="M222" s="6">
        <v>199900</v>
      </c>
      <c r="N222" s="7">
        <v>0.9</v>
      </c>
      <c r="O222" s="6">
        <f t="shared" si="8"/>
        <v>19990</v>
      </c>
      <c r="P222" s="5" t="s">
        <v>504</v>
      </c>
    </row>
    <row r="223" spans="1:16" x14ac:dyDescent="0.35">
      <c r="A223" s="5" t="str">
        <f t="shared" si="7"/>
        <v>2022 All Items D90</v>
      </c>
      <c r="B223" s="8">
        <f>'ALL 2024 H2 D80'!$B$2</f>
        <v>46114</v>
      </c>
      <c r="C223" s="8">
        <f>'ALL 2024 H2 D80'!$C$2</f>
        <v>46120</v>
      </c>
      <c r="D223" s="5">
        <v>3208</v>
      </c>
      <c r="E223" s="5">
        <v>320</v>
      </c>
      <c r="F223" s="5">
        <v>1</v>
      </c>
      <c r="G223" s="5">
        <v>2</v>
      </c>
      <c r="H223" s="5">
        <v>81736</v>
      </c>
      <c r="I223" s="5" t="s">
        <v>16</v>
      </c>
      <c r="J223" s="5">
        <v>33375223</v>
      </c>
      <c r="K223" s="5" t="s">
        <v>1472</v>
      </c>
      <c r="L223" s="5" t="s">
        <v>1474</v>
      </c>
      <c r="M223" s="6">
        <v>199900</v>
      </c>
      <c r="N223" s="7">
        <v>0.9</v>
      </c>
      <c r="O223" s="6">
        <f t="shared" si="8"/>
        <v>19990</v>
      </c>
      <c r="P223" s="5" t="s">
        <v>504</v>
      </c>
    </row>
    <row r="224" spans="1:16" x14ac:dyDescent="0.35">
      <c r="A224" s="5" t="str">
        <f t="shared" si="7"/>
        <v>2022 All Items D90</v>
      </c>
      <c r="B224" s="8">
        <f>'ALL 2024 H2 D80'!$B$2</f>
        <v>46114</v>
      </c>
      <c r="C224" s="8">
        <f>'ALL 2024 H2 D80'!$C$2</f>
        <v>46120</v>
      </c>
      <c r="D224" s="5">
        <v>3208</v>
      </c>
      <c r="E224" s="5">
        <v>320</v>
      </c>
      <c r="F224" s="5">
        <v>1</v>
      </c>
      <c r="G224" s="5">
        <v>2</v>
      </c>
      <c r="H224" s="5">
        <v>81736</v>
      </c>
      <c r="I224" s="5" t="s">
        <v>16</v>
      </c>
      <c r="J224" s="5">
        <v>33375232</v>
      </c>
      <c r="K224" s="5" t="s">
        <v>1472</v>
      </c>
      <c r="L224" s="5" t="s">
        <v>1475</v>
      </c>
      <c r="M224" s="6">
        <v>199900</v>
      </c>
      <c r="N224" s="7">
        <v>0.9</v>
      </c>
      <c r="O224" s="6">
        <f t="shared" si="8"/>
        <v>19990</v>
      </c>
      <c r="P224" s="5" t="s">
        <v>504</v>
      </c>
    </row>
    <row r="225" spans="1:16" x14ac:dyDescent="0.35">
      <c r="A225" s="5" t="str">
        <f t="shared" si="7"/>
        <v>2022 All Items D90</v>
      </c>
      <c r="B225" s="8">
        <f>'ALL 2024 H2 D80'!$B$2</f>
        <v>46114</v>
      </c>
      <c r="C225" s="8">
        <f>'ALL 2024 H2 D80'!$C$2</f>
        <v>46120</v>
      </c>
      <c r="D225" s="5">
        <v>3208</v>
      </c>
      <c r="E225" s="5">
        <v>320</v>
      </c>
      <c r="F225" s="5">
        <v>1</v>
      </c>
      <c r="G225" s="5">
        <v>2</v>
      </c>
      <c r="H225" s="5">
        <v>81736</v>
      </c>
      <c r="I225" s="5" t="s">
        <v>16</v>
      </c>
      <c r="J225" s="5">
        <v>33375241</v>
      </c>
      <c r="K225" s="5" t="s">
        <v>1472</v>
      </c>
      <c r="L225" s="5" t="s">
        <v>1476</v>
      </c>
      <c r="M225" s="6">
        <v>199900</v>
      </c>
      <c r="N225" s="7">
        <v>0.9</v>
      </c>
      <c r="O225" s="6">
        <f t="shared" si="8"/>
        <v>19990</v>
      </c>
      <c r="P225" s="5" t="s">
        <v>504</v>
      </c>
    </row>
    <row r="226" spans="1:16" x14ac:dyDescent="0.35">
      <c r="A226" s="5" t="str">
        <f t="shared" si="7"/>
        <v>2022 All Items D90</v>
      </c>
      <c r="B226" s="8">
        <f>'ALL 2024 H2 D80'!$B$2</f>
        <v>46114</v>
      </c>
      <c r="C226" s="8">
        <f>'ALL 2024 H2 D80'!$C$2</f>
        <v>46120</v>
      </c>
      <c r="D226" s="5">
        <v>3208</v>
      </c>
      <c r="E226" s="5">
        <v>320</v>
      </c>
      <c r="F226" s="5">
        <v>1</v>
      </c>
      <c r="G226" s="5">
        <v>2</v>
      </c>
      <c r="H226" s="5">
        <v>81736</v>
      </c>
      <c r="I226" s="5" t="s">
        <v>16</v>
      </c>
      <c r="J226" s="5">
        <v>33377454</v>
      </c>
      <c r="K226" s="5" t="s">
        <v>1477</v>
      </c>
      <c r="L226" s="5" t="s">
        <v>1478</v>
      </c>
      <c r="M226" s="6">
        <v>199900</v>
      </c>
      <c r="N226" s="7">
        <v>0.9</v>
      </c>
      <c r="O226" s="6">
        <f t="shared" si="8"/>
        <v>19990</v>
      </c>
      <c r="P226" s="5" t="s">
        <v>504</v>
      </c>
    </row>
    <row r="227" spans="1:16" x14ac:dyDescent="0.35">
      <c r="A227" s="5" t="str">
        <f t="shared" si="7"/>
        <v>2022 All Items D90</v>
      </c>
      <c r="B227" s="8">
        <f>'ALL 2024 H2 D80'!$B$2</f>
        <v>46114</v>
      </c>
      <c r="C227" s="8">
        <f>'ALL 2024 H2 D80'!$C$2</f>
        <v>46120</v>
      </c>
      <c r="D227" s="5">
        <v>3208</v>
      </c>
      <c r="E227" s="5">
        <v>320</v>
      </c>
      <c r="F227" s="5">
        <v>1</v>
      </c>
      <c r="G227" s="5">
        <v>2</v>
      </c>
      <c r="H227" s="5">
        <v>81736</v>
      </c>
      <c r="I227" s="5" t="s">
        <v>16</v>
      </c>
      <c r="J227" s="5">
        <v>33377463</v>
      </c>
      <c r="K227" s="5" t="s">
        <v>1477</v>
      </c>
      <c r="L227" s="5" t="s">
        <v>1479</v>
      </c>
      <c r="M227" s="6">
        <v>199900</v>
      </c>
      <c r="N227" s="7">
        <v>0.9</v>
      </c>
      <c r="O227" s="6">
        <f t="shared" si="8"/>
        <v>19990</v>
      </c>
      <c r="P227" s="5" t="s">
        <v>504</v>
      </c>
    </row>
    <row r="228" spans="1:16" x14ac:dyDescent="0.35">
      <c r="A228" s="5" t="str">
        <f t="shared" si="7"/>
        <v>2022 All Items D90</v>
      </c>
      <c r="B228" s="8">
        <f>'ALL 2024 H2 D80'!$B$2</f>
        <v>46114</v>
      </c>
      <c r="C228" s="8">
        <f>'ALL 2024 H2 D80'!$C$2</f>
        <v>46120</v>
      </c>
      <c r="D228" s="5">
        <v>3208</v>
      </c>
      <c r="E228" s="5">
        <v>320</v>
      </c>
      <c r="F228" s="5">
        <v>1</v>
      </c>
      <c r="G228" s="5">
        <v>2</v>
      </c>
      <c r="H228" s="5">
        <v>81736</v>
      </c>
      <c r="I228" s="5" t="s">
        <v>16</v>
      </c>
      <c r="J228" s="5">
        <v>33377472</v>
      </c>
      <c r="K228" s="5" t="s">
        <v>1477</v>
      </c>
      <c r="L228" s="5" t="s">
        <v>1480</v>
      </c>
      <c r="M228" s="6">
        <v>199900</v>
      </c>
      <c r="N228" s="7">
        <v>0.9</v>
      </c>
      <c r="O228" s="6">
        <f t="shared" si="8"/>
        <v>19990</v>
      </c>
      <c r="P228" s="5" t="s">
        <v>504</v>
      </c>
    </row>
    <row r="229" spans="1:16" x14ac:dyDescent="0.35">
      <c r="A229" s="5" t="str">
        <f t="shared" si="7"/>
        <v>2022 All Items D90</v>
      </c>
      <c r="B229" s="8">
        <f>'ALL 2024 H2 D80'!$B$2</f>
        <v>46114</v>
      </c>
      <c r="C229" s="8">
        <f>'ALL 2024 H2 D80'!$C$2</f>
        <v>46120</v>
      </c>
      <c r="D229" s="5">
        <v>3208</v>
      </c>
      <c r="E229" s="5">
        <v>320</v>
      </c>
      <c r="F229" s="5">
        <v>1</v>
      </c>
      <c r="G229" s="5">
        <v>2</v>
      </c>
      <c r="H229" s="5">
        <v>81736</v>
      </c>
      <c r="I229" s="5" t="s">
        <v>16</v>
      </c>
      <c r="J229" s="5">
        <v>33377481</v>
      </c>
      <c r="K229" s="5" t="s">
        <v>1477</v>
      </c>
      <c r="L229" s="5" t="s">
        <v>1481</v>
      </c>
      <c r="M229" s="6">
        <v>199900</v>
      </c>
      <c r="N229" s="7">
        <v>0.9</v>
      </c>
      <c r="O229" s="6">
        <f t="shared" si="8"/>
        <v>19990</v>
      </c>
      <c r="P229" s="5" t="s">
        <v>504</v>
      </c>
    </row>
    <row r="230" spans="1:16" x14ac:dyDescent="0.35">
      <c r="A230" s="5" t="str">
        <f t="shared" si="7"/>
        <v>2022 All Items D90</v>
      </c>
      <c r="B230" s="8">
        <f>'ALL 2024 H2 D80'!$B$2</f>
        <v>46114</v>
      </c>
      <c r="C230" s="8">
        <f>'ALL 2024 H2 D80'!$C$2</f>
        <v>46120</v>
      </c>
      <c r="D230" s="5">
        <v>3208</v>
      </c>
      <c r="E230" s="5">
        <v>320</v>
      </c>
      <c r="F230" s="5">
        <v>1</v>
      </c>
      <c r="G230" s="5">
        <v>2</v>
      </c>
      <c r="H230" s="5">
        <v>81736</v>
      </c>
      <c r="I230" s="5" t="s">
        <v>16</v>
      </c>
      <c r="J230" s="5">
        <v>33380968</v>
      </c>
      <c r="K230" s="5" t="s">
        <v>1718</v>
      </c>
      <c r="L230" s="5" t="s">
        <v>1719</v>
      </c>
      <c r="M230" s="6">
        <v>199900</v>
      </c>
      <c r="N230" s="7">
        <v>0.9</v>
      </c>
      <c r="O230" s="6">
        <f t="shared" si="8"/>
        <v>19990</v>
      </c>
      <c r="P230" s="5" t="s">
        <v>504</v>
      </c>
    </row>
    <row r="231" spans="1:16" x14ac:dyDescent="0.35">
      <c r="A231" s="5" t="str">
        <f t="shared" si="7"/>
        <v>2022 All Items D90</v>
      </c>
      <c r="B231" s="8">
        <f>'ALL 2024 H2 D80'!$B$2</f>
        <v>46114</v>
      </c>
      <c r="C231" s="8">
        <f>'ALL 2024 H2 D80'!$C$2</f>
        <v>46120</v>
      </c>
      <c r="D231" s="5">
        <v>3208</v>
      </c>
      <c r="E231" s="5">
        <v>320</v>
      </c>
      <c r="F231" s="5">
        <v>1</v>
      </c>
      <c r="G231" s="5">
        <v>2</v>
      </c>
      <c r="H231" s="5">
        <v>81736</v>
      </c>
      <c r="I231" s="5" t="s">
        <v>16</v>
      </c>
      <c r="J231" s="5">
        <v>33380977</v>
      </c>
      <c r="K231" s="5" t="s">
        <v>1718</v>
      </c>
      <c r="L231" s="5" t="s">
        <v>1720</v>
      </c>
      <c r="M231" s="6">
        <v>199900</v>
      </c>
      <c r="N231" s="7">
        <v>0.9</v>
      </c>
      <c r="O231" s="6">
        <f t="shared" si="8"/>
        <v>19990</v>
      </c>
      <c r="P231" s="5" t="s">
        <v>504</v>
      </c>
    </row>
    <row r="232" spans="1:16" x14ac:dyDescent="0.35">
      <c r="A232" s="5" t="str">
        <f t="shared" si="7"/>
        <v>2022 All Items D90</v>
      </c>
      <c r="B232" s="8">
        <f>'ALL 2024 H2 D80'!$B$2</f>
        <v>46114</v>
      </c>
      <c r="C232" s="8">
        <f>'ALL 2024 H2 D80'!$C$2</f>
        <v>46120</v>
      </c>
      <c r="D232" s="5">
        <v>3208</v>
      </c>
      <c r="E232" s="5">
        <v>320</v>
      </c>
      <c r="F232" s="5">
        <v>1</v>
      </c>
      <c r="G232" s="5">
        <v>2</v>
      </c>
      <c r="H232" s="5">
        <v>81736</v>
      </c>
      <c r="I232" s="5" t="s">
        <v>16</v>
      </c>
      <c r="J232" s="5">
        <v>33380986</v>
      </c>
      <c r="K232" s="5" t="s">
        <v>1718</v>
      </c>
      <c r="L232" s="5" t="s">
        <v>1721</v>
      </c>
      <c r="M232" s="6">
        <v>199900</v>
      </c>
      <c r="N232" s="7">
        <v>0.9</v>
      </c>
      <c r="O232" s="6">
        <f t="shared" si="8"/>
        <v>19990</v>
      </c>
      <c r="P232" s="5" t="s">
        <v>504</v>
      </c>
    </row>
    <row r="233" spans="1:16" x14ac:dyDescent="0.35">
      <c r="A233" s="5" t="str">
        <f t="shared" si="7"/>
        <v>2022 All Items D90</v>
      </c>
      <c r="B233" s="8">
        <f>'ALL 2024 H2 D80'!$B$2</f>
        <v>46114</v>
      </c>
      <c r="C233" s="8">
        <f>'ALL 2024 H2 D80'!$C$2</f>
        <v>46120</v>
      </c>
      <c r="D233" s="5">
        <v>3208</v>
      </c>
      <c r="E233" s="5">
        <v>320</v>
      </c>
      <c r="F233" s="5">
        <v>1</v>
      </c>
      <c r="G233" s="5">
        <v>2</v>
      </c>
      <c r="H233" s="5">
        <v>81736</v>
      </c>
      <c r="I233" s="5" t="s">
        <v>16</v>
      </c>
      <c r="J233" s="5">
        <v>33380995</v>
      </c>
      <c r="K233" s="5" t="s">
        <v>1718</v>
      </c>
      <c r="L233" s="5" t="s">
        <v>1722</v>
      </c>
      <c r="M233" s="6">
        <v>199900</v>
      </c>
      <c r="N233" s="7">
        <v>0.9</v>
      </c>
      <c r="O233" s="6">
        <f t="shared" si="8"/>
        <v>19990</v>
      </c>
      <c r="P233" s="5" t="s">
        <v>504</v>
      </c>
    </row>
    <row r="234" spans="1:16" x14ac:dyDescent="0.35">
      <c r="A234" s="5" t="str">
        <f t="shared" si="7"/>
        <v>2022 All Items D90</v>
      </c>
      <c r="B234" s="8">
        <f>'ALL 2024 H2 D80'!$B$2</f>
        <v>46114</v>
      </c>
      <c r="C234" s="8">
        <f>'ALL 2024 H2 D80'!$C$2</f>
        <v>46120</v>
      </c>
      <c r="D234" s="5">
        <v>3208</v>
      </c>
      <c r="E234" s="5">
        <v>320</v>
      </c>
      <c r="F234" s="5">
        <v>1</v>
      </c>
      <c r="G234" s="5">
        <v>2</v>
      </c>
      <c r="H234" s="5">
        <v>81736</v>
      </c>
      <c r="I234" s="5" t="s">
        <v>16</v>
      </c>
      <c r="J234" s="5">
        <v>58552280</v>
      </c>
      <c r="K234" s="5" t="s">
        <v>1723</v>
      </c>
      <c r="L234" s="5" t="s">
        <v>1724</v>
      </c>
      <c r="M234" s="6">
        <v>199900</v>
      </c>
      <c r="N234" s="7">
        <v>0.9</v>
      </c>
      <c r="O234" s="6">
        <f t="shared" si="8"/>
        <v>19990</v>
      </c>
      <c r="P234" s="5" t="s">
        <v>504</v>
      </c>
    </row>
    <row r="235" spans="1:16" x14ac:dyDescent="0.35">
      <c r="A235" s="5" t="str">
        <f t="shared" si="7"/>
        <v>2022 All Items D90</v>
      </c>
      <c r="B235" s="8">
        <f>'ALL 2024 H2 D80'!$B$2</f>
        <v>46114</v>
      </c>
      <c r="C235" s="8">
        <f>'ALL 2024 H2 D80'!$C$2</f>
        <v>46120</v>
      </c>
      <c r="D235" s="5">
        <v>3208</v>
      </c>
      <c r="E235" s="5">
        <v>320</v>
      </c>
      <c r="F235" s="5">
        <v>1</v>
      </c>
      <c r="G235" s="5">
        <v>2</v>
      </c>
      <c r="H235" s="5">
        <v>81736</v>
      </c>
      <c r="I235" s="5" t="s">
        <v>16</v>
      </c>
      <c r="J235" s="5">
        <v>58552299</v>
      </c>
      <c r="K235" s="5" t="s">
        <v>1723</v>
      </c>
      <c r="L235" s="5" t="s">
        <v>1725</v>
      </c>
      <c r="M235" s="6">
        <v>199900</v>
      </c>
      <c r="N235" s="7">
        <v>0.9</v>
      </c>
      <c r="O235" s="6">
        <f t="shared" si="8"/>
        <v>19990</v>
      </c>
      <c r="P235" s="5" t="s">
        <v>504</v>
      </c>
    </row>
    <row r="236" spans="1:16" x14ac:dyDescent="0.35">
      <c r="A236" s="5" t="str">
        <f t="shared" si="7"/>
        <v>2022 All Items D90</v>
      </c>
      <c r="B236" s="8">
        <f>'ALL 2024 H2 D80'!$B$2</f>
        <v>46114</v>
      </c>
      <c r="C236" s="8">
        <f>'ALL 2024 H2 D80'!$C$2</f>
        <v>46120</v>
      </c>
      <c r="D236" s="5">
        <v>3208</v>
      </c>
      <c r="E236" s="5">
        <v>320</v>
      </c>
      <c r="F236" s="5">
        <v>1</v>
      </c>
      <c r="G236" s="5">
        <v>2</v>
      </c>
      <c r="H236" s="5">
        <v>81736</v>
      </c>
      <c r="I236" s="5" t="s">
        <v>16</v>
      </c>
      <c r="J236" s="5">
        <v>58552306</v>
      </c>
      <c r="K236" s="5" t="s">
        <v>1723</v>
      </c>
      <c r="L236" s="5" t="s">
        <v>1726</v>
      </c>
      <c r="M236" s="6">
        <v>199900</v>
      </c>
      <c r="N236" s="7">
        <v>0.9</v>
      </c>
      <c r="O236" s="6">
        <f t="shared" si="8"/>
        <v>19990</v>
      </c>
      <c r="P236" s="5" t="s">
        <v>504</v>
      </c>
    </row>
    <row r="237" spans="1:16" x14ac:dyDescent="0.35">
      <c r="A237" s="5" t="str">
        <f t="shared" si="7"/>
        <v>2022 All Items D90</v>
      </c>
      <c r="B237" s="8">
        <f>'ALL 2024 H2 D80'!$B$2</f>
        <v>46114</v>
      </c>
      <c r="C237" s="8">
        <f>'ALL 2024 H2 D80'!$C$2</f>
        <v>46120</v>
      </c>
      <c r="D237" s="5">
        <v>3208</v>
      </c>
      <c r="E237" s="5">
        <v>320</v>
      </c>
      <c r="F237" s="5">
        <v>1</v>
      </c>
      <c r="G237" s="5">
        <v>2</v>
      </c>
      <c r="H237" s="5">
        <v>81736</v>
      </c>
      <c r="I237" s="5" t="s">
        <v>16</v>
      </c>
      <c r="J237" s="5">
        <v>58552315</v>
      </c>
      <c r="K237" s="5" t="s">
        <v>1723</v>
      </c>
      <c r="L237" s="5" t="s">
        <v>1727</v>
      </c>
      <c r="M237" s="6">
        <v>199900</v>
      </c>
      <c r="N237" s="7">
        <v>0.9</v>
      </c>
      <c r="O237" s="6">
        <f t="shared" si="8"/>
        <v>19990</v>
      </c>
      <c r="P237" s="5" t="s">
        <v>504</v>
      </c>
    </row>
    <row r="238" spans="1:16" x14ac:dyDescent="0.35">
      <c r="A238" s="5" t="str">
        <f t="shared" si="7"/>
        <v>2022 All Items D90</v>
      </c>
      <c r="B238" s="8">
        <f>'ALL 2024 H2 D80'!$B$2</f>
        <v>46114</v>
      </c>
      <c r="C238" s="8">
        <f>'ALL 2024 H2 D80'!$C$2</f>
        <v>46120</v>
      </c>
      <c r="D238" s="5">
        <v>3208</v>
      </c>
      <c r="E238" s="5">
        <v>320</v>
      </c>
      <c r="F238" s="5">
        <v>1</v>
      </c>
      <c r="G238" s="5">
        <v>2</v>
      </c>
      <c r="H238" s="5">
        <v>81736</v>
      </c>
      <c r="I238" s="5" t="s">
        <v>16</v>
      </c>
      <c r="J238" s="5">
        <v>62041047</v>
      </c>
      <c r="K238" s="5" t="s">
        <v>723</v>
      </c>
      <c r="L238" s="5" t="s">
        <v>1728</v>
      </c>
      <c r="M238" s="6">
        <v>229900</v>
      </c>
      <c r="N238" s="7">
        <v>0.9</v>
      </c>
      <c r="O238" s="6">
        <f t="shared" si="8"/>
        <v>22990</v>
      </c>
      <c r="P238" s="5" t="s">
        <v>504</v>
      </c>
    </row>
    <row r="239" spans="1:16" x14ac:dyDescent="0.35">
      <c r="A239" s="5" t="str">
        <f t="shared" si="7"/>
        <v>2022 All Items D90</v>
      </c>
      <c r="B239" s="8">
        <f>'ALL 2024 H2 D80'!$B$2</f>
        <v>46114</v>
      </c>
      <c r="C239" s="8">
        <f>'ALL 2024 H2 D80'!$C$2</f>
        <v>46120</v>
      </c>
      <c r="D239" s="5">
        <v>3208</v>
      </c>
      <c r="E239" s="5">
        <v>320</v>
      </c>
      <c r="F239" s="5">
        <v>1</v>
      </c>
      <c r="G239" s="5">
        <v>2</v>
      </c>
      <c r="H239" s="5">
        <v>81736</v>
      </c>
      <c r="I239" s="5" t="s">
        <v>16</v>
      </c>
      <c r="J239" s="5">
        <v>62041056</v>
      </c>
      <c r="K239" s="5" t="s">
        <v>723</v>
      </c>
      <c r="L239" s="5" t="s">
        <v>1729</v>
      </c>
      <c r="M239" s="6">
        <v>229900</v>
      </c>
      <c r="N239" s="7">
        <v>0.9</v>
      </c>
      <c r="O239" s="6">
        <f t="shared" si="8"/>
        <v>22990</v>
      </c>
      <c r="P239" s="5" t="s">
        <v>504</v>
      </c>
    </row>
    <row r="240" spans="1:16" x14ac:dyDescent="0.35">
      <c r="A240" s="5" t="str">
        <f t="shared" si="7"/>
        <v>2022 All Items D90</v>
      </c>
      <c r="B240" s="8">
        <f>'ALL 2024 H2 D80'!$B$2</f>
        <v>46114</v>
      </c>
      <c r="C240" s="8">
        <f>'ALL 2024 H2 D80'!$C$2</f>
        <v>46120</v>
      </c>
      <c r="D240" s="5">
        <v>3208</v>
      </c>
      <c r="E240" s="5">
        <v>320</v>
      </c>
      <c r="F240" s="5">
        <v>1</v>
      </c>
      <c r="G240" s="5">
        <v>2</v>
      </c>
      <c r="H240" s="5">
        <v>81736</v>
      </c>
      <c r="I240" s="5" t="s">
        <v>16</v>
      </c>
      <c r="J240" s="5">
        <v>62041127</v>
      </c>
      <c r="K240" s="5" t="s">
        <v>1730</v>
      </c>
      <c r="L240" s="5" t="s">
        <v>1731</v>
      </c>
      <c r="M240" s="6">
        <v>229900</v>
      </c>
      <c r="N240" s="7">
        <v>0.9</v>
      </c>
      <c r="O240" s="6">
        <f t="shared" si="8"/>
        <v>22990</v>
      </c>
      <c r="P240" s="5" t="s">
        <v>504</v>
      </c>
    </row>
    <row r="241" spans="1:16" x14ac:dyDescent="0.35">
      <c r="A241" s="5" t="str">
        <f t="shared" si="7"/>
        <v>2022 All Items D90</v>
      </c>
      <c r="B241" s="8">
        <f>'ALL 2024 H2 D80'!$B$2</f>
        <v>46114</v>
      </c>
      <c r="C241" s="8">
        <f>'ALL 2024 H2 D80'!$C$2</f>
        <v>46120</v>
      </c>
      <c r="D241" s="5">
        <v>3208</v>
      </c>
      <c r="E241" s="5">
        <v>320</v>
      </c>
      <c r="F241" s="5">
        <v>1</v>
      </c>
      <c r="G241" s="5">
        <v>2</v>
      </c>
      <c r="H241" s="5">
        <v>81736</v>
      </c>
      <c r="I241" s="5" t="s">
        <v>16</v>
      </c>
      <c r="J241" s="5">
        <v>62041136</v>
      </c>
      <c r="K241" s="5" t="s">
        <v>1730</v>
      </c>
      <c r="L241" s="5" t="s">
        <v>1732</v>
      </c>
      <c r="M241" s="6">
        <v>229900</v>
      </c>
      <c r="N241" s="7">
        <v>0.9</v>
      </c>
      <c r="O241" s="6">
        <f t="shared" si="8"/>
        <v>22990</v>
      </c>
      <c r="P241" s="5" t="s">
        <v>504</v>
      </c>
    </row>
    <row r="242" spans="1:16" x14ac:dyDescent="0.35">
      <c r="A242" s="5" t="str">
        <f t="shared" si="7"/>
        <v>2022 All Items D90</v>
      </c>
      <c r="B242" s="8">
        <f>'ALL 2024 H2 D80'!$B$2</f>
        <v>46114</v>
      </c>
      <c r="C242" s="8">
        <f>'ALL 2024 H2 D80'!$C$2</f>
        <v>46120</v>
      </c>
      <c r="D242" s="5">
        <v>3208</v>
      </c>
      <c r="E242" s="5">
        <v>320</v>
      </c>
      <c r="F242" s="5">
        <v>1</v>
      </c>
      <c r="G242" s="5">
        <v>2</v>
      </c>
      <c r="H242" s="5">
        <v>81736</v>
      </c>
      <c r="I242" s="5" t="s">
        <v>16</v>
      </c>
      <c r="J242" s="5">
        <v>62041145</v>
      </c>
      <c r="K242" s="5" t="s">
        <v>1730</v>
      </c>
      <c r="L242" s="5" t="s">
        <v>1733</v>
      </c>
      <c r="M242" s="6">
        <v>229900</v>
      </c>
      <c r="N242" s="7">
        <v>0.9</v>
      </c>
      <c r="O242" s="6">
        <f t="shared" si="8"/>
        <v>22990</v>
      </c>
      <c r="P242" s="5" t="s">
        <v>504</v>
      </c>
    </row>
    <row r="243" spans="1:16" x14ac:dyDescent="0.35">
      <c r="A243" s="5" t="str">
        <f t="shared" si="7"/>
        <v>2022 All Items D90</v>
      </c>
      <c r="B243" s="8">
        <f>'ALL 2024 H2 D80'!$B$2</f>
        <v>46114</v>
      </c>
      <c r="C243" s="8">
        <f>'ALL 2024 H2 D80'!$C$2</f>
        <v>46120</v>
      </c>
      <c r="D243" s="5">
        <v>3208</v>
      </c>
      <c r="E243" s="5">
        <v>320</v>
      </c>
      <c r="F243" s="5">
        <v>1</v>
      </c>
      <c r="G243" s="5">
        <v>2</v>
      </c>
      <c r="H243" s="5">
        <v>81736</v>
      </c>
      <c r="I243" s="5" t="s">
        <v>16</v>
      </c>
      <c r="J243" s="5">
        <v>62041154</v>
      </c>
      <c r="K243" s="5" t="s">
        <v>1730</v>
      </c>
      <c r="L243" s="5" t="s">
        <v>1734</v>
      </c>
      <c r="M243" s="6">
        <v>229900</v>
      </c>
      <c r="N243" s="7">
        <v>0.9</v>
      </c>
      <c r="O243" s="6">
        <f t="shared" si="8"/>
        <v>22990</v>
      </c>
      <c r="P243" s="5" t="s">
        <v>504</v>
      </c>
    </row>
    <row r="244" spans="1:16" x14ac:dyDescent="0.35">
      <c r="A244" s="5" t="str">
        <f t="shared" si="7"/>
        <v>2022 All Items D90</v>
      </c>
      <c r="B244" s="8">
        <f>'ALL 2024 H2 D80'!$B$2</f>
        <v>46114</v>
      </c>
      <c r="C244" s="8">
        <f>'ALL 2024 H2 D80'!$C$2</f>
        <v>46120</v>
      </c>
      <c r="D244" s="5">
        <v>3208</v>
      </c>
      <c r="E244" s="5">
        <v>320</v>
      </c>
      <c r="F244" s="5">
        <v>1</v>
      </c>
      <c r="G244" s="5">
        <v>2</v>
      </c>
      <c r="H244" s="5">
        <v>81736</v>
      </c>
      <c r="I244" s="5" t="s">
        <v>16</v>
      </c>
      <c r="J244" s="5">
        <v>62041163</v>
      </c>
      <c r="K244" s="5" t="s">
        <v>1730</v>
      </c>
      <c r="L244" s="5" t="s">
        <v>1735</v>
      </c>
      <c r="M244" s="6">
        <v>229900</v>
      </c>
      <c r="N244" s="7">
        <v>0.9</v>
      </c>
      <c r="O244" s="6">
        <f t="shared" si="8"/>
        <v>22990</v>
      </c>
      <c r="P244" s="5" t="s">
        <v>504</v>
      </c>
    </row>
    <row r="245" spans="1:16" x14ac:dyDescent="0.35">
      <c r="A245" s="5" t="str">
        <f t="shared" si="7"/>
        <v>2022 All Items D90</v>
      </c>
      <c r="B245" s="8">
        <f>'ALL 2024 H2 D80'!$B$2</f>
        <v>46114</v>
      </c>
      <c r="C245" s="8">
        <f>'ALL 2024 H2 D80'!$C$2</f>
        <v>46120</v>
      </c>
      <c r="D245" s="5">
        <v>3208</v>
      </c>
      <c r="E245" s="5">
        <v>320</v>
      </c>
      <c r="F245" s="5">
        <v>1</v>
      </c>
      <c r="G245" s="5">
        <v>2</v>
      </c>
      <c r="H245" s="5">
        <v>81736</v>
      </c>
      <c r="I245" s="5" t="s">
        <v>16</v>
      </c>
      <c r="J245" s="5">
        <v>62041172</v>
      </c>
      <c r="K245" s="5" t="s">
        <v>1730</v>
      </c>
      <c r="L245" s="5" t="s">
        <v>1736</v>
      </c>
      <c r="M245" s="6">
        <v>229900</v>
      </c>
      <c r="N245" s="7">
        <v>0.9</v>
      </c>
      <c r="O245" s="6">
        <f t="shared" si="8"/>
        <v>22990</v>
      </c>
      <c r="P245" s="5" t="s">
        <v>504</v>
      </c>
    </row>
    <row r="246" spans="1:16" x14ac:dyDescent="0.35">
      <c r="A246" s="5" t="str">
        <f t="shared" si="7"/>
        <v>2022 All Items D90</v>
      </c>
      <c r="B246" s="8">
        <f>'ALL 2024 H2 D80'!$B$2</f>
        <v>46114</v>
      </c>
      <c r="C246" s="8">
        <f>'ALL 2024 H2 D80'!$C$2</f>
        <v>46120</v>
      </c>
      <c r="D246" s="5">
        <v>3208</v>
      </c>
      <c r="E246" s="5">
        <v>320</v>
      </c>
      <c r="F246" s="5">
        <v>1</v>
      </c>
      <c r="G246" s="5">
        <v>2</v>
      </c>
      <c r="H246" s="5">
        <v>81736</v>
      </c>
      <c r="I246" s="5" t="s">
        <v>16</v>
      </c>
      <c r="J246" s="5">
        <v>62041190</v>
      </c>
      <c r="K246" s="5" t="s">
        <v>1730</v>
      </c>
      <c r="L246" s="5" t="s">
        <v>1737</v>
      </c>
      <c r="M246" s="6">
        <v>229900</v>
      </c>
      <c r="N246" s="7">
        <v>0.9</v>
      </c>
      <c r="O246" s="6">
        <f t="shared" si="8"/>
        <v>22990</v>
      </c>
      <c r="P246" s="5" t="s">
        <v>504</v>
      </c>
    </row>
    <row r="247" spans="1:16" x14ac:dyDescent="0.35">
      <c r="A247" s="5" t="str">
        <f t="shared" si="7"/>
        <v>2022 All Items D90</v>
      </c>
      <c r="B247" s="8">
        <f>'ALL 2024 H2 D80'!$B$2</f>
        <v>46114</v>
      </c>
      <c r="C247" s="8">
        <f>'ALL 2024 H2 D80'!$C$2</f>
        <v>46120</v>
      </c>
      <c r="D247" s="5">
        <v>3208</v>
      </c>
      <c r="E247" s="5">
        <v>320</v>
      </c>
      <c r="F247" s="5">
        <v>1</v>
      </c>
      <c r="G247" s="5">
        <v>2</v>
      </c>
      <c r="H247" s="5">
        <v>81736</v>
      </c>
      <c r="I247" s="5" t="s">
        <v>16</v>
      </c>
      <c r="J247" s="5">
        <v>62042322</v>
      </c>
      <c r="K247" s="5" t="s">
        <v>1109</v>
      </c>
      <c r="L247" s="5" t="s">
        <v>1110</v>
      </c>
      <c r="M247" s="6">
        <v>269900</v>
      </c>
      <c r="N247" s="7">
        <v>0.9</v>
      </c>
      <c r="O247" s="6">
        <f t="shared" si="8"/>
        <v>26990</v>
      </c>
      <c r="P247" s="5" t="s">
        <v>504</v>
      </c>
    </row>
    <row r="248" spans="1:16" x14ac:dyDescent="0.35">
      <c r="A248" s="5" t="str">
        <f t="shared" si="7"/>
        <v>2022 All Items D90</v>
      </c>
      <c r="B248" s="8">
        <f>'ALL 2024 H2 D80'!$B$2</f>
        <v>46114</v>
      </c>
      <c r="C248" s="8">
        <f>'ALL 2024 H2 D80'!$C$2</f>
        <v>46120</v>
      </c>
      <c r="D248" s="5">
        <v>3208</v>
      </c>
      <c r="E248" s="5">
        <v>320</v>
      </c>
      <c r="F248" s="5">
        <v>1</v>
      </c>
      <c r="G248" s="5">
        <v>2</v>
      </c>
      <c r="H248" s="5">
        <v>81736</v>
      </c>
      <c r="I248" s="5" t="s">
        <v>16</v>
      </c>
      <c r="J248" s="5">
        <v>62042331</v>
      </c>
      <c r="K248" s="5" t="s">
        <v>1109</v>
      </c>
      <c r="L248" s="5" t="s">
        <v>1111</v>
      </c>
      <c r="M248" s="6">
        <v>269900</v>
      </c>
      <c r="N248" s="7">
        <v>0.9</v>
      </c>
      <c r="O248" s="6">
        <f t="shared" si="8"/>
        <v>26990</v>
      </c>
      <c r="P248" s="5" t="s">
        <v>504</v>
      </c>
    </row>
    <row r="249" spans="1:16" x14ac:dyDescent="0.35">
      <c r="A249" s="5" t="str">
        <f t="shared" si="7"/>
        <v>2022 All Items D90</v>
      </c>
      <c r="B249" s="8">
        <f>'ALL 2024 H2 D80'!$B$2</f>
        <v>46114</v>
      </c>
      <c r="C249" s="8">
        <f>'ALL 2024 H2 D80'!$C$2</f>
        <v>46120</v>
      </c>
      <c r="D249" s="5">
        <v>3208</v>
      </c>
      <c r="E249" s="5">
        <v>320</v>
      </c>
      <c r="F249" s="5">
        <v>1</v>
      </c>
      <c r="G249" s="5">
        <v>2</v>
      </c>
      <c r="H249" s="5">
        <v>81736</v>
      </c>
      <c r="I249" s="5" t="s">
        <v>16</v>
      </c>
      <c r="J249" s="5">
        <v>62042340</v>
      </c>
      <c r="K249" s="5" t="s">
        <v>1109</v>
      </c>
      <c r="L249" s="5" t="s">
        <v>1112</v>
      </c>
      <c r="M249" s="6">
        <v>269900</v>
      </c>
      <c r="N249" s="7">
        <v>0.9</v>
      </c>
      <c r="O249" s="6">
        <f t="shared" si="8"/>
        <v>26990</v>
      </c>
      <c r="P249" s="5" t="s">
        <v>504</v>
      </c>
    </row>
    <row r="250" spans="1:16" x14ac:dyDescent="0.35">
      <c r="A250" s="5" t="str">
        <f t="shared" si="7"/>
        <v>2022 All Items D90</v>
      </c>
      <c r="B250" s="8">
        <f>'ALL 2024 H2 D80'!$B$2</f>
        <v>46114</v>
      </c>
      <c r="C250" s="8">
        <f>'ALL 2024 H2 D80'!$C$2</f>
        <v>46120</v>
      </c>
      <c r="D250" s="5">
        <v>3208</v>
      </c>
      <c r="E250" s="5">
        <v>320</v>
      </c>
      <c r="F250" s="5">
        <v>1</v>
      </c>
      <c r="G250" s="5">
        <v>2</v>
      </c>
      <c r="H250" s="5">
        <v>81736</v>
      </c>
      <c r="I250" s="5" t="s">
        <v>16</v>
      </c>
      <c r="J250" s="5">
        <v>62042359</v>
      </c>
      <c r="K250" s="5" t="s">
        <v>1109</v>
      </c>
      <c r="L250" s="5" t="s">
        <v>1113</v>
      </c>
      <c r="M250" s="6">
        <v>269900</v>
      </c>
      <c r="N250" s="7">
        <v>0.9</v>
      </c>
      <c r="O250" s="6">
        <f t="shared" si="8"/>
        <v>26990</v>
      </c>
      <c r="P250" s="5" t="s">
        <v>504</v>
      </c>
    </row>
    <row r="251" spans="1:16" x14ac:dyDescent="0.35">
      <c r="A251" s="5" t="str">
        <f t="shared" si="7"/>
        <v>2022 All Items D90</v>
      </c>
      <c r="B251" s="8">
        <f>'ALL 2024 H2 D80'!$B$2</f>
        <v>46114</v>
      </c>
      <c r="C251" s="8">
        <f>'ALL 2024 H2 D80'!$C$2</f>
        <v>46120</v>
      </c>
      <c r="D251" s="5">
        <v>3208</v>
      </c>
      <c r="E251" s="5">
        <v>320</v>
      </c>
      <c r="F251" s="5">
        <v>1</v>
      </c>
      <c r="G251" s="5">
        <v>2</v>
      </c>
      <c r="H251" s="5">
        <v>81736</v>
      </c>
      <c r="I251" s="5" t="s">
        <v>16</v>
      </c>
      <c r="J251" s="5">
        <v>66254355</v>
      </c>
      <c r="K251" s="5" t="s">
        <v>1482</v>
      </c>
      <c r="L251" s="5" t="s">
        <v>1483</v>
      </c>
      <c r="M251" s="6">
        <v>229900</v>
      </c>
      <c r="N251" s="7">
        <v>0.9</v>
      </c>
      <c r="O251" s="6">
        <f t="shared" si="8"/>
        <v>22990</v>
      </c>
      <c r="P251" s="5" t="s">
        <v>504</v>
      </c>
    </row>
    <row r="252" spans="1:16" x14ac:dyDescent="0.35">
      <c r="A252" s="5" t="str">
        <f t="shared" si="7"/>
        <v>2022 All Items D90</v>
      </c>
      <c r="B252" s="8">
        <f>'ALL 2024 H2 D80'!$B$2</f>
        <v>46114</v>
      </c>
      <c r="C252" s="8">
        <f>'ALL 2024 H2 D80'!$C$2</f>
        <v>46120</v>
      </c>
      <c r="D252" s="5">
        <v>3208</v>
      </c>
      <c r="E252" s="5">
        <v>320</v>
      </c>
      <c r="F252" s="5">
        <v>1</v>
      </c>
      <c r="G252" s="5">
        <v>2</v>
      </c>
      <c r="H252" s="5">
        <v>81736</v>
      </c>
      <c r="I252" s="5" t="s">
        <v>16</v>
      </c>
      <c r="J252" s="5">
        <v>66254364</v>
      </c>
      <c r="K252" s="5" t="s">
        <v>1482</v>
      </c>
      <c r="L252" s="5" t="s">
        <v>1484</v>
      </c>
      <c r="M252" s="6">
        <v>229900</v>
      </c>
      <c r="N252" s="7">
        <v>0.9</v>
      </c>
      <c r="O252" s="6">
        <f t="shared" si="8"/>
        <v>22990</v>
      </c>
      <c r="P252" s="5" t="s">
        <v>504</v>
      </c>
    </row>
    <row r="253" spans="1:16" x14ac:dyDescent="0.35">
      <c r="A253" s="5" t="str">
        <f t="shared" si="7"/>
        <v>2022 All Items D90</v>
      </c>
      <c r="B253" s="8">
        <f>'ALL 2024 H2 D80'!$B$2</f>
        <v>46114</v>
      </c>
      <c r="C253" s="8">
        <f>'ALL 2024 H2 D80'!$C$2</f>
        <v>46120</v>
      </c>
      <c r="D253" s="5">
        <v>3208</v>
      </c>
      <c r="E253" s="5">
        <v>320</v>
      </c>
      <c r="F253" s="5">
        <v>1</v>
      </c>
      <c r="G253" s="5">
        <v>2</v>
      </c>
      <c r="H253" s="5">
        <v>81736</v>
      </c>
      <c r="I253" s="5" t="s">
        <v>16</v>
      </c>
      <c r="J253" s="5">
        <v>66254373</v>
      </c>
      <c r="K253" s="5" t="s">
        <v>1482</v>
      </c>
      <c r="L253" s="5" t="s">
        <v>1485</v>
      </c>
      <c r="M253" s="6">
        <v>229900</v>
      </c>
      <c r="N253" s="7">
        <v>0.9</v>
      </c>
      <c r="O253" s="6">
        <f t="shared" si="8"/>
        <v>22990</v>
      </c>
      <c r="P253" s="5" t="s">
        <v>504</v>
      </c>
    </row>
    <row r="254" spans="1:16" x14ac:dyDescent="0.35">
      <c r="A254" s="5" t="str">
        <f t="shared" si="7"/>
        <v>2022 All Items D90</v>
      </c>
      <c r="B254" s="8">
        <f>'ALL 2024 H2 D80'!$B$2</f>
        <v>46114</v>
      </c>
      <c r="C254" s="8">
        <f>'ALL 2024 H2 D80'!$C$2</f>
        <v>46120</v>
      </c>
      <c r="D254" s="5">
        <v>3208</v>
      </c>
      <c r="E254" s="5">
        <v>320</v>
      </c>
      <c r="F254" s="5">
        <v>1</v>
      </c>
      <c r="G254" s="5">
        <v>2</v>
      </c>
      <c r="H254" s="5">
        <v>81736</v>
      </c>
      <c r="I254" s="5" t="s">
        <v>16</v>
      </c>
      <c r="J254" s="5">
        <v>66254382</v>
      </c>
      <c r="K254" s="5" t="s">
        <v>1482</v>
      </c>
      <c r="L254" s="5" t="s">
        <v>1486</v>
      </c>
      <c r="M254" s="6">
        <v>229900</v>
      </c>
      <c r="N254" s="7">
        <v>0.9</v>
      </c>
      <c r="O254" s="6">
        <f t="shared" si="8"/>
        <v>22990</v>
      </c>
      <c r="P254" s="5" t="s">
        <v>504</v>
      </c>
    </row>
    <row r="255" spans="1:16" x14ac:dyDescent="0.35">
      <c r="A255" s="5" t="str">
        <f t="shared" si="7"/>
        <v>2022 All Items D90</v>
      </c>
      <c r="B255" s="8">
        <f>'ALL 2024 H2 D80'!$B$2</f>
        <v>46114</v>
      </c>
      <c r="C255" s="8">
        <f>'ALL 2024 H2 D80'!$C$2</f>
        <v>46120</v>
      </c>
      <c r="D255" s="5">
        <v>3208</v>
      </c>
      <c r="E255" s="5">
        <v>320</v>
      </c>
      <c r="F255" s="5">
        <v>1</v>
      </c>
      <c r="G255" s="5">
        <v>2</v>
      </c>
      <c r="H255" s="5">
        <v>81736</v>
      </c>
      <c r="I255" s="5" t="s">
        <v>16</v>
      </c>
      <c r="J255" s="5">
        <v>66254435</v>
      </c>
      <c r="K255" s="5" t="s">
        <v>1487</v>
      </c>
      <c r="L255" s="5" t="s">
        <v>1488</v>
      </c>
      <c r="M255" s="6">
        <v>249900</v>
      </c>
      <c r="N255" s="7">
        <v>0.9</v>
      </c>
      <c r="O255" s="6">
        <f t="shared" si="8"/>
        <v>24990</v>
      </c>
      <c r="P255" s="5" t="s">
        <v>504</v>
      </c>
    </row>
    <row r="256" spans="1:16" x14ac:dyDescent="0.35">
      <c r="A256" s="5" t="str">
        <f t="shared" si="7"/>
        <v>2022 All Items D90</v>
      </c>
      <c r="B256" s="8">
        <f>'ALL 2024 H2 D80'!$B$2</f>
        <v>46114</v>
      </c>
      <c r="C256" s="8">
        <f>'ALL 2024 H2 D80'!$C$2</f>
        <v>46120</v>
      </c>
      <c r="D256" s="5">
        <v>3208</v>
      </c>
      <c r="E256" s="5">
        <v>320</v>
      </c>
      <c r="F256" s="5">
        <v>1</v>
      </c>
      <c r="G256" s="5">
        <v>2</v>
      </c>
      <c r="H256" s="5">
        <v>81736</v>
      </c>
      <c r="I256" s="5" t="s">
        <v>16</v>
      </c>
      <c r="J256" s="5">
        <v>66254444</v>
      </c>
      <c r="K256" s="5" t="s">
        <v>1487</v>
      </c>
      <c r="L256" s="5" t="s">
        <v>1489</v>
      </c>
      <c r="M256" s="6">
        <v>249900</v>
      </c>
      <c r="N256" s="7">
        <v>0.9</v>
      </c>
      <c r="O256" s="6">
        <f t="shared" si="8"/>
        <v>24990</v>
      </c>
      <c r="P256" s="5" t="s">
        <v>504</v>
      </c>
    </row>
    <row r="257" spans="1:16" x14ac:dyDescent="0.35">
      <c r="A257" s="5" t="str">
        <f t="shared" si="7"/>
        <v>2022 All Items D90</v>
      </c>
      <c r="B257" s="8">
        <f>'ALL 2024 H2 D80'!$B$2</f>
        <v>46114</v>
      </c>
      <c r="C257" s="8">
        <f>'ALL 2024 H2 D80'!$C$2</f>
        <v>46120</v>
      </c>
      <c r="D257" s="5">
        <v>3208</v>
      </c>
      <c r="E257" s="5">
        <v>320</v>
      </c>
      <c r="F257" s="5">
        <v>1</v>
      </c>
      <c r="G257" s="5">
        <v>2</v>
      </c>
      <c r="H257" s="5">
        <v>81736</v>
      </c>
      <c r="I257" s="5" t="s">
        <v>16</v>
      </c>
      <c r="J257" s="5">
        <v>66254453</v>
      </c>
      <c r="K257" s="5" t="s">
        <v>1487</v>
      </c>
      <c r="L257" s="5" t="s">
        <v>1490</v>
      </c>
      <c r="M257" s="6">
        <v>249900</v>
      </c>
      <c r="N257" s="7">
        <v>0.9</v>
      </c>
      <c r="O257" s="6">
        <f t="shared" si="8"/>
        <v>24990</v>
      </c>
      <c r="P257" s="5" t="s">
        <v>504</v>
      </c>
    </row>
    <row r="258" spans="1:16" x14ac:dyDescent="0.35">
      <c r="A258" s="5" t="str">
        <f t="shared" si="7"/>
        <v>2022 All Items D90</v>
      </c>
      <c r="B258" s="8">
        <f>'ALL 2024 H2 D80'!$B$2</f>
        <v>46114</v>
      </c>
      <c r="C258" s="8">
        <f>'ALL 2024 H2 D80'!$C$2</f>
        <v>46120</v>
      </c>
      <c r="D258" s="5">
        <v>3208</v>
      </c>
      <c r="E258" s="5">
        <v>320</v>
      </c>
      <c r="F258" s="5">
        <v>1</v>
      </c>
      <c r="G258" s="5">
        <v>2</v>
      </c>
      <c r="H258" s="5">
        <v>81736</v>
      </c>
      <c r="I258" s="5" t="s">
        <v>16</v>
      </c>
      <c r="J258" s="5">
        <v>66254462</v>
      </c>
      <c r="K258" s="5" t="s">
        <v>1487</v>
      </c>
      <c r="L258" s="5" t="s">
        <v>1491</v>
      </c>
      <c r="M258" s="6">
        <v>249900</v>
      </c>
      <c r="N258" s="7">
        <v>0.9</v>
      </c>
      <c r="O258" s="6">
        <f t="shared" si="8"/>
        <v>24990</v>
      </c>
      <c r="P258" s="5" t="s">
        <v>504</v>
      </c>
    </row>
    <row r="259" spans="1:16" x14ac:dyDescent="0.35">
      <c r="A259" s="5" t="str">
        <f t="shared" si="7"/>
        <v>2022 All Items D90</v>
      </c>
      <c r="B259" s="8">
        <f>'ALL 2024 H2 D80'!$B$2</f>
        <v>46114</v>
      </c>
      <c r="C259" s="8">
        <f>'ALL 2024 H2 D80'!$C$2</f>
        <v>46120</v>
      </c>
      <c r="D259" s="5">
        <v>3208</v>
      </c>
      <c r="E259" s="5">
        <v>320</v>
      </c>
      <c r="F259" s="5">
        <v>1</v>
      </c>
      <c r="G259" s="5">
        <v>2</v>
      </c>
      <c r="H259" s="5">
        <v>81736</v>
      </c>
      <c r="I259" s="5" t="s">
        <v>16</v>
      </c>
      <c r="J259" s="5">
        <v>66848820</v>
      </c>
      <c r="K259" s="5" t="s">
        <v>1738</v>
      </c>
      <c r="L259" s="5" t="s">
        <v>1739</v>
      </c>
      <c r="M259" s="6">
        <v>229900</v>
      </c>
      <c r="N259" s="7">
        <v>0.9</v>
      </c>
      <c r="O259" s="6">
        <f t="shared" si="8"/>
        <v>22990</v>
      </c>
      <c r="P259" s="5" t="s">
        <v>504</v>
      </c>
    </row>
    <row r="260" spans="1:16" x14ac:dyDescent="0.35">
      <c r="A260" s="5" t="str">
        <f t="shared" ref="A260:A323" si="9">$A$2</f>
        <v>2022 All Items D90</v>
      </c>
      <c r="B260" s="8">
        <f>'ALL 2024 H2 D80'!$B$2</f>
        <v>46114</v>
      </c>
      <c r="C260" s="8">
        <f>'ALL 2024 H2 D80'!$C$2</f>
        <v>46120</v>
      </c>
      <c r="D260" s="5">
        <v>3208</v>
      </c>
      <c r="E260" s="5">
        <v>320</v>
      </c>
      <c r="F260" s="5">
        <v>1</v>
      </c>
      <c r="G260" s="5">
        <v>2</v>
      </c>
      <c r="H260" s="5">
        <v>81736</v>
      </c>
      <c r="I260" s="5" t="s">
        <v>16</v>
      </c>
      <c r="J260" s="5">
        <v>66848839</v>
      </c>
      <c r="K260" s="5" t="s">
        <v>1738</v>
      </c>
      <c r="L260" s="5" t="s">
        <v>1740</v>
      </c>
      <c r="M260" s="6">
        <v>229900</v>
      </c>
      <c r="N260" s="7">
        <v>0.9</v>
      </c>
      <c r="O260" s="6">
        <f t="shared" si="8"/>
        <v>22990</v>
      </c>
      <c r="P260" s="5" t="s">
        <v>504</v>
      </c>
    </row>
    <row r="261" spans="1:16" x14ac:dyDescent="0.35">
      <c r="A261" s="5" t="str">
        <f t="shared" si="9"/>
        <v>2022 All Items D90</v>
      </c>
      <c r="B261" s="8">
        <f>'ALL 2024 H2 D80'!$B$2</f>
        <v>46114</v>
      </c>
      <c r="C261" s="8">
        <f>'ALL 2024 H2 D80'!$C$2</f>
        <v>46120</v>
      </c>
      <c r="D261" s="5">
        <v>3208</v>
      </c>
      <c r="E261" s="5">
        <v>320</v>
      </c>
      <c r="F261" s="5">
        <v>1</v>
      </c>
      <c r="G261" s="5">
        <v>2</v>
      </c>
      <c r="H261" s="5">
        <v>81736</v>
      </c>
      <c r="I261" s="5" t="s">
        <v>16</v>
      </c>
      <c r="J261" s="5">
        <v>66848848</v>
      </c>
      <c r="K261" s="5" t="s">
        <v>1738</v>
      </c>
      <c r="L261" s="5" t="s">
        <v>1741</v>
      </c>
      <c r="M261" s="6">
        <v>229900</v>
      </c>
      <c r="N261" s="7">
        <v>0.9</v>
      </c>
      <c r="O261" s="6">
        <f t="shared" si="8"/>
        <v>22990</v>
      </c>
      <c r="P261" s="5" t="s">
        <v>504</v>
      </c>
    </row>
    <row r="262" spans="1:16" x14ac:dyDescent="0.35">
      <c r="A262" s="5" t="str">
        <f t="shared" si="9"/>
        <v>2022 All Items D90</v>
      </c>
      <c r="B262" s="8">
        <f>'ALL 2024 H2 D80'!$B$2</f>
        <v>46114</v>
      </c>
      <c r="C262" s="8">
        <f>'ALL 2024 H2 D80'!$C$2</f>
        <v>46120</v>
      </c>
      <c r="D262" s="5">
        <v>3208</v>
      </c>
      <c r="E262" s="5">
        <v>320</v>
      </c>
      <c r="F262" s="5">
        <v>1</v>
      </c>
      <c r="G262" s="5">
        <v>2</v>
      </c>
      <c r="H262" s="5">
        <v>81736</v>
      </c>
      <c r="I262" s="5" t="s">
        <v>16</v>
      </c>
      <c r="J262" s="5">
        <v>66848857</v>
      </c>
      <c r="K262" s="5" t="s">
        <v>1738</v>
      </c>
      <c r="L262" s="5" t="s">
        <v>1742</v>
      </c>
      <c r="M262" s="6">
        <v>229900</v>
      </c>
      <c r="N262" s="7">
        <v>0.9</v>
      </c>
      <c r="O262" s="6">
        <f t="shared" si="8"/>
        <v>22990</v>
      </c>
      <c r="P262" s="5" t="s">
        <v>504</v>
      </c>
    </row>
    <row r="263" spans="1:16" x14ac:dyDescent="0.35">
      <c r="A263" s="5" t="str">
        <f t="shared" si="9"/>
        <v>2022 All Items D90</v>
      </c>
      <c r="B263" s="8">
        <f>'ALL 2024 H2 D80'!$B$2</f>
        <v>46114</v>
      </c>
      <c r="C263" s="8">
        <f>'ALL 2024 H2 D80'!$C$2</f>
        <v>46120</v>
      </c>
      <c r="D263" s="5">
        <v>3208</v>
      </c>
      <c r="E263" s="5">
        <v>320</v>
      </c>
      <c r="F263" s="5">
        <v>1</v>
      </c>
      <c r="G263" s="5">
        <v>2</v>
      </c>
      <c r="H263" s="5">
        <v>81736</v>
      </c>
      <c r="I263" s="5" t="s">
        <v>16</v>
      </c>
      <c r="J263" s="5">
        <v>67392301</v>
      </c>
      <c r="K263" s="5" t="s">
        <v>1492</v>
      </c>
      <c r="L263" s="5" t="s">
        <v>1493</v>
      </c>
      <c r="M263" s="6">
        <v>219900</v>
      </c>
      <c r="N263" s="7">
        <v>0.9</v>
      </c>
      <c r="O263" s="6">
        <f t="shared" si="8"/>
        <v>21990</v>
      </c>
      <c r="P263" s="5" t="s">
        <v>504</v>
      </c>
    </row>
    <row r="264" spans="1:16" x14ac:dyDescent="0.35">
      <c r="A264" s="5" t="str">
        <f t="shared" si="9"/>
        <v>2022 All Items D90</v>
      </c>
      <c r="B264" s="8">
        <f>'ALL 2024 H2 D80'!$B$2</f>
        <v>46114</v>
      </c>
      <c r="C264" s="8">
        <f>'ALL 2024 H2 D80'!$C$2</f>
        <v>46120</v>
      </c>
      <c r="D264" s="5">
        <v>3208</v>
      </c>
      <c r="E264" s="5">
        <v>320</v>
      </c>
      <c r="F264" s="5">
        <v>1</v>
      </c>
      <c r="G264" s="5">
        <v>2</v>
      </c>
      <c r="H264" s="5">
        <v>81736</v>
      </c>
      <c r="I264" s="5" t="s">
        <v>16</v>
      </c>
      <c r="J264" s="5">
        <v>67392310</v>
      </c>
      <c r="K264" s="5" t="s">
        <v>1492</v>
      </c>
      <c r="L264" s="5" t="s">
        <v>1494</v>
      </c>
      <c r="M264" s="6">
        <v>219900</v>
      </c>
      <c r="N264" s="7">
        <v>0.9</v>
      </c>
      <c r="O264" s="6">
        <f t="shared" si="8"/>
        <v>21990</v>
      </c>
      <c r="P264" s="5" t="s">
        <v>504</v>
      </c>
    </row>
    <row r="265" spans="1:16" x14ac:dyDescent="0.35">
      <c r="A265" s="5" t="str">
        <f t="shared" si="9"/>
        <v>2022 All Items D90</v>
      </c>
      <c r="B265" s="8">
        <f>'ALL 2024 H2 D80'!$B$2</f>
        <v>46114</v>
      </c>
      <c r="C265" s="8">
        <f>'ALL 2024 H2 D80'!$C$2</f>
        <v>46120</v>
      </c>
      <c r="D265" s="5">
        <v>3208</v>
      </c>
      <c r="E265" s="5">
        <v>320</v>
      </c>
      <c r="F265" s="5">
        <v>1</v>
      </c>
      <c r="G265" s="5">
        <v>2</v>
      </c>
      <c r="H265" s="5">
        <v>81736</v>
      </c>
      <c r="I265" s="5" t="s">
        <v>16</v>
      </c>
      <c r="J265" s="5">
        <v>67392329</v>
      </c>
      <c r="K265" s="5" t="s">
        <v>1492</v>
      </c>
      <c r="L265" s="5" t="s">
        <v>1495</v>
      </c>
      <c r="M265" s="6">
        <v>219900</v>
      </c>
      <c r="N265" s="7">
        <v>0.9</v>
      </c>
      <c r="O265" s="6">
        <f t="shared" si="8"/>
        <v>21990</v>
      </c>
      <c r="P265" s="5" t="s">
        <v>504</v>
      </c>
    </row>
    <row r="266" spans="1:16" x14ac:dyDescent="0.35">
      <c r="A266" s="5" t="str">
        <f t="shared" si="9"/>
        <v>2022 All Items D90</v>
      </c>
      <c r="B266" s="8">
        <f>'ALL 2024 H2 D80'!$B$2</f>
        <v>46114</v>
      </c>
      <c r="C266" s="8">
        <f>'ALL 2024 H2 D80'!$C$2</f>
        <v>46120</v>
      </c>
      <c r="D266" s="5">
        <v>3208</v>
      </c>
      <c r="E266" s="5">
        <v>320</v>
      </c>
      <c r="F266" s="5">
        <v>1</v>
      </c>
      <c r="G266" s="5">
        <v>2</v>
      </c>
      <c r="H266" s="5">
        <v>81736</v>
      </c>
      <c r="I266" s="5" t="s">
        <v>16</v>
      </c>
      <c r="J266" s="5">
        <v>67392338</v>
      </c>
      <c r="K266" s="5" t="s">
        <v>1492</v>
      </c>
      <c r="L266" s="5" t="s">
        <v>1496</v>
      </c>
      <c r="M266" s="6">
        <v>219900</v>
      </c>
      <c r="N266" s="7">
        <v>0.9</v>
      </c>
      <c r="O266" s="6">
        <f t="shared" ref="O266:O329" si="10">M266-(M266*N266)</f>
        <v>21990</v>
      </c>
      <c r="P266" s="5" t="s">
        <v>504</v>
      </c>
    </row>
    <row r="267" spans="1:16" x14ac:dyDescent="0.35">
      <c r="A267" s="5" t="str">
        <f t="shared" si="9"/>
        <v>2022 All Items D90</v>
      </c>
      <c r="B267" s="8">
        <f>'ALL 2024 H2 D80'!$B$2</f>
        <v>46114</v>
      </c>
      <c r="C267" s="8">
        <f>'ALL 2024 H2 D80'!$C$2</f>
        <v>46120</v>
      </c>
      <c r="D267" s="5">
        <v>3208</v>
      </c>
      <c r="E267" s="5">
        <v>320</v>
      </c>
      <c r="F267" s="5">
        <v>1</v>
      </c>
      <c r="G267" s="5">
        <v>2</v>
      </c>
      <c r="H267" s="5">
        <v>81736</v>
      </c>
      <c r="I267" s="5" t="s">
        <v>16</v>
      </c>
      <c r="J267" s="5">
        <v>67392347</v>
      </c>
      <c r="K267" s="5" t="s">
        <v>1492</v>
      </c>
      <c r="L267" s="5" t="s">
        <v>1497</v>
      </c>
      <c r="M267" s="6">
        <v>219900</v>
      </c>
      <c r="N267" s="7">
        <v>0.9</v>
      </c>
      <c r="O267" s="6">
        <f t="shared" si="10"/>
        <v>21990</v>
      </c>
      <c r="P267" s="5" t="s">
        <v>504</v>
      </c>
    </row>
    <row r="268" spans="1:16" x14ac:dyDescent="0.35">
      <c r="A268" s="5" t="str">
        <f t="shared" si="9"/>
        <v>2022 All Items D90</v>
      </c>
      <c r="B268" s="8">
        <f>'ALL 2024 H2 D80'!$B$2</f>
        <v>46114</v>
      </c>
      <c r="C268" s="8">
        <f>'ALL 2024 H2 D80'!$C$2</f>
        <v>46120</v>
      </c>
      <c r="D268" s="5">
        <v>3208</v>
      </c>
      <c r="E268" s="5">
        <v>320</v>
      </c>
      <c r="F268" s="5">
        <v>1</v>
      </c>
      <c r="G268" s="5">
        <v>2</v>
      </c>
      <c r="H268" s="5">
        <v>81736</v>
      </c>
      <c r="I268" s="5" t="s">
        <v>16</v>
      </c>
      <c r="J268" s="5">
        <v>67392356</v>
      </c>
      <c r="K268" s="5" t="s">
        <v>1492</v>
      </c>
      <c r="L268" s="5" t="s">
        <v>1498</v>
      </c>
      <c r="M268" s="6">
        <v>219900</v>
      </c>
      <c r="N268" s="7">
        <v>0.9</v>
      </c>
      <c r="O268" s="6">
        <f t="shared" si="10"/>
        <v>21990</v>
      </c>
      <c r="P268" s="5" t="s">
        <v>504</v>
      </c>
    </row>
    <row r="269" spans="1:16" x14ac:dyDescent="0.35">
      <c r="A269" s="5" t="str">
        <f t="shared" si="9"/>
        <v>2022 All Items D90</v>
      </c>
      <c r="B269" s="8">
        <f>'ALL 2024 H2 D80'!$B$2</f>
        <v>46114</v>
      </c>
      <c r="C269" s="8">
        <f>'ALL 2024 H2 D80'!$C$2</f>
        <v>46120</v>
      </c>
      <c r="D269" s="5">
        <v>3208</v>
      </c>
      <c r="E269" s="5">
        <v>320</v>
      </c>
      <c r="F269" s="5">
        <v>1</v>
      </c>
      <c r="G269" s="5">
        <v>2</v>
      </c>
      <c r="H269" s="5">
        <v>81736</v>
      </c>
      <c r="I269" s="5" t="s">
        <v>16</v>
      </c>
      <c r="J269" s="5">
        <v>67392365</v>
      </c>
      <c r="K269" s="5" t="s">
        <v>1492</v>
      </c>
      <c r="L269" s="5" t="s">
        <v>1499</v>
      </c>
      <c r="M269" s="6">
        <v>219900</v>
      </c>
      <c r="N269" s="7">
        <v>0.9</v>
      </c>
      <c r="O269" s="6">
        <f t="shared" si="10"/>
        <v>21990</v>
      </c>
      <c r="P269" s="5" t="s">
        <v>504</v>
      </c>
    </row>
    <row r="270" spans="1:16" x14ac:dyDescent="0.35">
      <c r="A270" s="5" t="str">
        <f t="shared" si="9"/>
        <v>2022 All Items D90</v>
      </c>
      <c r="B270" s="8">
        <f>'ALL 2024 H2 D80'!$B$2</f>
        <v>46114</v>
      </c>
      <c r="C270" s="8">
        <f>'ALL 2024 H2 D80'!$C$2</f>
        <v>46120</v>
      </c>
      <c r="D270" s="5">
        <v>3208</v>
      </c>
      <c r="E270" s="5">
        <v>320</v>
      </c>
      <c r="F270" s="5">
        <v>1</v>
      </c>
      <c r="G270" s="5">
        <v>2</v>
      </c>
      <c r="H270" s="5">
        <v>81736</v>
      </c>
      <c r="I270" s="5" t="s">
        <v>16</v>
      </c>
      <c r="J270" s="5">
        <v>67392374</v>
      </c>
      <c r="K270" s="5" t="s">
        <v>1492</v>
      </c>
      <c r="L270" s="5" t="s">
        <v>1500</v>
      </c>
      <c r="M270" s="6">
        <v>219900</v>
      </c>
      <c r="N270" s="7">
        <v>0.9</v>
      </c>
      <c r="O270" s="6">
        <f t="shared" si="10"/>
        <v>21990</v>
      </c>
      <c r="P270" s="5" t="s">
        <v>504</v>
      </c>
    </row>
    <row r="271" spans="1:16" x14ac:dyDescent="0.35">
      <c r="A271" s="5" t="str">
        <f t="shared" si="9"/>
        <v>2022 All Items D90</v>
      </c>
      <c r="B271" s="8">
        <f>'ALL 2024 H2 D80'!$B$2</f>
        <v>46114</v>
      </c>
      <c r="C271" s="8">
        <f>'ALL 2024 H2 D80'!$C$2</f>
        <v>46120</v>
      </c>
      <c r="D271" s="5">
        <v>3208</v>
      </c>
      <c r="E271" s="5">
        <v>320</v>
      </c>
      <c r="F271" s="5">
        <v>1</v>
      </c>
      <c r="G271" s="5">
        <v>2</v>
      </c>
      <c r="H271" s="5">
        <v>81736</v>
      </c>
      <c r="I271" s="5" t="s">
        <v>16</v>
      </c>
      <c r="J271" s="5">
        <v>67441641</v>
      </c>
      <c r="K271" s="5" t="s">
        <v>1501</v>
      </c>
      <c r="L271" s="5" t="s">
        <v>1502</v>
      </c>
      <c r="M271" s="6">
        <v>199900</v>
      </c>
      <c r="N271" s="7">
        <v>0.9</v>
      </c>
      <c r="O271" s="6">
        <f t="shared" si="10"/>
        <v>19990</v>
      </c>
      <c r="P271" s="5" t="s">
        <v>504</v>
      </c>
    </row>
    <row r="272" spans="1:16" x14ac:dyDescent="0.35">
      <c r="A272" s="5" t="str">
        <f t="shared" si="9"/>
        <v>2022 All Items D90</v>
      </c>
      <c r="B272" s="8">
        <f>'ALL 2024 H2 D80'!$B$2</f>
        <v>46114</v>
      </c>
      <c r="C272" s="8">
        <f>'ALL 2024 H2 D80'!$C$2</f>
        <v>46120</v>
      </c>
      <c r="D272" s="5">
        <v>3208</v>
      </c>
      <c r="E272" s="5">
        <v>320</v>
      </c>
      <c r="F272" s="5">
        <v>1</v>
      </c>
      <c r="G272" s="5">
        <v>2</v>
      </c>
      <c r="H272" s="5">
        <v>81736</v>
      </c>
      <c r="I272" s="5" t="s">
        <v>16</v>
      </c>
      <c r="J272" s="5">
        <v>67441650</v>
      </c>
      <c r="K272" s="5" t="s">
        <v>1501</v>
      </c>
      <c r="L272" s="5" t="s">
        <v>1503</v>
      </c>
      <c r="M272" s="6">
        <v>199900</v>
      </c>
      <c r="N272" s="7">
        <v>0.9</v>
      </c>
      <c r="O272" s="6">
        <f t="shared" si="10"/>
        <v>19990</v>
      </c>
      <c r="P272" s="5" t="s">
        <v>504</v>
      </c>
    </row>
    <row r="273" spans="1:16" x14ac:dyDescent="0.35">
      <c r="A273" s="5" t="str">
        <f t="shared" si="9"/>
        <v>2022 All Items D90</v>
      </c>
      <c r="B273" s="8">
        <f>'ALL 2024 H2 D80'!$B$2</f>
        <v>46114</v>
      </c>
      <c r="C273" s="8">
        <f>'ALL 2024 H2 D80'!$C$2</f>
        <v>46120</v>
      </c>
      <c r="D273" s="5">
        <v>3208</v>
      </c>
      <c r="E273" s="5">
        <v>320</v>
      </c>
      <c r="F273" s="5">
        <v>1</v>
      </c>
      <c r="G273" s="5">
        <v>2</v>
      </c>
      <c r="H273" s="5">
        <v>81736</v>
      </c>
      <c r="I273" s="5" t="s">
        <v>16</v>
      </c>
      <c r="J273" s="5">
        <v>67441669</v>
      </c>
      <c r="K273" s="5" t="s">
        <v>1501</v>
      </c>
      <c r="L273" s="5" t="s">
        <v>1504</v>
      </c>
      <c r="M273" s="6">
        <v>199900</v>
      </c>
      <c r="N273" s="7">
        <v>0.9</v>
      </c>
      <c r="O273" s="6">
        <f t="shared" si="10"/>
        <v>19990</v>
      </c>
      <c r="P273" s="5" t="s">
        <v>504</v>
      </c>
    </row>
    <row r="274" spans="1:16" x14ac:dyDescent="0.35">
      <c r="A274" s="5" t="str">
        <f t="shared" si="9"/>
        <v>2022 All Items D90</v>
      </c>
      <c r="B274" s="8">
        <f>'ALL 2024 H2 D80'!$B$2</f>
        <v>46114</v>
      </c>
      <c r="C274" s="8">
        <f>'ALL 2024 H2 D80'!$C$2</f>
        <v>46120</v>
      </c>
      <c r="D274" s="5">
        <v>3208</v>
      </c>
      <c r="E274" s="5">
        <v>320</v>
      </c>
      <c r="F274" s="5">
        <v>1</v>
      </c>
      <c r="G274" s="5">
        <v>2</v>
      </c>
      <c r="H274" s="5">
        <v>81736</v>
      </c>
      <c r="I274" s="5" t="s">
        <v>16</v>
      </c>
      <c r="J274" s="5">
        <v>67441678</v>
      </c>
      <c r="K274" s="5" t="s">
        <v>1501</v>
      </c>
      <c r="L274" s="5" t="s">
        <v>1505</v>
      </c>
      <c r="M274" s="6">
        <v>199900</v>
      </c>
      <c r="N274" s="7">
        <v>0.9</v>
      </c>
      <c r="O274" s="6">
        <f t="shared" si="10"/>
        <v>19990</v>
      </c>
      <c r="P274" s="5" t="s">
        <v>504</v>
      </c>
    </row>
    <row r="275" spans="1:16" x14ac:dyDescent="0.35">
      <c r="A275" s="5" t="str">
        <f t="shared" si="9"/>
        <v>2022 All Items D90</v>
      </c>
      <c r="B275" s="8">
        <f>'ALL 2024 H2 D80'!$B$2</f>
        <v>46114</v>
      </c>
      <c r="C275" s="8">
        <f>'ALL 2024 H2 D80'!$C$2</f>
        <v>46120</v>
      </c>
      <c r="D275" s="5">
        <v>3208</v>
      </c>
      <c r="E275" s="5">
        <v>320</v>
      </c>
      <c r="F275" s="5">
        <v>1</v>
      </c>
      <c r="G275" s="5">
        <v>2</v>
      </c>
      <c r="H275" s="5">
        <v>81736</v>
      </c>
      <c r="I275" s="5" t="s">
        <v>16</v>
      </c>
      <c r="J275" s="5">
        <v>67459098</v>
      </c>
      <c r="K275" s="5" t="s">
        <v>1743</v>
      </c>
      <c r="L275" s="5" t="s">
        <v>1744</v>
      </c>
      <c r="M275" s="6">
        <v>229900</v>
      </c>
      <c r="N275" s="7">
        <v>0.9</v>
      </c>
      <c r="O275" s="6">
        <f t="shared" si="10"/>
        <v>22990</v>
      </c>
      <c r="P275" s="5" t="s">
        <v>504</v>
      </c>
    </row>
    <row r="276" spans="1:16" x14ac:dyDescent="0.35">
      <c r="A276" s="5" t="str">
        <f t="shared" si="9"/>
        <v>2022 All Items D90</v>
      </c>
      <c r="B276" s="8">
        <f>'ALL 2024 H2 D80'!$B$2</f>
        <v>46114</v>
      </c>
      <c r="C276" s="8">
        <f>'ALL 2024 H2 D80'!$C$2</f>
        <v>46120</v>
      </c>
      <c r="D276" s="5">
        <v>3208</v>
      </c>
      <c r="E276" s="5">
        <v>320</v>
      </c>
      <c r="F276" s="5">
        <v>1</v>
      </c>
      <c r="G276" s="5">
        <v>2</v>
      </c>
      <c r="H276" s="5">
        <v>81736</v>
      </c>
      <c r="I276" s="5" t="s">
        <v>16</v>
      </c>
      <c r="J276" s="5">
        <v>67459105</v>
      </c>
      <c r="K276" s="5" t="s">
        <v>1743</v>
      </c>
      <c r="L276" s="5" t="s">
        <v>1745</v>
      </c>
      <c r="M276" s="6">
        <v>229900</v>
      </c>
      <c r="N276" s="7">
        <v>0.9</v>
      </c>
      <c r="O276" s="6">
        <f t="shared" si="10"/>
        <v>22990</v>
      </c>
      <c r="P276" s="5" t="s">
        <v>504</v>
      </c>
    </row>
    <row r="277" spans="1:16" x14ac:dyDescent="0.35">
      <c r="A277" s="5" t="str">
        <f t="shared" si="9"/>
        <v>2022 All Items D90</v>
      </c>
      <c r="B277" s="8">
        <f>'ALL 2024 H2 D80'!$B$2</f>
        <v>46114</v>
      </c>
      <c r="C277" s="8">
        <f>'ALL 2024 H2 D80'!$C$2</f>
        <v>46120</v>
      </c>
      <c r="D277" s="5">
        <v>3208</v>
      </c>
      <c r="E277" s="5">
        <v>320</v>
      </c>
      <c r="F277" s="5">
        <v>1</v>
      </c>
      <c r="G277" s="5">
        <v>2</v>
      </c>
      <c r="H277" s="5">
        <v>81736</v>
      </c>
      <c r="I277" s="5" t="s">
        <v>16</v>
      </c>
      <c r="J277" s="5">
        <v>67459114</v>
      </c>
      <c r="K277" s="5" t="s">
        <v>1743</v>
      </c>
      <c r="L277" s="5" t="s">
        <v>1746</v>
      </c>
      <c r="M277" s="6">
        <v>229900</v>
      </c>
      <c r="N277" s="7">
        <v>0.9</v>
      </c>
      <c r="O277" s="6">
        <f t="shared" si="10"/>
        <v>22990</v>
      </c>
      <c r="P277" s="5" t="s">
        <v>504</v>
      </c>
    </row>
    <row r="278" spans="1:16" x14ac:dyDescent="0.35">
      <c r="A278" s="5" t="str">
        <f t="shared" si="9"/>
        <v>2022 All Items D90</v>
      </c>
      <c r="B278" s="8">
        <f>'ALL 2024 H2 D80'!$B$2</f>
        <v>46114</v>
      </c>
      <c r="C278" s="8">
        <f>'ALL 2024 H2 D80'!$C$2</f>
        <v>46120</v>
      </c>
      <c r="D278" s="5">
        <v>3208</v>
      </c>
      <c r="E278" s="5">
        <v>320</v>
      </c>
      <c r="F278" s="5">
        <v>1</v>
      </c>
      <c r="G278" s="5">
        <v>2</v>
      </c>
      <c r="H278" s="5">
        <v>81736</v>
      </c>
      <c r="I278" s="5" t="s">
        <v>16</v>
      </c>
      <c r="J278" s="5">
        <v>67459123</v>
      </c>
      <c r="K278" s="5" t="s">
        <v>1743</v>
      </c>
      <c r="L278" s="5" t="s">
        <v>1747</v>
      </c>
      <c r="M278" s="6">
        <v>229900</v>
      </c>
      <c r="N278" s="7">
        <v>0.9</v>
      </c>
      <c r="O278" s="6">
        <f t="shared" si="10"/>
        <v>22990</v>
      </c>
      <c r="P278" s="5" t="s">
        <v>504</v>
      </c>
    </row>
    <row r="279" spans="1:16" x14ac:dyDescent="0.35">
      <c r="A279" s="5" t="str">
        <f t="shared" si="9"/>
        <v>2022 All Items D90</v>
      </c>
      <c r="B279" s="8">
        <f>'ALL 2024 H2 D80'!$B$2</f>
        <v>46114</v>
      </c>
      <c r="C279" s="8">
        <f>'ALL 2024 H2 D80'!$C$2</f>
        <v>46120</v>
      </c>
      <c r="D279" s="5">
        <v>3208</v>
      </c>
      <c r="E279" s="5">
        <v>320</v>
      </c>
      <c r="F279" s="5">
        <v>1</v>
      </c>
      <c r="G279" s="5">
        <v>2</v>
      </c>
      <c r="H279" s="5">
        <v>81736</v>
      </c>
      <c r="I279" s="5" t="s">
        <v>16</v>
      </c>
      <c r="J279" s="5">
        <v>70042496</v>
      </c>
      <c r="K279" s="5" t="s">
        <v>1506</v>
      </c>
      <c r="L279" s="5" t="s">
        <v>1507</v>
      </c>
      <c r="M279" s="6">
        <v>219900</v>
      </c>
      <c r="N279" s="7">
        <v>0.9</v>
      </c>
      <c r="O279" s="6">
        <f t="shared" si="10"/>
        <v>21990</v>
      </c>
      <c r="P279" s="5" t="s">
        <v>504</v>
      </c>
    </row>
    <row r="280" spans="1:16" x14ac:dyDescent="0.35">
      <c r="A280" s="5" t="str">
        <f t="shared" si="9"/>
        <v>2022 All Items D90</v>
      </c>
      <c r="B280" s="8">
        <f>'ALL 2024 H2 D80'!$B$2</f>
        <v>46114</v>
      </c>
      <c r="C280" s="8">
        <f>'ALL 2024 H2 D80'!$C$2</f>
        <v>46120</v>
      </c>
      <c r="D280" s="5">
        <v>3208</v>
      </c>
      <c r="E280" s="5">
        <v>320</v>
      </c>
      <c r="F280" s="5">
        <v>1</v>
      </c>
      <c r="G280" s="5">
        <v>2</v>
      </c>
      <c r="H280" s="5">
        <v>81736</v>
      </c>
      <c r="I280" s="5" t="s">
        <v>16</v>
      </c>
      <c r="J280" s="5">
        <v>70042503</v>
      </c>
      <c r="K280" s="5" t="s">
        <v>1506</v>
      </c>
      <c r="L280" s="5" t="s">
        <v>1508</v>
      </c>
      <c r="M280" s="6">
        <v>219900</v>
      </c>
      <c r="N280" s="7">
        <v>0.9</v>
      </c>
      <c r="O280" s="6">
        <f t="shared" si="10"/>
        <v>21990</v>
      </c>
      <c r="P280" s="5" t="s">
        <v>504</v>
      </c>
    </row>
    <row r="281" spans="1:16" x14ac:dyDescent="0.35">
      <c r="A281" s="5" t="str">
        <f t="shared" si="9"/>
        <v>2022 All Items D90</v>
      </c>
      <c r="B281" s="8">
        <f>'ALL 2024 H2 D80'!$B$2</f>
        <v>46114</v>
      </c>
      <c r="C281" s="8">
        <f>'ALL 2024 H2 D80'!$C$2</f>
        <v>46120</v>
      </c>
      <c r="D281" s="5">
        <v>3208</v>
      </c>
      <c r="E281" s="5">
        <v>320</v>
      </c>
      <c r="F281" s="5">
        <v>1</v>
      </c>
      <c r="G281" s="5">
        <v>2</v>
      </c>
      <c r="H281" s="5">
        <v>81736</v>
      </c>
      <c r="I281" s="5" t="s">
        <v>16</v>
      </c>
      <c r="J281" s="5">
        <v>70042512</v>
      </c>
      <c r="K281" s="5" t="s">
        <v>1506</v>
      </c>
      <c r="L281" s="5" t="s">
        <v>1509</v>
      </c>
      <c r="M281" s="6">
        <v>219900</v>
      </c>
      <c r="N281" s="7">
        <v>0.9</v>
      </c>
      <c r="O281" s="6">
        <f t="shared" si="10"/>
        <v>21990</v>
      </c>
      <c r="P281" s="5" t="s">
        <v>504</v>
      </c>
    </row>
    <row r="282" spans="1:16" x14ac:dyDescent="0.35">
      <c r="A282" s="5" t="str">
        <f t="shared" si="9"/>
        <v>2022 All Items D90</v>
      </c>
      <c r="B282" s="8">
        <f>'ALL 2024 H2 D80'!$B$2</f>
        <v>46114</v>
      </c>
      <c r="C282" s="8">
        <f>'ALL 2024 H2 D80'!$C$2</f>
        <v>46120</v>
      </c>
      <c r="D282" s="5">
        <v>3208</v>
      </c>
      <c r="E282" s="5">
        <v>320</v>
      </c>
      <c r="F282" s="5">
        <v>1</v>
      </c>
      <c r="G282" s="5">
        <v>2</v>
      </c>
      <c r="H282" s="5">
        <v>81736</v>
      </c>
      <c r="I282" s="5" t="s">
        <v>16</v>
      </c>
      <c r="J282" s="5">
        <v>70042521</v>
      </c>
      <c r="K282" s="5" t="s">
        <v>1506</v>
      </c>
      <c r="L282" s="5" t="s">
        <v>1510</v>
      </c>
      <c r="M282" s="6">
        <v>219900</v>
      </c>
      <c r="N282" s="7">
        <v>0.9</v>
      </c>
      <c r="O282" s="6">
        <f t="shared" si="10"/>
        <v>21990</v>
      </c>
      <c r="P282" s="5" t="s">
        <v>504</v>
      </c>
    </row>
    <row r="283" spans="1:16" x14ac:dyDescent="0.35">
      <c r="A283" s="5" t="str">
        <f t="shared" si="9"/>
        <v>2022 All Items D90</v>
      </c>
      <c r="B283" s="8">
        <f>'ALL 2024 H2 D80'!$B$2</f>
        <v>46114</v>
      </c>
      <c r="C283" s="8">
        <f>'ALL 2024 H2 D80'!$C$2</f>
        <v>46120</v>
      </c>
      <c r="D283" s="5">
        <v>3208</v>
      </c>
      <c r="E283" s="5">
        <v>320</v>
      </c>
      <c r="F283" s="5">
        <v>1</v>
      </c>
      <c r="G283" s="5">
        <v>2</v>
      </c>
      <c r="H283" s="5">
        <v>81736</v>
      </c>
      <c r="I283" s="5" t="s">
        <v>16</v>
      </c>
      <c r="J283" s="5">
        <v>70042530</v>
      </c>
      <c r="K283" s="5" t="s">
        <v>1506</v>
      </c>
      <c r="L283" s="5" t="s">
        <v>1511</v>
      </c>
      <c r="M283" s="6">
        <v>219900</v>
      </c>
      <c r="N283" s="7">
        <v>0.9</v>
      </c>
      <c r="O283" s="6">
        <f t="shared" si="10"/>
        <v>21990</v>
      </c>
      <c r="P283" s="5" t="s">
        <v>504</v>
      </c>
    </row>
    <row r="284" spans="1:16" x14ac:dyDescent="0.35">
      <c r="A284" s="5" t="str">
        <f t="shared" si="9"/>
        <v>2022 All Items D90</v>
      </c>
      <c r="B284" s="8">
        <f>'ALL 2024 H2 D80'!$B$2</f>
        <v>46114</v>
      </c>
      <c r="C284" s="8">
        <f>'ALL 2024 H2 D80'!$C$2</f>
        <v>46120</v>
      </c>
      <c r="D284" s="5">
        <v>3208</v>
      </c>
      <c r="E284" s="5">
        <v>320</v>
      </c>
      <c r="F284" s="5">
        <v>1</v>
      </c>
      <c r="G284" s="5">
        <v>2</v>
      </c>
      <c r="H284" s="5">
        <v>81736</v>
      </c>
      <c r="I284" s="5" t="s">
        <v>16</v>
      </c>
      <c r="J284" s="5">
        <v>70042549</v>
      </c>
      <c r="K284" s="5" t="s">
        <v>1506</v>
      </c>
      <c r="L284" s="5" t="s">
        <v>1512</v>
      </c>
      <c r="M284" s="6">
        <v>219900</v>
      </c>
      <c r="N284" s="7">
        <v>0.9</v>
      </c>
      <c r="O284" s="6">
        <f t="shared" si="10"/>
        <v>21990</v>
      </c>
      <c r="P284" s="5" t="s">
        <v>504</v>
      </c>
    </row>
    <row r="285" spans="1:16" x14ac:dyDescent="0.35">
      <c r="A285" s="5" t="str">
        <f t="shared" si="9"/>
        <v>2022 All Items D90</v>
      </c>
      <c r="B285" s="8">
        <f>'ALL 2024 H2 D80'!$B$2</f>
        <v>46114</v>
      </c>
      <c r="C285" s="8">
        <f>'ALL 2024 H2 D80'!$C$2</f>
        <v>46120</v>
      </c>
      <c r="D285" s="5">
        <v>3208</v>
      </c>
      <c r="E285" s="5">
        <v>320</v>
      </c>
      <c r="F285" s="5">
        <v>1</v>
      </c>
      <c r="G285" s="5">
        <v>2</v>
      </c>
      <c r="H285" s="5">
        <v>81736</v>
      </c>
      <c r="I285" s="5" t="s">
        <v>16</v>
      </c>
      <c r="J285" s="5">
        <v>70042558</v>
      </c>
      <c r="K285" s="5" t="s">
        <v>1506</v>
      </c>
      <c r="L285" s="5" t="s">
        <v>1513</v>
      </c>
      <c r="M285" s="6">
        <v>219900</v>
      </c>
      <c r="N285" s="7">
        <v>0.9</v>
      </c>
      <c r="O285" s="6">
        <f t="shared" si="10"/>
        <v>21990</v>
      </c>
      <c r="P285" s="5" t="s">
        <v>504</v>
      </c>
    </row>
    <row r="286" spans="1:16" x14ac:dyDescent="0.35">
      <c r="A286" s="5" t="str">
        <f t="shared" si="9"/>
        <v>2022 All Items D90</v>
      </c>
      <c r="B286" s="8">
        <f>'ALL 2024 H2 D80'!$B$2</f>
        <v>46114</v>
      </c>
      <c r="C286" s="8">
        <f>'ALL 2024 H2 D80'!$C$2</f>
        <v>46120</v>
      </c>
      <c r="D286" s="5">
        <v>3208</v>
      </c>
      <c r="E286" s="5">
        <v>320</v>
      </c>
      <c r="F286" s="5">
        <v>1</v>
      </c>
      <c r="G286" s="5">
        <v>2</v>
      </c>
      <c r="H286" s="5">
        <v>81736</v>
      </c>
      <c r="I286" s="5" t="s">
        <v>16</v>
      </c>
      <c r="J286" s="5">
        <v>70042567</v>
      </c>
      <c r="K286" s="5" t="s">
        <v>1506</v>
      </c>
      <c r="L286" s="5" t="s">
        <v>1514</v>
      </c>
      <c r="M286" s="6">
        <v>219900</v>
      </c>
      <c r="N286" s="7">
        <v>0.9</v>
      </c>
      <c r="O286" s="6">
        <f t="shared" si="10"/>
        <v>21990</v>
      </c>
      <c r="P286" s="5" t="s">
        <v>504</v>
      </c>
    </row>
    <row r="287" spans="1:16" x14ac:dyDescent="0.35">
      <c r="A287" s="5" t="str">
        <f t="shared" si="9"/>
        <v>2022 All Items D90</v>
      </c>
      <c r="B287" s="8">
        <f>'ALL 2024 H2 D80'!$B$2</f>
        <v>46114</v>
      </c>
      <c r="C287" s="8">
        <f>'ALL 2024 H2 D80'!$C$2</f>
        <v>46120</v>
      </c>
      <c r="D287" s="5">
        <v>3208</v>
      </c>
      <c r="E287" s="5">
        <v>320</v>
      </c>
      <c r="F287" s="5">
        <v>1</v>
      </c>
      <c r="G287" s="5">
        <v>2</v>
      </c>
      <c r="H287" s="5">
        <v>81736</v>
      </c>
      <c r="I287" s="5" t="s">
        <v>16</v>
      </c>
      <c r="J287" s="5">
        <v>70042772</v>
      </c>
      <c r="K287" s="5" t="s">
        <v>1748</v>
      </c>
      <c r="L287" s="5" t="s">
        <v>1749</v>
      </c>
      <c r="M287" s="6">
        <v>229900</v>
      </c>
      <c r="N287" s="7">
        <v>0.9</v>
      </c>
      <c r="O287" s="6">
        <f t="shared" si="10"/>
        <v>22990</v>
      </c>
      <c r="P287" s="5" t="s">
        <v>504</v>
      </c>
    </row>
    <row r="288" spans="1:16" x14ac:dyDescent="0.35">
      <c r="A288" s="5" t="str">
        <f t="shared" si="9"/>
        <v>2022 All Items D90</v>
      </c>
      <c r="B288" s="8">
        <f>'ALL 2024 H2 D80'!$B$2</f>
        <v>46114</v>
      </c>
      <c r="C288" s="8">
        <f>'ALL 2024 H2 D80'!$C$2</f>
        <v>46120</v>
      </c>
      <c r="D288" s="5">
        <v>3208</v>
      </c>
      <c r="E288" s="5">
        <v>320</v>
      </c>
      <c r="F288" s="5">
        <v>1</v>
      </c>
      <c r="G288" s="5">
        <v>2</v>
      </c>
      <c r="H288" s="5">
        <v>81736</v>
      </c>
      <c r="I288" s="5" t="s">
        <v>16</v>
      </c>
      <c r="J288" s="5">
        <v>70042781</v>
      </c>
      <c r="K288" s="5" t="s">
        <v>1748</v>
      </c>
      <c r="L288" s="5" t="s">
        <v>1750</v>
      </c>
      <c r="M288" s="6">
        <v>229900</v>
      </c>
      <c r="N288" s="7">
        <v>0.9</v>
      </c>
      <c r="O288" s="6">
        <f t="shared" si="10"/>
        <v>22990</v>
      </c>
      <c r="P288" s="5" t="s">
        <v>504</v>
      </c>
    </row>
    <row r="289" spans="1:16" x14ac:dyDescent="0.35">
      <c r="A289" s="5" t="str">
        <f t="shared" si="9"/>
        <v>2022 All Items D90</v>
      </c>
      <c r="B289" s="8">
        <f>'ALL 2024 H2 D80'!$B$2</f>
        <v>46114</v>
      </c>
      <c r="C289" s="8">
        <f>'ALL 2024 H2 D80'!$C$2</f>
        <v>46120</v>
      </c>
      <c r="D289" s="5">
        <v>3208</v>
      </c>
      <c r="E289" s="5">
        <v>320</v>
      </c>
      <c r="F289" s="5">
        <v>1</v>
      </c>
      <c r="G289" s="5">
        <v>2</v>
      </c>
      <c r="H289" s="5">
        <v>81736</v>
      </c>
      <c r="I289" s="5" t="s">
        <v>16</v>
      </c>
      <c r="J289" s="5">
        <v>70042790</v>
      </c>
      <c r="K289" s="5" t="s">
        <v>1748</v>
      </c>
      <c r="L289" s="5" t="s">
        <v>1751</v>
      </c>
      <c r="M289" s="6">
        <v>229900</v>
      </c>
      <c r="N289" s="7">
        <v>0.9</v>
      </c>
      <c r="O289" s="6">
        <f t="shared" si="10"/>
        <v>22990</v>
      </c>
      <c r="P289" s="5" t="s">
        <v>504</v>
      </c>
    </row>
    <row r="290" spans="1:16" x14ac:dyDescent="0.35">
      <c r="A290" s="5" t="str">
        <f t="shared" si="9"/>
        <v>2022 All Items D90</v>
      </c>
      <c r="B290" s="8">
        <f>'ALL 2024 H2 D80'!$B$2</f>
        <v>46114</v>
      </c>
      <c r="C290" s="8">
        <f>'ALL 2024 H2 D80'!$C$2</f>
        <v>46120</v>
      </c>
      <c r="D290" s="5">
        <v>3208</v>
      </c>
      <c r="E290" s="5">
        <v>320</v>
      </c>
      <c r="F290" s="5">
        <v>1</v>
      </c>
      <c r="G290" s="5">
        <v>2</v>
      </c>
      <c r="H290" s="5">
        <v>81736</v>
      </c>
      <c r="I290" s="5" t="s">
        <v>16</v>
      </c>
      <c r="J290" s="5">
        <v>70042807</v>
      </c>
      <c r="K290" s="5" t="s">
        <v>1748</v>
      </c>
      <c r="L290" s="5" t="s">
        <v>1752</v>
      </c>
      <c r="M290" s="6">
        <v>229900</v>
      </c>
      <c r="N290" s="7">
        <v>0.9</v>
      </c>
      <c r="O290" s="6">
        <f t="shared" si="10"/>
        <v>22990</v>
      </c>
      <c r="P290" s="5" t="s">
        <v>504</v>
      </c>
    </row>
    <row r="291" spans="1:16" x14ac:dyDescent="0.35">
      <c r="A291" s="5" t="str">
        <f t="shared" si="9"/>
        <v>2022 All Items D90</v>
      </c>
      <c r="B291" s="8">
        <f>'ALL 2024 H2 D80'!$B$2</f>
        <v>46114</v>
      </c>
      <c r="C291" s="8">
        <f>'ALL 2024 H2 D80'!$C$2</f>
        <v>46120</v>
      </c>
      <c r="D291" s="5">
        <v>3208</v>
      </c>
      <c r="E291" s="5">
        <v>320</v>
      </c>
      <c r="F291" s="5">
        <v>1</v>
      </c>
      <c r="G291" s="5">
        <v>2</v>
      </c>
      <c r="H291" s="5">
        <v>81736</v>
      </c>
      <c r="I291" s="5" t="s">
        <v>16</v>
      </c>
      <c r="J291" s="5">
        <v>70042852</v>
      </c>
      <c r="K291" s="5" t="s">
        <v>1753</v>
      </c>
      <c r="L291" s="5" t="s">
        <v>1754</v>
      </c>
      <c r="M291" s="6">
        <v>229900</v>
      </c>
      <c r="N291" s="7">
        <v>0.9</v>
      </c>
      <c r="O291" s="6">
        <f t="shared" si="10"/>
        <v>22990</v>
      </c>
      <c r="P291" s="5" t="s">
        <v>504</v>
      </c>
    </row>
    <row r="292" spans="1:16" x14ac:dyDescent="0.35">
      <c r="A292" s="5" t="str">
        <f t="shared" si="9"/>
        <v>2022 All Items D90</v>
      </c>
      <c r="B292" s="8">
        <f>'ALL 2024 H2 D80'!$B$2</f>
        <v>46114</v>
      </c>
      <c r="C292" s="8">
        <f>'ALL 2024 H2 D80'!$C$2</f>
        <v>46120</v>
      </c>
      <c r="D292" s="5">
        <v>3208</v>
      </c>
      <c r="E292" s="5">
        <v>320</v>
      </c>
      <c r="F292" s="5">
        <v>1</v>
      </c>
      <c r="G292" s="5">
        <v>2</v>
      </c>
      <c r="H292" s="5">
        <v>81736</v>
      </c>
      <c r="I292" s="5" t="s">
        <v>16</v>
      </c>
      <c r="J292" s="5">
        <v>70042861</v>
      </c>
      <c r="K292" s="5" t="s">
        <v>1753</v>
      </c>
      <c r="L292" s="5" t="s">
        <v>1755</v>
      </c>
      <c r="M292" s="6">
        <v>229900</v>
      </c>
      <c r="N292" s="7">
        <v>0.9</v>
      </c>
      <c r="O292" s="6">
        <f t="shared" si="10"/>
        <v>22990</v>
      </c>
      <c r="P292" s="5" t="s">
        <v>504</v>
      </c>
    </row>
    <row r="293" spans="1:16" x14ac:dyDescent="0.35">
      <c r="A293" s="5" t="str">
        <f t="shared" si="9"/>
        <v>2022 All Items D90</v>
      </c>
      <c r="B293" s="8">
        <f>'ALL 2024 H2 D80'!$B$2</f>
        <v>46114</v>
      </c>
      <c r="C293" s="8">
        <f>'ALL 2024 H2 D80'!$C$2</f>
        <v>46120</v>
      </c>
      <c r="D293" s="5">
        <v>3208</v>
      </c>
      <c r="E293" s="5">
        <v>320</v>
      </c>
      <c r="F293" s="5">
        <v>1</v>
      </c>
      <c r="G293" s="5">
        <v>2</v>
      </c>
      <c r="H293" s="5">
        <v>81736</v>
      </c>
      <c r="I293" s="5" t="s">
        <v>16</v>
      </c>
      <c r="J293" s="5">
        <v>70042870</v>
      </c>
      <c r="K293" s="5" t="s">
        <v>1753</v>
      </c>
      <c r="L293" s="5" t="s">
        <v>1756</v>
      </c>
      <c r="M293" s="6">
        <v>229900</v>
      </c>
      <c r="N293" s="7">
        <v>0.9</v>
      </c>
      <c r="O293" s="6">
        <f t="shared" si="10"/>
        <v>22990</v>
      </c>
      <c r="P293" s="5" t="s">
        <v>504</v>
      </c>
    </row>
    <row r="294" spans="1:16" x14ac:dyDescent="0.35">
      <c r="A294" s="5" t="str">
        <f t="shared" si="9"/>
        <v>2022 All Items D90</v>
      </c>
      <c r="B294" s="8">
        <f>'ALL 2024 H2 D80'!$B$2</f>
        <v>46114</v>
      </c>
      <c r="C294" s="8">
        <f>'ALL 2024 H2 D80'!$C$2</f>
        <v>46120</v>
      </c>
      <c r="D294" s="5">
        <v>3208</v>
      </c>
      <c r="E294" s="5">
        <v>320</v>
      </c>
      <c r="F294" s="5">
        <v>1</v>
      </c>
      <c r="G294" s="5">
        <v>2</v>
      </c>
      <c r="H294" s="5">
        <v>81736</v>
      </c>
      <c r="I294" s="5" t="s">
        <v>16</v>
      </c>
      <c r="J294" s="5">
        <v>70042889</v>
      </c>
      <c r="K294" s="5" t="s">
        <v>1753</v>
      </c>
      <c r="L294" s="5" t="s">
        <v>1757</v>
      </c>
      <c r="M294" s="6">
        <v>229900</v>
      </c>
      <c r="N294" s="7">
        <v>0.9</v>
      </c>
      <c r="O294" s="6">
        <f t="shared" si="10"/>
        <v>22990</v>
      </c>
      <c r="P294" s="5" t="s">
        <v>504</v>
      </c>
    </row>
    <row r="295" spans="1:16" x14ac:dyDescent="0.35">
      <c r="A295" s="5" t="str">
        <f t="shared" si="9"/>
        <v>2022 All Items D90</v>
      </c>
      <c r="B295" s="8">
        <f>'ALL 2024 H2 D80'!$B$2</f>
        <v>46114</v>
      </c>
      <c r="C295" s="8">
        <f>'ALL 2024 H2 D80'!$C$2</f>
        <v>46120</v>
      </c>
      <c r="D295" s="5">
        <v>3208</v>
      </c>
      <c r="E295" s="5">
        <v>320</v>
      </c>
      <c r="F295" s="5">
        <v>1</v>
      </c>
      <c r="G295" s="5">
        <v>2</v>
      </c>
      <c r="H295" s="5">
        <v>81736</v>
      </c>
      <c r="I295" s="5" t="s">
        <v>16</v>
      </c>
      <c r="J295" s="5">
        <v>73565863</v>
      </c>
      <c r="K295" s="5" t="s">
        <v>1114</v>
      </c>
      <c r="L295" s="5" t="s">
        <v>1758</v>
      </c>
      <c r="M295" s="6">
        <v>249900</v>
      </c>
      <c r="N295" s="7">
        <v>0.9</v>
      </c>
      <c r="O295" s="6">
        <f t="shared" si="10"/>
        <v>24990</v>
      </c>
      <c r="P295" s="5" t="s">
        <v>504</v>
      </c>
    </row>
    <row r="296" spans="1:16" x14ac:dyDescent="0.35">
      <c r="A296" s="5" t="str">
        <f t="shared" si="9"/>
        <v>2022 All Items D90</v>
      </c>
      <c r="B296" s="8">
        <f>'ALL 2024 H2 D80'!$B$2</f>
        <v>46114</v>
      </c>
      <c r="C296" s="8">
        <f>'ALL 2024 H2 D80'!$C$2</f>
        <v>46120</v>
      </c>
      <c r="D296" s="5">
        <v>3208</v>
      </c>
      <c r="E296" s="5">
        <v>320</v>
      </c>
      <c r="F296" s="5">
        <v>1</v>
      </c>
      <c r="G296" s="5">
        <v>2</v>
      </c>
      <c r="H296" s="5">
        <v>81736</v>
      </c>
      <c r="I296" s="5" t="s">
        <v>16</v>
      </c>
      <c r="J296" s="5">
        <v>73565872</v>
      </c>
      <c r="K296" s="5" t="s">
        <v>1114</v>
      </c>
      <c r="L296" s="5" t="s">
        <v>1759</v>
      </c>
      <c r="M296" s="6">
        <v>249900</v>
      </c>
      <c r="N296" s="7">
        <v>0.9</v>
      </c>
      <c r="O296" s="6">
        <f t="shared" si="10"/>
        <v>24990</v>
      </c>
      <c r="P296" s="5" t="s">
        <v>504</v>
      </c>
    </row>
    <row r="297" spans="1:16" x14ac:dyDescent="0.35">
      <c r="A297" s="5" t="str">
        <f t="shared" si="9"/>
        <v>2022 All Items D90</v>
      </c>
      <c r="B297" s="8">
        <f>'ALL 2024 H2 D80'!$B$2</f>
        <v>46114</v>
      </c>
      <c r="C297" s="8">
        <f>'ALL 2024 H2 D80'!$C$2</f>
        <v>46120</v>
      </c>
      <c r="D297" s="5">
        <v>3208</v>
      </c>
      <c r="E297" s="5">
        <v>320</v>
      </c>
      <c r="F297" s="5">
        <v>1</v>
      </c>
      <c r="G297" s="5">
        <v>2</v>
      </c>
      <c r="H297" s="5">
        <v>81736</v>
      </c>
      <c r="I297" s="5" t="s">
        <v>16</v>
      </c>
      <c r="J297" s="5">
        <v>73565881</v>
      </c>
      <c r="K297" s="5" t="s">
        <v>1114</v>
      </c>
      <c r="L297" s="5" t="s">
        <v>1760</v>
      </c>
      <c r="M297" s="6">
        <v>249900</v>
      </c>
      <c r="N297" s="7">
        <v>0.9</v>
      </c>
      <c r="O297" s="6">
        <f t="shared" si="10"/>
        <v>24990</v>
      </c>
      <c r="P297" s="5" t="s">
        <v>504</v>
      </c>
    </row>
    <row r="298" spans="1:16" x14ac:dyDescent="0.35">
      <c r="A298" s="5" t="str">
        <f t="shared" si="9"/>
        <v>2022 All Items D90</v>
      </c>
      <c r="B298" s="8">
        <f>'ALL 2024 H2 D80'!$B$2</f>
        <v>46114</v>
      </c>
      <c r="C298" s="8">
        <f>'ALL 2024 H2 D80'!$C$2</f>
        <v>46120</v>
      </c>
      <c r="D298" s="5">
        <v>3208</v>
      </c>
      <c r="E298" s="5">
        <v>320</v>
      </c>
      <c r="F298" s="5">
        <v>1</v>
      </c>
      <c r="G298" s="5">
        <v>2</v>
      </c>
      <c r="H298" s="5">
        <v>81736</v>
      </c>
      <c r="I298" s="5" t="s">
        <v>16</v>
      </c>
      <c r="J298" s="5">
        <v>73565890</v>
      </c>
      <c r="K298" s="5" t="s">
        <v>1114</v>
      </c>
      <c r="L298" s="5" t="s">
        <v>1115</v>
      </c>
      <c r="M298" s="6">
        <v>249900</v>
      </c>
      <c r="N298" s="7">
        <v>0.9</v>
      </c>
      <c r="O298" s="6">
        <f t="shared" si="10"/>
        <v>24990</v>
      </c>
      <c r="P298" s="5" t="s">
        <v>504</v>
      </c>
    </row>
    <row r="299" spans="1:16" x14ac:dyDescent="0.35">
      <c r="A299" s="5" t="str">
        <f t="shared" si="9"/>
        <v>2022 All Items D90</v>
      </c>
      <c r="B299" s="8">
        <f>'ALL 2024 H2 D80'!$B$2</f>
        <v>46114</v>
      </c>
      <c r="C299" s="8">
        <f>'ALL 2024 H2 D80'!$C$2</f>
        <v>46120</v>
      </c>
      <c r="D299" s="5">
        <v>3208</v>
      </c>
      <c r="E299" s="5">
        <v>320</v>
      </c>
      <c r="F299" s="5">
        <v>1</v>
      </c>
      <c r="G299" s="5">
        <v>2</v>
      </c>
      <c r="H299" s="5">
        <v>81736</v>
      </c>
      <c r="I299" s="5" t="s">
        <v>16</v>
      </c>
      <c r="J299" s="5">
        <v>73565907</v>
      </c>
      <c r="K299" s="5" t="s">
        <v>1114</v>
      </c>
      <c r="L299" s="5" t="s">
        <v>1116</v>
      </c>
      <c r="M299" s="6">
        <v>249900</v>
      </c>
      <c r="N299" s="7">
        <v>0.9</v>
      </c>
      <c r="O299" s="6">
        <f t="shared" si="10"/>
        <v>24990</v>
      </c>
      <c r="P299" s="5" t="s">
        <v>504</v>
      </c>
    </row>
    <row r="300" spans="1:16" x14ac:dyDescent="0.35">
      <c r="A300" s="5" t="str">
        <f t="shared" si="9"/>
        <v>2022 All Items D90</v>
      </c>
      <c r="B300" s="8">
        <f>'ALL 2024 H2 D80'!$B$2</f>
        <v>46114</v>
      </c>
      <c r="C300" s="8">
        <f>'ALL 2024 H2 D80'!$C$2</f>
        <v>46120</v>
      </c>
      <c r="D300" s="5">
        <v>3208</v>
      </c>
      <c r="E300" s="5">
        <v>320</v>
      </c>
      <c r="F300" s="5">
        <v>1</v>
      </c>
      <c r="G300" s="5">
        <v>2</v>
      </c>
      <c r="H300" s="5">
        <v>81736</v>
      </c>
      <c r="I300" s="5" t="s">
        <v>16</v>
      </c>
      <c r="J300" s="5">
        <v>73565916</v>
      </c>
      <c r="K300" s="5" t="s">
        <v>1114</v>
      </c>
      <c r="L300" s="5" t="s">
        <v>1117</v>
      </c>
      <c r="M300" s="6">
        <v>249900</v>
      </c>
      <c r="N300" s="7">
        <v>0.9</v>
      </c>
      <c r="O300" s="6">
        <f t="shared" si="10"/>
        <v>24990</v>
      </c>
      <c r="P300" s="5" t="s">
        <v>504</v>
      </c>
    </row>
    <row r="301" spans="1:16" x14ac:dyDescent="0.35">
      <c r="A301" s="5" t="str">
        <f t="shared" si="9"/>
        <v>2022 All Items D90</v>
      </c>
      <c r="B301" s="8">
        <f>'ALL 2024 H2 D80'!$B$2</f>
        <v>46114</v>
      </c>
      <c r="C301" s="8">
        <f>'ALL 2024 H2 D80'!$C$2</f>
        <v>46120</v>
      </c>
      <c r="D301" s="5">
        <v>3208</v>
      </c>
      <c r="E301" s="5">
        <v>320</v>
      </c>
      <c r="F301" s="5">
        <v>1</v>
      </c>
      <c r="G301" s="5">
        <v>2</v>
      </c>
      <c r="H301" s="5">
        <v>81736</v>
      </c>
      <c r="I301" s="5" t="s">
        <v>16</v>
      </c>
      <c r="J301" s="5">
        <v>73565925</v>
      </c>
      <c r="K301" s="5" t="s">
        <v>1114</v>
      </c>
      <c r="L301" s="5" t="s">
        <v>1118</v>
      </c>
      <c r="M301" s="6">
        <v>249900</v>
      </c>
      <c r="N301" s="7">
        <v>0.9</v>
      </c>
      <c r="O301" s="6">
        <f t="shared" si="10"/>
        <v>24990</v>
      </c>
      <c r="P301" s="5" t="s">
        <v>504</v>
      </c>
    </row>
    <row r="302" spans="1:16" x14ac:dyDescent="0.35">
      <c r="A302" s="5" t="str">
        <f t="shared" si="9"/>
        <v>2022 All Items D90</v>
      </c>
      <c r="B302" s="8">
        <f>'ALL 2024 H2 D80'!$B$2</f>
        <v>46114</v>
      </c>
      <c r="C302" s="8">
        <f>'ALL 2024 H2 D80'!$C$2</f>
        <v>46120</v>
      </c>
      <c r="D302" s="5">
        <v>3208</v>
      </c>
      <c r="E302" s="5">
        <v>320</v>
      </c>
      <c r="F302" s="5">
        <v>1</v>
      </c>
      <c r="G302" s="5">
        <v>2</v>
      </c>
      <c r="H302" s="5">
        <v>81736</v>
      </c>
      <c r="I302" s="5" t="s">
        <v>16</v>
      </c>
      <c r="J302" s="5">
        <v>73645437</v>
      </c>
      <c r="K302" s="5" t="s">
        <v>740</v>
      </c>
      <c r="L302" s="5" t="s">
        <v>1119</v>
      </c>
      <c r="M302" s="6">
        <v>249900</v>
      </c>
      <c r="N302" s="7">
        <v>0.9</v>
      </c>
      <c r="O302" s="6">
        <f t="shared" si="10"/>
        <v>24990</v>
      </c>
      <c r="P302" s="5" t="s">
        <v>504</v>
      </c>
    </row>
    <row r="303" spans="1:16" x14ac:dyDescent="0.35">
      <c r="A303" s="5" t="str">
        <f t="shared" si="9"/>
        <v>2022 All Items D90</v>
      </c>
      <c r="B303" s="8">
        <f>'ALL 2024 H2 D80'!$B$2</f>
        <v>46114</v>
      </c>
      <c r="C303" s="8">
        <f>'ALL 2024 H2 D80'!$C$2</f>
        <v>46120</v>
      </c>
      <c r="D303" s="5">
        <v>3208</v>
      </c>
      <c r="E303" s="5">
        <v>320</v>
      </c>
      <c r="F303" s="5">
        <v>1</v>
      </c>
      <c r="G303" s="5">
        <v>2</v>
      </c>
      <c r="H303" s="5">
        <v>81736</v>
      </c>
      <c r="I303" s="5" t="s">
        <v>16</v>
      </c>
      <c r="J303" s="5">
        <v>73645446</v>
      </c>
      <c r="K303" s="5" t="s">
        <v>740</v>
      </c>
      <c r="L303" s="5" t="s">
        <v>1120</v>
      </c>
      <c r="M303" s="6">
        <v>249900</v>
      </c>
      <c r="N303" s="7">
        <v>0.9</v>
      </c>
      <c r="O303" s="6">
        <f t="shared" si="10"/>
        <v>24990</v>
      </c>
      <c r="P303" s="5" t="s">
        <v>504</v>
      </c>
    </row>
    <row r="304" spans="1:16" x14ac:dyDescent="0.35">
      <c r="A304" s="5" t="str">
        <f t="shared" si="9"/>
        <v>2022 All Items D90</v>
      </c>
      <c r="B304" s="8">
        <f>'ALL 2024 H2 D80'!$B$2</f>
        <v>46114</v>
      </c>
      <c r="C304" s="8">
        <f>'ALL 2024 H2 D80'!$C$2</f>
        <v>46120</v>
      </c>
      <c r="D304" s="5">
        <v>3208</v>
      </c>
      <c r="E304" s="5">
        <v>320</v>
      </c>
      <c r="F304" s="5">
        <v>1</v>
      </c>
      <c r="G304" s="5">
        <v>2</v>
      </c>
      <c r="H304" s="5">
        <v>81736</v>
      </c>
      <c r="I304" s="5" t="s">
        <v>16</v>
      </c>
      <c r="J304" s="5">
        <v>73645455</v>
      </c>
      <c r="K304" s="5" t="s">
        <v>740</v>
      </c>
      <c r="L304" s="5" t="s">
        <v>1121</v>
      </c>
      <c r="M304" s="6">
        <v>249900</v>
      </c>
      <c r="N304" s="7">
        <v>0.9</v>
      </c>
      <c r="O304" s="6">
        <f t="shared" si="10"/>
        <v>24990</v>
      </c>
      <c r="P304" s="5" t="s">
        <v>504</v>
      </c>
    </row>
    <row r="305" spans="1:16" x14ac:dyDescent="0.35">
      <c r="A305" s="5" t="str">
        <f t="shared" si="9"/>
        <v>2022 All Items D90</v>
      </c>
      <c r="B305" s="8">
        <f>'ALL 2024 H2 D80'!$B$2</f>
        <v>46114</v>
      </c>
      <c r="C305" s="8">
        <f>'ALL 2024 H2 D80'!$C$2</f>
        <v>46120</v>
      </c>
      <c r="D305" s="5">
        <v>3208</v>
      </c>
      <c r="E305" s="5">
        <v>320</v>
      </c>
      <c r="F305" s="5">
        <v>1</v>
      </c>
      <c r="G305" s="5">
        <v>2</v>
      </c>
      <c r="H305" s="5">
        <v>81736</v>
      </c>
      <c r="I305" s="5" t="s">
        <v>16</v>
      </c>
      <c r="J305" s="5">
        <v>73645464</v>
      </c>
      <c r="K305" s="5" t="s">
        <v>740</v>
      </c>
      <c r="L305" s="5" t="s">
        <v>1122</v>
      </c>
      <c r="M305" s="6">
        <v>249900</v>
      </c>
      <c r="N305" s="7">
        <v>0.9</v>
      </c>
      <c r="O305" s="6">
        <f t="shared" si="10"/>
        <v>24990</v>
      </c>
      <c r="P305" s="5" t="s">
        <v>504</v>
      </c>
    </row>
    <row r="306" spans="1:16" x14ac:dyDescent="0.35">
      <c r="A306" s="5" t="str">
        <f t="shared" si="9"/>
        <v>2022 All Items D90</v>
      </c>
      <c r="B306" s="8">
        <f>'ALL 2024 H2 D80'!$B$2</f>
        <v>46114</v>
      </c>
      <c r="C306" s="8">
        <f>'ALL 2024 H2 D80'!$C$2</f>
        <v>46120</v>
      </c>
      <c r="D306" s="5">
        <v>3208</v>
      </c>
      <c r="E306" s="5">
        <v>320</v>
      </c>
      <c r="F306" s="5">
        <v>1</v>
      </c>
      <c r="G306" s="5">
        <v>2</v>
      </c>
      <c r="H306" s="5">
        <v>81736</v>
      </c>
      <c r="I306" s="5" t="s">
        <v>16</v>
      </c>
      <c r="J306" s="5">
        <v>73794464</v>
      </c>
      <c r="K306" s="5" t="s">
        <v>1123</v>
      </c>
      <c r="L306" s="5" t="s">
        <v>1124</v>
      </c>
      <c r="M306" s="6">
        <v>249900</v>
      </c>
      <c r="N306" s="7">
        <v>0.9</v>
      </c>
      <c r="O306" s="6">
        <f t="shared" si="10"/>
        <v>24990</v>
      </c>
      <c r="P306" s="5" t="s">
        <v>504</v>
      </c>
    </row>
    <row r="307" spans="1:16" x14ac:dyDescent="0.35">
      <c r="A307" s="5" t="str">
        <f t="shared" si="9"/>
        <v>2022 All Items D90</v>
      </c>
      <c r="B307" s="8">
        <f>'ALL 2024 H2 D80'!$B$2</f>
        <v>46114</v>
      </c>
      <c r="C307" s="8">
        <f>'ALL 2024 H2 D80'!$C$2</f>
        <v>46120</v>
      </c>
      <c r="D307" s="5">
        <v>3208</v>
      </c>
      <c r="E307" s="5">
        <v>320</v>
      </c>
      <c r="F307" s="5">
        <v>1</v>
      </c>
      <c r="G307" s="5">
        <v>2</v>
      </c>
      <c r="H307" s="5">
        <v>81736</v>
      </c>
      <c r="I307" s="5" t="s">
        <v>16</v>
      </c>
      <c r="J307" s="5">
        <v>73794473</v>
      </c>
      <c r="K307" s="5" t="s">
        <v>1123</v>
      </c>
      <c r="L307" s="5" t="s">
        <v>1125</v>
      </c>
      <c r="M307" s="6">
        <v>249900</v>
      </c>
      <c r="N307" s="7">
        <v>0.9</v>
      </c>
      <c r="O307" s="6">
        <f t="shared" si="10"/>
        <v>24990</v>
      </c>
      <c r="P307" s="5" t="s">
        <v>504</v>
      </c>
    </row>
    <row r="308" spans="1:16" x14ac:dyDescent="0.35">
      <c r="A308" s="5" t="str">
        <f t="shared" si="9"/>
        <v>2022 All Items D90</v>
      </c>
      <c r="B308" s="8">
        <f>'ALL 2024 H2 D80'!$B$2</f>
        <v>46114</v>
      </c>
      <c r="C308" s="8">
        <f>'ALL 2024 H2 D80'!$C$2</f>
        <v>46120</v>
      </c>
      <c r="D308" s="5">
        <v>3208</v>
      </c>
      <c r="E308" s="5">
        <v>320</v>
      </c>
      <c r="F308" s="5">
        <v>1</v>
      </c>
      <c r="G308" s="5">
        <v>2</v>
      </c>
      <c r="H308" s="5">
        <v>81736</v>
      </c>
      <c r="I308" s="5" t="s">
        <v>16</v>
      </c>
      <c r="J308" s="5">
        <v>73794482</v>
      </c>
      <c r="K308" s="5" t="s">
        <v>1123</v>
      </c>
      <c r="L308" s="5" t="s">
        <v>1126</v>
      </c>
      <c r="M308" s="6">
        <v>249900</v>
      </c>
      <c r="N308" s="7">
        <v>0.9</v>
      </c>
      <c r="O308" s="6">
        <f t="shared" si="10"/>
        <v>24990</v>
      </c>
      <c r="P308" s="5" t="s">
        <v>504</v>
      </c>
    </row>
    <row r="309" spans="1:16" x14ac:dyDescent="0.35">
      <c r="A309" s="5" t="str">
        <f t="shared" si="9"/>
        <v>2022 All Items D90</v>
      </c>
      <c r="B309" s="8">
        <f>'ALL 2024 H2 D80'!$B$2</f>
        <v>46114</v>
      </c>
      <c r="C309" s="8">
        <f>'ALL 2024 H2 D80'!$C$2</f>
        <v>46120</v>
      </c>
      <c r="D309" s="5">
        <v>3208</v>
      </c>
      <c r="E309" s="5">
        <v>320</v>
      </c>
      <c r="F309" s="5">
        <v>1</v>
      </c>
      <c r="G309" s="5">
        <v>2</v>
      </c>
      <c r="H309" s="5">
        <v>81736</v>
      </c>
      <c r="I309" s="5" t="s">
        <v>16</v>
      </c>
      <c r="J309" s="5">
        <v>73794491</v>
      </c>
      <c r="K309" s="5" t="s">
        <v>1123</v>
      </c>
      <c r="L309" s="5" t="s">
        <v>1127</v>
      </c>
      <c r="M309" s="6">
        <v>249900</v>
      </c>
      <c r="N309" s="7">
        <v>0.9</v>
      </c>
      <c r="O309" s="6">
        <f t="shared" si="10"/>
        <v>24990</v>
      </c>
      <c r="P309" s="5" t="s">
        <v>504</v>
      </c>
    </row>
    <row r="310" spans="1:16" x14ac:dyDescent="0.35">
      <c r="A310" s="5" t="str">
        <f t="shared" si="9"/>
        <v>2022 All Items D90</v>
      </c>
      <c r="B310" s="8">
        <f>'ALL 2024 H2 D80'!$B$2</f>
        <v>46114</v>
      </c>
      <c r="C310" s="8">
        <f>'ALL 2024 H2 D80'!$C$2</f>
        <v>46120</v>
      </c>
      <c r="D310" s="5">
        <v>3208</v>
      </c>
      <c r="E310" s="5">
        <v>320</v>
      </c>
      <c r="F310" s="5">
        <v>1</v>
      </c>
      <c r="G310" s="5">
        <v>2</v>
      </c>
      <c r="H310" s="5">
        <v>81736</v>
      </c>
      <c r="I310" s="5" t="s">
        <v>16</v>
      </c>
      <c r="J310" s="5">
        <v>73794508</v>
      </c>
      <c r="K310" s="5" t="s">
        <v>1128</v>
      </c>
      <c r="L310" s="5" t="s">
        <v>1129</v>
      </c>
      <c r="M310" s="6">
        <v>229900</v>
      </c>
      <c r="N310" s="7">
        <v>0.9</v>
      </c>
      <c r="O310" s="6">
        <f t="shared" si="10"/>
        <v>22990</v>
      </c>
      <c r="P310" s="5" t="s">
        <v>504</v>
      </c>
    </row>
    <row r="311" spans="1:16" x14ac:dyDescent="0.35">
      <c r="A311" s="5" t="str">
        <f t="shared" si="9"/>
        <v>2022 All Items D90</v>
      </c>
      <c r="B311" s="8">
        <f>'ALL 2024 H2 D80'!$B$2</f>
        <v>46114</v>
      </c>
      <c r="C311" s="8">
        <f>'ALL 2024 H2 D80'!$C$2</f>
        <v>46120</v>
      </c>
      <c r="D311" s="5">
        <v>3208</v>
      </c>
      <c r="E311" s="5">
        <v>320</v>
      </c>
      <c r="F311" s="5">
        <v>1</v>
      </c>
      <c r="G311" s="5">
        <v>2</v>
      </c>
      <c r="H311" s="5">
        <v>81736</v>
      </c>
      <c r="I311" s="5" t="s">
        <v>16</v>
      </c>
      <c r="J311" s="5">
        <v>73794517</v>
      </c>
      <c r="K311" s="5" t="s">
        <v>1128</v>
      </c>
      <c r="L311" s="5" t="s">
        <v>1130</v>
      </c>
      <c r="M311" s="6">
        <v>229900</v>
      </c>
      <c r="N311" s="7">
        <v>0.9</v>
      </c>
      <c r="O311" s="6">
        <f t="shared" si="10"/>
        <v>22990</v>
      </c>
      <c r="P311" s="5" t="s">
        <v>504</v>
      </c>
    </row>
    <row r="312" spans="1:16" x14ac:dyDescent="0.35">
      <c r="A312" s="5" t="str">
        <f t="shared" si="9"/>
        <v>2022 All Items D90</v>
      </c>
      <c r="B312" s="8">
        <f>'ALL 2024 H2 D80'!$B$2</f>
        <v>46114</v>
      </c>
      <c r="C312" s="8">
        <f>'ALL 2024 H2 D80'!$C$2</f>
        <v>46120</v>
      </c>
      <c r="D312" s="5">
        <v>3208</v>
      </c>
      <c r="E312" s="5">
        <v>320</v>
      </c>
      <c r="F312" s="5">
        <v>1</v>
      </c>
      <c r="G312" s="5">
        <v>2</v>
      </c>
      <c r="H312" s="5">
        <v>81736</v>
      </c>
      <c r="I312" s="5" t="s">
        <v>16</v>
      </c>
      <c r="J312" s="5">
        <v>73794526</v>
      </c>
      <c r="K312" s="5" t="s">
        <v>1128</v>
      </c>
      <c r="L312" s="5" t="s">
        <v>1131</v>
      </c>
      <c r="M312" s="6">
        <v>229900</v>
      </c>
      <c r="N312" s="7">
        <v>0.9</v>
      </c>
      <c r="O312" s="6">
        <f t="shared" si="10"/>
        <v>22990</v>
      </c>
      <c r="P312" s="5" t="s">
        <v>504</v>
      </c>
    </row>
    <row r="313" spans="1:16" x14ac:dyDescent="0.35">
      <c r="A313" s="5" t="str">
        <f t="shared" si="9"/>
        <v>2022 All Items D90</v>
      </c>
      <c r="B313" s="8">
        <f>'ALL 2024 H2 D80'!$B$2</f>
        <v>46114</v>
      </c>
      <c r="C313" s="8">
        <f>'ALL 2024 H2 D80'!$C$2</f>
        <v>46120</v>
      </c>
      <c r="D313" s="5">
        <v>3208</v>
      </c>
      <c r="E313" s="5">
        <v>320</v>
      </c>
      <c r="F313" s="5">
        <v>1</v>
      </c>
      <c r="G313" s="5">
        <v>2</v>
      </c>
      <c r="H313" s="5">
        <v>81736</v>
      </c>
      <c r="I313" s="5" t="s">
        <v>16</v>
      </c>
      <c r="J313" s="5">
        <v>73794535</v>
      </c>
      <c r="K313" s="5" t="s">
        <v>1128</v>
      </c>
      <c r="L313" s="5" t="s">
        <v>1132</v>
      </c>
      <c r="M313" s="6">
        <v>229900</v>
      </c>
      <c r="N313" s="7">
        <v>0.9</v>
      </c>
      <c r="O313" s="6">
        <f t="shared" si="10"/>
        <v>22990</v>
      </c>
      <c r="P313" s="5" t="s">
        <v>504</v>
      </c>
    </row>
    <row r="314" spans="1:16" x14ac:dyDescent="0.35">
      <c r="A314" s="5" t="str">
        <f t="shared" si="9"/>
        <v>2022 All Items D90</v>
      </c>
      <c r="B314" s="8">
        <f>'ALL 2024 H2 D80'!$B$2</f>
        <v>46114</v>
      </c>
      <c r="C314" s="8">
        <f>'ALL 2024 H2 D80'!$C$2</f>
        <v>46120</v>
      </c>
      <c r="D314" s="5">
        <v>3208</v>
      </c>
      <c r="E314" s="5">
        <v>320</v>
      </c>
      <c r="F314" s="5">
        <v>1</v>
      </c>
      <c r="G314" s="5">
        <v>2</v>
      </c>
      <c r="H314" s="5">
        <v>81736</v>
      </c>
      <c r="I314" s="5" t="s">
        <v>16</v>
      </c>
      <c r="J314" s="5">
        <v>75661317</v>
      </c>
      <c r="K314" s="5" t="s">
        <v>1133</v>
      </c>
      <c r="L314" s="5" t="s">
        <v>1134</v>
      </c>
      <c r="M314" s="6">
        <v>229900</v>
      </c>
      <c r="N314" s="7">
        <v>0.9</v>
      </c>
      <c r="O314" s="6">
        <f t="shared" si="10"/>
        <v>22990</v>
      </c>
      <c r="P314" s="5" t="s">
        <v>504</v>
      </c>
    </row>
    <row r="315" spans="1:16" x14ac:dyDescent="0.35">
      <c r="A315" s="5" t="str">
        <f t="shared" si="9"/>
        <v>2022 All Items D90</v>
      </c>
      <c r="B315" s="8">
        <f>'ALL 2024 H2 D80'!$B$2</f>
        <v>46114</v>
      </c>
      <c r="C315" s="8">
        <f>'ALL 2024 H2 D80'!$C$2</f>
        <v>46120</v>
      </c>
      <c r="D315" s="5">
        <v>3208</v>
      </c>
      <c r="E315" s="5">
        <v>320</v>
      </c>
      <c r="F315" s="5">
        <v>1</v>
      </c>
      <c r="G315" s="5">
        <v>2</v>
      </c>
      <c r="H315" s="5">
        <v>81736</v>
      </c>
      <c r="I315" s="5" t="s">
        <v>16</v>
      </c>
      <c r="J315" s="5">
        <v>75661326</v>
      </c>
      <c r="K315" s="5" t="s">
        <v>1133</v>
      </c>
      <c r="L315" s="5" t="s">
        <v>1135</v>
      </c>
      <c r="M315" s="6">
        <v>229900</v>
      </c>
      <c r="N315" s="7">
        <v>0.9</v>
      </c>
      <c r="O315" s="6">
        <f t="shared" si="10"/>
        <v>22990</v>
      </c>
      <c r="P315" s="5" t="s">
        <v>504</v>
      </c>
    </row>
    <row r="316" spans="1:16" x14ac:dyDescent="0.35">
      <c r="A316" s="5" t="str">
        <f t="shared" si="9"/>
        <v>2022 All Items D90</v>
      </c>
      <c r="B316" s="8">
        <f>'ALL 2024 H2 D80'!$B$2</f>
        <v>46114</v>
      </c>
      <c r="C316" s="8">
        <f>'ALL 2024 H2 D80'!$C$2</f>
        <v>46120</v>
      </c>
      <c r="D316" s="5">
        <v>3208</v>
      </c>
      <c r="E316" s="5">
        <v>320</v>
      </c>
      <c r="F316" s="5">
        <v>1</v>
      </c>
      <c r="G316" s="5">
        <v>2</v>
      </c>
      <c r="H316" s="5">
        <v>81736</v>
      </c>
      <c r="I316" s="5" t="s">
        <v>16</v>
      </c>
      <c r="J316" s="5">
        <v>75661335</v>
      </c>
      <c r="K316" s="5" t="s">
        <v>1133</v>
      </c>
      <c r="L316" s="5" t="s">
        <v>1136</v>
      </c>
      <c r="M316" s="6">
        <v>229900</v>
      </c>
      <c r="N316" s="7">
        <v>0.9</v>
      </c>
      <c r="O316" s="6">
        <f t="shared" si="10"/>
        <v>22990</v>
      </c>
      <c r="P316" s="5" t="s">
        <v>504</v>
      </c>
    </row>
    <row r="317" spans="1:16" x14ac:dyDescent="0.35">
      <c r="A317" s="5" t="str">
        <f t="shared" si="9"/>
        <v>2022 All Items D90</v>
      </c>
      <c r="B317" s="8">
        <f>'ALL 2024 H2 D80'!$B$2</f>
        <v>46114</v>
      </c>
      <c r="C317" s="8">
        <f>'ALL 2024 H2 D80'!$C$2</f>
        <v>46120</v>
      </c>
      <c r="D317" s="5">
        <v>3208</v>
      </c>
      <c r="E317" s="5">
        <v>320</v>
      </c>
      <c r="F317" s="5">
        <v>1</v>
      </c>
      <c r="G317" s="5">
        <v>2</v>
      </c>
      <c r="H317" s="5">
        <v>81736</v>
      </c>
      <c r="I317" s="5" t="s">
        <v>16</v>
      </c>
      <c r="J317" s="5">
        <v>75661344</v>
      </c>
      <c r="K317" s="5" t="s">
        <v>1133</v>
      </c>
      <c r="L317" s="5" t="s">
        <v>1137</v>
      </c>
      <c r="M317" s="6">
        <v>229900</v>
      </c>
      <c r="N317" s="7">
        <v>0.9</v>
      </c>
      <c r="O317" s="6">
        <f t="shared" si="10"/>
        <v>22990</v>
      </c>
      <c r="P317" s="5" t="s">
        <v>504</v>
      </c>
    </row>
    <row r="318" spans="1:16" x14ac:dyDescent="0.35">
      <c r="A318" s="5" t="str">
        <f t="shared" si="9"/>
        <v>2022 All Items D90</v>
      </c>
      <c r="B318" s="8">
        <f>'ALL 2024 H2 D80'!$B$2</f>
        <v>46114</v>
      </c>
      <c r="C318" s="8">
        <f>'ALL 2024 H2 D80'!$C$2</f>
        <v>46120</v>
      </c>
      <c r="D318" s="5">
        <v>3208</v>
      </c>
      <c r="E318" s="5">
        <v>320</v>
      </c>
      <c r="F318" s="5">
        <v>1</v>
      </c>
      <c r="G318" s="5">
        <v>2</v>
      </c>
      <c r="H318" s="5">
        <v>81736</v>
      </c>
      <c r="I318" s="5" t="s">
        <v>16</v>
      </c>
      <c r="J318" s="5">
        <v>75661353</v>
      </c>
      <c r="K318" s="5" t="s">
        <v>1133</v>
      </c>
      <c r="L318" s="5" t="s">
        <v>1138</v>
      </c>
      <c r="M318" s="6">
        <v>229900</v>
      </c>
      <c r="N318" s="7">
        <v>0.9</v>
      </c>
      <c r="O318" s="6">
        <f t="shared" si="10"/>
        <v>22990</v>
      </c>
      <c r="P318" s="5" t="s">
        <v>504</v>
      </c>
    </row>
    <row r="319" spans="1:16" x14ac:dyDescent="0.35">
      <c r="A319" s="5" t="str">
        <f t="shared" si="9"/>
        <v>2022 All Items D90</v>
      </c>
      <c r="B319" s="8">
        <f>'ALL 2024 H2 D80'!$B$2</f>
        <v>46114</v>
      </c>
      <c r="C319" s="8">
        <f>'ALL 2024 H2 D80'!$C$2</f>
        <v>46120</v>
      </c>
      <c r="D319" s="5">
        <v>3208</v>
      </c>
      <c r="E319" s="5">
        <v>320</v>
      </c>
      <c r="F319" s="5">
        <v>1</v>
      </c>
      <c r="G319" s="5">
        <v>2</v>
      </c>
      <c r="H319" s="5">
        <v>81736</v>
      </c>
      <c r="I319" s="5" t="s">
        <v>16</v>
      </c>
      <c r="J319" s="5">
        <v>75661362</v>
      </c>
      <c r="K319" s="5" t="s">
        <v>1133</v>
      </c>
      <c r="L319" s="5" t="s">
        <v>1139</v>
      </c>
      <c r="M319" s="6">
        <v>229900</v>
      </c>
      <c r="N319" s="7">
        <v>0.9</v>
      </c>
      <c r="O319" s="6">
        <f t="shared" si="10"/>
        <v>22990</v>
      </c>
      <c r="P319" s="5" t="s">
        <v>504</v>
      </c>
    </row>
    <row r="320" spans="1:16" x14ac:dyDescent="0.35">
      <c r="A320" s="5" t="str">
        <f t="shared" si="9"/>
        <v>2022 All Items D90</v>
      </c>
      <c r="B320" s="8">
        <f>'ALL 2024 H2 D80'!$B$2</f>
        <v>46114</v>
      </c>
      <c r="C320" s="8">
        <f>'ALL 2024 H2 D80'!$C$2</f>
        <v>46120</v>
      </c>
      <c r="D320" s="5">
        <v>3208</v>
      </c>
      <c r="E320" s="5">
        <v>320</v>
      </c>
      <c r="F320" s="5">
        <v>1</v>
      </c>
      <c r="G320" s="5">
        <v>2</v>
      </c>
      <c r="H320" s="5">
        <v>81736</v>
      </c>
      <c r="I320" s="5" t="s">
        <v>16</v>
      </c>
      <c r="J320" s="5">
        <v>75661371</v>
      </c>
      <c r="K320" s="5" t="s">
        <v>1133</v>
      </c>
      <c r="L320" s="5" t="s">
        <v>1140</v>
      </c>
      <c r="M320" s="6">
        <v>229900</v>
      </c>
      <c r="N320" s="7">
        <v>0.9</v>
      </c>
      <c r="O320" s="6">
        <f t="shared" si="10"/>
        <v>22990</v>
      </c>
      <c r="P320" s="5" t="s">
        <v>504</v>
      </c>
    </row>
    <row r="321" spans="1:16" x14ac:dyDescent="0.35">
      <c r="A321" s="5" t="str">
        <f t="shared" si="9"/>
        <v>2022 All Items D90</v>
      </c>
      <c r="B321" s="8">
        <f>'ALL 2024 H2 D80'!$B$2</f>
        <v>46114</v>
      </c>
      <c r="C321" s="8">
        <f>'ALL 2024 H2 D80'!$C$2</f>
        <v>46120</v>
      </c>
      <c r="D321" s="5">
        <v>3208</v>
      </c>
      <c r="E321" s="5">
        <v>320</v>
      </c>
      <c r="F321" s="5">
        <v>1</v>
      </c>
      <c r="G321" s="5">
        <v>2</v>
      </c>
      <c r="H321" s="5">
        <v>81736</v>
      </c>
      <c r="I321" s="5" t="s">
        <v>16</v>
      </c>
      <c r="J321" s="5">
        <v>75661380</v>
      </c>
      <c r="K321" s="5" t="s">
        <v>1133</v>
      </c>
      <c r="L321" s="5" t="s">
        <v>1141</v>
      </c>
      <c r="M321" s="6">
        <v>229900</v>
      </c>
      <c r="N321" s="7">
        <v>0.9</v>
      </c>
      <c r="O321" s="6">
        <f t="shared" si="10"/>
        <v>22990</v>
      </c>
      <c r="P321" s="5" t="s">
        <v>504</v>
      </c>
    </row>
    <row r="322" spans="1:16" x14ac:dyDescent="0.35">
      <c r="A322" s="5" t="str">
        <f t="shared" si="9"/>
        <v>2022 All Items D90</v>
      </c>
      <c r="B322" s="8">
        <f>'ALL 2024 H2 D80'!$B$2</f>
        <v>46114</v>
      </c>
      <c r="C322" s="8">
        <f>'ALL 2024 H2 D80'!$C$2</f>
        <v>46120</v>
      </c>
      <c r="D322" s="5">
        <v>3208</v>
      </c>
      <c r="E322" s="5">
        <v>320</v>
      </c>
      <c r="F322" s="5">
        <v>1</v>
      </c>
      <c r="G322" s="5">
        <v>2</v>
      </c>
      <c r="H322" s="5">
        <v>81736</v>
      </c>
      <c r="I322" s="5" t="s">
        <v>16</v>
      </c>
      <c r="J322" s="5">
        <v>75661399</v>
      </c>
      <c r="K322" s="5" t="s">
        <v>1133</v>
      </c>
      <c r="L322" s="5" t="s">
        <v>1142</v>
      </c>
      <c r="M322" s="6">
        <v>229900</v>
      </c>
      <c r="N322" s="7">
        <v>0.9</v>
      </c>
      <c r="O322" s="6">
        <f t="shared" si="10"/>
        <v>22990</v>
      </c>
      <c r="P322" s="5" t="s">
        <v>504</v>
      </c>
    </row>
    <row r="323" spans="1:16" x14ac:dyDescent="0.35">
      <c r="A323" s="5" t="str">
        <f t="shared" si="9"/>
        <v>2022 All Items D90</v>
      </c>
      <c r="B323" s="8">
        <f>'ALL 2024 H2 D80'!$B$2</f>
        <v>46114</v>
      </c>
      <c r="C323" s="8">
        <f>'ALL 2024 H2 D80'!$C$2</f>
        <v>46120</v>
      </c>
      <c r="D323" s="5">
        <v>3208</v>
      </c>
      <c r="E323" s="5">
        <v>320</v>
      </c>
      <c r="F323" s="5">
        <v>1</v>
      </c>
      <c r="G323" s="5">
        <v>2</v>
      </c>
      <c r="H323" s="5">
        <v>81736</v>
      </c>
      <c r="I323" s="5" t="s">
        <v>16</v>
      </c>
      <c r="J323" s="5">
        <v>75661406</v>
      </c>
      <c r="K323" s="5" t="s">
        <v>1133</v>
      </c>
      <c r="L323" s="5" t="s">
        <v>1143</v>
      </c>
      <c r="M323" s="6">
        <v>229900</v>
      </c>
      <c r="N323" s="7">
        <v>0.9</v>
      </c>
      <c r="O323" s="6">
        <f t="shared" si="10"/>
        <v>22990</v>
      </c>
      <c r="P323" s="5" t="s">
        <v>504</v>
      </c>
    </row>
    <row r="324" spans="1:16" x14ac:dyDescent="0.35">
      <c r="A324" s="5" t="str">
        <f t="shared" ref="A324:A387" si="11">$A$2</f>
        <v>2022 All Items D90</v>
      </c>
      <c r="B324" s="8">
        <f>'ALL 2024 H2 D80'!$B$2</f>
        <v>46114</v>
      </c>
      <c r="C324" s="8">
        <f>'ALL 2024 H2 D80'!$C$2</f>
        <v>46120</v>
      </c>
      <c r="D324" s="5">
        <v>3208</v>
      </c>
      <c r="E324" s="5">
        <v>320</v>
      </c>
      <c r="F324" s="5">
        <v>1</v>
      </c>
      <c r="G324" s="5">
        <v>2</v>
      </c>
      <c r="H324" s="5">
        <v>81736</v>
      </c>
      <c r="I324" s="5" t="s">
        <v>16</v>
      </c>
      <c r="J324" s="5">
        <v>75661415</v>
      </c>
      <c r="K324" s="5" t="s">
        <v>1133</v>
      </c>
      <c r="L324" s="5" t="s">
        <v>1144</v>
      </c>
      <c r="M324" s="6">
        <v>229900</v>
      </c>
      <c r="N324" s="7">
        <v>0.9</v>
      </c>
      <c r="O324" s="6">
        <f t="shared" si="10"/>
        <v>22990</v>
      </c>
      <c r="P324" s="5" t="s">
        <v>504</v>
      </c>
    </row>
    <row r="325" spans="1:16" x14ac:dyDescent="0.35">
      <c r="A325" s="5" t="str">
        <f t="shared" si="11"/>
        <v>2022 All Items D90</v>
      </c>
      <c r="B325" s="8">
        <f>'ALL 2024 H2 D80'!$B$2</f>
        <v>46114</v>
      </c>
      <c r="C325" s="8">
        <f>'ALL 2024 H2 D80'!$C$2</f>
        <v>46120</v>
      </c>
      <c r="D325" s="5">
        <v>3208</v>
      </c>
      <c r="E325" s="5">
        <v>320</v>
      </c>
      <c r="F325" s="5">
        <v>1</v>
      </c>
      <c r="G325" s="5">
        <v>2</v>
      </c>
      <c r="H325" s="5">
        <v>81736</v>
      </c>
      <c r="I325" s="5" t="s">
        <v>16</v>
      </c>
      <c r="J325" s="5">
        <v>75661424</v>
      </c>
      <c r="K325" s="5" t="s">
        <v>1133</v>
      </c>
      <c r="L325" s="5" t="s">
        <v>1145</v>
      </c>
      <c r="M325" s="6">
        <v>229900</v>
      </c>
      <c r="N325" s="7">
        <v>0.9</v>
      </c>
      <c r="O325" s="6">
        <f t="shared" si="10"/>
        <v>22990</v>
      </c>
      <c r="P325" s="5" t="s">
        <v>504</v>
      </c>
    </row>
    <row r="326" spans="1:16" x14ac:dyDescent="0.35">
      <c r="A326" s="5" t="str">
        <f t="shared" si="11"/>
        <v>2022 All Items D90</v>
      </c>
      <c r="B326" s="8">
        <f>'ALL 2024 H2 D80'!$B$2</f>
        <v>46114</v>
      </c>
      <c r="C326" s="8">
        <f>'ALL 2024 H2 D80'!$C$2</f>
        <v>46120</v>
      </c>
      <c r="D326" s="5">
        <v>3208</v>
      </c>
      <c r="E326" s="5">
        <v>320</v>
      </c>
      <c r="F326" s="5">
        <v>1</v>
      </c>
      <c r="G326" s="5">
        <v>2</v>
      </c>
      <c r="H326" s="5">
        <v>81736</v>
      </c>
      <c r="I326" s="5" t="s">
        <v>16</v>
      </c>
      <c r="J326" s="5">
        <v>75661433</v>
      </c>
      <c r="K326" s="5" t="s">
        <v>1146</v>
      </c>
      <c r="L326" s="5" t="s">
        <v>1147</v>
      </c>
      <c r="M326" s="6">
        <v>199900</v>
      </c>
      <c r="N326" s="7">
        <v>0.9</v>
      </c>
      <c r="O326" s="6">
        <f t="shared" si="10"/>
        <v>19990</v>
      </c>
      <c r="P326" s="5" t="s">
        <v>504</v>
      </c>
    </row>
    <row r="327" spans="1:16" x14ac:dyDescent="0.35">
      <c r="A327" s="5" t="str">
        <f t="shared" si="11"/>
        <v>2022 All Items D90</v>
      </c>
      <c r="B327" s="8">
        <f>'ALL 2024 H2 D80'!$B$2</f>
        <v>46114</v>
      </c>
      <c r="C327" s="8">
        <f>'ALL 2024 H2 D80'!$C$2</f>
        <v>46120</v>
      </c>
      <c r="D327" s="5">
        <v>3208</v>
      </c>
      <c r="E327" s="5">
        <v>320</v>
      </c>
      <c r="F327" s="5">
        <v>1</v>
      </c>
      <c r="G327" s="5">
        <v>2</v>
      </c>
      <c r="H327" s="5">
        <v>81736</v>
      </c>
      <c r="I327" s="5" t="s">
        <v>16</v>
      </c>
      <c r="J327" s="5">
        <v>75661442</v>
      </c>
      <c r="K327" s="5" t="s">
        <v>1146</v>
      </c>
      <c r="L327" s="5" t="s">
        <v>1148</v>
      </c>
      <c r="M327" s="6">
        <v>199900</v>
      </c>
      <c r="N327" s="7">
        <v>0.9</v>
      </c>
      <c r="O327" s="6">
        <f t="shared" si="10"/>
        <v>19990</v>
      </c>
      <c r="P327" s="5" t="s">
        <v>504</v>
      </c>
    </row>
    <row r="328" spans="1:16" x14ac:dyDescent="0.35">
      <c r="A328" s="5" t="str">
        <f t="shared" si="11"/>
        <v>2022 All Items D90</v>
      </c>
      <c r="B328" s="8">
        <f>'ALL 2024 H2 D80'!$B$2</f>
        <v>46114</v>
      </c>
      <c r="C328" s="8">
        <f>'ALL 2024 H2 D80'!$C$2</f>
        <v>46120</v>
      </c>
      <c r="D328" s="5">
        <v>3208</v>
      </c>
      <c r="E328" s="5">
        <v>320</v>
      </c>
      <c r="F328" s="5">
        <v>1</v>
      </c>
      <c r="G328" s="5">
        <v>2</v>
      </c>
      <c r="H328" s="5">
        <v>81736</v>
      </c>
      <c r="I328" s="5" t="s">
        <v>16</v>
      </c>
      <c r="J328" s="5">
        <v>75661451</v>
      </c>
      <c r="K328" s="5" t="s">
        <v>1146</v>
      </c>
      <c r="L328" s="5" t="s">
        <v>1149</v>
      </c>
      <c r="M328" s="6">
        <v>199900</v>
      </c>
      <c r="N328" s="7">
        <v>0.9</v>
      </c>
      <c r="O328" s="6">
        <f t="shared" si="10"/>
        <v>19990</v>
      </c>
      <c r="P328" s="5" t="s">
        <v>504</v>
      </c>
    </row>
    <row r="329" spans="1:16" x14ac:dyDescent="0.35">
      <c r="A329" s="5" t="str">
        <f t="shared" si="11"/>
        <v>2022 All Items D90</v>
      </c>
      <c r="B329" s="8">
        <f>'ALL 2024 H2 D80'!$B$2</f>
        <v>46114</v>
      </c>
      <c r="C329" s="8">
        <f>'ALL 2024 H2 D80'!$C$2</f>
        <v>46120</v>
      </c>
      <c r="D329" s="5">
        <v>3208</v>
      </c>
      <c r="E329" s="5">
        <v>320</v>
      </c>
      <c r="F329" s="5">
        <v>1</v>
      </c>
      <c r="G329" s="5">
        <v>2</v>
      </c>
      <c r="H329" s="5">
        <v>81736</v>
      </c>
      <c r="I329" s="5" t="s">
        <v>16</v>
      </c>
      <c r="J329" s="5">
        <v>75661460</v>
      </c>
      <c r="K329" s="5" t="s">
        <v>1146</v>
      </c>
      <c r="L329" s="5" t="s">
        <v>1150</v>
      </c>
      <c r="M329" s="6">
        <v>199900</v>
      </c>
      <c r="N329" s="7">
        <v>0.9</v>
      </c>
      <c r="O329" s="6">
        <f t="shared" si="10"/>
        <v>19990</v>
      </c>
      <c r="P329" s="5" t="s">
        <v>504</v>
      </c>
    </row>
    <row r="330" spans="1:16" x14ac:dyDescent="0.35">
      <c r="A330" s="5" t="str">
        <f t="shared" si="11"/>
        <v>2022 All Items D90</v>
      </c>
      <c r="B330" s="8">
        <f>'ALL 2024 H2 D80'!$B$2</f>
        <v>46114</v>
      </c>
      <c r="C330" s="8">
        <f>'ALL 2024 H2 D80'!$C$2</f>
        <v>46120</v>
      </c>
      <c r="D330" s="5">
        <v>3208</v>
      </c>
      <c r="E330" s="5">
        <v>320</v>
      </c>
      <c r="F330" s="5">
        <v>1</v>
      </c>
      <c r="G330" s="5">
        <v>2</v>
      </c>
      <c r="H330" s="5">
        <v>81736</v>
      </c>
      <c r="I330" s="5" t="s">
        <v>16</v>
      </c>
      <c r="J330" s="5">
        <v>75661479</v>
      </c>
      <c r="K330" s="5" t="s">
        <v>1146</v>
      </c>
      <c r="L330" s="5" t="s">
        <v>1151</v>
      </c>
      <c r="M330" s="6">
        <v>199900</v>
      </c>
      <c r="N330" s="7">
        <v>0.9</v>
      </c>
      <c r="O330" s="6">
        <f t="shared" ref="O330:O393" si="12">M330-(M330*N330)</f>
        <v>19990</v>
      </c>
      <c r="P330" s="5" t="s">
        <v>504</v>
      </c>
    </row>
    <row r="331" spans="1:16" x14ac:dyDescent="0.35">
      <c r="A331" s="5" t="str">
        <f t="shared" si="11"/>
        <v>2022 All Items D90</v>
      </c>
      <c r="B331" s="8">
        <f>'ALL 2024 H2 D80'!$B$2</f>
        <v>46114</v>
      </c>
      <c r="C331" s="8">
        <f>'ALL 2024 H2 D80'!$C$2</f>
        <v>46120</v>
      </c>
      <c r="D331" s="5">
        <v>3208</v>
      </c>
      <c r="E331" s="5">
        <v>320</v>
      </c>
      <c r="F331" s="5">
        <v>1</v>
      </c>
      <c r="G331" s="5">
        <v>2</v>
      </c>
      <c r="H331" s="5">
        <v>81736</v>
      </c>
      <c r="I331" s="5" t="s">
        <v>16</v>
      </c>
      <c r="J331" s="5">
        <v>75661497</v>
      </c>
      <c r="K331" s="5" t="s">
        <v>1146</v>
      </c>
      <c r="L331" s="5" t="s">
        <v>1152</v>
      </c>
      <c r="M331" s="6">
        <v>199900</v>
      </c>
      <c r="N331" s="7">
        <v>0.9</v>
      </c>
      <c r="O331" s="6">
        <f t="shared" si="12"/>
        <v>19990</v>
      </c>
      <c r="P331" s="5" t="s">
        <v>504</v>
      </c>
    </row>
    <row r="332" spans="1:16" x14ac:dyDescent="0.35">
      <c r="A332" s="5" t="str">
        <f t="shared" si="11"/>
        <v>2022 All Items D90</v>
      </c>
      <c r="B332" s="8">
        <f>'ALL 2024 H2 D80'!$B$2</f>
        <v>46114</v>
      </c>
      <c r="C332" s="8">
        <f>'ALL 2024 H2 D80'!$C$2</f>
        <v>46120</v>
      </c>
      <c r="D332" s="5">
        <v>3208</v>
      </c>
      <c r="E332" s="5">
        <v>320</v>
      </c>
      <c r="F332" s="5">
        <v>1</v>
      </c>
      <c r="G332" s="5">
        <v>2</v>
      </c>
      <c r="H332" s="5">
        <v>81736</v>
      </c>
      <c r="I332" s="5" t="s">
        <v>16</v>
      </c>
      <c r="J332" s="5">
        <v>75661504</v>
      </c>
      <c r="K332" s="5" t="s">
        <v>1146</v>
      </c>
      <c r="L332" s="5" t="s">
        <v>1153</v>
      </c>
      <c r="M332" s="6">
        <v>199900</v>
      </c>
      <c r="N332" s="7">
        <v>0.9</v>
      </c>
      <c r="O332" s="6">
        <f t="shared" si="12"/>
        <v>19990</v>
      </c>
      <c r="P332" s="5" t="s">
        <v>504</v>
      </c>
    </row>
    <row r="333" spans="1:16" x14ac:dyDescent="0.35">
      <c r="A333" s="5" t="str">
        <f t="shared" si="11"/>
        <v>2022 All Items D90</v>
      </c>
      <c r="B333" s="8">
        <f>'ALL 2024 H2 D80'!$B$2</f>
        <v>46114</v>
      </c>
      <c r="C333" s="8">
        <f>'ALL 2024 H2 D80'!$C$2</f>
        <v>46120</v>
      </c>
      <c r="D333" s="5">
        <v>3208</v>
      </c>
      <c r="E333" s="5">
        <v>320</v>
      </c>
      <c r="F333" s="5">
        <v>1</v>
      </c>
      <c r="G333" s="5">
        <v>2</v>
      </c>
      <c r="H333" s="5">
        <v>81736</v>
      </c>
      <c r="I333" s="5" t="s">
        <v>16</v>
      </c>
      <c r="J333" s="5">
        <v>75733418</v>
      </c>
      <c r="K333" s="5" t="s">
        <v>1154</v>
      </c>
      <c r="L333" s="5" t="s">
        <v>1155</v>
      </c>
      <c r="M333" s="6">
        <v>259900</v>
      </c>
      <c r="N333" s="7">
        <v>0.9</v>
      </c>
      <c r="O333" s="6">
        <f t="shared" si="12"/>
        <v>25990</v>
      </c>
      <c r="P333" s="5" t="s">
        <v>504</v>
      </c>
    </row>
    <row r="334" spans="1:16" x14ac:dyDescent="0.35">
      <c r="A334" s="5" t="str">
        <f t="shared" si="11"/>
        <v>2022 All Items D90</v>
      </c>
      <c r="B334" s="8">
        <f>'ALL 2024 H2 D80'!$B$2</f>
        <v>46114</v>
      </c>
      <c r="C334" s="8">
        <f>'ALL 2024 H2 D80'!$C$2</f>
        <v>46120</v>
      </c>
      <c r="D334" s="5">
        <v>3208</v>
      </c>
      <c r="E334" s="5">
        <v>320</v>
      </c>
      <c r="F334" s="5">
        <v>1</v>
      </c>
      <c r="G334" s="5">
        <v>2</v>
      </c>
      <c r="H334" s="5">
        <v>81736</v>
      </c>
      <c r="I334" s="5" t="s">
        <v>16</v>
      </c>
      <c r="J334" s="5">
        <v>75733445</v>
      </c>
      <c r="K334" s="5" t="s">
        <v>1154</v>
      </c>
      <c r="L334" s="5" t="s">
        <v>1156</v>
      </c>
      <c r="M334" s="6">
        <v>259900</v>
      </c>
      <c r="N334" s="7">
        <v>0.9</v>
      </c>
      <c r="O334" s="6">
        <f t="shared" si="12"/>
        <v>25990</v>
      </c>
      <c r="P334" s="5" t="s">
        <v>504</v>
      </c>
    </row>
    <row r="335" spans="1:16" x14ac:dyDescent="0.35">
      <c r="A335" s="5" t="str">
        <f t="shared" si="11"/>
        <v>2022 All Items D90</v>
      </c>
      <c r="B335" s="8">
        <f>'ALL 2024 H2 D80'!$B$2</f>
        <v>46114</v>
      </c>
      <c r="C335" s="8">
        <f>'ALL 2024 H2 D80'!$C$2</f>
        <v>46120</v>
      </c>
      <c r="D335" s="5">
        <v>3208</v>
      </c>
      <c r="E335" s="5">
        <v>320</v>
      </c>
      <c r="F335" s="5">
        <v>1</v>
      </c>
      <c r="G335" s="5">
        <v>2</v>
      </c>
      <c r="H335" s="5">
        <v>81736</v>
      </c>
      <c r="I335" s="5" t="s">
        <v>16</v>
      </c>
      <c r="J335" s="5">
        <v>75733454</v>
      </c>
      <c r="K335" s="5" t="s">
        <v>1154</v>
      </c>
      <c r="L335" s="5" t="s">
        <v>1157</v>
      </c>
      <c r="M335" s="6">
        <v>259900</v>
      </c>
      <c r="N335" s="7">
        <v>0.9</v>
      </c>
      <c r="O335" s="6">
        <f t="shared" si="12"/>
        <v>25990</v>
      </c>
      <c r="P335" s="5" t="s">
        <v>504</v>
      </c>
    </row>
    <row r="336" spans="1:16" x14ac:dyDescent="0.35">
      <c r="A336" s="5" t="str">
        <f t="shared" si="11"/>
        <v>2022 All Items D90</v>
      </c>
      <c r="B336" s="8">
        <f>'ALL 2024 H2 D80'!$B$2</f>
        <v>46114</v>
      </c>
      <c r="C336" s="8">
        <f>'ALL 2024 H2 D80'!$C$2</f>
        <v>46120</v>
      </c>
      <c r="D336" s="5">
        <v>3208</v>
      </c>
      <c r="E336" s="5">
        <v>320</v>
      </c>
      <c r="F336" s="5">
        <v>1</v>
      </c>
      <c r="G336" s="5">
        <v>2</v>
      </c>
      <c r="H336" s="5">
        <v>81736</v>
      </c>
      <c r="I336" s="5" t="s">
        <v>16</v>
      </c>
      <c r="J336" s="5">
        <v>75733463</v>
      </c>
      <c r="K336" s="5" t="s">
        <v>1154</v>
      </c>
      <c r="L336" s="5" t="s">
        <v>1158</v>
      </c>
      <c r="M336" s="6">
        <v>259900</v>
      </c>
      <c r="N336" s="7">
        <v>0.9</v>
      </c>
      <c r="O336" s="6">
        <f t="shared" si="12"/>
        <v>25990</v>
      </c>
      <c r="P336" s="5" t="s">
        <v>504</v>
      </c>
    </row>
    <row r="337" spans="1:16" x14ac:dyDescent="0.35">
      <c r="A337" s="5" t="str">
        <f t="shared" si="11"/>
        <v>2022 All Items D90</v>
      </c>
      <c r="B337" s="8">
        <f>'ALL 2024 H2 D80'!$B$2</f>
        <v>46114</v>
      </c>
      <c r="C337" s="8">
        <f>'ALL 2024 H2 D80'!$C$2</f>
        <v>46120</v>
      </c>
      <c r="D337" s="5">
        <v>3208</v>
      </c>
      <c r="E337" s="5">
        <v>320</v>
      </c>
      <c r="F337" s="5">
        <v>1</v>
      </c>
      <c r="G337" s="5">
        <v>2</v>
      </c>
      <c r="H337" s="5">
        <v>81736</v>
      </c>
      <c r="I337" s="5" t="s">
        <v>16</v>
      </c>
      <c r="J337" s="5">
        <v>75733472</v>
      </c>
      <c r="K337" s="5" t="s">
        <v>1154</v>
      </c>
      <c r="L337" s="5" t="s">
        <v>1159</v>
      </c>
      <c r="M337" s="6">
        <v>259900</v>
      </c>
      <c r="N337" s="7">
        <v>0.9</v>
      </c>
      <c r="O337" s="6">
        <f t="shared" si="12"/>
        <v>25990</v>
      </c>
      <c r="P337" s="5" t="s">
        <v>504</v>
      </c>
    </row>
    <row r="338" spans="1:16" x14ac:dyDescent="0.35">
      <c r="A338" s="5" t="str">
        <f t="shared" si="11"/>
        <v>2022 All Items D90</v>
      </c>
      <c r="B338" s="8">
        <f>'ALL 2024 H2 D80'!$B$2</f>
        <v>46114</v>
      </c>
      <c r="C338" s="8">
        <f>'ALL 2024 H2 D80'!$C$2</f>
        <v>46120</v>
      </c>
      <c r="D338" s="5">
        <v>3208</v>
      </c>
      <c r="E338" s="5">
        <v>320</v>
      </c>
      <c r="F338" s="5">
        <v>1</v>
      </c>
      <c r="G338" s="5">
        <v>2</v>
      </c>
      <c r="H338" s="5">
        <v>81736</v>
      </c>
      <c r="I338" s="5" t="s">
        <v>16</v>
      </c>
      <c r="J338" s="5">
        <v>75733481</v>
      </c>
      <c r="K338" s="5" t="s">
        <v>1154</v>
      </c>
      <c r="L338" s="5" t="s">
        <v>1160</v>
      </c>
      <c r="M338" s="6">
        <v>259900</v>
      </c>
      <c r="N338" s="7">
        <v>0.9</v>
      </c>
      <c r="O338" s="6">
        <f t="shared" si="12"/>
        <v>25990</v>
      </c>
      <c r="P338" s="5" t="s">
        <v>504</v>
      </c>
    </row>
    <row r="339" spans="1:16" x14ac:dyDescent="0.35">
      <c r="A339" s="5" t="str">
        <f t="shared" si="11"/>
        <v>2022 All Items D90</v>
      </c>
      <c r="B339" s="8">
        <f>'ALL 2024 H2 D80'!$B$2</f>
        <v>46114</v>
      </c>
      <c r="C339" s="8">
        <f>'ALL 2024 H2 D80'!$C$2</f>
        <v>46120</v>
      </c>
      <c r="D339" s="5">
        <v>3208</v>
      </c>
      <c r="E339" s="5">
        <v>320</v>
      </c>
      <c r="F339" s="5">
        <v>1</v>
      </c>
      <c r="G339" s="5">
        <v>2</v>
      </c>
      <c r="H339" s="5">
        <v>81736</v>
      </c>
      <c r="I339" s="5" t="s">
        <v>16</v>
      </c>
      <c r="J339" s="5">
        <v>76704868</v>
      </c>
      <c r="K339" s="5" t="s">
        <v>1161</v>
      </c>
      <c r="L339" s="5" t="s">
        <v>1162</v>
      </c>
      <c r="M339" s="6">
        <v>269900</v>
      </c>
      <c r="N339" s="7">
        <v>0.9</v>
      </c>
      <c r="O339" s="6">
        <f t="shared" si="12"/>
        <v>26990</v>
      </c>
      <c r="P339" s="5" t="s">
        <v>504</v>
      </c>
    </row>
    <row r="340" spans="1:16" x14ac:dyDescent="0.35">
      <c r="A340" s="5" t="str">
        <f t="shared" si="11"/>
        <v>2022 All Items D90</v>
      </c>
      <c r="B340" s="8">
        <f>'ALL 2024 H2 D80'!$B$2</f>
        <v>46114</v>
      </c>
      <c r="C340" s="8">
        <f>'ALL 2024 H2 D80'!$C$2</f>
        <v>46120</v>
      </c>
      <c r="D340" s="5">
        <v>3208</v>
      </c>
      <c r="E340" s="5">
        <v>320</v>
      </c>
      <c r="F340" s="5">
        <v>1</v>
      </c>
      <c r="G340" s="5">
        <v>2</v>
      </c>
      <c r="H340" s="5">
        <v>81736</v>
      </c>
      <c r="I340" s="5" t="s">
        <v>16</v>
      </c>
      <c r="J340" s="5">
        <v>76704877</v>
      </c>
      <c r="K340" s="5" t="s">
        <v>1161</v>
      </c>
      <c r="L340" s="5" t="s">
        <v>1163</v>
      </c>
      <c r="M340" s="6">
        <v>269900</v>
      </c>
      <c r="N340" s="7">
        <v>0.9</v>
      </c>
      <c r="O340" s="6">
        <f t="shared" si="12"/>
        <v>26990</v>
      </c>
      <c r="P340" s="5" t="s">
        <v>504</v>
      </c>
    </row>
    <row r="341" spans="1:16" x14ac:dyDescent="0.35">
      <c r="A341" s="5" t="str">
        <f t="shared" si="11"/>
        <v>2022 All Items D90</v>
      </c>
      <c r="B341" s="8">
        <f>'ALL 2024 H2 D80'!$B$2</f>
        <v>46114</v>
      </c>
      <c r="C341" s="8">
        <f>'ALL 2024 H2 D80'!$C$2</f>
        <v>46120</v>
      </c>
      <c r="D341" s="5">
        <v>3208</v>
      </c>
      <c r="E341" s="5">
        <v>320</v>
      </c>
      <c r="F341" s="5">
        <v>1</v>
      </c>
      <c r="G341" s="5">
        <v>2</v>
      </c>
      <c r="H341" s="5">
        <v>81736</v>
      </c>
      <c r="I341" s="5" t="s">
        <v>16</v>
      </c>
      <c r="J341" s="5">
        <v>76704886</v>
      </c>
      <c r="K341" s="5" t="s">
        <v>1161</v>
      </c>
      <c r="L341" s="5" t="s">
        <v>1164</v>
      </c>
      <c r="M341" s="6">
        <v>269900</v>
      </c>
      <c r="N341" s="7">
        <v>0.9</v>
      </c>
      <c r="O341" s="6">
        <f t="shared" si="12"/>
        <v>26990</v>
      </c>
      <c r="P341" s="5" t="s">
        <v>504</v>
      </c>
    </row>
    <row r="342" spans="1:16" x14ac:dyDescent="0.35">
      <c r="A342" s="5" t="str">
        <f t="shared" si="11"/>
        <v>2022 All Items D90</v>
      </c>
      <c r="B342" s="8">
        <f>'ALL 2024 H2 D80'!$B$2</f>
        <v>46114</v>
      </c>
      <c r="C342" s="8">
        <f>'ALL 2024 H2 D80'!$C$2</f>
        <v>46120</v>
      </c>
      <c r="D342" s="5">
        <v>3208</v>
      </c>
      <c r="E342" s="5">
        <v>320</v>
      </c>
      <c r="F342" s="5">
        <v>1</v>
      </c>
      <c r="G342" s="5">
        <v>2</v>
      </c>
      <c r="H342" s="5">
        <v>81602</v>
      </c>
      <c r="I342" s="5" t="s">
        <v>16</v>
      </c>
      <c r="J342" s="5">
        <v>59363545</v>
      </c>
      <c r="K342" s="5" t="s">
        <v>1515</v>
      </c>
      <c r="L342" s="5" t="s">
        <v>1516</v>
      </c>
      <c r="M342" s="6">
        <v>79900</v>
      </c>
      <c r="N342" s="7">
        <v>0.9</v>
      </c>
      <c r="O342" s="6">
        <f t="shared" si="12"/>
        <v>7990</v>
      </c>
      <c r="P342" s="5" t="s">
        <v>504</v>
      </c>
    </row>
    <row r="343" spans="1:16" x14ac:dyDescent="0.35">
      <c r="A343" s="5" t="str">
        <f t="shared" si="11"/>
        <v>2022 All Items D90</v>
      </c>
      <c r="B343" s="8">
        <f>'ALL 2024 H2 D80'!$B$2</f>
        <v>46114</v>
      </c>
      <c r="C343" s="8">
        <f>'ALL 2024 H2 D80'!$C$2</f>
        <v>46120</v>
      </c>
      <c r="D343" s="5">
        <v>3208</v>
      </c>
      <c r="E343" s="5">
        <v>320</v>
      </c>
      <c r="F343" s="5">
        <v>1</v>
      </c>
      <c r="G343" s="5">
        <v>2</v>
      </c>
      <c r="H343" s="5">
        <v>81602</v>
      </c>
      <c r="I343" s="5" t="s">
        <v>16</v>
      </c>
      <c r="J343" s="5">
        <v>59363554</v>
      </c>
      <c r="K343" s="5" t="s">
        <v>1515</v>
      </c>
      <c r="L343" s="5" t="s">
        <v>1517</v>
      </c>
      <c r="M343" s="6">
        <v>79900</v>
      </c>
      <c r="N343" s="7">
        <v>0.9</v>
      </c>
      <c r="O343" s="6">
        <f t="shared" si="12"/>
        <v>7990</v>
      </c>
      <c r="P343" s="5" t="s">
        <v>504</v>
      </c>
    </row>
    <row r="344" spans="1:16" x14ac:dyDescent="0.35">
      <c r="A344" s="5" t="str">
        <f t="shared" si="11"/>
        <v>2022 All Items D90</v>
      </c>
      <c r="B344" s="8">
        <f>'ALL 2024 H2 D80'!$B$2</f>
        <v>46114</v>
      </c>
      <c r="C344" s="8">
        <f>'ALL 2024 H2 D80'!$C$2</f>
        <v>46120</v>
      </c>
      <c r="D344" s="5">
        <v>3208</v>
      </c>
      <c r="E344" s="5">
        <v>320</v>
      </c>
      <c r="F344" s="5">
        <v>1</v>
      </c>
      <c r="G344" s="5">
        <v>2</v>
      </c>
      <c r="H344" s="5">
        <v>81602</v>
      </c>
      <c r="I344" s="5" t="s">
        <v>16</v>
      </c>
      <c r="J344" s="5">
        <v>59363563</v>
      </c>
      <c r="K344" s="5" t="s">
        <v>1515</v>
      </c>
      <c r="L344" s="5" t="s">
        <v>1518</v>
      </c>
      <c r="M344" s="6">
        <v>79900</v>
      </c>
      <c r="N344" s="7">
        <v>0.9</v>
      </c>
      <c r="O344" s="6">
        <f t="shared" si="12"/>
        <v>7990</v>
      </c>
      <c r="P344" s="5" t="s">
        <v>504</v>
      </c>
    </row>
    <row r="345" spans="1:16" x14ac:dyDescent="0.35">
      <c r="A345" s="5" t="str">
        <f t="shared" si="11"/>
        <v>2022 All Items D90</v>
      </c>
      <c r="B345" s="8">
        <f>'ALL 2024 H2 D80'!$B$2</f>
        <v>46114</v>
      </c>
      <c r="C345" s="8">
        <f>'ALL 2024 H2 D80'!$C$2</f>
        <v>46120</v>
      </c>
      <c r="D345" s="5">
        <v>3208</v>
      </c>
      <c r="E345" s="5">
        <v>320</v>
      </c>
      <c r="F345" s="5">
        <v>1</v>
      </c>
      <c r="G345" s="5">
        <v>2</v>
      </c>
      <c r="H345" s="5">
        <v>81602</v>
      </c>
      <c r="I345" s="5" t="s">
        <v>16</v>
      </c>
      <c r="J345" s="5">
        <v>59363572</v>
      </c>
      <c r="K345" s="5" t="s">
        <v>1515</v>
      </c>
      <c r="L345" s="5" t="s">
        <v>1519</v>
      </c>
      <c r="M345" s="6">
        <v>79900</v>
      </c>
      <c r="N345" s="7">
        <v>0.9</v>
      </c>
      <c r="O345" s="6">
        <f t="shared" si="12"/>
        <v>7990</v>
      </c>
      <c r="P345" s="5" t="s">
        <v>504</v>
      </c>
    </row>
    <row r="346" spans="1:16" x14ac:dyDescent="0.35">
      <c r="A346" s="5" t="str">
        <f t="shared" si="11"/>
        <v>2022 All Items D90</v>
      </c>
      <c r="B346" s="8">
        <f>'ALL 2024 H2 D80'!$B$2</f>
        <v>46114</v>
      </c>
      <c r="C346" s="8">
        <f>'ALL 2024 H2 D80'!$C$2</f>
        <v>46120</v>
      </c>
      <c r="D346" s="5">
        <v>3208</v>
      </c>
      <c r="E346" s="5">
        <v>320</v>
      </c>
      <c r="F346" s="5">
        <v>1</v>
      </c>
      <c r="G346" s="5">
        <v>2</v>
      </c>
      <c r="H346" s="5">
        <v>81602</v>
      </c>
      <c r="I346" s="5" t="s">
        <v>16</v>
      </c>
      <c r="J346" s="5">
        <v>65898966</v>
      </c>
      <c r="K346" s="5" t="s">
        <v>1520</v>
      </c>
      <c r="L346" s="5" t="s">
        <v>1521</v>
      </c>
      <c r="M346" s="6">
        <v>79900</v>
      </c>
      <c r="N346" s="7">
        <v>0.9</v>
      </c>
      <c r="O346" s="6">
        <f t="shared" si="12"/>
        <v>7990</v>
      </c>
      <c r="P346" s="5" t="s">
        <v>504</v>
      </c>
    </row>
    <row r="347" spans="1:16" x14ac:dyDescent="0.35">
      <c r="A347" s="5" t="str">
        <f t="shared" si="11"/>
        <v>2022 All Items D90</v>
      </c>
      <c r="B347" s="8">
        <f>'ALL 2024 H2 D80'!$B$2</f>
        <v>46114</v>
      </c>
      <c r="C347" s="8">
        <f>'ALL 2024 H2 D80'!$C$2</f>
        <v>46120</v>
      </c>
      <c r="D347" s="5">
        <v>3208</v>
      </c>
      <c r="E347" s="5">
        <v>320</v>
      </c>
      <c r="F347" s="5">
        <v>1</v>
      </c>
      <c r="G347" s="5">
        <v>2</v>
      </c>
      <c r="H347" s="5">
        <v>81602</v>
      </c>
      <c r="I347" s="5" t="s">
        <v>16</v>
      </c>
      <c r="J347" s="5">
        <v>65898975</v>
      </c>
      <c r="K347" s="5" t="s">
        <v>1520</v>
      </c>
      <c r="L347" s="5" t="s">
        <v>1522</v>
      </c>
      <c r="M347" s="6">
        <v>79900</v>
      </c>
      <c r="N347" s="7">
        <v>0.9</v>
      </c>
      <c r="O347" s="6">
        <f t="shared" si="12"/>
        <v>7990</v>
      </c>
      <c r="P347" s="5" t="s">
        <v>504</v>
      </c>
    </row>
    <row r="348" spans="1:16" x14ac:dyDescent="0.35">
      <c r="A348" s="5" t="str">
        <f t="shared" si="11"/>
        <v>2022 All Items D90</v>
      </c>
      <c r="B348" s="8">
        <f>'ALL 2024 H2 D80'!$B$2</f>
        <v>46114</v>
      </c>
      <c r="C348" s="8">
        <f>'ALL 2024 H2 D80'!$C$2</f>
        <v>46120</v>
      </c>
      <c r="D348" s="5">
        <v>3208</v>
      </c>
      <c r="E348" s="5">
        <v>320</v>
      </c>
      <c r="F348" s="5">
        <v>1</v>
      </c>
      <c r="G348" s="5">
        <v>2</v>
      </c>
      <c r="H348" s="5">
        <v>81602</v>
      </c>
      <c r="I348" s="5" t="s">
        <v>16</v>
      </c>
      <c r="J348" s="5">
        <v>65898984</v>
      </c>
      <c r="K348" s="5" t="s">
        <v>1520</v>
      </c>
      <c r="L348" s="5" t="s">
        <v>1523</v>
      </c>
      <c r="M348" s="6">
        <v>79900</v>
      </c>
      <c r="N348" s="7">
        <v>0.9</v>
      </c>
      <c r="O348" s="6">
        <f t="shared" si="12"/>
        <v>7990</v>
      </c>
      <c r="P348" s="5" t="s">
        <v>504</v>
      </c>
    </row>
    <row r="349" spans="1:16" x14ac:dyDescent="0.35">
      <c r="A349" s="5" t="str">
        <f t="shared" si="11"/>
        <v>2022 All Items D90</v>
      </c>
      <c r="B349" s="8">
        <f>'ALL 2024 H2 D80'!$B$2</f>
        <v>46114</v>
      </c>
      <c r="C349" s="8">
        <f>'ALL 2024 H2 D80'!$C$2</f>
        <v>46120</v>
      </c>
      <c r="D349" s="5">
        <v>3208</v>
      </c>
      <c r="E349" s="5">
        <v>320</v>
      </c>
      <c r="F349" s="5">
        <v>1</v>
      </c>
      <c r="G349" s="5">
        <v>2</v>
      </c>
      <c r="H349" s="5">
        <v>81602</v>
      </c>
      <c r="I349" s="5" t="s">
        <v>16</v>
      </c>
      <c r="J349" s="5">
        <v>65898993</v>
      </c>
      <c r="K349" s="5" t="s">
        <v>1520</v>
      </c>
      <c r="L349" s="5" t="s">
        <v>1524</v>
      </c>
      <c r="M349" s="6">
        <v>79900</v>
      </c>
      <c r="N349" s="7">
        <v>0.9</v>
      </c>
      <c r="O349" s="6">
        <f t="shared" si="12"/>
        <v>7990</v>
      </c>
      <c r="P349" s="5" t="s">
        <v>504</v>
      </c>
    </row>
    <row r="350" spans="1:16" x14ac:dyDescent="0.35">
      <c r="A350" s="5" t="str">
        <f t="shared" si="11"/>
        <v>2022 All Items D90</v>
      </c>
      <c r="B350" s="8">
        <f>'ALL 2024 H2 D80'!$B$2</f>
        <v>46114</v>
      </c>
      <c r="C350" s="8">
        <f>'ALL 2024 H2 D80'!$C$2</f>
        <v>46120</v>
      </c>
      <c r="D350" s="5">
        <v>3208</v>
      </c>
      <c r="E350" s="5">
        <v>320</v>
      </c>
      <c r="F350" s="5">
        <v>1</v>
      </c>
      <c r="G350" s="5">
        <v>2</v>
      </c>
      <c r="H350" s="5">
        <v>81602</v>
      </c>
      <c r="I350" s="5" t="s">
        <v>16</v>
      </c>
      <c r="J350" s="5">
        <v>67440553</v>
      </c>
      <c r="K350" s="5" t="s">
        <v>1525</v>
      </c>
      <c r="L350" s="5" t="s">
        <v>1526</v>
      </c>
      <c r="M350" s="6">
        <v>79900</v>
      </c>
      <c r="N350" s="7">
        <v>0.9</v>
      </c>
      <c r="O350" s="6">
        <f t="shared" si="12"/>
        <v>7990</v>
      </c>
      <c r="P350" s="5" t="s">
        <v>504</v>
      </c>
    </row>
    <row r="351" spans="1:16" x14ac:dyDescent="0.35">
      <c r="A351" s="5" t="str">
        <f t="shared" si="11"/>
        <v>2022 All Items D90</v>
      </c>
      <c r="B351" s="8">
        <f>'ALL 2024 H2 D80'!$B$2</f>
        <v>46114</v>
      </c>
      <c r="C351" s="8">
        <f>'ALL 2024 H2 D80'!$C$2</f>
        <v>46120</v>
      </c>
      <c r="D351" s="5">
        <v>3208</v>
      </c>
      <c r="E351" s="5">
        <v>320</v>
      </c>
      <c r="F351" s="5">
        <v>1</v>
      </c>
      <c r="G351" s="5">
        <v>2</v>
      </c>
      <c r="H351" s="5">
        <v>81602</v>
      </c>
      <c r="I351" s="5" t="s">
        <v>16</v>
      </c>
      <c r="J351" s="5">
        <v>67440571</v>
      </c>
      <c r="K351" s="5" t="s">
        <v>1525</v>
      </c>
      <c r="L351" s="5" t="s">
        <v>1527</v>
      </c>
      <c r="M351" s="6">
        <v>79900</v>
      </c>
      <c r="N351" s="7">
        <v>0.9</v>
      </c>
      <c r="O351" s="6">
        <f t="shared" si="12"/>
        <v>7990</v>
      </c>
      <c r="P351" s="5" t="s">
        <v>504</v>
      </c>
    </row>
    <row r="352" spans="1:16" x14ac:dyDescent="0.35">
      <c r="A352" s="5" t="str">
        <f t="shared" si="11"/>
        <v>2022 All Items D90</v>
      </c>
      <c r="B352" s="8">
        <f>'ALL 2024 H2 D80'!$B$2</f>
        <v>46114</v>
      </c>
      <c r="C352" s="8">
        <f>'ALL 2024 H2 D80'!$C$2</f>
        <v>46120</v>
      </c>
      <c r="D352" s="5">
        <v>3208</v>
      </c>
      <c r="E352" s="5">
        <v>320</v>
      </c>
      <c r="F352" s="5">
        <v>1</v>
      </c>
      <c r="G352" s="5">
        <v>2</v>
      </c>
      <c r="H352" s="5">
        <v>81602</v>
      </c>
      <c r="I352" s="5" t="s">
        <v>16</v>
      </c>
      <c r="J352" s="5">
        <v>73645357</v>
      </c>
      <c r="K352" s="5" t="s">
        <v>1165</v>
      </c>
      <c r="L352" s="5" t="s">
        <v>1166</v>
      </c>
      <c r="M352" s="6">
        <v>89900</v>
      </c>
      <c r="N352" s="7">
        <v>0.9</v>
      </c>
      <c r="O352" s="6">
        <f t="shared" si="12"/>
        <v>8990</v>
      </c>
      <c r="P352" s="5" t="s">
        <v>504</v>
      </c>
    </row>
    <row r="353" spans="1:16" x14ac:dyDescent="0.35">
      <c r="A353" s="5" t="str">
        <f t="shared" si="11"/>
        <v>2022 All Items D90</v>
      </c>
      <c r="B353" s="8">
        <f>'ALL 2024 H2 D80'!$B$2</f>
        <v>46114</v>
      </c>
      <c r="C353" s="8">
        <f>'ALL 2024 H2 D80'!$C$2</f>
        <v>46120</v>
      </c>
      <c r="D353" s="5">
        <v>3208</v>
      </c>
      <c r="E353" s="5">
        <v>320</v>
      </c>
      <c r="F353" s="5">
        <v>1</v>
      </c>
      <c r="G353" s="5">
        <v>2</v>
      </c>
      <c r="H353" s="5">
        <v>81602</v>
      </c>
      <c r="I353" s="5" t="s">
        <v>16</v>
      </c>
      <c r="J353" s="5">
        <v>73645375</v>
      </c>
      <c r="K353" s="5" t="s">
        <v>1165</v>
      </c>
      <c r="L353" s="5" t="s">
        <v>1167</v>
      </c>
      <c r="M353" s="6">
        <v>89900</v>
      </c>
      <c r="N353" s="7">
        <v>0.9</v>
      </c>
      <c r="O353" s="6">
        <f t="shared" si="12"/>
        <v>8990</v>
      </c>
      <c r="P353" s="5" t="s">
        <v>504</v>
      </c>
    </row>
    <row r="354" spans="1:16" x14ac:dyDescent="0.35">
      <c r="A354" s="5" t="str">
        <f t="shared" si="11"/>
        <v>2022 All Items D90</v>
      </c>
      <c r="B354" s="8">
        <f>'ALL 2024 H2 D80'!$B$2</f>
        <v>46114</v>
      </c>
      <c r="C354" s="8">
        <f>'ALL 2024 H2 D80'!$C$2</f>
        <v>46120</v>
      </c>
      <c r="D354" s="5">
        <v>3208</v>
      </c>
      <c r="E354" s="5">
        <v>320</v>
      </c>
      <c r="F354" s="5">
        <v>1</v>
      </c>
      <c r="G354" s="5">
        <v>2</v>
      </c>
      <c r="H354" s="5">
        <v>81602</v>
      </c>
      <c r="I354" s="5" t="s">
        <v>16</v>
      </c>
      <c r="J354" s="5">
        <v>73645384</v>
      </c>
      <c r="K354" s="5" t="s">
        <v>1165</v>
      </c>
      <c r="L354" s="5" t="s">
        <v>1168</v>
      </c>
      <c r="M354" s="6">
        <v>89900</v>
      </c>
      <c r="N354" s="7">
        <v>0.9</v>
      </c>
      <c r="O354" s="6">
        <f t="shared" si="12"/>
        <v>8990</v>
      </c>
      <c r="P354" s="5" t="s">
        <v>504</v>
      </c>
    </row>
    <row r="355" spans="1:16" x14ac:dyDescent="0.35">
      <c r="A355" s="5" t="str">
        <f t="shared" si="11"/>
        <v>2022 All Items D90</v>
      </c>
      <c r="B355" s="8">
        <f>'ALL 2024 H2 D80'!$B$2</f>
        <v>46114</v>
      </c>
      <c r="C355" s="8">
        <f>'ALL 2024 H2 D80'!$C$2</f>
        <v>46120</v>
      </c>
      <c r="D355" s="5">
        <v>3208</v>
      </c>
      <c r="E355" s="5">
        <v>320</v>
      </c>
      <c r="F355" s="5">
        <v>1</v>
      </c>
      <c r="G355" s="5">
        <v>2</v>
      </c>
      <c r="H355" s="5">
        <v>81602</v>
      </c>
      <c r="I355" s="5" t="s">
        <v>16</v>
      </c>
      <c r="J355" s="5">
        <v>75902879</v>
      </c>
      <c r="K355" s="5" t="s">
        <v>1169</v>
      </c>
      <c r="L355" s="5" t="s">
        <v>1170</v>
      </c>
      <c r="M355" s="6">
        <v>89900</v>
      </c>
      <c r="N355" s="7">
        <v>0.9</v>
      </c>
      <c r="O355" s="6">
        <f t="shared" si="12"/>
        <v>8990</v>
      </c>
      <c r="P355" s="5" t="s">
        <v>504</v>
      </c>
    </row>
    <row r="356" spans="1:16" x14ac:dyDescent="0.35">
      <c r="A356" s="5" t="str">
        <f t="shared" si="11"/>
        <v>2022 All Items D90</v>
      </c>
      <c r="B356" s="8">
        <f>'ALL 2024 H2 D80'!$B$2</f>
        <v>46114</v>
      </c>
      <c r="C356" s="8">
        <f>'ALL 2024 H2 D80'!$C$2</f>
        <v>46120</v>
      </c>
      <c r="D356" s="5">
        <v>3208</v>
      </c>
      <c r="E356" s="5">
        <v>320</v>
      </c>
      <c r="F356" s="5">
        <v>1</v>
      </c>
      <c r="G356" s="5">
        <v>2</v>
      </c>
      <c r="H356" s="5">
        <v>81602</v>
      </c>
      <c r="I356" s="5" t="s">
        <v>16</v>
      </c>
      <c r="J356" s="5">
        <v>75902888</v>
      </c>
      <c r="K356" s="5" t="s">
        <v>1169</v>
      </c>
      <c r="L356" s="5" t="s">
        <v>1171</v>
      </c>
      <c r="M356" s="6">
        <v>89900</v>
      </c>
      <c r="N356" s="7">
        <v>0.9</v>
      </c>
      <c r="O356" s="6">
        <f t="shared" si="12"/>
        <v>8990</v>
      </c>
      <c r="P356" s="5" t="s">
        <v>504</v>
      </c>
    </row>
    <row r="357" spans="1:16" x14ac:dyDescent="0.35">
      <c r="A357" s="5" t="str">
        <f t="shared" si="11"/>
        <v>2022 All Items D90</v>
      </c>
      <c r="B357" s="8">
        <f>'ALL 2024 H2 D80'!$B$2</f>
        <v>46114</v>
      </c>
      <c r="C357" s="8">
        <f>'ALL 2024 H2 D80'!$C$2</f>
        <v>46120</v>
      </c>
      <c r="D357" s="5">
        <v>3208</v>
      </c>
      <c r="E357" s="5">
        <v>320</v>
      </c>
      <c r="F357" s="5">
        <v>1</v>
      </c>
      <c r="G357" s="5">
        <v>2</v>
      </c>
      <c r="H357" s="5">
        <v>81602</v>
      </c>
      <c r="I357" s="5" t="s">
        <v>16</v>
      </c>
      <c r="J357" s="5">
        <v>75902904</v>
      </c>
      <c r="K357" s="5" t="s">
        <v>1169</v>
      </c>
      <c r="L357" s="5" t="s">
        <v>1172</v>
      </c>
      <c r="M357" s="6">
        <v>89900</v>
      </c>
      <c r="N357" s="7">
        <v>0.9</v>
      </c>
      <c r="O357" s="6">
        <f t="shared" si="12"/>
        <v>8990</v>
      </c>
      <c r="P357" s="5" t="s">
        <v>504</v>
      </c>
    </row>
    <row r="358" spans="1:16" x14ac:dyDescent="0.35">
      <c r="A358" s="5" t="str">
        <f t="shared" si="11"/>
        <v>2022 All Items D90</v>
      </c>
      <c r="B358" s="8">
        <f>'ALL 2024 H2 D80'!$B$2</f>
        <v>46114</v>
      </c>
      <c r="C358" s="8">
        <f>'ALL 2024 H2 D80'!$C$2</f>
        <v>46120</v>
      </c>
      <c r="D358" s="5">
        <v>3208</v>
      </c>
      <c r="E358" s="5">
        <v>320</v>
      </c>
      <c r="F358" s="5">
        <v>1</v>
      </c>
      <c r="G358" s="5">
        <v>2</v>
      </c>
      <c r="H358" s="5">
        <v>81602</v>
      </c>
      <c r="I358" s="5" t="s">
        <v>16</v>
      </c>
      <c r="J358" s="5">
        <v>75902913</v>
      </c>
      <c r="K358" s="5" t="s">
        <v>1173</v>
      </c>
      <c r="L358" s="5" t="s">
        <v>1174</v>
      </c>
      <c r="M358" s="6">
        <v>109900</v>
      </c>
      <c r="N358" s="7">
        <v>0.9</v>
      </c>
      <c r="O358" s="6">
        <f t="shared" si="12"/>
        <v>10990</v>
      </c>
      <c r="P358" s="5" t="s">
        <v>504</v>
      </c>
    </row>
    <row r="359" spans="1:16" x14ac:dyDescent="0.35">
      <c r="A359" s="5" t="str">
        <f t="shared" si="11"/>
        <v>2022 All Items D90</v>
      </c>
      <c r="B359" s="8">
        <f>'ALL 2024 H2 D80'!$B$2</f>
        <v>46114</v>
      </c>
      <c r="C359" s="8">
        <f>'ALL 2024 H2 D80'!$C$2</f>
        <v>46120</v>
      </c>
      <c r="D359" s="5">
        <v>3208</v>
      </c>
      <c r="E359" s="5">
        <v>320</v>
      </c>
      <c r="F359" s="5">
        <v>1</v>
      </c>
      <c r="G359" s="5">
        <v>2</v>
      </c>
      <c r="H359" s="5">
        <v>81602</v>
      </c>
      <c r="I359" s="5" t="s">
        <v>16</v>
      </c>
      <c r="J359" s="5">
        <v>75902922</v>
      </c>
      <c r="K359" s="5" t="s">
        <v>1173</v>
      </c>
      <c r="L359" s="5" t="s">
        <v>1175</v>
      </c>
      <c r="M359" s="6">
        <v>109900</v>
      </c>
      <c r="N359" s="7">
        <v>0.9</v>
      </c>
      <c r="O359" s="6">
        <f t="shared" si="12"/>
        <v>10990</v>
      </c>
      <c r="P359" s="5" t="s">
        <v>504</v>
      </c>
    </row>
    <row r="360" spans="1:16" x14ac:dyDescent="0.35">
      <c r="A360" s="5" t="str">
        <f t="shared" si="11"/>
        <v>2022 All Items D90</v>
      </c>
      <c r="B360" s="8">
        <f>'ALL 2024 H2 D80'!$B$2</f>
        <v>46114</v>
      </c>
      <c r="C360" s="8">
        <f>'ALL 2024 H2 D80'!$C$2</f>
        <v>46120</v>
      </c>
      <c r="D360" s="5">
        <v>3208</v>
      </c>
      <c r="E360" s="5">
        <v>320</v>
      </c>
      <c r="F360" s="5">
        <v>1</v>
      </c>
      <c r="G360" s="5">
        <v>2</v>
      </c>
      <c r="H360" s="5">
        <v>81602</v>
      </c>
      <c r="I360" s="5" t="s">
        <v>16</v>
      </c>
      <c r="J360" s="5">
        <v>75902931</v>
      </c>
      <c r="K360" s="5" t="s">
        <v>1173</v>
      </c>
      <c r="L360" s="5" t="s">
        <v>1176</v>
      </c>
      <c r="M360" s="6">
        <v>109900</v>
      </c>
      <c r="N360" s="7">
        <v>0.9</v>
      </c>
      <c r="O360" s="6">
        <f t="shared" si="12"/>
        <v>10990</v>
      </c>
      <c r="P360" s="5" t="s">
        <v>504</v>
      </c>
    </row>
    <row r="361" spans="1:16" x14ac:dyDescent="0.35">
      <c r="A361" s="5" t="str">
        <f t="shared" si="11"/>
        <v>2022 All Items D90</v>
      </c>
      <c r="B361" s="8">
        <f>'ALL 2024 H2 D80'!$B$2</f>
        <v>46114</v>
      </c>
      <c r="C361" s="8">
        <f>'ALL 2024 H2 D80'!$C$2</f>
        <v>46120</v>
      </c>
      <c r="D361" s="5">
        <v>3208</v>
      </c>
      <c r="E361" s="5">
        <v>320</v>
      </c>
      <c r="F361" s="5">
        <v>1</v>
      </c>
      <c r="G361" s="5">
        <v>2</v>
      </c>
      <c r="H361" s="5">
        <v>81602</v>
      </c>
      <c r="I361" s="5" t="s">
        <v>16</v>
      </c>
      <c r="J361" s="5">
        <v>75902940</v>
      </c>
      <c r="K361" s="5" t="s">
        <v>1173</v>
      </c>
      <c r="L361" s="5" t="s">
        <v>1177</v>
      </c>
      <c r="M361" s="6">
        <v>109900</v>
      </c>
      <c r="N361" s="7">
        <v>0.9</v>
      </c>
      <c r="O361" s="6">
        <f t="shared" si="12"/>
        <v>10990</v>
      </c>
      <c r="P361" s="5" t="s">
        <v>504</v>
      </c>
    </row>
    <row r="362" spans="1:16" x14ac:dyDescent="0.35">
      <c r="A362" s="5" t="str">
        <f t="shared" si="11"/>
        <v>2022 All Items D90</v>
      </c>
      <c r="B362" s="8">
        <f>'ALL 2024 H2 D80'!$B$2</f>
        <v>46114</v>
      </c>
      <c r="C362" s="8">
        <f>'ALL 2024 H2 D80'!$C$2</f>
        <v>46120</v>
      </c>
      <c r="D362" s="5">
        <v>3208</v>
      </c>
      <c r="E362" s="5">
        <v>320</v>
      </c>
      <c r="F362" s="5">
        <v>1</v>
      </c>
      <c r="G362" s="5">
        <v>2</v>
      </c>
      <c r="H362" s="5">
        <v>80954</v>
      </c>
      <c r="I362" s="5" t="s">
        <v>16</v>
      </c>
      <c r="J362" s="5">
        <v>33380682</v>
      </c>
      <c r="K362" s="5" t="s">
        <v>1178</v>
      </c>
      <c r="L362" s="5" t="s">
        <v>1179</v>
      </c>
      <c r="M362" s="6">
        <v>89900</v>
      </c>
      <c r="N362" s="7">
        <v>0.9</v>
      </c>
      <c r="O362" s="6">
        <f t="shared" si="12"/>
        <v>8990</v>
      </c>
      <c r="P362" s="5" t="s">
        <v>504</v>
      </c>
    </row>
    <row r="363" spans="1:16" x14ac:dyDescent="0.35">
      <c r="A363" s="5" t="str">
        <f t="shared" si="11"/>
        <v>2022 All Items D90</v>
      </c>
      <c r="B363" s="8">
        <f>'ALL 2024 H2 D80'!$B$2</f>
        <v>46114</v>
      </c>
      <c r="C363" s="8">
        <f>'ALL 2024 H2 D80'!$C$2</f>
        <v>46120</v>
      </c>
      <c r="D363" s="5">
        <v>3208</v>
      </c>
      <c r="E363" s="5">
        <v>320</v>
      </c>
      <c r="F363" s="5">
        <v>1</v>
      </c>
      <c r="G363" s="5">
        <v>2</v>
      </c>
      <c r="H363" s="5">
        <v>80954</v>
      </c>
      <c r="I363" s="5" t="s">
        <v>16</v>
      </c>
      <c r="J363" s="5">
        <v>33380691</v>
      </c>
      <c r="K363" s="5" t="s">
        <v>1178</v>
      </c>
      <c r="L363" s="5" t="s">
        <v>1180</v>
      </c>
      <c r="M363" s="6">
        <v>89900</v>
      </c>
      <c r="N363" s="7">
        <v>0.9</v>
      </c>
      <c r="O363" s="6">
        <f t="shared" si="12"/>
        <v>8990</v>
      </c>
      <c r="P363" s="5" t="s">
        <v>504</v>
      </c>
    </row>
    <row r="364" spans="1:16" x14ac:dyDescent="0.35">
      <c r="A364" s="5" t="str">
        <f t="shared" si="11"/>
        <v>2022 All Items D90</v>
      </c>
      <c r="B364" s="8">
        <f>'ALL 2024 H2 D80'!$B$2</f>
        <v>46114</v>
      </c>
      <c r="C364" s="8">
        <f>'ALL 2024 H2 D80'!$C$2</f>
        <v>46120</v>
      </c>
      <c r="D364" s="5">
        <v>3208</v>
      </c>
      <c r="E364" s="5">
        <v>320</v>
      </c>
      <c r="F364" s="5">
        <v>1</v>
      </c>
      <c r="G364" s="5">
        <v>2</v>
      </c>
      <c r="H364" s="5">
        <v>80954</v>
      </c>
      <c r="I364" s="5" t="s">
        <v>16</v>
      </c>
      <c r="J364" s="5">
        <v>33380717</v>
      </c>
      <c r="K364" s="5" t="s">
        <v>1178</v>
      </c>
      <c r="L364" s="5" t="s">
        <v>1181</v>
      </c>
      <c r="M364" s="6">
        <v>89900</v>
      </c>
      <c r="N364" s="7">
        <v>0.9</v>
      </c>
      <c r="O364" s="6">
        <f t="shared" si="12"/>
        <v>8990</v>
      </c>
      <c r="P364" s="5" t="s">
        <v>504</v>
      </c>
    </row>
    <row r="365" spans="1:16" x14ac:dyDescent="0.35">
      <c r="A365" s="5" t="str">
        <f t="shared" si="11"/>
        <v>2022 All Items D90</v>
      </c>
      <c r="B365" s="8">
        <f>'ALL 2024 H2 D80'!$B$2</f>
        <v>46114</v>
      </c>
      <c r="C365" s="8">
        <f>'ALL 2024 H2 D80'!$C$2</f>
        <v>46120</v>
      </c>
      <c r="D365" s="5">
        <v>3208</v>
      </c>
      <c r="E365" s="5">
        <v>320</v>
      </c>
      <c r="F365" s="5">
        <v>1</v>
      </c>
      <c r="G365" s="5">
        <v>2</v>
      </c>
      <c r="H365" s="5">
        <v>80954</v>
      </c>
      <c r="I365" s="5" t="s">
        <v>16</v>
      </c>
      <c r="J365" s="5">
        <v>59363438</v>
      </c>
      <c r="K365" s="5" t="s">
        <v>1528</v>
      </c>
      <c r="L365" s="5" t="s">
        <v>1529</v>
      </c>
      <c r="M365" s="6">
        <v>79900</v>
      </c>
      <c r="N365" s="7">
        <v>0.9</v>
      </c>
      <c r="O365" s="6">
        <f t="shared" si="12"/>
        <v>7990</v>
      </c>
      <c r="P365" s="5" t="s">
        <v>504</v>
      </c>
    </row>
    <row r="366" spans="1:16" x14ac:dyDescent="0.35">
      <c r="A366" s="5" t="str">
        <f t="shared" si="11"/>
        <v>2022 All Items D90</v>
      </c>
      <c r="B366" s="8">
        <f>'ALL 2024 H2 D80'!$B$2</f>
        <v>46114</v>
      </c>
      <c r="C366" s="8">
        <f>'ALL 2024 H2 D80'!$C$2</f>
        <v>46120</v>
      </c>
      <c r="D366" s="5">
        <v>3208</v>
      </c>
      <c r="E366" s="5">
        <v>320</v>
      </c>
      <c r="F366" s="5">
        <v>1</v>
      </c>
      <c r="G366" s="5">
        <v>2</v>
      </c>
      <c r="H366" s="5">
        <v>80954</v>
      </c>
      <c r="I366" s="5" t="s">
        <v>16</v>
      </c>
      <c r="J366" s="5">
        <v>59363456</v>
      </c>
      <c r="K366" s="5" t="s">
        <v>1528</v>
      </c>
      <c r="L366" s="5" t="s">
        <v>1530</v>
      </c>
      <c r="M366" s="6">
        <v>79900</v>
      </c>
      <c r="N366" s="7">
        <v>0.9</v>
      </c>
      <c r="O366" s="6">
        <f t="shared" si="12"/>
        <v>7990</v>
      </c>
      <c r="P366" s="5" t="s">
        <v>504</v>
      </c>
    </row>
    <row r="367" spans="1:16" x14ac:dyDescent="0.35">
      <c r="A367" s="5" t="str">
        <f t="shared" si="11"/>
        <v>2022 All Items D90</v>
      </c>
      <c r="B367" s="8">
        <f>'ALL 2024 H2 D80'!$B$2</f>
        <v>46114</v>
      </c>
      <c r="C367" s="8">
        <f>'ALL 2024 H2 D80'!$C$2</f>
        <v>46120</v>
      </c>
      <c r="D367" s="5">
        <v>3208</v>
      </c>
      <c r="E367" s="5">
        <v>320</v>
      </c>
      <c r="F367" s="5">
        <v>1</v>
      </c>
      <c r="G367" s="5">
        <v>2</v>
      </c>
      <c r="H367" s="5">
        <v>80954</v>
      </c>
      <c r="I367" s="5" t="s">
        <v>16</v>
      </c>
      <c r="J367" s="5">
        <v>59363465</v>
      </c>
      <c r="K367" s="5" t="s">
        <v>1528</v>
      </c>
      <c r="L367" s="5" t="s">
        <v>1531</v>
      </c>
      <c r="M367" s="6">
        <v>79900</v>
      </c>
      <c r="N367" s="7">
        <v>0.9</v>
      </c>
      <c r="O367" s="6">
        <f t="shared" si="12"/>
        <v>7990</v>
      </c>
      <c r="P367" s="5" t="s">
        <v>504</v>
      </c>
    </row>
    <row r="368" spans="1:16" x14ac:dyDescent="0.35">
      <c r="A368" s="5" t="str">
        <f t="shared" si="11"/>
        <v>2022 All Items D90</v>
      </c>
      <c r="B368" s="8">
        <f>'ALL 2024 H2 D80'!$B$2</f>
        <v>46114</v>
      </c>
      <c r="C368" s="8">
        <f>'ALL 2024 H2 D80'!$C$2</f>
        <v>46120</v>
      </c>
      <c r="D368" s="5">
        <v>3208</v>
      </c>
      <c r="E368" s="5">
        <v>320</v>
      </c>
      <c r="F368" s="5">
        <v>1</v>
      </c>
      <c r="G368" s="5">
        <v>2</v>
      </c>
      <c r="H368" s="5">
        <v>80954</v>
      </c>
      <c r="I368" s="5" t="s">
        <v>16</v>
      </c>
      <c r="J368" s="5">
        <v>59363509</v>
      </c>
      <c r="K368" s="5" t="s">
        <v>1532</v>
      </c>
      <c r="L368" s="5" t="s">
        <v>1533</v>
      </c>
      <c r="M368" s="6">
        <v>79900</v>
      </c>
      <c r="N368" s="7">
        <v>0.9</v>
      </c>
      <c r="O368" s="6">
        <f t="shared" si="12"/>
        <v>7990</v>
      </c>
      <c r="P368" s="5" t="s">
        <v>504</v>
      </c>
    </row>
    <row r="369" spans="1:16" x14ac:dyDescent="0.35">
      <c r="A369" s="5" t="str">
        <f t="shared" si="11"/>
        <v>2022 All Items D90</v>
      </c>
      <c r="B369" s="8">
        <f>'ALL 2024 H2 D80'!$B$2</f>
        <v>46114</v>
      </c>
      <c r="C369" s="8">
        <f>'ALL 2024 H2 D80'!$C$2</f>
        <v>46120</v>
      </c>
      <c r="D369" s="5">
        <v>3208</v>
      </c>
      <c r="E369" s="5">
        <v>320</v>
      </c>
      <c r="F369" s="5">
        <v>1</v>
      </c>
      <c r="G369" s="5">
        <v>2</v>
      </c>
      <c r="H369" s="5">
        <v>80954</v>
      </c>
      <c r="I369" s="5" t="s">
        <v>16</v>
      </c>
      <c r="J369" s="5">
        <v>59363518</v>
      </c>
      <c r="K369" s="5" t="s">
        <v>1532</v>
      </c>
      <c r="L369" s="5" t="s">
        <v>1534</v>
      </c>
      <c r="M369" s="6">
        <v>79900</v>
      </c>
      <c r="N369" s="7">
        <v>0.9</v>
      </c>
      <c r="O369" s="6">
        <f t="shared" si="12"/>
        <v>7990</v>
      </c>
      <c r="P369" s="5" t="s">
        <v>504</v>
      </c>
    </row>
    <row r="370" spans="1:16" x14ac:dyDescent="0.35">
      <c r="A370" s="5" t="str">
        <f t="shared" si="11"/>
        <v>2022 All Items D90</v>
      </c>
      <c r="B370" s="8">
        <f>'ALL 2024 H2 D80'!$B$2</f>
        <v>46114</v>
      </c>
      <c r="C370" s="8">
        <f>'ALL 2024 H2 D80'!$C$2</f>
        <v>46120</v>
      </c>
      <c r="D370" s="5">
        <v>3208</v>
      </c>
      <c r="E370" s="5">
        <v>320</v>
      </c>
      <c r="F370" s="5">
        <v>1</v>
      </c>
      <c r="G370" s="5">
        <v>2</v>
      </c>
      <c r="H370" s="5">
        <v>80954</v>
      </c>
      <c r="I370" s="5" t="s">
        <v>16</v>
      </c>
      <c r="J370" s="5">
        <v>60818846</v>
      </c>
      <c r="K370" s="5" t="s">
        <v>1535</v>
      </c>
      <c r="L370" s="5" t="s">
        <v>1536</v>
      </c>
      <c r="M370" s="6">
        <v>79900</v>
      </c>
      <c r="N370" s="7">
        <v>0.9</v>
      </c>
      <c r="O370" s="6">
        <f t="shared" si="12"/>
        <v>7990</v>
      </c>
      <c r="P370" s="5" t="s">
        <v>504</v>
      </c>
    </row>
    <row r="371" spans="1:16" x14ac:dyDescent="0.35">
      <c r="A371" s="5" t="str">
        <f t="shared" si="11"/>
        <v>2022 All Items D90</v>
      </c>
      <c r="B371" s="8">
        <f>'ALL 2024 H2 D80'!$B$2</f>
        <v>46114</v>
      </c>
      <c r="C371" s="8">
        <f>'ALL 2024 H2 D80'!$C$2</f>
        <v>46120</v>
      </c>
      <c r="D371" s="5">
        <v>3208</v>
      </c>
      <c r="E371" s="5">
        <v>320</v>
      </c>
      <c r="F371" s="5">
        <v>1</v>
      </c>
      <c r="G371" s="5">
        <v>2</v>
      </c>
      <c r="H371" s="5">
        <v>80954</v>
      </c>
      <c r="I371" s="5" t="s">
        <v>16</v>
      </c>
      <c r="J371" s="5">
        <v>67440222</v>
      </c>
      <c r="K371" s="5" t="s">
        <v>1537</v>
      </c>
      <c r="L371" s="5" t="s">
        <v>1538</v>
      </c>
      <c r="M371" s="6">
        <v>79900</v>
      </c>
      <c r="N371" s="7">
        <v>0.9</v>
      </c>
      <c r="O371" s="6">
        <f t="shared" si="12"/>
        <v>7990</v>
      </c>
      <c r="P371" s="5" t="s">
        <v>504</v>
      </c>
    </row>
    <row r="372" spans="1:16" x14ac:dyDescent="0.35">
      <c r="A372" s="5" t="str">
        <f t="shared" si="11"/>
        <v>2022 All Items D90</v>
      </c>
      <c r="B372" s="8">
        <f>'ALL 2024 H2 D80'!$B$2</f>
        <v>46114</v>
      </c>
      <c r="C372" s="8">
        <f>'ALL 2024 H2 D80'!$C$2</f>
        <v>46120</v>
      </c>
      <c r="D372" s="5">
        <v>3208</v>
      </c>
      <c r="E372" s="5">
        <v>320</v>
      </c>
      <c r="F372" s="5">
        <v>1</v>
      </c>
      <c r="G372" s="5">
        <v>2</v>
      </c>
      <c r="H372" s="5">
        <v>80954</v>
      </c>
      <c r="I372" s="5" t="s">
        <v>16</v>
      </c>
      <c r="J372" s="5">
        <v>67440231</v>
      </c>
      <c r="K372" s="5" t="s">
        <v>1537</v>
      </c>
      <c r="L372" s="5" t="s">
        <v>1539</v>
      </c>
      <c r="M372" s="6">
        <v>79900</v>
      </c>
      <c r="N372" s="7">
        <v>0.9</v>
      </c>
      <c r="O372" s="6">
        <f t="shared" si="12"/>
        <v>7990</v>
      </c>
      <c r="P372" s="5" t="s">
        <v>504</v>
      </c>
    </row>
    <row r="373" spans="1:16" x14ac:dyDescent="0.35">
      <c r="A373" s="5" t="str">
        <f t="shared" si="11"/>
        <v>2022 All Items D90</v>
      </c>
      <c r="B373" s="8">
        <f>'ALL 2024 H2 D80'!$B$2</f>
        <v>46114</v>
      </c>
      <c r="C373" s="8">
        <f>'ALL 2024 H2 D80'!$C$2</f>
        <v>46120</v>
      </c>
      <c r="D373" s="5">
        <v>3208</v>
      </c>
      <c r="E373" s="5">
        <v>320</v>
      </c>
      <c r="F373" s="5">
        <v>1</v>
      </c>
      <c r="G373" s="5">
        <v>2</v>
      </c>
      <c r="H373" s="5">
        <v>80954</v>
      </c>
      <c r="I373" s="5" t="s">
        <v>16</v>
      </c>
      <c r="J373" s="5">
        <v>67440240</v>
      </c>
      <c r="K373" s="5" t="s">
        <v>1537</v>
      </c>
      <c r="L373" s="5" t="s">
        <v>1540</v>
      </c>
      <c r="M373" s="6">
        <v>79900</v>
      </c>
      <c r="N373" s="7">
        <v>0.9</v>
      </c>
      <c r="O373" s="6">
        <f t="shared" si="12"/>
        <v>7990</v>
      </c>
      <c r="P373" s="5" t="s">
        <v>504</v>
      </c>
    </row>
    <row r="374" spans="1:16" x14ac:dyDescent="0.35">
      <c r="A374" s="5" t="str">
        <f t="shared" si="11"/>
        <v>2022 All Items D90</v>
      </c>
      <c r="B374" s="8">
        <f>'ALL 2024 H2 D80'!$B$2</f>
        <v>46114</v>
      </c>
      <c r="C374" s="8">
        <f>'ALL 2024 H2 D80'!$C$2</f>
        <v>46120</v>
      </c>
      <c r="D374" s="5">
        <v>3208</v>
      </c>
      <c r="E374" s="5">
        <v>320</v>
      </c>
      <c r="F374" s="5">
        <v>1</v>
      </c>
      <c r="G374" s="5">
        <v>2</v>
      </c>
      <c r="H374" s="5">
        <v>80954</v>
      </c>
      <c r="I374" s="5" t="s">
        <v>16</v>
      </c>
      <c r="J374" s="5">
        <v>67440259</v>
      </c>
      <c r="K374" s="5" t="s">
        <v>1537</v>
      </c>
      <c r="L374" s="5" t="s">
        <v>1541</v>
      </c>
      <c r="M374" s="6">
        <v>79900</v>
      </c>
      <c r="N374" s="7">
        <v>0.9</v>
      </c>
      <c r="O374" s="6">
        <f t="shared" si="12"/>
        <v>7990</v>
      </c>
      <c r="P374" s="5" t="s">
        <v>504</v>
      </c>
    </row>
    <row r="375" spans="1:16" x14ac:dyDescent="0.35">
      <c r="A375" s="5" t="str">
        <f t="shared" si="11"/>
        <v>2022 All Items D90</v>
      </c>
      <c r="B375" s="8">
        <f>'ALL 2024 H2 D80'!$B$2</f>
        <v>46114</v>
      </c>
      <c r="C375" s="8">
        <f>'ALL 2024 H2 D80'!$C$2</f>
        <v>46120</v>
      </c>
      <c r="D375" s="5">
        <v>3208</v>
      </c>
      <c r="E375" s="5">
        <v>320</v>
      </c>
      <c r="F375" s="5">
        <v>1</v>
      </c>
      <c r="G375" s="5">
        <v>2</v>
      </c>
      <c r="H375" s="5">
        <v>80954</v>
      </c>
      <c r="I375" s="5" t="s">
        <v>16</v>
      </c>
      <c r="J375" s="5">
        <v>67440286</v>
      </c>
      <c r="K375" s="5" t="s">
        <v>1537</v>
      </c>
      <c r="L375" s="5" t="s">
        <v>1542</v>
      </c>
      <c r="M375" s="6">
        <v>79900</v>
      </c>
      <c r="N375" s="7">
        <v>0.9</v>
      </c>
      <c r="O375" s="6">
        <f t="shared" si="12"/>
        <v>7990</v>
      </c>
      <c r="P375" s="5" t="s">
        <v>504</v>
      </c>
    </row>
    <row r="376" spans="1:16" x14ac:dyDescent="0.35">
      <c r="A376" s="5" t="str">
        <f t="shared" si="11"/>
        <v>2022 All Items D90</v>
      </c>
      <c r="B376" s="8">
        <f>'ALL 2024 H2 D80'!$B$2</f>
        <v>46114</v>
      </c>
      <c r="C376" s="8">
        <f>'ALL 2024 H2 D80'!$C$2</f>
        <v>46120</v>
      </c>
      <c r="D376" s="5">
        <v>3208</v>
      </c>
      <c r="E376" s="5">
        <v>320</v>
      </c>
      <c r="F376" s="5">
        <v>1</v>
      </c>
      <c r="G376" s="5">
        <v>2</v>
      </c>
      <c r="H376" s="5">
        <v>80954</v>
      </c>
      <c r="I376" s="5" t="s">
        <v>16</v>
      </c>
      <c r="J376" s="5">
        <v>67440295</v>
      </c>
      <c r="K376" s="5" t="s">
        <v>1537</v>
      </c>
      <c r="L376" s="5" t="s">
        <v>1543</v>
      </c>
      <c r="M376" s="6">
        <v>79900</v>
      </c>
      <c r="N376" s="7">
        <v>0.9</v>
      </c>
      <c r="O376" s="6">
        <f t="shared" si="12"/>
        <v>7990</v>
      </c>
      <c r="P376" s="5" t="s">
        <v>504</v>
      </c>
    </row>
    <row r="377" spans="1:16" x14ac:dyDescent="0.35">
      <c r="A377" s="5" t="str">
        <f t="shared" si="11"/>
        <v>2022 All Items D90</v>
      </c>
      <c r="B377" s="8">
        <f>'ALL 2024 H2 D80'!$B$2</f>
        <v>46114</v>
      </c>
      <c r="C377" s="8">
        <f>'ALL 2024 H2 D80'!$C$2</f>
        <v>46120</v>
      </c>
      <c r="D377" s="5">
        <v>3208</v>
      </c>
      <c r="E377" s="5">
        <v>320</v>
      </c>
      <c r="F377" s="5">
        <v>1</v>
      </c>
      <c r="G377" s="5">
        <v>2</v>
      </c>
      <c r="H377" s="5">
        <v>80954</v>
      </c>
      <c r="I377" s="5" t="s">
        <v>16</v>
      </c>
      <c r="J377" s="5">
        <v>70042576</v>
      </c>
      <c r="K377" s="5" t="s">
        <v>1544</v>
      </c>
      <c r="L377" s="5" t="s">
        <v>1545</v>
      </c>
      <c r="M377" s="6">
        <v>79900</v>
      </c>
      <c r="N377" s="7">
        <v>0.9</v>
      </c>
      <c r="O377" s="6">
        <f t="shared" si="12"/>
        <v>7990</v>
      </c>
      <c r="P377" s="5" t="s">
        <v>504</v>
      </c>
    </row>
    <row r="378" spans="1:16" x14ac:dyDescent="0.35">
      <c r="A378" s="5" t="str">
        <f t="shared" si="11"/>
        <v>2022 All Items D90</v>
      </c>
      <c r="B378" s="8">
        <f>'ALL 2024 H2 D80'!$B$2</f>
        <v>46114</v>
      </c>
      <c r="C378" s="8">
        <f>'ALL 2024 H2 D80'!$C$2</f>
        <v>46120</v>
      </c>
      <c r="D378" s="5">
        <v>3208</v>
      </c>
      <c r="E378" s="5">
        <v>320</v>
      </c>
      <c r="F378" s="5">
        <v>1</v>
      </c>
      <c r="G378" s="5">
        <v>2</v>
      </c>
      <c r="H378" s="5">
        <v>80954</v>
      </c>
      <c r="I378" s="5" t="s">
        <v>16</v>
      </c>
      <c r="J378" s="5">
        <v>70042594</v>
      </c>
      <c r="K378" s="5" t="s">
        <v>1544</v>
      </c>
      <c r="L378" s="5" t="s">
        <v>1546</v>
      </c>
      <c r="M378" s="6">
        <v>79900</v>
      </c>
      <c r="N378" s="7">
        <v>0.9</v>
      </c>
      <c r="O378" s="6">
        <f t="shared" si="12"/>
        <v>7990</v>
      </c>
      <c r="P378" s="5" t="s">
        <v>504</v>
      </c>
    </row>
    <row r="379" spans="1:16" x14ac:dyDescent="0.35">
      <c r="A379" s="5" t="str">
        <f t="shared" si="11"/>
        <v>2022 All Items D90</v>
      </c>
      <c r="B379" s="8">
        <f>'ALL 2024 H2 D80'!$B$2</f>
        <v>46114</v>
      </c>
      <c r="C379" s="8">
        <f>'ALL 2024 H2 D80'!$C$2</f>
        <v>46120</v>
      </c>
      <c r="D379" s="5">
        <v>3208</v>
      </c>
      <c r="E379" s="5">
        <v>320</v>
      </c>
      <c r="F379" s="5">
        <v>1</v>
      </c>
      <c r="G379" s="5">
        <v>2</v>
      </c>
      <c r="H379" s="5">
        <v>80954</v>
      </c>
      <c r="I379" s="5" t="s">
        <v>16</v>
      </c>
      <c r="J379" s="5">
        <v>70042601</v>
      </c>
      <c r="K379" s="5" t="s">
        <v>1544</v>
      </c>
      <c r="L379" s="5" t="s">
        <v>1547</v>
      </c>
      <c r="M379" s="6">
        <v>79900</v>
      </c>
      <c r="N379" s="7">
        <v>0.9</v>
      </c>
      <c r="O379" s="6">
        <f t="shared" si="12"/>
        <v>7990</v>
      </c>
      <c r="P379" s="5" t="s">
        <v>504</v>
      </c>
    </row>
    <row r="380" spans="1:16" x14ac:dyDescent="0.35">
      <c r="A380" s="5" t="str">
        <f t="shared" si="11"/>
        <v>2022 All Items D90</v>
      </c>
      <c r="B380" s="8">
        <f>'ALL 2024 H2 D80'!$B$2</f>
        <v>46114</v>
      </c>
      <c r="C380" s="8">
        <f>'ALL 2024 H2 D80'!$C$2</f>
        <v>46120</v>
      </c>
      <c r="D380" s="5">
        <v>3208</v>
      </c>
      <c r="E380" s="5">
        <v>320</v>
      </c>
      <c r="F380" s="5">
        <v>1</v>
      </c>
      <c r="G380" s="5">
        <v>2</v>
      </c>
      <c r="H380" s="5">
        <v>80954</v>
      </c>
      <c r="I380" s="5" t="s">
        <v>16</v>
      </c>
      <c r="J380" s="5">
        <v>70042610</v>
      </c>
      <c r="K380" s="5" t="s">
        <v>1544</v>
      </c>
      <c r="L380" s="5" t="s">
        <v>1548</v>
      </c>
      <c r="M380" s="6">
        <v>79900</v>
      </c>
      <c r="N380" s="7">
        <v>0.9</v>
      </c>
      <c r="O380" s="6">
        <f t="shared" si="12"/>
        <v>7990</v>
      </c>
      <c r="P380" s="5" t="s">
        <v>504</v>
      </c>
    </row>
    <row r="381" spans="1:16" x14ac:dyDescent="0.35">
      <c r="A381" s="5" t="str">
        <f t="shared" si="11"/>
        <v>2022 All Items D90</v>
      </c>
      <c r="B381" s="8">
        <f>'ALL 2024 H2 D80'!$B$2</f>
        <v>46114</v>
      </c>
      <c r="C381" s="8">
        <f>'ALL 2024 H2 D80'!$C$2</f>
        <v>46120</v>
      </c>
      <c r="D381" s="5">
        <v>3208</v>
      </c>
      <c r="E381" s="5">
        <v>320</v>
      </c>
      <c r="F381" s="5">
        <v>1</v>
      </c>
      <c r="G381" s="5">
        <v>2</v>
      </c>
      <c r="H381" s="5">
        <v>80954</v>
      </c>
      <c r="I381" s="5" t="s">
        <v>16</v>
      </c>
      <c r="J381" s="5">
        <v>70042629</v>
      </c>
      <c r="K381" s="5" t="s">
        <v>1544</v>
      </c>
      <c r="L381" s="5" t="s">
        <v>1549</v>
      </c>
      <c r="M381" s="6">
        <v>79900</v>
      </c>
      <c r="N381" s="7">
        <v>0.9</v>
      </c>
      <c r="O381" s="6">
        <f t="shared" si="12"/>
        <v>7990</v>
      </c>
      <c r="P381" s="5" t="s">
        <v>504</v>
      </c>
    </row>
    <row r="382" spans="1:16" x14ac:dyDescent="0.35">
      <c r="A382" s="5" t="str">
        <f t="shared" si="11"/>
        <v>2022 All Items D90</v>
      </c>
      <c r="B382" s="8">
        <f>'ALL 2024 H2 D80'!$B$2</f>
        <v>46114</v>
      </c>
      <c r="C382" s="8">
        <f>'ALL 2024 H2 D80'!$C$2</f>
        <v>46120</v>
      </c>
      <c r="D382" s="5">
        <v>3208</v>
      </c>
      <c r="E382" s="5">
        <v>320</v>
      </c>
      <c r="F382" s="5">
        <v>1</v>
      </c>
      <c r="G382" s="5">
        <v>2</v>
      </c>
      <c r="H382" s="5">
        <v>80954</v>
      </c>
      <c r="I382" s="5" t="s">
        <v>16</v>
      </c>
      <c r="J382" s="5">
        <v>70042647</v>
      </c>
      <c r="K382" s="5" t="s">
        <v>1544</v>
      </c>
      <c r="L382" s="5" t="s">
        <v>1550</v>
      </c>
      <c r="M382" s="6">
        <v>79900</v>
      </c>
      <c r="N382" s="7">
        <v>0.9</v>
      </c>
      <c r="O382" s="6">
        <f t="shared" si="12"/>
        <v>7990</v>
      </c>
      <c r="P382" s="5" t="s">
        <v>504</v>
      </c>
    </row>
    <row r="383" spans="1:16" x14ac:dyDescent="0.35">
      <c r="A383" s="5" t="str">
        <f t="shared" si="11"/>
        <v>2022 All Items D90</v>
      </c>
      <c r="B383" s="8">
        <f>'ALL 2024 H2 D80'!$B$2</f>
        <v>46114</v>
      </c>
      <c r="C383" s="8">
        <f>'ALL 2024 H2 D80'!$C$2</f>
        <v>46120</v>
      </c>
      <c r="D383" s="5">
        <v>3208</v>
      </c>
      <c r="E383" s="5">
        <v>320</v>
      </c>
      <c r="F383" s="5">
        <v>1</v>
      </c>
      <c r="G383" s="5">
        <v>2</v>
      </c>
      <c r="H383" s="5">
        <v>80954</v>
      </c>
      <c r="I383" s="5" t="s">
        <v>16</v>
      </c>
      <c r="J383" s="5">
        <v>73366926</v>
      </c>
      <c r="K383" s="5" t="s">
        <v>1182</v>
      </c>
      <c r="L383" s="5" t="s">
        <v>1183</v>
      </c>
      <c r="M383" s="6">
        <v>89900</v>
      </c>
      <c r="N383" s="7">
        <v>0.9</v>
      </c>
      <c r="O383" s="6">
        <f t="shared" si="12"/>
        <v>8990</v>
      </c>
      <c r="P383" s="5" t="s">
        <v>504</v>
      </c>
    </row>
    <row r="384" spans="1:16" x14ac:dyDescent="0.35">
      <c r="A384" s="5" t="str">
        <f t="shared" si="11"/>
        <v>2022 All Items D90</v>
      </c>
      <c r="B384" s="8">
        <f>'ALL 2024 H2 D80'!$B$2</f>
        <v>46114</v>
      </c>
      <c r="C384" s="8">
        <f>'ALL 2024 H2 D80'!$C$2</f>
        <v>46120</v>
      </c>
      <c r="D384" s="5">
        <v>3208</v>
      </c>
      <c r="E384" s="5">
        <v>320</v>
      </c>
      <c r="F384" s="5">
        <v>1</v>
      </c>
      <c r="G384" s="5">
        <v>2</v>
      </c>
      <c r="H384" s="5">
        <v>80954</v>
      </c>
      <c r="I384" s="5" t="s">
        <v>16</v>
      </c>
      <c r="J384" s="5">
        <v>73366935</v>
      </c>
      <c r="K384" s="5" t="s">
        <v>1182</v>
      </c>
      <c r="L384" s="5" t="s">
        <v>1184</v>
      </c>
      <c r="M384" s="6">
        <v>89900</v>
      </c>
      <c r="N384" s="7">
        <v>0.9</v>
      </c>
      <c r="O384" s="6">
        <f t="shared" si="12"/>
        <v>8990</v>
      </c>
      <c r="P384" s="5" t="s">
        <v>504</v>
      </c>
    </row>
    <row r="385" spans="1:16" x14ac:dyDescent="0.35">
      <c r="A385" s="5" t="str">
        <f t="shared" si="11"/>
        <v>2022 All Items D90</v>
      </c>
      <c r="B385" s="8">
        <f>'ALL 2024 H2 D80'!$B$2</f>
        <v>46114</v>
      </c>
      <c r="C385" s="8">
        <f>'ALL 2024 H2 D80'!$C$2</f>
        <v>46120</v>
      </c>
      <c r="D385" s="5">
        <v>3208</v>
      </c>
      <c r="E385" s="5">
        <v>320</v>
      </c>
      <c r="F385" s="5">
        <v>1</v>
      </c>
      <c r="G385" s="5">
        <v>2</v>
      </c>
      <c r="H385" s="5">
        <v>80954</v>
      </c>
      <c r="I385" s="5" t="s">
        <v>16</v>
      </c>
      <c r="J385" s="5">
        <v>73366944</v>
      </c>
      <c r="K385" s="5" t="s">
        <v>1182</v>
      </c>
      <c r="L385" s="5" t="s">
        <v>1185</v>
      </c>
      <c r="M385" s="6">
        <v>89900</v>
      </c>
      <c r="N385" s="7">
        <v>0.9</v>
      </c>
      <c r="O385" s="6">
        <f t="shared" si="12"/>
        <v>8990</v>
      </c>
      <c r="P385" s="5" t="s">
        <v>504</v>
      </c>
    </row>
    <row r="386" spans="1:16" x14ac:dyDescent="0.35">
      <c r="A386" s="5" t="str">
        <f t="shared" si="11"/>
        <v>2022 All Items D90</v>
      </c>
      <c r="B386" s="8">
        <f>'ALL 2024 H2 D80'!$B$2</f>
        <v>46114</v>
      </c>
      <c r="C386" s="8">
        <f>'ALL 2024 H2 D80'!$C$2</f>
        <v>46120</v>
      </c>
      <c r="D386" s="5">
        <v>3208</v>
      </c>
      <c r="E386" s="5">
        <v>320</v>
      </c>
      <c r="F386" s="5">
        <v>1</v>
      </c>
      <c r="G386" s="5">
        <v>2</v>
      </c>
      <c r="H386" s="5">
        <v>80954</v>
      </c>
      <c r="I386" s="5" t="s">
        <v>16</v>
      </c>
      <c r="J386" s="5">
        <v>73645179</v>
      </c>
      <c r="K386" s="5" t="s">
        <v>1551</v>
      </c>
      <c r="L386" s="5" t="s">
        <v>1552</v>
      </c>
      <c r="M386" s="6">
        <v>109900</v>
      </c>
      <c r="N386" s="7">
        <v>0.9</v>
      </c>
      <c r="O386" s="6">
        <f t="shared" si="12"/>
        <v>10990</v>
      </c>
      <c r="P386" s="5" t="s">
        <v>504</v>
      </c>
    </row>
    <row r="387" spans="1:16" x14ac:dyDescent="0.35">
      <c r="A387" s="5" t="str">
        <f t="shared" si="11"/>
        <v>2022 All Items D90</v>
      </c>
      <c r="B387" s="8">
        <f>'ALL 2024 H2 D80'!$B$2</f>
        <v>46114</v>
      </c>
      <c r="C387" s="8">
        <f>'ALL 2024 H2 D80'!$C$2</f>
        <v>46120</v>
      </c>
      <c r="D387" s="5">
        <v>3208</v>
      </c>
      <c r="E387" s="5">
        <v>320</v>
      </c>
      <c r="F387" s="5">
        <v>1</v>
      </c>
      <c r="G387" s="5">
        <v>2</v>
      </c>
      <c r="H387" s="5">
        <v>80954</v>
      </c>
      <c r="I387" s="5" t="s">
        <v>16</v>
      </c>
      <c r="J387" s="5">
        <v>73645188</v>
      </c>
      <c r="K387" s="5" t="s">
        <v>1551</v>
      </c>
      <c r="L387" s="5" t="s">
        <v>1553</v>
      </c>
      <c r="M387" s="6">
        <v>109900</v>
      </c>
      <c r="N387" s="7">
        <v>0.9</v>
      </c>
      <c r="O387" s="6">
        <f t="shared" si="12"/>
        <v>10990</v>
      </c>
      <c r="P387" s="5" t="s">
        <v>504</v>
      </c>
    </row>
    <row r="388" spans="1:16" x14ac:dyDescent="0.35">
      <c r="A388" s="5" t="str">
        <f t="shared" ref="A388:A451" si="13">$A$2</f>
        <v>2022 All Items D90</v>
      </c>
      <c r="B388" s="8">
        <f>'ALL 2024 H2 D80'!$B$2</f>
        <v>46114</v>
      </c>
      <c r="C388" s="8">
        <f>'ALL 2024 H2 D80'!$C$2</f>
        <v>46120</v>
      </c>
      <c r="D388" s="5">
        <v>3208</v>
      </c>
      <c r="E388" s="5">
        <v>320</v>
      </c>
      <c r="F388" s="5">
        <v>1</v>
      </c>
      <c r="G388" s="5">
        <v>2</v>
      </c>
      <c r="H388" s="5">
        <v>80954</v>
      </c>
      <c r="I388" s="5" t="s">
        <v>16</v>
      </c>
      <c r="J388" s="5">
        <v>73645197</v>
      </c>
      <c r="K388" s="5" t="s">
        <v>1551</v>
      </c>
      <c r="L388" s="5" t="s">
        <v>1554</v>
      </c>
      <c r="M388" s="6">
        <v>109900</v>
      </c>
      <c r="N388" s="7">
        <v>0.9</v>
      </c>
      <c r="O388" s="6">
        <f t="shared" si="12"/>
        <v>10990</v>
      </c>
      <c r="P388" s="5" t="s">
        <v>504</v>
      </c>
    </row>
    <row r="389" spans="1:16" x14ac:dyDescent="0.35">
      <c r="A389" s="5" t="str">
        <f t="shared" si="13"/>
        <v>2022 All Items D90</v>
      </c>
      <c r="B389" s="8">
        <f>'ALL 2024 H2 D80'!$B$2</f>
        <v>46114</v>
      </c>
      <c r="C389" s="8">
        <f>'ALL 2024 H2 D80'!$C$2</f>
        <v>46120</v>
      </c>
      <c r="D389" s="5">
        <v>3208</v>
      </c>
      <c r="E389" s="5">
        <v>320</v>
      </c>
      <c r="F389" s="5">
        <v>1</v>
      </c>
      <c r="G389" s="5">
        <v>2</v>
      </c>
      <c r="H389" s="5">
        <v>80954</v>
      </c>
      <c r="I389" s="5" t="s">
        <v>16</v>
      </c>
      <c r="J389" s="5">
        <v>73645204</v>
      </c>
      <c r="K389" s="5" t="s">
        <v>1551</v>
      </c>
      <c r="L389" s="5" t="s">
        <v>1555</v>
      </c>
      <c r="M389" s="6">
        <v>109900</v>
      </c>
      <c r="N389" s="7">
        <v>0.9</v>
      </c>
      <c r="O389" s="6">
        <f t="shared" si="12"/>
        <v>10990</v>
      </c>
      <c r="P389" s="5" t="s">
        <v>504</v>
      </c>
    </row>
    <row r="390" spans="1:16" x14ac:dyDescent="0.35">
      <c r="A390" s="5" t="str">
        <f t="shared" si="13"/>
        <v>2022 All Items D90</v>
      </c>
      <c r="B390" s="8">
        <f>'ALL 2024 H2 D80'!$B$2</f>
        <v>46114</v>
      </c>
      <c r="C390" s="8">
        <f>'ALL 2024 H2 D80'!$C$2</f>
        <v>46120</v>
      </c>
      <c r="D390" s="5">
        <v>3208</v>
      </c>
      <c r="E390" s="5">
        <v>320</v>
      </c>
      <c r="F390" s="5">
        <v>1</v>
      </c>
      <c r="G390" s="5">
        <v>2</v>
      </c>
      <c r="H390" s="5">
        <v>80954</v>
      </c>
      <c r="I390" s="5" t="s">
        <v>16</v>
      </c>
      <c r="J390" s="5">
        <v>73645311</v>
      </c>
      <c r="K390" s="5" t="s">
        <v>1556</v>
      </c>
      <c r="L390" s="5" t="s">
        <v>1557</v>
      </c>
      <c r="M390" s="6">
        <v>109900</v>
      </c>
      <c r="N390" s="7">
        <v>0.9</v>
      </c>
      <c r="O390" s="6">
        <f t="shared" si="12"/>
        <v>10990</v>
      </c>
      <c r="P390" s="5" t="s">
        <v>504</v>
      </c>
    </row>
    <row r="391" spans="1:16" x14ac:dyDescent="0.35">
      <c r="A391" s="5" t="str">
        <f t="shared" si="13"/>
        <v>2022 All Items D90</v>
      </c>
      <c r="B391" s="8">
        <f>'ALL 2024 H2 D80'!$B$2</f>
        <v>46114</v>
      </c>
      <c r="C391" s="8">
        <f>'ALL 2024 H2 D80'!$C$2</f>
        <v>46120</v>
      </c>
      <c r="D391" s="5">
        <v>3208</v>
      </c>
      <c r="E391" s="5">
        <v>320</v>
      </c>
      <c r="F391" s="5">
        <v>1</v>
      </c>
      <c r="G391" s="5">
        <v>2</v>
      </c>
      <c r="H391" s="5">
        <v>80954</v>
      </c>
      <c r="I391" s="5" t="s">
        <v>16</v>
      </c>
      <c r="J391" s="5">
        <v>73645320</v>
      </c>
      <c r="K391" s="5" t="s">
        <v>1556</v>
      </c>
      <c r="L391" s="5" t="s">
        <v>1558</v>
      </c>
      <c r="M391" s="6">
        <v>109900</v>
      </c>
      <c r="N391" s="7">
        <v>0.9</v>
      </c>
      <c r="O391" s="6">
        <f t="shared" si="12"/>
        <v>10990</v>
      </c>
      <c r="P391" s="5" t="s">
        <v>504</v>
      </c>
    </row>
    <row r="392" spans="1:16" x14ac:dyDescent="0.35">
      <c r="A392" s="5" t="str">
        <f t="shared" si="13"/>
        <v>2022 All Items D90</v>
      </c>
      <c r="B392" s="8">
        <f>'ALL 2024 H2 D80'!$B$2</f>
        <v>46114</v>
      </c>
      <c r="C392" s="8">
        <f>'ALL 2024 H2 D80'!$C$2</f>
        <v>46120</v>
      </c>
      <c r="D392" s="5">
        <v>3208</v>
      </c>
      <c r="E392" s="5">
        <v>320</v>
      </c>
      <c r="F392" s="5">
        <v>1</v>
      </c>
      <c r="G392" s="5">
        <v>2</v>
      </c>
      <c r="H392" s="5">
        <v>80954</v>
      </c>
      <c r="I392" s="5" t="s">
        <v>16</v>
      </c>
      <c r="J392" s="5">
        <v>73866958</v>
      </c>
      <c r="K392" s="5" t="s">
        <v>1186</v>
      </c>
      <c r="L392" s="5" t="s">
        <v>1187</v>
      </c>
      <c r="M392" s="6">
        <v>89900</v>
      </c>
      <c r="N392" s="7">
        <v>0.9</v>
      </c>
      <c r="O392" s="6">
        <f t="shared" si="12"/>
        <v>8990</v>
      </c>
      <c r="P392" s="5" t="s">
        <v>504</v>
      </c>
    </row>
    <row r="393" spans="1:16" x14ac:dyDescent="0.35">
      <c r="A393" s="5" t="str">
        <f t="shared" si="13"/>
        <v>2022 All Items D90</v>
      </c>
      <c r="B393" s="8">
        <f>'ALL 2024 H2 D80'!$B$2</f>
        <v>46114</v>
      </c>
      <c r="C393" s="8">
        <f>'ALL 2024 H2 D80'!$C$2</f>
        <v>46120</v>
      </c>
      <c r="D393" s="5">
        <v>3208</v>
      </c>
      <c r="E393" s="5">
        <v>320</v>
      </c>
      <c r="F393" s="5">
        <v>1</v>
      </c>
      <c r="G393" s="5">
        <v>2</v>
      </c>
      <c r="H393" s="5">
        <v>80954</v>
      </c>
      <c r="I393" s="5" t="s">
        <v>16</v>
      </c>
      <c r="J393" s="5">
        <v>73866967</v>
      </c>
      <c r="K393" s="5" t="s">
        <v>1186</v>
      </c>
      <c r="L393" s="5" t="s">
        <v>1188</v>
      </c>
      <c r="M393" s="6">
        <v>89900</v>
      </c>
      <c r="N393" s="7">
        <v>0.9</v>
      </c>
      <c r="O393" s="6">
        <f t="shared" si="12"/>
        <v>8990</v>
      </c>
      <c r="P393" s="5" t="s">
        <v>504</v>
      </c>
    </row>
    <row r="394" spans="1:16" x14ac:dyDescent="0.35">
      <c r="A394" s="5" t="str">
        <f t="shared" si="13"/>
        <v>2022 All Items D90</v>
      </c>
      <c r="B394" s="8">
        <f>'ALL 2024 H2 D80'!$B$2</f>
        <v>46114</v>
      </c>
      <c r="C394" s="8">
        <f>'ALL 2024 H2 D80'!$C$2</f>
        <v>46120</v>
      </c>
      <c r="D394" s="5">
        <v>3208</v>
      </c>
      <c r="E394" s="5">
        <v>320</v>
      </c>
      <c r="F394" s="5">
        <v>1</v>
      </c>
      <c r="G394" s="5">
        <v>2</v>
      </c>
      <c r="H394" s="5">
        <v>80954</v>
      </c>
      <c r="I394" s="5" t="s">
        <v>16</v>
      </c>
      <c r="J394" s="5">
        <v>73866976</v>
      </c>
      <c r="K394" s="5" t="s">
        <v>1186</v>
      </c>
      <c r="L394" s="5" t="s">
        <v>1189</v>
      </c>
      <c r="M394" s="6">
        <v>89900</v>
      </c>
      <c r="N394" s="7">
        <v>0.9</v>
      </c>
      <c r="O394" s="6">
        <f t="shared" ref="O394:O453" si="14">M394-(M394*N394)</f>
        <v>8990</v>
      </c>
      <c r="P394" s="5" t="s">
        <v>504</v>
      </c>
    </row>
    <row r="395" spans="1:16" x14ac:dyDescent="0.35">
      <c r="A395" s="5" t="str">
        <f t="shared" si="13"/>
        <v>2022 All Items D90</v>
      </c>
      <c r="B395" s="8">
        <f>'ALL 2024 H2 D80'!$B$2</f>
        <v>46114</v>
      </c>
      <c r="C395" s="8">
        <f>'ALL 2024 H2 D80'!$C$2</f>
        <v>46120</v>
      </c>
      <c r="D395" s="5">
        <v>3208</v>
      </c>
      <c r="E395" s="5">
        <v>320</v>
      </c>
      <c r="F395" s="5">
        <v>1</v>
      </c>
      <c r="G395" s="5">
        <v>2</v>
      </c>
      <c r="H395" s="5">
        <v>80954</v>
      </c>
      <c r="I395" s="5" t="s">
        <v>16</v>
      </c>
      <c r="J395" s="5">
        <v>73866985</v>
      </c>
      <c r="K395" s="5" t="s">
        <v>1186</v>
      </c>
      <c r="L395" s="5" t="s">
        <v>1190</v>
      </c>
      <c r="M395" s="6">
        <v>89900</v>
      </c>
      <c r="N395" s="7">
        <v>0.9</v>
      </c>
      <c r="O395" s="6">
        <f t="shared" si="14"/>
        <v>8990</v>
      </c>
      <c r="P395" s="5" t="s">
        <v>504</v>
      </c>
    </row>
    <row r="396" spans="1:16" x14ac:dyDescent="0.35">
      <c r="A396" s="5" t="str">
        <f t="shared" si="13"/>
        <v>2022 All Items D90</v>
      </c>
      <c r="B396" s="8">
        <f>'ALL 2024 H2 D80'!$B$2</f>
        <v>46114</v>
      </c>
      <c r="C396" s="8">
        <f>'ALL 2024 H2 D80'!$C$2</f>
        <v>46120</v>
      </c>
      <c r="D396" s="5">
        <v>3208</v>
      </c>
      <c r="E396" s="5">
        <v>320</v>
      </c>
      <c r="F396" s="5">
        <v>1</v>
      </c>
      <c r="G396" s="5">
        <v>2</v>
      </c>
      <c r="H396" s="5">
        <v>80954</v>
      </c>
      <c r="I396" s="5" t="s">
        <v>16</v>
      </c>
      <c r="J396" s="5">
        <v>73866994</v>
      </c>
      <c r="K396" s="5" t="s">
        <v>1186</v>
      </c>
      <c r="L396" s="5" t="s">
        <v>1191</v>
      </c>
      <c r="M396" s="6">
        <v>89900</v>
      </c>
      <c r="N396" s="7">
        <v>0.9</v>
      </c>
      <c r="O396" s="6">
        <f t="shared" si="14"/>
        <v>8990</v>
      </c>
      <c r="P396" s="5" t="s">
        <v>504</v>
      </c>
    </row>
    <row r="397" spans="1:16" x14ac:dyDescent="0.35">
      <c r="A397" s="5" t="str">
        <f t="shared" si="13"/>
        <v>2022 All Items D90</v>
      </c>
      <c r="B397" s="8">
        <f>'ALL 2024 H2 D80'!$B$2</f>
        <v>46114</v>
      </c>
      <c r="C397" s="8">
        <f>'ALL 2024 H2 D80'!$C$2</f>
        <v>46120</v>
      </c>
      <c r="D397" s="5">
        <v>3208</v>
      </c>
      <c r="E397" s="5">
        <v>320</v>
      </c>
      <c r="F397" s="5">
        <v>1</v>
      </c>
      <c r="G397" s="5">
        <v>2</v>
      </c>
      <c r="H397" s="5">
        <v>80954</v>
      </c>
      <c r="I397" s="5" t="s">
        <v>16</v>
      </c>
      <c r="J397" s="5">
        <v>73867000</v>
      </c>
      <c r="K397" s="5" t="s">
        <v>1186</v>
      </c>
      <c r="L397" s="5" t="s">
        <v>1192</v>
      </c>
      <c r="M397" s="6">
        <v>89900</v>
      </c>
      <c r="N397" s="7">
        <v>0.9</v>
      </c>
      <c r="O397" s="6">
        <f t="shared" si="14"/>
        <v>8990</v>
      </c>
      <c r="P397" s="5" t="s">
        <v>504</v>
      </c>
    </row>
    <row r="398" spans="1:16" x14ac:dyDescent="0.35">
      <c r="A398" s="5" t="str">
        <f t="shared" si="13"/>
        <v>2022 All Items D90</v>
      </c>
      <c r="B398" s="8">
        <f>'ALL 2024 H2 D80'!$B$2</f>
        <v>46114</v>
      </c>
      <c r="C398" s="8">
        <f>'ALL 2024 H2 D80'!$C$2</f>
        <v>46120</v>
      </c>
      <c r="D398" s="5">
        <v>3208</v>
      </c>
      <c r="E398" s="5">
        <v>320</v>
      </c>
      <c r="F398" s="5">
        <v>1</v>
      </c>
      <c r="G398" s="5">
        <v>2</v>
      </c>
      <c r="H398" s="5">
        <v>80954</v>
      </c>
      <c r="I398" s="5" t="s">
        <v>16</v>
      </c>
      <c r="J398" s="5">
        <v>73867199</v>
      </c>
      <c r="K398" s="5" t="s">
        <v>1193</v>
      </c>
      <c r="L398" s="5" t="s">
        <v>1194</v>
      </c>
      <c r="M398" s="6">
        <v>89900</v>
      </c>
      <c r="N398" s="7">
        <v>0.9</v>
      </c>
      <c r="O398" s="6">
        <f t="shared" si="14"/>
        <v>8990</v>
      </c>
      <c r="P398" s="5" t="s">
        <v>504</v>
      </c>
    </row>
    <row r="399" spans="1:16" x14ac:dyDescent="0.35">
      <c r="A399" s="5" t="str">
        <f t="shared" si="13"/>
        <v>2022 All Items D90</v>
      </c>
      <c r="B399" s="8">
        <f>'ALL 2024 H2 D80'!$B$2</f>
        <v>46114</v>
      </c>
      <c r="C399" s="8">
        <f>'ALL 2024 H2 D80'!$C$2</f>
        <v>46120</v>
      </c>
      <c r="D399" s="5">
        <v>3208</v>
      </c>
      <c r="E399" s="5">
        <v>320</v>
      </c>
      <c r="F399" s="5">
        <v>1</v>
      </c>
      <c r="G399" s="5">
        <v>2</v>
      </c>
      <c r="H399" s="5">
        <v>80954</v>
      </c>
      <c r="I399" s="5" t="s">
        <v>16</v>
      </c>
      <c r="J399" s="5">
        <v>73867206</v>
      </c>
      <c r="K399" s="5" t="s">
        <v>1193</v>
      </c>
      <c r="L399" s="5" t="s">
        <v>1195</v>
      </c>
      <c r="M399" s="6">
        <v>89900</v>
      </c>
      <c r="N399" s="7">
        <v>0.9</v>
      </c>
      <c r="O399" s="6">
        <f t="shared" si="14"/>
        <v>8990</v>
      </c>
      <c r="P399" s="5" t="s">
        <v>504</v>
      </c>
    </row>
    <row r="400" spans="1:16" x14ac:dyDescent="0.35">
      <c r="A400" s="5" t="str">
        <f t="shared" si="13"/>
        <v>2022 All Items D90</v>
      </c>
      <c r="B400" s="8">
        <f>'ALL 2024 H2 D80'!$B$2</f>
        <v>46114</v>
      </c>
      <c r="C400" s="8">
        <f>'ALL 2024 H2 D80'!$C$2</f>
        <v>46120</v>
      </c>
      <c r="D400" s="5">
        <v>3208</v>
      </c>
      <c r="E400" s="5">
        <v>320</v>
      </c>
      <c r="F400" s="5">
        <v>1</v>
      </c>
      <c r="G400" s="5">
        <v>2</v>
      </c>
      <c r="H400" s="5">
        <v>80954</v>
      </c>
      <c r="I400" s="5" t="s">
        <v>16</v>
      </c>
      <c r="J400" s="5">
        <v>73867331</v>
      </c>
      <c r="K400" s="5" t="s">
        <v>1196</v>
      </c>
      <c r="L400" s="5" t="s">
        <v>1197</v>
      </c>
      <c r="M400" s="6">
        <v>129900</v>
      </c>
      <c r="N400" s="7">
        <v>0.9</v>
      </c>
      <c r="O400" s="6">
        <f t="shared" si="14"/>
        <v>12990</v>
      </c>
      <c r="P400" s="5" t="s">
        <v>504</v>
      </c>
    </row>
    <row r="401" spans="1:16" x14ac:dyDescent="0.35">
      <c r="A401" s="5" t="str">
        <f t="shared" si="13"/>
        <v>2022 All Items D90</v>
      </c>
      <c r="B401" s="8">
        <f>'ALL 2024 H2 D80'!$B$2</f>
        <v>46114</v>
      </c>
      <c r="C401" s="8">
        <f>'ALL 2024 H2 D80'!$C$2</f>
        <v>46120</v>
      </c>
      <c r="D401" s="5">
        <v>3208</v>
      </c>
      <c r="E401" s="5">
        <v>320</v>
      </c>
      <c r="F401" s="5">
        <v>1</v>
      </c>
      <c r="G401" s="5">
        <v>2</v>
      </c>
      <c r="H401" s="5">
        <v>80954</v>
      </c>
      <c r="I401" s="5" t="s">
        <v>16</v>
      </c>
      <c r="J401" s="5">
        <v>73867340</v>
      </c>
      <c r="K401" s="5" t="s">
        <v>1196</v>
      </c>
      <c r="L401" s="5" t="s">
        <v>1198</v>
      </c>
      <c r="M401" s="6">
        <v>129900</v>
      </c>
      <c r="N401" s="7">
        <v>0.9</v>
      </c>
      <c r="O401" s="6">
        <f t="shared" si="14"/>
        <v>12990</v>
      </c>
      <c r="P401" s="5" t="s">
        <v>504</v>
      </c>
    </row>
    <row r="402" spans="1:16" x14ac:dyDescent="0.35">
      <c r="A402" s="5" t="str">
        <f t="shared" si="13"/>
        <v>2022 All Items D90</v>
      </c>
      <c r="B402" s="8">
        <f>'ALL 2024 H2 D80'!$B$2</f>
        <v>46114</v>
      </c>
      <c r="C402" s="8">
        <f>'ALL 2024 H2 D80'!$C$2</f>
        <v>46120</v>
      </c>
      <c r="D402" s="5">
        <v>3208</v>
      </c>
      <c r="E402" s="5">
        <v>320</v>
      </c>
      <c r="F402" s="5">
        <v>1</v>
      </c>
      <c r="G402" s="5">
        <v>2</v>
      </c>
      <c r="H402" s="5">
        <v>80954</v>
      </c>
      <c r="I402" s="5" t="s">
        <v>16</v>
      </c>
      <c r="J402" s="5">
        <v>73867359</v>
      </c>
      <c r="K402" s="5" t="s">
        <v>1196</v>
      </c>
      <c r="L402" s="5" t="s">
        <v>1199</v>
      </c>
      <c r="M402" s="6">
        <v>129900</v>
      </c>
      <c r="N402" s="7">
        <v>0.9</v>
      </c>
      <c r="O402" s="6">
        <f t="shared" si="14"/>
        <v>12990</v>
      </c>
      <c r="P402" s="5" t="s">
        <v>504</v>
      </c>
    </row>
    <row r="403" spans="1:16" x14ac:dyDescent="0.35">
      <c r="A403" s="5" t="str">
        <f t="shared" si="13"/>
        <v>2022 All Items D90</v>
      </c>
      <c r="B403" s="8">
        <f>'ALL 2024 H2 D80'!$B$2</f>
        <v>46114</v>
      </c>
      <c r="C403" s="8">
        <f>'ALL 2024 H2 D80'!$C$2</f>
        <v>46120</v>
      </c>
      <c r="D403" s="5">
        <v>3208</v>
      </c>
      <c r="E403" s="5">
        <v>320</v>
      </c>
      <c r="F403" s="5">
        <v>1</v>
      </c>
      <c r="G403" s="5">
        <v>2</v>
      </c>
      <c r="H403" s="5">
        <v>80954</v>
      </c>
      <c r="I403" s="5" t="s">
        <v>16</v>
      </c>
      <c r="J403" s="5">
        <v>73867368</v>
      </c>
      <c r="K403" s="5" t="s">
        <v>1196</v>
      </c>
      <c r="L403" s="5" t="s">
        <v>1200</v>
      </c>
      <c r="M403" s="6">
        <v>129900</v>
      </c>
      <c r="N403" s="7">
        <v>0.9</v>
      </c>
      <c r="O403" s="6">
        <f t="shared" si="14"/>
        <v>12990</v>
      </c>
      <c r="P403" s="5" t="s">
        <v>504</v>
      </c>
    </row>
    <row r="404" spans="1:16" x14ac:dyDescent="0.35">
      <c r="A404" s="5" t="str">
        <f t="shared" si="13"/>
        <v>2022 All Items D90</v>
      </c>
      <c r="B404" s="8">
        <f>'ALL 2024 H2 D80'!$B$2</f>
        <v>46114</v>
      </c>
      <c r="C404" s="8">
        <f>'ALL 2024 H2 D80'!$C$2</f>
        <v>46120</v>
      </c>
      <c r="D404" s="5">
        <v>3208</v>
      </c>
      <c r="E404" s="5">
        <v>320</v>
      </c>
      <c r="F404" s="5">
        <v>1</v>
      </c>
      <c r="G404" s="5">
        <v>2</v>
      </c>
      <c r="H404" s="5">
        <v>80954</v>
      </c>
      <c r="I404" s="5" t="s">
        <v>16</v>
      </c>
      <c r="J404" s="5">
        <v>73867386</v>
      </c>
      <c r="K404" s="5" t="s">
        <v>1196</v>
      </c>
      <c r="L404" s="5" t="s">
        <v>1201</v>
      </c>
      <c r="M404" s="6">
        <v>129900</v>
      </c>
      <c r="N404" s="7">
        <v>0.9</v>
      </c>
      <c r="O404" s="6">
        <f t="shared" si="14"/>
        <v>12990</v>
      </c>
      <c r="P404" s="5" t="s">
        <v>504</v>
      </c>
    </row>
    <row r="405" spans="1:16" x14ac:dyDescent="0.35">
      <c r="A405" s="5" t="str">
        <f t="shared" si="13"/>
        <v>2022 All Items D90</v>
      </c>
      <c r="B405" s="8">
        <f>'ALL 2024 H2 D80'!$B$2</f>
        <v>46114</v>
      </c>
      <c r="C405" s="8">
        <f>'ALL 2024 H2 D80'!$C$2</f>
        <v>46120</v>
      </c>
      <c r="D405" s="5">
        <v>3208</v>
      </c>
      <c r="E405" s="5">
        <v>320</v>
      </c>
      <c r="F405" s="5">
        <v>1</v>
      </c>
      <c r="G405" s="5">
        <v>2</v>
      </c>
      <c r="H405" s="5">
        <v>80954</v>
      </c>
      <c r="I405" s="5" t="s">
        <v>16</v>
      </c>
      <c r="J405" s="5">
        <v>73867395</v>
      </c>
      <c r="K405" s="5" t="s">
        <v>1196</v>
      </c>
      <c r="L405" s="5" t="s">
        <v>1202</v>
      </c>
      <c r="M405" s="6">
        <v>129900</v>
      </c>
      <c r="N405" s="7">
        <v>0.9</v>
      </c>
      <c r="O405" s="6">
        <f t="shared" si="14"/>
        <v>12990</v>
      </c>
      <c r="P405" s="5" t="s">
        <v>504</v>
      </c>
    </row>
    <row r="406" spans="1:16" x14ac:dyDescent="0.35">
      <c r="A406" s="5" t="str">
        <f t="shared" si="13"/>
        <v>2022 All Items D90</v>
      </c>
      <c r="B406" s="8">
        <f>'ALL 2024 H2 D80'!$B$2</f>
        <v>46114</v>
      </c>
      <c r="C406" s="8">
        <f>'ALL 2024 H2 D80'!$C$2</f>
        <v>46120</v>
      </c>
      <c r="D406" s="5">
        <v>3208</v>
      </c>
      <c r="E406" s="5">
        <v>320</v>
      </c>
      <c r="F406" s="5">
        <v>1</v>
      </c>
      <c r="G406" s="5">
        <v>2</v>
      </c>
      <c r="H406" s="5">
        <v>80954</v>
      </c>
      <c r="I406" s="5" t="s">
        <v>16</v>
      </c>
      <c r="J406" s="5">
        <v>73867402</v>
      </c>
      <c r="K406" s="5" t="s">
        <v>1196</v>
      </c>
      <c r="L406" s="5" t="s">
        <v>1203</v>
      </c>
      <c r="M406" s="6">
        <v>129900</v>
      </c>
      <c r="N406" s="7">
        <v>0.9</v>
      </c>
      <c r="O406" s="6">
        <f t="shared" si="14"/>
        <v>12990</v>
      </c>
      <c r="P406" s="5" t="s">
        <v>504</v>
      </c>
    </row>
    <row r="407" spans="1:16" x14ac:dyDescent="0.35">
      <c r="A407" s="5" t="str">
        <f t="shared" si="13"/>
        <v>2022 All Items D90</v>
      </c>
      <c r="B407" s="8">
        <f>'ALL 2024 H2 D80'!$B$2</f>
        <v>46114</v>
      </c>
      <c r="C407" s="8">
        <f>'ALL 2024 H2 D80'!$C$2</f>
        <v>46120</v>
      </c>
      <c r="D407" s="5">
        <v>3208</v>
      </c>
      <c r="E407" s="5">
        <v>320</v>
      </c>
      <c r="F407" s="5">
        <v>1</v>
      </c>
      <c r="G407" s="5">
        <v>2</v>
      </c>
      <c r="H407" s="5">
        <v>80954</v>
      </c>
      <c r="I407" s="5" t="s">
        <v>16</v>
      </c>
      <c r="J407" s="5">
        <v>73867699</v>
      </c>
      <c r="K407" s="5" t="s">
        <v>1204</v>
      </c>
      <c r="L407" s="5" t="s">
        <v>1205</v>
      </c>
      <c r="M407" s="6">
        <v>89900</v>
      </c>
      <c r="N407" s="7">
        <v>0.9</v>
      </c>
      <c r="O407" s="6">
        <f t="shared" si="14"/>
        <v>8990</v>
      </c>
      <c r="P407" s="5" t="s">
        <v>504</v>
      </c>
    </row>
    <row r="408" spans="1:16" x14ac:dyDescent="0.35">
      <c r="A408" s="5" t="str">
        <f t="shared" si="13"/>
        <v>2022 All Items D90</v>
      </c>
      <c r="B408" s="8">
        <f>'ALL 2024 H2 D80'!$B$2</f>
        <v>46114</v>
      </c>
      <c r="C408" s="8">
        <f>'ALL 2024 H2 D80'!$C$2</f>
        <v>46120</v>
      </c>
      <c r="D408" s="5">
        <v>3208</v>
      </c>
      <c r="E408" s="5">
        <v>320</v>
      </c>
      <c r="F408" s="5">
        <v>1</v>
      </c>
      <c r="G408" s="5">
        <v>2</v>
      </c>
      <c r="H408" s="5">
        <v>80954</v>
      </c>
      <c r="I408" s="5" t="s">
        <v>16</v>
      </c>
      <c r="J408" s="5">
        <v>73867715</v>
      </c>
      <c r="K408" s="5" t="s">
        <v>1204</v>
      </c>
      <c r="L408" s="5" t="s">
        <v>1206</v>
      </c>
      <c r="M408" s="6">
        <v>89900</v>
      </c>
      <c r="N408" s="7">
        <v>0.9</v>
      </c>
      <c r="O408" s="6">
        <f t="shared" si="14"/>
        <v>8990</v>
      </c>
      <c r="P408" s="5" t="s">
        <v>504</v>
      </c>
    </row>
    <row r="409" spans="1:16" x14ac:dyDescent="0.35">
      <c r="A409" s="5" t="str">
        <f t="shared" si="13"/>
        <v>2022 All Items D90</v>
      </c>
      <c r="B409" s="8">
        <f>'ALL 2024 H2 D80'!$B$2</f>
        <v>46114</v>
      </c>
      <c r="C409" s="8">
        <f>'ALL 2024 H2 D80'!$C$2</f>
        <v>46120</v>
      </c>
      <c r="D409" s="5">
        <v>3208</v>
      </c>
      <c r="E409" s="5">
        <v>320</v>
      </c>
      <c r="F409" s="5">
        <v>1</v>
      </c>
      <c r="G409" s="5">
        <v>2</v>
      </c>
      <c r="H409" s="5">
        <v>80954</v>
      </c>
      <c r="I409" s="5" t="s">
        <v>16</v>
      </c>
      <c r="J409" s="5">
        <v>73867724</v>
      </c>
      <c r="K409" s="5" t="s">
        <v>1204</v>
      </c>
      <c r="L409" s="5" t="s">
        <v>1207</v>
      </c>
      <c r="M409" s="6">
        <v>89900</v>
      </c>
      <c r="N409" s="7">
        <v>0.9</v>
      </c>
      <c r="O409" s="6">
        <f t="shared" si="14"/>
        <v>8990</v>
      </c>
      <c r="P409" s="5" t="s">
        <v>504</v>
      </c>
    </row>
    <row r="410" spans="1:16" x14ac:dyDescent="0.35">
      <c r="A410" s="5" t="str">
        <f t="shared" si="13"/>
        <v>2022 All Items D90</v>
      </c>
      <c r="B410" s="8">
        <f>'ALL 2024 H2 D80'!$B$2</f>
        <v>46114</v>
      </c>
      <c r="C410" s="8">
        <f>'ALL 2024 H2 D80'!$C$2</f>
        <v>46120</v>
      </c>
      <c r="D410" s="5">
        <v>3208</v>
      </c>
      <c r="E410" s="5">
        <v>320</v>
      </c>
      <c r="F410" s="5">
        <v>1</v>
      </c>
      <c r="G410" s="5">
        <v>2</v>
      </c>
      <c r="H410" s="5">
        <v>80954</v>
      </c>
      <c r="I410" s="5" t="s">
        <v>16</v>
      </c>
      <c r="J410" s="5">
        <v>73867733</v>
      </c>
      <c r="K410" s="5" t="s">
        <v>1204</v>
      </c>
      <c r="L410" s="5" t="s">
        <v>1208</v>
      </c>
      <c r="M410" s="6">
        <v>89900</v>
      </c>
      <c r="N410" s="7">
        <v>0.9</v>
      </c>
      <c r="O410" s="6">
        <f t="shared" si="14"/>
        <v>8990</v>
      </c>
      <c r="P410" s="5" t="s">
        <v>504</v>
      </c>
    </row>
    <row r="411" spans="1:16" x14ac:dyDescent="0.35">
      <c r="A411" s="5" t="str">
        <f t="shared" si="13"/>
        <v>2022 All Items D90</v>
      </c>
      <c r="B411" s="8">
        <f>'ALL 2024 H2 D80'!$B$2</f>
        <v>46114</v>
      </c>
      <c r="C411" s="8">
        <f>'ALL 2024 H2 D80'!$C$2</f>
        <v>46120</v>
      </c>
      <c r="D411" s="5">
        <v>3208</v>
      </c>
      <c r="E411" s="5">
        <v>320</v>
      </c>
      <c r="F411" s="5">
        <v>1</v>
      </c>
      <c r="G411" s="5">
        <v>2</v>
      </c>
      <c r="H411" s="5">
        <v>80954</v>
      </c>
      <c r="I411" s="5" t="s">
        <v>16</v>
      </c>
      <c r="J411" s="5">
        <v>73867742</v>
      </c>
      <c r="K411" s="5" t="s">
        <v>1204</v>
      </c>
      <c r="L411" s="5" t="s">
        <v>1209</v>
      </c>
      <c r="M411" s="6">
        <v>89900</v>
      </c>
      <c r="N411" s="7">
        <v>0.9</v>
      </c>
      <c r="O411" s="6">
        <f t="shared" si="14"/>
        <v>8990</v>
      </c>
      <c r="P411" s="5" t="s">
        <v>504</v>
      </c>
    </row>
    <row r="412" spans="1:16" x14ac:dyDescent="0.35">
      <c r="A412" s="5" t="str">
        <f t="shared" si="13"/>
        <v>2022 All Items D90</v>
      </c>
      <c r="B412" s="8">
        <f>'ALL 2024 H2 D80'!$B$2</f>
        <v>46114</v>
      </c>
      <c r="C412" s="8">
        <f>'ALL 2024 H2 D80'!$C$2</f>
        <v>46120</v>
      </c>
      <c r="D412" s="5">
        <v>3208</v>
      </c>
      <c r="E412" s="5">
        <v>320</v>
      </c>
      <c r="F412" s="5">
        <v>1</v>
      </c>
      <c r="G412" s="5">
        <v>2</v>
      </c>
      <c r="H412" s="5">
        <v>80954</v>
      </c>
      <c r="I412" s="5" t="s">
        <v>16</v>
      </c>
      <c r="J412" s="5">
        <v>73867751</v>
      </c>
      <c r="K412" s="5" t="s">
        <v>1204</v>
      </c>
      <c r="L412" s="5" t="s">
        <v>1210</v>
      </c>
      <c r="M412" s="6">
        <v>89900</v>
      </c>
      <c r="N412" s="7">
        <v>0.9</v>
      </c>
      <c r="O412" s="6">
        <f t="shared" si="14"/>
        <v>8990</v>
      </c>
      <c r="P412" s="5" t="s">
        <v>504</v>
      </c>
    </row>
    <row r="413" spans="1:16" x14ac:dyDescent="0.35">
      <c r="A413" s="5" t="str">
        <f t="shared" si="13"/>
        <v>2022 All Items D90</v>
      </c>
      <c r="B413" s="8">
        <f>'ALL 2024 H2 D80'!$B$2</f>
        <v>46114</v>
      </c>
      <c r="C413" s="8">
        <f>'ALL 2024 H2 D80'!$C$2</f>
        <v>46120</v>
      </c>
      <c r="D413" s="5">
        <v>3208</v>
      </c>
      <c r="E413" s="5">
        <v>320</v>
      </c>
      <c r="F413" s="5">
        <v>1</v>
      </c>
      <c r="G413" s="5">
        <v>2</v>
      </c>
      <c r="H413" s="5">
        <v>80954</v>
      </c>
      <c r="I413" s="5" t="s">
        <v>16</v>
      </c>
      <c r="J413" s="5">
        <v>73867760</v>
      </c>
      <c r="K413" s="5" t="s">
        <v>1204</v>
      </c>
      <c r="L413" s="5" t="s">
        <v>1211</v>
      </c>
      <c r="M413" s="6">
        <v>89900</v>
      </c>
      <c r="N413" s="7">
        <v>0.9</v>
      </c>
      <c r="O413" s="6">
        <f t="shared" si="14"/>
        <v>8990</v>
      </c>
      <c r="P413" s="5" t="s">
        <v>504</v>
      </c>
    </row>
    <row r="414" spans="1:16" x14ac:dyDescent="0.35">
      <c r="A414" s="5" t="str">
        <f t="shared" si="13"/>
        <v>2022 All Items D90</v>
      </c>
      <c r="B414" s="8">
        <f>'ALL 2024 H2 D80'!$B$2</f>
        <v>46114</v>
      </c>
      <c r="C414" s="8">
        <f>'ALL 2024 H2 D80'!$C$2</f>
        <v>46120</v>
      </c>
      <c r="D414" s="5">
        <v>3208</v>
      </c>
      <c r="E414" s="5">
        <v>320</v>
      </c>
      <c r="F414" s="5">
        <v>1</v>
      </c>
      <c r="G414" s="5">
        <v>2</v>
      </c>
      <c r="H414" s="5">
        <v>80954</v>
      </c>
      <c r="I414" s="5" t="s">
        <v>16</v>
      </c>
      <c r="J414" s="5">
        <v>75733338</v>
      </c>
      <c r="K414" s="5" t="s">
        <v>1212</v>
      </c>
      <c r="L414" s="5" t="s">
        <v>1213</v>
      </c>
      <c r="M414" s="6">
        <v>89900</v>
      </c>
      <c r="N414" s="7">
        <v>0.9</v>
      </c>
      <c r="O414" s="6">
        <f t="shared" si="14"/>
        <v>8990</v>
      </c>
      <c r="P414" s="5" t="s">
        <v>504</v>
      </c>
    </row>
    <row r="415" spans="1:16" x14ac:dyDescent="0.35">
      <c r="A415" s="5" t="str">
        <f t="shared" si="13"/>
        <v>2022 All Items D90</v>
      </c>
      <c r="B415" s="8">
        <f>'ALL 2024 H2 D80'!$B$2</f>
        <v>46114</v>
      </c>
      <c r="C415" s="8">
        <f>'ALL 2024 H2 D80'!$C$2</f>
        <v>46120</v>
      </c>
      <c r="D415" s="5">
        <v>3208</v>
      </c>
      <c r="E415" s="5">
        <v>320</v>
      </c>
      <c r="F415" s="5">
        <v>1</v>
      </c>
      <c r="G415" s="5">
        <v>2</v>
      </c>
      <c r="H415" s="5">
        <v>80954</v>
      </c>
      <c r="I415" s="5" t="s">
        <v>16</v>
      </c>
      <c r="J415" s="5">
        <v>75733347</v>
      </c>
      <c r="K415" s="5" t="s">
        <v>1212</v>
      </c>
      <c r="L415" s="5" t="s">
        <v>1214</v>
      </c>
      <c r="M415" s="6">
        <v>89900</v>
      </c>
      <c r="N415" s="7">
        <v>0.9</v>
      </c>
      <c r="O415" s="6">
        <f t="shared" si="14"/>
        <v>8990</v>
      </c>
      <c r="P415" s="5" t="s">
        <v>504</v>
      </c>
    </row>
    <row r="416" spans="1:16" x14ac:dyDescent="0.35">
      <c r="A416" s="5" t="str">
        <f t="shared" si="13"/>
        <v>2022 All Items D90</v>
      </c>
      <c r="B416" s="8">
        <f>'ALL 2024 H2 D80'!$B$2</f>
        <v>46114</v>
      </c>
      <c r="C416" s="8">
        <f>'ALL 2024 H2 D80'!$C$2</f>
        <v>46120</v>
      </c>
      <c r="D416" s="5">
        <v>3208</v>
      </c>
      <c r="E416" s="5">
        <v>320</v>
      </c>
      <c r="F416" s="5">
        <v>1</v>
      </c>
      <c r="G416" s="5">
        <v>2</v>
      </c>
      <c r="H416" s="5">
        <v>80954</v>
      </c>
      <c r="I416" s="5" t="s">
        <v>16</v>
      </c>
      <c r="J416" s="5">
        <v>75733365</v>
      </c>
      <c r="K416" s="5" t="s">
        <v>1212</v>
      </c>
      <c r="L416" s="5" t="s">
        <v>1215</v>
      </c>
      <c r="M416" s="6">
        <v>89900</v>
      </c>
      <c r="N416" s="7">
        <v>0.9</v>
      </c>
      <c r="O416" s="6">
        <f t="shared" si="14"/>
        <v>8990</v>
      </c>
      <c r="P416" s="5" t="s">
        <v>504</v>
      </c>
    </row>
    <row r="417" spans="1:16" x14ac:dyDescent="0.35">
      <c r="A417" s="5" t="str">
        <f t="shared" si="13"/>
        <v>2022 All Items D90</v>
      </c>
      <c r="B417" s="8">
        <f>'ALL 2024 H2 D80'!$B$2</f>
        <v>46114</v>
      </c>
      <c r="C417" s="8">
        <f>'ALL 2024 H2 D80'!$C$2</f>
        <v>46120</v>
      </c>
      <c r="D417" s="5">
        <v>3208</v>
      </c>
      <c r="E417" s="5">
        <v>320</v>
      </c>
      <c r="F417" s="5">
        <v>1</v>
      </c>
      <c r="G417" s="5">
        <v>2</v>
      </c>
      <c r="H417" s="5">
        <v>80954</v>
      </c>
      <c r="I417" s="5" t="s">
        <v>16</v>
      </c>
      <c r="J417" s="5">
        <v>75733383</v>
      </c>
      <c r="K417" s="5" t="s">
        <v>1216</v>
      </c>
      <c r="L417" s="5" t="s">
        <v>1217</v>
      </c>
      <c r="M417" s="6">
        <v>89900</v>
      </c>
      <c r="N417" s="7">
        <v>0.9</v>
      </c>
      <c r="O417" s="6">
        <f t="shared" si="14"/>
        <v>8990</v>
      </c>
      <c r="P417" s="5" t="s">
        <v>504</v>
      </c>
    </row>
    <row r="418" spans="1:16" x14ac:dyDescent="0.35">
      <c r="A418" s="5" t="str">
        <f t="shared" si="13"/>
        <v>2022 All Items D90</v>
      </c>
      <c r="B418" s="8">
        <f>'ALL 2024 H2 D80'!$B$2</f>
        <v>46114</v>
      </c>
      <c r="C418" s="8">
        <f>'ALL 2024 H2 D80'!$C$2</f>
        <v>46120</v>
      </c>
      <c r="D418" s="5">
        <v>3208</v>
      </c>
      <c r="E418" s="5">
        <v>320</v>
      </c>
      <c r="F418" s="5">
        <v>1</v>
      </c>
      <c r="G418" s="5">
        <v>2</v>
      </c>
      <c r="H418" s="5">
        <v>80954</v>
      </c>
      <c r="I418" s="5" t="s">
        <v>16</v>
      </c>
      <c r="J418" s="5">
        <v>75733392</v>
      </c>
      <c r="K418" s="5" t="s">
        <v>1216</v>
      </c>
      <c r="L418" s="5" t="s">
        <v>1218</v>
      </c>
      <c r="M418" s="6">
        <v>89900</v>
      </c>
      <c r="N418" s="7">
        <v>0.9</v>
      </c>
      <c r="O418" s="6">
        <f t="shared" si="14"/>
        <v>8990</v>
      </c>
      <c r="P418" s="5" t="s">
        <v>504</v>
      </c>
    </row>
    <row r="419" spans="1:16" x14ac:dyDescent="0.35">
      <c r="A419" s="5" t="str">
        <f t="shared" si="13"/>
        <v>2022 All Items D90</v>
      </c>
      <c r="B419" s="8">
        <f>'ALL 2024 H2 D80'!$B$2</f>
        <v>46114</v>
      </c>
      <c r="C419" s="8">
        <f>'ALL 2024 H2 D80'!$C$2</f>
        <v>46120</v>
      </c>
      <c r="D419" s="5">
        <v>3208</v>
      </c>
      <c r="E419" s="5">
        <v>320</v>
      </c>
      <c r="F419" s="5">
        <v>1</v>
      </c>
      <c r="G419" s="5">
        <v>2</v>
      </c>
      <c r="H419" s="5">
        <v>80954</v>
      </c>
      <c r="I419" s="5" t="s">
        <v>16</v>
      </c>
      <c r="J419" s="5">
        <v>75733409</v>
      </c>
      <c r="K419" s="5" t="s">
        <v>1216</v>
      </c>
      <c r="L419" s="5" t="s">
        <v>1219</v>
      </c>
      <c r="M419" s="6">
        <v>89900</v>
      </c>
      <c r="N419" s="7">
        <v>0.9</v>
      </c>
      <c r="O419" s="6">
        <f t="shared" si="14"/>
        <v>8990</v>
      </c>
      <c r="P419" s="5" t="s">
        <v>504</v>
      </c>
    </row>
    <row r="420" spans="1:16" x14ac:dyDescent="0.35">
      <c r="A420" s="5" t="str">
        <f t="shared" si="13"/>
        <v>2022 All Items D90</v>
      </c>
      <c r="B420" s="8">
        <f>'ALL 2024 H2 D80'!$B$2</f>
        <v>46114</v>
      </c>
      <c r="C420" s="8">
        <f>'ALL 2024 H2 D80'!$C$2</f>
        <v>46120</v>
      </c>
      <c r="D420" s="5">
        <v>3208</v>
      </c>
      <c r="E420" s="5">
        <v>320</v>
      </c>
      <c r="F420" s="5">
        <v>1</v>
      </c>
      <c r="G420" s="5">
        <v>2</v>
      </c>
      <c r="H420" s="5">
        <v>80954</v>
      </c>
      <c r="I420" s="5" t="s">
        <v>16</v>
      </c>
      <c r="J420" s="5">
        <v>76098818</v>
      </c>
      <c r="K420" s="5" t="s">
        <v>1220</v>
      </c>
      <c r="L420" s="5" t="s">
        <v>1221</v>
      </c>
      <c r="M420" s="6">
        <v>109900</v>
      </c>
      <c r="N420" s="7">
        <v>0.9</v>
      </c>
      <c r="O420" s="6">
        <f t="shared" si="14"/>
        <v>10990</v>
      </c>
      <c r="P420" s="5" t="s">
        <v>504</v>
      </c>
    </row>
    <row r="421" spans="1:16" x14ac:dyDescent="0.35">
      <c r="A421" s="5" t="str">
        <f t="shared" si="13"/>
        <v>2022 All Items D90</v>
      </c>
      <c r="B421" s="8">
        <f>'ALL 2024 H2 D80'!$B$2</f>
        <v>46114</v>
      </c>
      <c r="C421" s="8">
        <f>'ALL 2024 H2 D80'!$C$2</f>
        <v>46120</v>
      </c>
      <c r="D421" s="5">
        <v>3208</v>
      </c>
      <c r="E421" s="5">
        <v>320</v>
      </c>
      <c r="F421" s="5">
        <v>1</v>
      </c>
      <c r="G421" s="5">
        <v>2</v>
      </c>
      <c r="H421" s="5">
        <v>80954</v>
      </c>
      <c r="I421" s="5" t="s">
        <v>16</v>
      </c>
      <c r="J421" s="5">
        <v>76098827</v>
      </c>
      <c r="K421" s="5" t="s">
        <v>1220</v>
      </c>
      <c r="L421" s="5" t="s">
        <v>1222</v>
      </c>
      <c r="M421" s="6">
        <v>109900</v>
      </c>
      <c r="N421" s="7">
        <v>0.9</v>
      </c>
      <c r="O421" s="6">
        <f t="shared" si="14"/>
        <v>10990</v>
      </c>
      <c r="P421" s="5" t="s">
        <v>504</v>
      </c>
    </row>
    <row r="422" spans="1:16" x14ac:dyDescent="0.35">
      <c r="A422" s="5" t="str">
        <f t="shared" si="13"/>
        <v>2022 All Items D90</v>
      </c>
      <c r="B422" s="8">
        <f>'ALL 2024 H2 D80'!$B$2</f>
        <v>46114</v>
      </c>
      <c r="C422" s="8">
        <f>'ALL 2024 H2 D80'!$C$2</f>
        <v>46120</v>
      </c>
      <c r="D422" s="5">
        <v>3208</v>
      </c>
      <c r="E422" s="5">
        <v>320</v>
      </c>
      <c r="F422" s="5">
        <v>1</v>
      </c>
      <c r="G422" s="5">
        <v>2</v>
      </c>
      <c r="H422" s="5">
        <v>80954</v>
      </c>
      <c r="I422" s="5" t="s">
        <v>16</v>
      </c>
      <c r="J422" s="5">
        <v>76098836</v>
      </c>
      <c r="K422" s="5" t="s">
        <v>1220</v>
      </c>
      <c r="L422" s="5" t="s">
        <v>1223</v>
      </c>
      <c r="M422" s="6">
        <v>109900</v>
      </c>
      <c r="N422" s="7">
        <v>0.9</v>
      </c>
      <c r="O422" s="6">
        <f t="shared" si="14"/>
        <v>10990</v>
      </c>
      <c r="P422" s="5" t="s">
        <v>504</v>
      </c>
    </row>
    <row r="423" spans="1:16" x14ac:dyDescent="0.35">
      <c r="A423" s="5" t="str">
        <f t="shared" si="13"/>
        <v>2022 All Items D90</v>
      </c>
      <c r="B423" s="8">
        <f>'ALL 2024 H2 D80'!$B$2</f>
        <v>46114</v>
      </c>
      <c r="C423" s="8">
        <f>'ALL 2024 H2 D80'!$C$2</f>
        <v>46120</v>
      </c>
      <c r="D423" s="5">
        <v>3208</v>
      </c>
      <c r="E423" s="5">
        <v>320</v>
      </c>
      <c r="F423" s="5">
        <v>1</v>
      </c>
      <c r="G423" s="5">
        <v>2</v>
      </c>
      <c r="H423" s="5">
        <v>80954</v>
      </c>
      <c r="I423" s="5" t="s">
        <v>16</v>
      </c>
      <c r="J423" s="5">
        <v>76705107</v>
      </c>
      <c r="K423" s="5" t="s">
        <v>151</v>
      </c>
      <c r="L423" s="5" t="s">
        <v>1224</v>
      </c>
      <c r="M423" s="6">
        <v>139900</v>
      </c>
      <c r="N423" s="7">
        <v>0.9</v>
      </c>
      <c r="O423" s="6">
        <f t="shared" si="14"/>
        <v>13990</v>
      </c>
      <c r="P423" s="5" t="s">
        <v>504</v>
      </c>
    </row>
    <row r="424" spans="1:16" x14ac:dyDescent="0.35">
      <c r="A424" s="5" t="str">
        <f t="shared" si="13"/>
        <v>2022 All Items D90</v>
      </c>
      <c r="B424" s="8">
        <f>'ALL 2024 H2 D80'!$B$2</f>
        <v>46114</v>
      </c>
      <c r="C424" s="8">
        <f>'ALL 2024 H2 D80'!$C$2</f>
        <v>46120</v>
      </c>
      <c r="D424" s="5">
        <v>3208</v>
      </c>
      <c r="E424" s="5">
        <v>320</v>
      </c>
      <c r="F424" s="5">
        <v>1</v>
      </c>
      <c r="G424" s="5">
        <v>2</v>
      </c>
      <c r="H424" s="5">
        <v>80954</v>
      </c>
      <c r="I424" s="5" t="s">
        <v>16</v>
      </c>
      <c r="J424" s="5">
        <v>76705116</v>
      </c>
      <c r="K424" s="5" t="s">
        <v>151</v>
      </c>
      <c r="L424" s="5" t="s">
        <v>1225</v>
      </c>
      <c r="M424" s="6">
        <v>139900</v>
      </c>
      <c r="N424" s="7">
        <v>0.9</v>
      </c>
      <c r="O424" s="6">
        <f t="shared" si="14"/>
        <v>13990</v>
      </c>
      <c r="P424" s="5" t="s">
        <v>504</v>
      </c>
    </row>
    <row r="425" spans="1:16" x14ac:dyDescent="0.35">
      <c r="A425" s="5" t="str">
        <f t="shared" si="13"/>
        <v>2022 All Items D90</v>
      </c>
      <c r="B425" s="8">
        <f>'ALL 2024 H2 D80'!$B$2</f>
        <v>46114</v>
      </c>
      <c r="C425" s="8">
        <f>'ALL 2024 H2 D80'!$C$2</f>
        <v>46120</v>
      </c>
      <c r="D425" s="5">
        <v>3208</v>
      </c>
      <c r="E425" s="5">
        <v>320</v>
      </c>
      <c r="F425" s="5">
        <v>1</v>
      </c>
      <c r="G425" s="5">
        <v>2</v>
      </c>
      <c r="H425" s="5">
        <v>80954</v>
      </c>
      <c r="I425" s="5" t="s">
        <v>16</v>
      </c>
      <c r="J425" s="5">
        <v>76705125</v>
      </c>
      <c r="K425" s="5" t="s">
        <v>151</v>
      </c>
      <c r="L425" s="5" t="s">
        <v>1226</v>
      </c>
      <c r="M425" s="6">
        <v>139900</v>
      </c>
      <c r="N425" s="7">
        <v>0.9</v>
      </c>
      <c r="O425" s="6">
        <f t="shared" si="14"/>
        <v>13990</v>
      </c>
      <c r="P425" s="5" t="s">
        <v>504</v>
      </c>
    </row>
    <row r="426" spans="1:16" x14ac:dyDescent="0.35">
      <c r="A426" s="5" t="str">
        <f t="shared" si="13"/>
        <v>2022 All Items D90</v>
      </c>
      <c r="B426" s="8">
        <f>'ALL 2024 H2 D80'!$B$2</f>
        <v>46114</v>
      </c>
      <c r="C426" s="8">
        <f>'ALL 2024 H2 D80'!$C$2</f>
        <v>46120</v>
      </c>
      <c r="D426" s="5">
        <v>3208</v>
      </c>
      <c r="E426" s="5">
        <v>320</v>
      </c>
      <c r="F426" s="5">
        <v>1</v>
      </c>
      <c r="G426" s="5">
        <v>2</v>
      </c>
      <c r="H426" s="5">
        <v>80954</v>
      </c>
      <c r="I426" s="5" t="s">
        <v>16</v>
      </c>
      <c r="J426" s="5">
        <v>76705134</v>
      </c>
      <c r="K426" s="5" t="s">
        <v>151</v>
      </c>
      <c r="L426" s="5" t="s">
        <v>1227</v>
      </c>
      <c r="M426" s="6">
        <v>139900</v>
      </c>
      <c r="N426" s="7">
        <v>0.9</v>
      </c>
      <c r="O426" s="6">
        <f t="shared" si="14"/>
        <v>13990</v>
      </c>
      <c r="P426" s="5" t="s">
        <v>504</v>
      </c>
    </row>
    <row r="427" spans="1:16" x14ac:dyDescent="0.35">
      <c r="A427" s="5" t="str">
        <f t="shared" si="13"/>
        <v>2022 All Items D90</v>
      </c>
      <c r="B427" s="8">
        <f>'ALL 2024 H2 D80'!$B$2</f>
        <v>46114</v>
      </c>
      <c r="C427" s="8">
        <f>'ALL 2024 H2 D80'!$C$2</f>
        <v>46120</v>
      </c>
      <c r="D427" s="5">
        <v>3208</v>
      </c>
      <c r="E427" s="5">
        <v>320</v>
      </c>
      <c r="F427" s="5">
        <v>1</v>
      </c>
      <c r="G427" s="5">
        <v>2</v>
      </c>
      <c r="H427" s="5">
        <v>80954</v>
      </c>
      <c r="I427" s="5" t="s">
        <v>16</v>
      </c>
      <c r="J427" s="5">
        <v>76705616</v>
      </c>
      <c r="K427" s="5" t="s">
        <v>1228</v>
      </c>
      <c r="L427" s="5" t="s">
        <v>1229</v>
      </c>
      <c r="M427" s="6">
        <v>89900</v>
      </c>
      <c r="N427" s="7">
        <v>0.9</v>
      </c>
      <c r="O427" s="6">
        <f t="shared" si="14"/>
        <v>8990</v>
      </c>
      <c r="P427" s="5" t="s">
        <v>504</v>
      </c>
    </row>
    <row r="428" spans="1:16" x14ac:dyDescent="0.35">
      <c r="A428" s="5" t="str">
        <f t="shared" si="13"/>
        <v>2022 All Items D90</v>
      </c>
      <c r="B428" s="8">
        <f>'ALL 2024 H2 D80'!$B$2</f>
        <v>46114</v>
      </c>
      <c r="C428" s="8">
        <f>'ALL 2024 H2 D80'!$C$2</f>
        <v>46120</v>
      </c>
      <c r="D428" s="5">
        <v>3208</v>
      </c>
      <c r="E428" s="5">
        <v>320</v>
      </c>
      <c r="F428" s="5">
        <v>1</v>
      </c>
      <c r="G428" s="5">
        <v>2</v>
      </c>
      <c r="H428" s="5">
        <v>80954</v>
      </c>
      <c r="I428" s="5" t="s">
        <v>16</v>
      </c>
      <c r="J428" s="5">
        <v>78793394</v>
      </c>
      <c r="K428" s="5" t="s">
        <v>1230</v>
      </c>
      <c r="L428" s="5" t="s">
        <v>1231</v>
      </c>
      <c r="M428" s="6">
        <v>89900</v>
      </c>
      <c r="N428" s="7">
        <v>0.9</v>
      </c>
      <c r="O428" s="6">
        <f t="shared" si="14"/>
        <v>8990</v>
      </c>
      <c r="P428" s="5" t="s">
        <v>504</v>
      </c>
    </row>
    <row r="429" spans="1:16" x14ac:dyDescent="0.35">
      <c r="A429" s="5" t="str">
        <f t="shared" si="13"/>
        <v>2022 All Items D90</v>
      </c>
      <c r="B429" s="8">
        <f>'ALL 2024 H2 D80'!$B$2</f>
        <v>46114</v>
      </c>
      <c r="C429" s="8">
        <f>'ALL 2024 H2 D80'!$C$2</f>
        <v>46120</v>
      </c>
      <c r="D429" s="5">
        <v>3208</v>
      </c>
      <c r="E429" s="5">
        <v>320</v>
      </c>
      <c r="F429" s="5">
        <v>1</v>
      </c>
      <c r="G429" s="5">
        <v>2</v>
      </c>
      <c r="H429" s="5">
        <v>80954</v>
      </c>
      <c r="I429" s="5" t="s">
        <v>16</v>
      </c>
      <c r="J429" s="5">
        <v>78793410</v>
      </c>
      <c r="K429" s="5" t="s">
        <v>1230</v>
      </c>
      <c r="L429" s="5" t="s">
        <v>1232</v>
      </c>
      <c r="M429" s="6">
        <v>89900</v>
      </c>
      <c r="N429" s="7">
        <v>0.9</v>
      </c>
      <c r="O429" s="6">
        <f t="shared" si="14"/>
        <v>8990</v>
      </c>
      <c r="P429" s="5" t="s">
        <v>504</v>
      </c>
    </row>
    <row r="430" spans="1:16" x14ac:dyDescent="0.35">
      <c r="A430" s="5" t="str">
        <f t="shared" si="13"/>
        <v>2022 All Items D90</v>
      </c>
      <c r="B430" s="8">
        <f>'ALL 2024 H2 D80'!$B$2</f>
        <v>46114</v>
      </c>
      <c r="C430" s="8">
        <f>'ALL 2024 H2 D80'!$C$2</f>
        <v>46120</v>
      </c>
      <c r="D430" s="5">
        <v>3208</v>
      </c>
      <c r="E430" s="5">
        <v>320</v>
      </c>
      <c r="F430" s="5">
        <v>1</v>
      </c>
      <c r="G430" s="5">
        <v>2</v>
      </c>
      <c r="H430" s="5">
        <v>80954</v>
      </c>
      <c r="I430" s="5" t="s">
        <v>16</v>
      </c>
      <c r="J430" s="5">
        <v>78793429</v>
      </c>
      <c r="K430" s="5" t="s">
        <v>1230</v>
      </c>
      <c r="L430" s="5" t="s">
        <v>1233</v>
      </c>
      <c r="M430" s="6">
        <v>89900</v>
      </c>
      <c r="N430" s="7">
        <v>0.9</v>
      </c>
      <c r="O430" s="6">
        <f t="shared" si="14"/>
        <v>8990</v>
      </c>
      <c r="P430" s="5" t="s">
        <v>504</v>
      </c>
    </row>
    <row r="431" spans="1:16" x14ac:dyDescent="0.35">
      <c r="A431" s="5" t="str">
        <f t="shared" si="13"/>
        <v>2022 All Items D90</v>
      </c>
      <c r="B431" s="8">
        <f>'ALL 2024 H2 D80'!$B$2</f>
        <v>46114</v>
      </c>
      <c r="C431" s="8">
        <f>'ALL 2024 H2 D80'!$C$2</f>
        <v>46120</v>
      </c>
      <c r="D431" s="5">
        <v>3208</v>
      </c>
      <c r="E431" s="5">
        <v>320</v>
      </c>
      <c r="F431" s="5">
        <v>1</v>
      </c>
      <c r="G431" s="5">
        <v>2</v>
      </c>
      <c r="H431" s="5">
        <v>80954</v>
      </c>
      <c r="I431" s="5" t="s">
        <v>16</v>
      </c>
      <c r="J431" s="5">
        <v>79080312</v>
      </c>
      <c r="K431" s="5" t="s">
        <v>1234</v>
      </c>
      <c r="L431" s="5" t="s">
        <v>1235</v>
      </c>
      <c r="M431" s="6">
        <v>89900</v>
      </c>
      <c r="N431" s="7">
        <v>0.9</v>
      </c>
      <c r="O431" s="6">
        <f t="shared" si="14"/>
        <v>8990</v>
      </c>
      <c r="P431" s="5" t="s">
        <v>504</v>
      </c>
    </row>
    <row r="432" spans="1:16" x14ac:dyDescent="0.35">
      <c r="A432" s="5" t="str">
        <f t="shared" si="13"/>
        <v>2022 All Items D90</v>
      </c>
      <c r="B432" s="8">
        <f>'ALL 2024 H2 D80'!$B$2</f>
        <v>46114</v>
      </c>
      <c r="C432" s="8">
        <f>'ALL 2024 H2 D80'!$C$2</f>
        <v>46120</v>
      </c>
      <c r="D432" s="5">
        <v>3208</v>
      </c>
      <c r="E432" s="5">
        <v>320</v>
      </c>
      <c r="F432" s="5">
        <v>1</v>
      </c>
      <c r="G432" s="5">
        <v>2</v>
      </c>
      <c r="H432" s="5">
        <v>80954</v>
      </c>
      <c r="I432" s="5" t="s">
        <v>16</v>
      </c>
      <c r="J432" s="5">
        <v>79080321</v>
      </c>
      <c r="K432" s="5" t="s">
        <v>1234</v>
      </c>
      <c r="L432" s="5" t="s">
        <v>1236</v>
      </c>
      <c r="M432" s="6">
        <v>89900</v>
      </c>
      <c r="N432" s="7">
        <v>0.9</v>
      </c>
      <c r="O432" s="6">
        <f t="shared" si="14"/>
        <v>8990</v>
      </c>
      <c r="P432" s="5" t="s">
        <v>504</v>
      </c>
    </row>
    <row r="433" spans="1:16" x14ac:dyDescent="0.35">
      <c r="A433" s="5" t="str">
        <f t="shared" si="13"/>
        <v>2022 All Items D90</v>
      </c>
      <c r="B433" s="8">
        <f>'ALL 2024 H2 D80'!$B$2</f>
        <v>46114</v>
      </c>
      <c r="C433" s="8">
        <f>'ALL 2024 H2 D80'!$C$2</f>
        <v>46120</v>
      </c>
      <c r="D433" s="5">
        <v>3208</v>
      </c>
      <c r="E433" s="5">
        <v>320</v>
      </c>
      <c r="F433" s="5">
        <v>1</v>
      </c>
      <c r="G433" s="5">
        <v>2</v>
      </c>
      <c r="H433" s="5">
        <v>80954</v>
      </c>
      <c r="I433" s="5" t="s">
        <v>16</v>
      </c>
      <c r="J433" s="5">
        <v>79080330</v>
      </c>
      <c r="K433" s="5" t="s">
        <v>1234</v>
      </c>
      <c r="L433" s="5" t="s">
        <v>1237</v>
      </c>
      <c r="M433" s="6">
        <v>89900</v>
      </c>
      <c r="N433" s="7">
        <v>0.9</v>
      </c>
      <c r="O433" s="6">
        <f t="shared" si="14"/>
        <v>8990</v>
      </c>
      <c r="P433" s="5" t="s">
        <v>504</v>
      </c>
    </row>
    <row r="434" spans="1:16" x14ac:dyDescent="0.35">
      <c r="A434" s="5" t="str">
        <f t="shared" si="13"/>
        <v>2022 All Items D90</v>
      </c>
      <c r="B434" s="8">
        <f>'ALL 2024 H2 D80'!$B$2</f>
        <v>46114</v>
      </c>
      <c r="C434" s="8">
        <f>'ALL 2024 H2 D80'!$C$2</f>
        <v>46120</v>
      </c>
      <c r="D434" s="5">
        <v>3208</v>
      </c>
      <c r="E434" s="5">
        <v>320</v>
      </c>
      <c r="F434" s="5">
        <v>1</v>
      </c>
      <c r="G434" s="5">
        <v>2</v>
      </c>
      <c r="H434" s="5">
        <v>80954</v>
      </c>
      <c r="I434" s="5" t="s">
        <v>16</v>
      </c>
      <c r="J434" s="5">
        <v>79080349</v>
      </c>
      <c r="K434" s="5" t="s">
        <v>1234</v>
      </c>
      <c r="L434" s="5" t="s">
        <v>1238</v>
      </c>
      <c r="M434" s="6">
        <v>89900</v>
      </c>
      <c r="N434" s="7">
        <v>0.9</v>
      </c>
      <c r="O434" s="6">
        <f t="shared" si="14"/>
        <v>8990</v>
      </c>
      <c r="P434" s="5" t="s">
        <v>504</v>
      </c>
    </row>
    <row r="435" spans="1:16" x14ac:dyDescent="0.35">
      <c r="A435" s="5" t="str">
        <f t="shared" si="13"/>
        <v>2022 All Items D90</v>
      </c>
      <c r="B435" s="8">
        <f>'ALL 2024 H2 D80'!$B$2</f>
        <v>46114</v>
      </c>
      <c r="C435" s="8">
        <f>'ALL 2024 H2 D80'!$C$2</f>
        <v>46120</v>
      </c>
      <c r="D435" s="5">
        <v>3208</v>
      </c>
      <c r="E435" s="5">
        <v>320</v>
      </c>
      <c r="F435" s="5">
        <v>1</v>
      </c>
      <c r="G435" s="5">
        <v>3</v>
      </c>
      <c r="H435" s="5">
        <v>81044</v>
      </c>
      <c r="I435" s="5" t="s">
        <v>16</v>
      </c>
      <c r="J435" s="5">
        <v>26657772</v>
      </c>
      <c r="K435" s="5" t="s">
        <v>1761</v>
      </c>
      <c r="L435" s="5" t="s">
        <v>1762</v>
      </c>
      <c r="M435" s="6">
        <v>249900</v>
      </c>
      <c r="N435" s="7">
        <v>0.9</v>
      </c>
      <c r="O435" s="6">
        <f t="shared" si="14"/>
        <v>24990</v>
      </c>
      <c r="P435" s="5" t="s">
        <v>504</v>
      </c>
    </row>
    <row r="436" spans="1:16" x14ac:dyDescent="0.35">
      <c r="A436" s="5" t="str">
        <f t="shared" si="13"/>
        <v>2022 All Items D90</v>
      </c>
      <c r="B436" s="8">
        <f>'ALL 2024 H2 D80'!$B$2</f>
        <v>46114</v>
      </c>
      <c r="C436" s="8">
        <f>'ALL 2024 H2 D80'!$C$2</f>
        <v>46120</v>
      </c>
      <c r="D436" s="5">
        <v>3208</v>
      </c>
      <c r="E436" s="5">
        <v>320</v>
      </c>
      <c r="F436" s="5">
        <v>1</v>
      </c>
      <c r="G436" s="5">
        <v>3</v>
      </c>
      <c r="H436" s="5">
        <v>81044</v>
      </c>
      <c r="I436" s="5" t="s">
        <v>16</v>
      </c>
      <c r="J436" s="5">
        <v>26657781</v>
      </c>
      <c r="K436" s="5" t="s">
        <v>1761</v>
      </c>
      <c r="L436" s="5" t="s">
        <v>1763</v>
      </c>
      <c r="M436" s="6">
        <v>249900</v>
      </c>
      <c r="N436" s="7">
        <v>0.9</v>
      </c>
      <c r="O436" s="6">
        <f t="shared" si="14"/>
        <v>24990</v>
      </c>
      <c r="P436" s="5" t="s">
        <v>504</v>
      </c>
    </row>
    <row r="437" spans="1:16" x14ac:dyDescent="0.35">
      <c r="A437" s="5" t="str">
        <f t="shared" si="13"/>
        <v>2022 All Items D90</v>
      </c>
      <c r="B437" s="8">
        <f>'ALL 2024 H2 D80'!$B$2</f>
        <v>46114</v>
      </c>
      <c r="C437" s="8">
        <f>'ALL 2024 H2 D80'!$C$2</f>
        <v>46120</v>
      </c>
      <c r="D437" s="5">
        <v>3208</v>
      </c>
      <c r="E437" s="5">
        <v>320</v>
      </c>
      <c r="F437" s="5">
        <v>1</v>
      </c>
      <c r="G437" s="5">
        <v>3</v>
      </c>
      <c r="H437" s="5">
        <v>81044</v>
      </c>
      <c r="I437" s="5" t="s">
        <v>16</v>
      </c>
      <c r="J437" s="5">
        <v>26657790</v>
      </c>
      <c r="K437" s="5" t="s">
        <v>1761</v>
      </c>
      <c r="L437" s="5" t="s">
        <v>1764</v>
      </c>
      <c r="M437" s="6">
        <v>249900</v>
      </c>
      <c r="N437" s="7">
        <v>0.9</v>
      </c>
      <c r="O437" s="6">
        <f t="shared" si="14"/>
        <v>24990</v>
      </c>
      <c r="P437" s="5" t="s">
        <v>504</v>
      </c>
    </row>
    <row r="438" spans="1:16" x14ac:dyDescent="0.35">
      <c r="A438" s="5" t="str">
        <f t="shared" si="13"/>
        <v>2022 All Items D90</v>
      </c>
      <c r="B438" s="8">
        <f>'ALL 2024 H2 D80'!$B$2</f>
        <v>46114</v>
      </c>
      <c r="C438" s="8">
        <f>'ALL 2024 H2 D80'!$C$2</f>
        <v>46120</v>
      </c>
      <c r="D438" s="5">
        <v>3208</v>
      </c>
      <c r="E438" s="5">
        <v>320</v>
      </c>
      <c r="F438" s="5">
        <v>1</v>
      </c>
      <c r="G438" s="5">
        <v>3</v>
      </c>
      <c r="H438" s="5">
        <v>81044</v>
      </c>
      <c r="I438" s="5" t="s">
        <v>16</v>
      </c>
      <c r="J438" s="5">
        <v>26657807</v>
      </c>
      <c r="K438" s="5" t="s">
        <v>1761</v>
      </c>
      <c r="L438" s="5" t="s">
        <v>1765</v>
      </c>
      <c r="M438" s="6">
        <v>249900</v>
      </c>
      <c r="N438" s="7">
        <v>0.9</v>
      </c>
      <c r="O438" s="6">
        <f t="shared" si="14"/>
        <v>24990</v>
      </c>
      <c r="P438" s="5" t="s">
        <v>504</v>
      </c>
    </row>
    <row r="439" spans="1:16" x14ac:dyDescent="0.35">
      <c r="A439" s="5" t="str">
        <f t="shared" si="13"/>
        <v>2022 All Items D90</v>
      </c>
      <c r="B439" s="8">
        <f>'ALL 2024 H2 D80'!$B$2</f>
        <v>46114</v>
      </c>
      <c r="C439" s="8">
        <f>'ALL 2024 H2 D80'!$C$2</f>
        <v>46120</v>
      </c>
      <c r="D439" s="5">
        <v>3208</v>
      </c>
      <c r="E439" s="5">
        <v>320</v>
      </c>
      <c r="F439" s="5">
        <v>1</v>
      </c>
      <c r="G439" s="5">
        <v>3</v>
      </c>
      <c r="H439" s="5">
        <v>81044</v>
      </c>
      <c r="I439" s="5" t="s">
        <v>16</v>
      </c>
      <c r="J439" s="5">
        <v>28540027</v>
      </c>
      <c r="K439" s="5" t="s">
        <v>1766</v>
      </c>
      <c r="L439" s="5" t="s">
        <v>1767</v>
      </c>
      <c r="M439" s="6">
        <v>269900</v>
      </c>
      <c r="N439" s="7">
        <v>0.9</v>
      </c>
      <c r="O439" s="6">
        <f t="shared" si="14"/>
        <v>26990</v>
      </c>
      <c r="P439" s="5" t="s">
        <v>504</v>
      </c>
    </row>
    <row r="440" spans="1:16" x14ac:dyDescent="0.35">
      <c r="A440" s="5" t="str">
        <f t="shared" si="13"/>
        <v>2022 All Items D90</v>
      </c>
      <c r="B440" s="8">
        <f>'ALL 2024 H2 D80'!$B$2</f>
        <v>46114</v>
      </c>
      <c r="C440" s="8">
        <f>'ALL 2024 H2 D80'!$C$2</f>
        <v>46120</v>
      </c>
      <c r="D440" s="5">
        <v>3208</v>
      </c>
      <c r="E440" s="5">
        <v>320</v>
      </c>
      <c r="F440" s="5">
        <v>1</v>
      </c>
      <c r="G440" s="5">
        <v>3</v>
      </c>
      <c r="H440" s="5">
        <v>81044</v>
      </c>
      <c r="I440" s="5" t="s">
        <v>16</v>
      </c>
      <c r="J440" s="5">
        <v>28540036</v>
      </c>
      <c r="K440" s="5" t="s">
        <v>1766</v>
      </c>
      <c r="L440" s="5" t="s">
        <v>1768</v>
      </c>
      <c r="M440" s="6">
        <v>269900</v>
      </c>
      <c r="N440" s="7">
        <v>0.9</v>
      </c>
      <c r="O440" s="6">
        <f t="shared" si="14"/>
        <v>26990</v>
      </c>
      <c r="P440" s="5" t="s">
        <v>504</v>
      </c>
    </row>
    <row r="441" spans="1:16" x14ac:dyDescent="0.35">
      <c r="A441" s="5" t="str">
        <f t="shared" si="13"/>
        <v>2022 All Items D90</v>
      </c>
      <c r="B441" s="8">
        <f>'ALL 2024 H2 D80'!$B$2</f>
        <v>46114</v>
      </c>
      <c r="C441" s="8">
        <f>'ALL 2024 H2 D80'!$C$2</f>
        <v>46120</v>
      </c>
      <c r="D441" s="5">
        <v>3208</v>
      </c>
      <c r="E441" s="5">
        <v>320</v>
      </c>
      <c r="F441" s="5">
        <v>1</v>
      </c>
      <c r="G441" s="5">
        <v>3</v>
      </c>
      <c r="H441" s="5">
        <v>81044</v>
      </c>
      <c r="I441" s="5" t="s">
        <v>16</v>
      </c>
      <c r="J441" s="5">
        <v>28540045</v>
      </c>
      <c r="K441" s="5" t="s">
        <v>1766</v>
      </c>
      <c r="L441" s="5" t="s">
        <v>1769</v>
      </c>
      <c r="M441" s="6">
        <v>269900</v>
      </c>
      <c r="N441" s="7">
        <v>0.9</v>
      </c>
      <c r="O441" s="6">
        <f t="shared" si="14"/>
        <v>26990</v>
      </c>
      <c r="P441" s="5" t="s">
        <v>504</v>
      </c>
    </row>
    <row r="442" spans="1:16" x14ac:dyDescent="0.35">
      <c r="A442" s="5" t="str">
        <f t="shared" si="13"/>
        <v>2022 All Items D90</v>
      </c>
      <c r="B442" s="8">
        <f>'ALL 2024 H2 D80'!$B$2</f>
        <v>46114</v>
      </c>
      <c r="C442" s="8">
        <f>'ALL 2024 H2 D80'!$C$2</f>
        <v>46120</v>
      </c>
      <c r="D442" s="5">
        <v>3208</v>
      </c>
      <c r="E442" s="5">
        <v>320</v>
      </c>
      <c r="F442" s="5">
        <v>1</v>
      </c>
      <c r="G442" s="5">
        <v>3</v>
      </c>
      <c r="H442" s="5">
        <v>81044</v>
      </c>
      <c r="I442" s="5" t="s">
        <v>16</v>
      </c>
      <c r="J442" s="5">
        <v>28540054</v>
      </c>
      <c r="K442" s="5" t="s">
        <v>1766</v>
      </c>
      <c r="L442" s="5" t="s">
        <v>1770</v>
      </c>
      <c r="M442" s="6">
        <v>269900</v>
      </c>
      <c r="N442" s="7">
        <v>0.9</v>
      </c>
      <c r="O442" s="6">
        <f t="shared" si="14"/>
        <v>26990</v>
      </c>
      <c r="P442" s="5" t="s">
        <v>504</v>
      </c>
    </row>
    <row r="443" spans="1:16" x14ac:dyDescent="0.35">
      <c r="A443" s="5" t="str">
        <f t="shared" si="13"/>
        <v>2022 All Items D90</v>
      </c>
      <c r="B443" s="8">
        <f>'ALL 2024 H2 D80'!$B$2</f>
        <v>46114</v>
      </c>
      <c r="C443" s="8">
        <f>'ALL 2024 H2 D80'!$C$2</f>
        <v>46120</v>
      </c>
      <c r="D443" s="5">
        <v>3208</v>
      </c>
      <c r="E443" s="5">
        <v>320</v>
      </c>
      <c r="F443" s="5">
        <v>1</v>
      </c>
      <c r="G443" s="5">
        <v>3</v>
      </c>
      <c r="H443" s="5">
        <v>81044</v>
      </c>
      <c r="I443" s="5" t="s">
        <v>16</v>
      </c>
      <c r="J443" s="5">
        <v>33474063</v>
      </c>
      <c r="K443" s="5" t="s">
        <v>1771</v>
      </c>
      <c r="L443" s="5" t="s">
        <v>1772</v>
      </c>
      <c r="M443" s="6">
        <v>279900</v>
      </c>
      <c r="N443" s="7">
        <v>0.9</v>
      </c>
      <c r="O443" s="6">
        <f t="shared" si="14"/>
        <v>27990</v>
      </c>
      <c r="P443" s="5" t="s">
        <v>504</v>
      </c>
    </row>
    <row r="444" spans="1:16" x14ac:dyDescent="0.35">
      <c r="A444" s="5" t="str">
        <f t="shared" si="13"/>
        <v>2022 All Items D90</v>
      </c>
      <c r="B444" s="8">
        <f>'ALL 2024 H2 D80'!$B$2</f>
        <v>46114</v>
      </c>
      <c r="C444" s="8">
        <f>'ALL 2024 H2 D80'!$C$2</f>
        <v>46120</v>
      </c>
      <c r="D444" s="5">
        <v>3208</v>
      </c>
      <c r="E444" s="5">
        <v>320</v>
      </c>
      <c r="F444" s="5">
        <v>1</v>
      </c>
      <c r="G444" s="5">
        <v>3</v>
      </c>
      <c r="H444" s="5">
        <v>81044</v>
      </c>
      <c r="I444" s="5" t="s">
        <v>16</v>
      </c>
      <c r="J444" s="5">
        <v>33474072</v>
      </c>
      <c r="K444" s="5" t="s">
        <v>1771</v>
      </c>
      <c r="L444" s="5" t="s">
        <v>1773</v>
      </c>
      <c r="M444" s="6">
        <v>279900</v>
      </c>
      <c r="N444" s="7">
        <v>0.9</v>
      </c>
      <c r="O444" s="6">
        <f t="shared" si="14"/>
        <v>27990</v>
      </c>
      <c r="P444" s="5" t="s">
        <v>504</v>
      </c>
    </row>
    <row r="445" spans="1:16" x14ac:dyDescent="0.35">
      <c r="A445" s="5" t="str">
        <f t="shared" si="13"/>
        <v>2022 All Items D90</v>
      </c>
      <c r="B445" s="8">
        <f>'ALL 2024 H2 D80'!$B$2</f>
        <v>46114</v>
      </c>
      <c r="C445" s="8">
        <f>'ALL 2024 H2 D80'!$C$2</f>
        <v>46120</v>
      </c>
      <c r="D445" s="5">
        <v>3208</v>
      </c>
      <c r="E445" s="5">
        <v>320</v>
      </c>
      <c r="F445" s="5">
        <v>1</v>
      </c>
      <c r="G445" s="5">
        <v>3</v>
      </c>
      <c r="H445" s="5">
        <v>81044</v>
      </c>
      <c r="I445" s="5" t="s">
        <v>16</v>
      </c>
      <c r="J445" s="5">
        <v>33474090</v>
      </c>
      <c r="K445" s="5" t="s">
        <v>1771</v>
      </c>
      <c r="L445" s="5" t="s">
        <v>1774</v>
      </c>
      <c r="M445" s="6">
        <v>279900</v>
      </c>
      <c r="N445" s="7">
        <v>0.9</v>
      </c>
      <c r="O445" s="6">
        <f t="shared" si="14"/>
        <v>27990</v>
      </c>
      <c r="P445" s="5" t="s">
        <v>504</v>
      </c>
    </row>
    <row r="446" spans="1:16" x14ac:dyDescent="0.35">
      <c r="A446" s="5" t="str">
        <f t="shared" si="13"/>
        <v>2022 All Items D90</v>
      </c>
      <c r="B446" s="8">
        <f>'ALL 2024 H2 D80'!$B$2</f>
        <v>46114</v>
      </c>
      <c r="C446" s="8">
        <f>'ALL 2024 H2 D80'!$C$2</f>
        <v>46120</v>
      </c>
      <c r="D446" s="5">
        <v>3208</v>
      </c>
      <c r="E446" s="5">
        <v>320</v>
      </c>
      <c r="F446" s="5">
        <v>1</v>
      </c>
      <c r="G446" s="5">
        <v>3</v>
      </c>
      <c r="H446" s="5">
        <v>81044</v>
      </c>
      <c r="I446" s="5" t="s">
        <v>16</v>
      </c>
      <c r="J446" s="5">
        <v>67440919</v>
      </c>
      <c r="K446" s="5" t="s">
        <v>1775</v>
      </c>
      <c r="L446" s="5" t="s">
        <v>1776</v>
      </c>
      <c r="M446" s="6">
        <v>329900</v>
      </c>
      <c r="N446" s="7">
        <v>0.9</v>
      </c>
      <c r="O446" s="6">
        <f t="shared" si="14"/>
        <v>32990</v>
      </c>
      <c r="P446" s="5" t="s">
        <v>504</v>
      </c>
    </row>
    <row r="447" spans="1:16" x14ac:dyDescent="0.35">
      <c r="A447" s="5" t="str">
        <f t="shared" si="13"/>
        <v>2022 All Items D90</v>
      </c>
      <c r="B447" s="8">
        <f>'ALL 2024 H2 D80'!$B$2</f>
        <v>46114</v>
      </c>
      <c r="C447" s="8">
        <f>'ALL 2024 H2 D80'!$C$2</f>
        <v>46120</v>
      </c>
      <c r="D447" s="5">
        <v>3208</v>
      </c>
      <c r="E447" s="5">
        <v>320</v>
      </c>
      <c r="F447" s="5">
        <v>1</v>
      </c>
      <c r="G447" s="5">
        <v>3</v>
      </c>
      <c r="H447" s="5">
        <v>81044</v>
      </c>
      <c r="I447" s="5" t="s">
        <v>16</v>
      </c>
      <c r="J447" s="5">
        <v>67440928</v>
      </c>
      <c r="K447" s="5" t="s">
        <v>1775</v>
      </c>
      <c r="L447" s="5" t="s">
        <v>1777</v>
      </c>
      <c r="M447" s="6">
        <v>329900</v>
      </c>
      <c r="N447" s="7">
        <v>0.9</v>
      </c>
      <c r="O447" s="6">
        <f t="shared" si="14"/>
        <v>32990</v>
      </c>
      <c r="P447" s="5" t="s">
        <v>504</v>
      </c>
    </row>
    <row r="448" spans="1:16" x14ac:dyDescent="0.35">
      <c r="A448" s="5" t="str">
        <f t="shared" si="13"/>
        <v>2022 All Items D90</v>
      </c>
      <c r="B448" s="8">
        <f>'ALL 2024 H2 D80'!$B$2</f>
        <v>46114</v>
      </c>
      <c r="C448" s="8">
        <f>'ALL 2024 H2 D80'!$C$2</f>
        <v>46120</v>
      </c>
      <c r="D448" s="5">
        <v>3208</v>
      </c>
      <c r="E448" s="5">
        <v>320</v>
      </c>
      <c r="F448" s="5">
        <v>1</v>
      </c>
      <c r="G448" s="5">
        <v>3</v>
      </c>
      <c r="H448" s="5">
        <v>81044</v>
      </c>
      <c r="I448" s="5" t="s">
        <v>16</v>
      </c>
      <c r="J448" s="5">
        <v>67440937</v>
      </c>
      <c r="K448" s="5" t="s">
        <v>1775</v>
      </c>
      <c r="L448" s="5" t="s">
        <v>1778</v>
      </c>
      <c r="M448" s="6">
        <v>329900</v>
      </c>
      <c r="N448" s="7">
        <v>0.9</v>
      </c>
      <c r="O448" s="6">
        <f t="shared" si="14"/>
        <v>32990</v>
      </c>
      <c r="P448" s="5" t="s">
        <v>504</v>
      </c>
    </row>
    <row r="449" spans="1:16" x14ac:dyDescent="0.35">
      <c r="A449" s="5" t="str">
        <f t="shared" si="13"/>
        <v>2022 All Items D90</v>
      </c>
      <c r="B449" s="8">
        <f>'ALL 2024 H2 D80'!$B$2</f>
        <v>46114</v>
      </c>
      <c r="C449" s="8">
        <f>'ALL 2024 H2 D80'!$C$2</f>
        <v>46120</v>
      </c>
      <c r="D449" s="5">
        <v>3208</v>
      </c>
      <c r="E449" s="5">
        <v>320</v>
      </c>
      <c r="F449" s="5">
        <v>1</v>
      </c>
      <c r="G449" s="5">
        <v>3</v>
      </c>
      <c r="H449" s="5">
        <v>81044</v>
      </c>
      <c r="I449" s="5" t="s">
        <v>16</v>
      </c>
      <c r="J449" s="5">
        <v>75733490</v>
      </c>
      <c r="K449" s="5" t="s">
        <v>1239</v>
      </c>
      <c r="L449" s="5" t="s">
        <v>1240</v>
      </c>
      <c r="M449" s="6">
        <v>279900</v>
      </c>
      <c r="N449" s="7">
        <v>0.9</v>
      </c>
      <c r="O449" s="6">
        <f t="shared" si="14"/>
        <v>27990</v>
      </c>
      <c r="P449" s="5" t="s">
        <v>504</v>
      </c>
    </row>
    <row r="450" spans="1:16" x14ac:dyDescent="0.35">
      <c r="A450" s="5" t="str">
        <f t="shared" si="13"/>
        <v>2022 All Items D90</v>
      </c>
      <c r="B450" s="8">
        <f>'ALL 2024 H2 D80'!$B$2</f>
        <v>46114</v>
      </c>
      <c r="C450" s="8">
        <f>'ALL 2024 H2 D80'!$C$2</f>
        <v>46120</v>
      </c>
      <c r="D450" s="5">
        <v>3208</v>
      </c>
      <c r="E450" s="5">
        <v>320</v>
      </c>
      <c r="F450" s="5">
        <v>1</v>
      </c>
      <c r="G450" s="5">
        <v>3</v>
      </c>
      <c r="H450" s="5">
        <v>81044</v>
      </c>
      <c r="I450" s="5" t="s">
        <v>16</v>
      </c>
      <c r="J450" s="5">
        <v>75733507</v>
      </c>
      <c r="K450" s="5" t="s">
        <v>1239</v>
      </c>
      <c r="L450" s="5" t="s">
        <v>1241</v>
      </c>
      <c r="M450" s="6">
        <v>279900</v>
      </c>
      <c r="N450" s="7">
        <v>0.9</v>
      </c>
      <c r="O450" s="6">
        <f t="shared" si="14"/>
        <v>27990</v>
      </c>
      <c r="P450" s="5" t="s">
        <v>504</v>
      </c>
    </row>
    <row r="451" spans="1:16" x14ac:dyDescent="0.35">
      <c r="A451" s="5" t="str">
        <f t="shared" si="13"/>
        <v>2022 All Items D90</v>
      </c>
      <c r="B451" s="8">
        <f>'ALL 2024 H2 D80'!$B$2</f>
        <v>46114</v>
      </c>
      <c r="C451" s="8">
        <f>'ALL 2024 H2 D80'!$C$2</f>
        <v>46120</v>
      </c>
      <c r="D451" s="5">
        <v>3208</v>
      </c>
      <c r="E451" s="5">
        <v>320</v>
      </c>
      <c r="F451" s="5">
        <v>1</v>
      </c>
      <c r="G451" s="5">
        <v>3</v>
      </c>
      <c r="H451" s="5">
        <v>81044</v>
      </c>
      <c r="I451" s="5" t="s">
        <v>16</v>
      </c>
      <c r="J451" s="5">
        <v>75733516</v>
      </c>
      <c r="K451" s="5" t="s">
        <v>1239</v>
      </c>
      <c r="L451" s="5" t="s">
        <v>1242</v>
      </c>
      <c r="M451" s="6">
        <v>279900</v>
      </c>
      <c r="N451" s="7">
        <v>0.9</v>
      </c>
      <c r="O451" s="6">
        <f t="shared" si="14"/>
        <v>27990</v>
      </c>
      <c r="P451" s="5" t="s">
        <v>504</v>
      </c>
    </row>
    <row r="452" spans="1:16" x14ac:dyDescent="0.35">
      <c r="A452" s="5" t="str">
        <f t="shared" ref="A452:A515" si="15">$A$2</f>
        <v>2022 All Items D90</v>
      </c>
      <c r="B452" s="8">
        <f>'ALL 2024 H2 D80'!$B$2</f>
        <v>46114</v>
      </c>
      <c r="C452" s="8">
        <f>'ALL 2024 H2 D80'!$C$2</f>
        <v>46120</v>
      </c>
      <c r="D452" s="5">
        <v>3208</v>
      </c>
      <c r="E452" s="5">
        <v>320</v>
      </c>
      <c r="F452" s="5">
        <v>1</v>
      </c>
      <c r="G452" s="5">
        <v>3</v>
      </c>
      <c r="H452" s="5">
        <v>81044</v>
      </c>
      <c r="I452" s="5" t="s">
        <v>16</v>
      </c>
      <c r="J452" s="5">
        <v>75733525</v>
      </c>
      <c r="K452" s="5" t="s">
        <v>1239</v>
      </c>
      <c r="L452" s="5" t="s">
        <v>1243</v>
      </c>
      <c r="M452" s="6">
        <v>279900</v>
      </c>
      <c r="N452" s="7">
        <v>0.9</v>
      </c>
      <c r="O452" s="6">
        <f t="shared" si="14"/>
        <v>27990</v>
      </c>
      <c r="P452" s="5" t="s">
        <v>504</v>
      </c>
    </row>
    <row r="453" spans="1:16" x14ac:dyDescent="0.35">
      <c r="A453" s="5" t="str">
        <f t="shared" si="15"/>
        <v>2022 All Items D90</v>
      </c>
      <c r="B453" s="8">
        <f>'ALL 2024 H2 D80'!$B$2</f>
        <v>46114</v>
      </c>
      <c r="C453" s="8">
        <f>'ALL 2024 H2 D80'!$C$2</f>
        <v>46120</v>
      </c>
      <c r="D453" s="5">
        <v>3208</v>
      </c>
      <c r="E453" s="5">
        <v>320</v>
      </c>
      <c r="F453" s="5">
        <v>1</v>
      </c>
      <c r="G453" s="5">
        <v>3</v>
      </c>
      <c r="H453" s="5">
        <v>81736</v>
      </c>
      <c r="I453" s="5" t="s">
        <v>16</v>
      </c>
      <c r="J453" s="5">
        <v>27026237</v>
      </c>
      <c r="K453" s="5" t="s">
        <v>1779</v>
      </c>
      <c r="L453" s="5" t="s">
        <v>1780</v>
      </c>
      <c r="M453" s="6">
        <v>299900</v>
      </c>
      <c r="N453" s="7">
        <v>0.9</v>
      </c>
      <c r="O453" s="6">
        <f t="shared" si="14"/>
        <v>29990</v>
      </c>
      <c r="P453" s="5" t="s">
        <v>504</v>
      </c>
    </row>
    <row r="454" spans="1:16" x14ac:dyDescent="0.35">
      <c r="A454" s="5" t="str">
        <f t="shared" si="15"/>
        <v>2022 All Items D90</v>
      </c>
      <c r="B454" s="8">
        <f>'ALL 2024 H2 D80'!$B$2</f>
        <v>46114</v>
      </c>
      <c r="C454" s="8">
        <f>'ALL 2024 H2 D80'!$C$2</f>
        <v>46120</v>
      </c>
      <c r="D454" s="5">
        <v>3208</v>
      </c>
      <c r="E454" s="5">
        <v>320</v>
      </c>
      <c r="F454" s="5">
        <v>1</v>
      </c>
      <c r="G454" s="5">
        <v>3</v>
      </c>
      <c r="H454" s="5">
        <v>81736</v>
      </c>
      <c r="I454" s="5" t="s">
        <v>16</v>
      </c>
      <c r="J454" s="5">
        <v>27026246</v>
      </c>
      <c r="K454" s="5" t="s">
        <v>1779</v>
      </c>
      <c r="L454" s="5" t="s">
        <v>1781</v>
      </c>
      <c r="M454" s="6">
        <v>299900</v>
      </c>
      <c r="N454" s="7">
        <v>0.9</v>
      </c>
      <c r="O454" s="6">
        <f t="shared" ref="O454:O517" si="16">M454-(M454*N454)</f>
        <v>29990</v>
      </c>
      <c r="P454" s="5" t="s">
        <v>504</v>
      </c>
    </row>
    <row r="455" spans="1:16" x14ac:dyDescent="0.35">
      <c r="A455" s="5" t="str">
        <f t="shared" si="15"/>
        <v>2022 All Items D90</v>
      </c>
      <c r="B455" s="8">
        <f>'ALL 2024 H2 D80'!$B$2</f>
        <v>46114</v>
      </c>
      <c r="C455" s="8">
        <f>'ALL 2024 H2 D80'!$C$2</f>
        <v>46120</v>
      </c>
      <c r="D455" s="5">
        <v>3208</v>
      </c>
      <c r="E455" s="5">
        <v>320</v>
      </c>
      <c r="F455" s="5">
        <v>1</v>
      </c>
      <c r="G455" s="5">
        <v>3</v>
      </c>
      <c r="H455" s="5">
        <v>81736</v>
      </c>
      <c r="I455" s="5" t="s">
        <v>16</v>
      </c>
      <c r="J455" s="5">
        <v>27026255</v>
      </c>
      <c r="K455" s="5" t="s">
        <v>1779</v>
      </c>
      <c r="L455" s="5" t="s">
        <v>1782</v>
      </c>
      <c r="M455" s="6">
        <v>299900</v>
      </c>
      <c r="N455" s="7">
        <v>0.9</v>
      </c>
      <c r="O455" s="6">
        <f t="shared" si="16"/>
        <v>29990</v>
      </c>
      <c r="P455" s="5" t="s">
        <v>504</v>
      </c>
    </row>
    <row r="456" spans="1:16" x14ac:dyDescent="0.35">
      <c r="A456" s="5" t="str">
        <f t="shared" si="15"/>
        <v>2022 All Items D90</v>
      </c>
      <c r="B456" s="8">
        <f>'ALL 2024 H2 D80'!$B$2</f>
        <v>46114</v>
      </c>
      <c r="C456" s="8">
        <f>'ALL 2024 H2 D80'!$C$2</f>
        <v>46120</v>
      </c>
      <c r="D456" s="5">
        <v>3208</v>
      </c>
      <c r="E456" s="5">
        <v>320</v>
      </c>
      <c r="F456" s="5">
        <v>1</v>
      </c>
      <c r="G456" s="5">
        <v>3</v>
      </c>
      <c r="H456" s="5">
        <v>81736</v>
      </c>
      <c r="I456" s="5" t="s">
        <v>16</v>
      </c>
      <c r="J456" s="5">
        <v>27026264</v>
      </c>
      <c r="K456" s="5" t="s">
        <v>1779</v>
      </c>
      <c r="L456" s="5" t="s">
        <v>1783</v>
      </c>
      <c r="M456" s="6">
        <v>299900</v>
      </c>
      <c r="N456" s="7">
        <v>0.9</v>
      </c>
      <c r="O456" s="6">
        <f t="shared" si="16"/>
        <v>29990</v>
      </c>
      <c r="P456" s="5" t="s">
        <v>504</v>
      </c>
    </row>
    <row r="457" spans="1:16" x14ac:dyDescent="0.35">
      <c r="A457" s="5" t="str">
        <f t="shared" si="15"/>
        <v>2022 All Items D90</v>
      </c>
      <c r="B457" s="8">
        <f>'ALL 2024 H2 D80'!$B$2</f>
        <v>46114</v>
      </c>
      <c r="C457" s="8">
        <f>'ALL 2024 H2 D80'!$C$2</f>
        <v>46120</v>
      </c>
      <c r="D457" s="5">
        <v>3208</v>
      </c>
      <c r="E457" s="5">
        <v>320</v>
      </c>
      <c r="F457" s="5">
        <v>1</v>
      </c>
      <c r="G457" s="5">
        <v>3</v>
      </c>
      <c r="H457" s="5">
        <v>81736</v>
      </c>
      <c r="I457" s="5" t="s">
        <v>16</v>
      </c>
      <c r="J457" s="5">
        <v>33031844</v>
      </c>
      <c r="K457" s="5" t="s">
        <v>1784</v>
      </c>
      <c r="L457" s="5" t="s">
        <v>1785</v>
      </c>
      <c r="M457" s="6">
        <v>279900</v>
      </c>
      <c r="N457" s="7">
        <v>0.9</v>
      </c>
      <c r="O457" s="6">
        <f t="shared" si="16"/>
        <v>27990</v>
      </c>
      <c r="P457" s="5" t="s">
        <v>504</v>
      </c>
    </row>
    <row r="458" spans="1:16" x14ac:dyDescent="0.35">
      <c r="A458" s="5" t="str">
        <f t="shared" si="15"/>
        <v>2022 All Items D90</v>
      </c>
      <c r="B458" s="8">
        <f>'ALL 2024 H2 D80'!$B$2</f>
        <v>46114</v>
      </c>
      <c r="C458" s="8">
        <f>'ALL 2024 H2 D80'!$C$2</f>
        <v>46120</v>
      </c>
      <c r="D458" s="5">
        <v>3208</v>
      </c>
      <c r="E458" s="5">
        <v>320</v>
      </c>
      <c r="F458" s="5">
        <v>1</v>
      </c>
      <c r="G458" s="5">
        <v>3</v>
      </c>
      <c r="H458" s="5">
        <v>81736</v>
      </c>
      <c r="I458" s="5" t="s">
        <v>16</v>
      </c>
      <c r="J458" s="5">
        <v>33031853</v>
      </c>
      <c r="K458" s="5" t="s">
        <v>1784</v>
      </c>
      <c r="L458" s="5" t="s">
        <v>1786</v>
      </c>
      <c r="M458" s="6">
        <v>279900</v>
      </c>
      <c r="N458" s="7">
        <v>0.9</v>
      </c>
      <c r="O458" s="6">
        <f t="shared" si="16"/>
        <v>27990</v>
      </c>
      <c r="P458" s="5" t="s">
        <v>504</v>
      </c>
    </row>
    <row r="459" spans="1:16" x14ac:dyDescent="0.35">
      <c r="A459" s="5" t="str">
        <f t="shared" si="15"/>
        <v>2022 All Items D90</v>
      </c>
      <c r="B459" s="8">
        <f>'ALL 2024 H2 D80'!$B$2</f>
        <v>46114</v>
      </c>
      <c r="C459" s="8">
        <f>'ALL 2024 H2 D80'!$C$2</f>
        <v>46120</v>
      </c>
      <c r="D459" s="5">
        <v>3208</v>
      </c>
      <c r="E459" s="5">
        <v>320</v>
      </c>
      <c r="F459" s="5">
        <v>1</v>
      </c>
      <c r="G459" s="5">
        <v>3</v>
      </c>
      <c r="H459" s="5">
        <v>81736</v>
      </c>
      <c r="I459" s="5" t="s">
        <v>16</v>
      </c>
      <c r="J459" s="5">
        <v>33031862</v>
      </c>
      <c r="K459" s="5" t="s">
        <v>1784</v>
      </c>
      <c r="L459" s="5" t="s">
        <v>1787</v>
      </c>
      <c r="M459" s="6">
        <v>279900</v>
      </c>
      <c r="N459" s="7">
        <v>0.9</v>
      </c>
      <c r="O459" s="6">
        <f t="shared" si="16"/>
        <v>27990</v>
      </c>
      <c r="P459" s="5" t="s">
        <v>504</v>
      </c>
    </row>
    <row r="460" spans="1:16" x14ac:dyDescent="0.35">
      <c r="A460" s="5" t="str">
        <f t="shared" si="15"/>
        <v>2022 All Items D90</v>
      </c>
      <c r="B460" s="8">
        <f>'ALL 2024 H2 D80'!$B$2</f>
        <v>46114</v>
      </c>
      <c r="C460" s="8">
        <f>'ALL 2024 H2 D80'!$C$2</f>
        <v>46120</v>
      </c>
      <c r="D460" s="5">
        <v>3208</v>
      </c>
      <c r="E460" s="5">
        <v>320</v>
      </c>
      <c r="F460" s="5">
        <v>1</v>
      </c>
      <c r="G460" s="5">
        <v>3</v>
      </c>
      <c r="H460" s="5">
        <v>81736</v>
      </c>
      <c r="I460" s="5" t="s">
        <v>16</v>
      </c>
      <c r="J460" s="5">
        <v>33031871</v>
      </c>
      <c r="K460" s="5" t="s">
        <v>1784</v>
      </c>
      <c r="L460" s="5" t="s">
        <v>1788</v>
      </c>
      <c r="M460" s="6">
        <v>279900</v>
      </c>
      <c r="N460" s="7">
        <v>0.9</v>
      </c>
      <c r="O460" s="6">
        <f t="shared" si="16"/>
        <v>27990</v>
      </c>
      <c r="P460" s="5" t="s">
        <v>504</v>
      </c>
    </row>
    <row r="461" spans="1:16" x14ac:dyDescent="0.35">
      <c r="A461" s="5" t="str">
        <f t="shared" si="15"/>
        <v>2022 All Items D90</v>
      </c>
      <c r="B461" s="8">
        <f>'ALL 2024 H2 D80'!$B$2</f>
        <v>46114</v>
      </c>
      <c r="C461" s="8">
        <f>'ALL 2024 H2 D80'!$C$2</f>
        <v>46120</v>
      </c>
      <c r="D461" s="5">
        <v>3208</v>
      </c>
      <c r="E461" s="5">
        <v>320</v>
      </c>
      <c r="F461" s="5">
        <v>1</v>
      </c>
      <c r="G461" s="5">
        <v>3</v>
      </c>
      <c r="H461" s="5">
        <v>81736</v>
      </c>
      <c r="I461" s="5" t="s">
        <v>16</v>
      </c>
      <c r="J461" s="5">
        <v>66166094</v>
      </c>
      <c r="K461" s="5" t="s">
        <v>1784</v>
      </c>
      <c r="L461" s="5" t="s">
        <v>1789</v>
      </c>
      <c r="M461" s="6">
        <v>279900</v>
      </c>
      <c r="N461" s="7">
        <v>0.9</v>
      </c>
      <c r="O461" s="6">
        <f t="shared" si="16"/>
        <v>27990</v>
      </c>
      <c r="P461" s="5" t="s">
        <v>504</v>
      </c>
    </row>
    <row r="462" spans="1:16" x14ac:dyDescent="0.35">
      <c r="A462" s="5" t="str">
        <f t="shared" si="15"/>
        <v>2022 All Items D90</v>
      </c>
      <c r="B462" s="8">
        <f>'ALL 2024 H2 D80'!$B$2</f>
        <v>46114</v>
      </c>
      <c r="C462" s="8">
        <f>'ALL 2024 H2 D80'!$C$2</f>
        <v>46120</v>
      </c>
      <c r="D462" s="5">
        <v>3208</v>
      </c>
      <c r="E462" s="5">
        <v>320</v>
      </c>
      <c r="F462" s="5">
        <v>1</v>
      </c>
      <c r="G462" s="5">
        <v>3</v>
      </c>
      <c r="H462" s="5">
        <v>81736</v>
      </c>
      <c r="I462" s="5" t="s">
        <v>16</v>
      </c>
      <c r="J462" s="5">
        <v>66166110</v>
      </c>
      <c r="K462" s="5" t="s">
        <v>1784</v>
      </c>
      <c r="L462" s="5" t="s">
        <v>1790</v>
      </c>
      <c r="M462" s="6">
        <v>279900</v>
      </c>
      <c r="N462" s="7">
        <v>0.9</v>
      </c>
      <c r="O462" s="6">
        <f t="shared" si="16"/>
        <v>27990</v>
      </c>
      <c r="P462" s="5" t="s">
        <v>504</v>
      </c>
    </row>
    <row r="463" spans="1:16" x14ac:dyDescent="0.35">
      <c r="A463" s="5" t="str">
        <f t="shared" si="15"/>
        <v>2022 All Items D90</v>
      </c>
      <c r="B463" s="8">
        <f>'ALL 2024 H2 D80'!$B$2</f>
        <v>46114</v>
      </c>
      <c r="C463" s="8">
        <f>'ALL 2024 H2 D80'!$C$2</f>
        <v>46120</v>
      </c>
      <c r="D463" s="5">
        <v>3208</v>
      </c>
      <c r="E463" s="5">
        <v>320</v>
      </c>
      <c r="F463" s="5">
        <v>1</v>
      </c>
      <c r="G463" s="5">
        <v>3</v>
      </c>
      <c r="H463" s="5">
        <v>81736</v>
      </c>
      <c r="I463" s="5" t="s">
        <v>16</v>
      </c>
      <c r="J463" s="5">
        <v>73868036</v>
      </c>
      <c r="K463" s="5" t="s">
        <v>1244</v>
      </c>
      <c r="L463" s="5" t="s">
        <v>1245</v>
      </c>
      <c r="M463" s="6">
        <v>299900</v>
      </c>
      <c r="N463" s="7">
        <v>0.9</v>
      </c>
      <c r="O463" s="6">
        <f t="shared" si="16"/>
        <v>29990</v>
      </c>
      <c r="P463" s="5" t="s">
        <v>504</v>
      </c>
    </row>
    <row r="464" spans="1:16" x14ac:dyDescent="0.35">
      <c r="A464" s="5" t="str">
        <f t="shared" si="15"/>
        <v>2022 All Items D90</v>
      </c>
      <c r="B464" s="8">
        <f>'ALL 2024 H2 D80'!$B$2</f>
        <v>46114</v>
      </c>
      <c r="C464" s="8">
        <f>'ALL 2024 H2 D80'!$C$2</f>
        <v>46120</v>
      </c>
      <c r="D464" s="5">
        <v>3208</v>
      </c>
      <c r="E464" s="5">
        <v>320</v>
      </c>
      <c r="F464" s="5">
        <v>1</v>
      </c>
      <c r="G464" s="5">
        <v>3</v>
      </c>
      <c r="H464" s="5">
        <v>81736</v>
      </c>
      <c r="I464" s="5" t="s">
        <v>16</v>
      </c>
      <c r="J464" s="5">
        <v>73868045</v>
      </c>
      <c r="K464" s="5" t="s">
        <v>1244</v>
      </c>
      <c r="L464" s="5" t="s">
        <v>1246</v>
      </c>
      <c r="M464" s="6">
        <v>299900</v>
      </c>
      <c r="N464" s="7">
        <v>0.9</v>
      </c>
      <c r="O464" s="6">
        <f t="shared" si="16"/>
        <v>29990</v>
      </c>
      <c r="P464" s="5" t="s">
        <v>504</v>
      </c>
    </row>
    <row r="465" spans="1:16" x14ac:dyDescent="0.35">
      <c r="A465" s="5" t="str">
        <f t="shared" si="15"/>
        <v>2022 All Items D90</v>
      </c>
      <c r="B465" s="8">
        <f>'ALL 2024 H2 D80'!$B$2</f>
        <v>46114</v>
      </c>
      <c r="C465" s="8">
        <f>'ALL 2024 H2 D80'!$C$2</f>
        <v>46120</v>
      </c>
      <c r="D465" s="5">
        <v>3208</v>
      </c>
      <c r="E465" s="5">
        <v>320</v>
      </c>
      <c r="F465" s="5">
        <v>1</v>
      </c>
      <c r="G465" s="5">
        <v>3</v>
      </c>
      <c r="H465" s="5">
        <v>81736</v>
      </c>
      <c r="I465" s="5" t="s">
        <v>16</v>
      </c>
      <c r="J465" s="5">
        <v>73868054</v>
      </c>
      <c r="K465" s="5" t="s">
        <v>1244</v>
      </c>
      <c r="L465" s="5" t="s">
        <v>1247</v>
      </c>
      <c r="M465" s="6">
        <v>299900</v>
      </c>
      <c r="N465" s="7">
        <v>0.9</v>
      </c>
      <c r="O465" s="6">
        <f t="shared" si="16"/>
        <v>29990</v>
      </c>
      <c r="P465" s="5" t="s">
        <v>504</v>
      </c>
    </row>
    <row r="466" spans="1:16" x14ac:dyDescent="0.35">
      <c r="A466" s="5" t="str">
        <f t="shared" si="15"/>
        <v>2022 All Items D90</v>
      </c>
      <c r="B466" s="8">
        <f>'ALL 2024 H2 D80'!$B$2</f>
        <v>46114</v>
      </c>
      <c r="C466" s="8">
        <f>'ALL 2024 H2 D80'!$C$2</f>
        <v>46120</v>
      </c>
      <c r="D466" s="5">
        <v>3208</v>
      </c>
      <c r="E466" s="5">
        <v>320</v>
      </c>
      <c r="F466" s="5">
        <v>1</v>
      </c>
      <c r="G466" s="5">
        <v>3</v>
      </c>
      <c r="H466" s="5">
        <v>81736</v>
      </c>
      <c r="I466" s="5" t="s">
        <v>16</v>
      </c>
      <c r="J466" s="5">
        <v>73868063</v>
      </c>
      <c r="K466" s="5" t="s">
        <v>1244</v>
      </c>
      <c r="L466" s="5" t="s">
        <v>1248</v>
      </c>
      <c r="M466" s="6">
        <v>299900</v>
      </c>
      <c r="N466" s="7">
        <v>0.9</v>
      </c>
      <c r="O466" s="6">
        <f t="shared" si="16"/>
        <v>29990</v>
      </c>
      <c r="P466" s="5" t="s">
        <v>504</v>
      </c>
    </row>
    <row r="467" spans="1:16" x14ac:dyDescent="0.35">
      <c r="A467" s="5" t="str">
        <f t="shared" si="15"/>
        <v>2022 All Items D90</v>
      </c>
      <c r="B467" s="8">
        <f>'ALL 2024 H2 D80'!$B$2</f>
        <v>46114</v>
      </c>
      <c r="C467" s="8">
        <f>'ALL 2024 H2 D80'!$C$2</f>
        <v>46120</v>
      </c>
      <c r="D467" s="5">
        <v>3208</v>
      </c>
      <c r="E467" s="5">
        <v>320</v>
      </c>
      <c r="F467" s="5">
        <v>1</v>
      </c>
      <c r="G467" s="5">
        <v>3</v>
      </c>
      <c r="H467" s="5">
        <v>81736</v>
      </c>
      <c r="I467" s="5" t="s">
        <v>16</v>
      </c>
      <c r="J467" s="5">
        <v>73868072</v>
      </c>
      <c r="K467" s="5" t="s">
        <v>1244</v>
      </c>
      <c r="L467" s="5" t="s">
        <v>1249</v>
      </c>
      <c r="M467" s="6">
        <v>299900</v>
      </c>
      <c r="N467" s="7">
        <v>0.9</v>
      </c>
      <c r="O467" s="6">
        <f t="shared" si="16"/>
        <v>29990</v>
      </c>
      <c r="P467" s="5" t="s">
        <v>504</v>
      </c>
    </row>
    <row r="468" spans="1:16" x14ac:dyDescent="0.35">
      <c r="A468" s="5" t="str">
        <f t="shared" si="15"/>
        <v>2022 All Items D90</v>
      </c>
      <c r="B468" s="8">
        <f>'ALL 2024 H2 D80'!$B$2</f>
        <v>46114</v>
      </c>
      <c r="C468" s="8">
        <f>'ALL 2024 H2 D80'!$C$2</f>
        <v>46120</v>
      </c>
      <c r="D468" s="5">
        <v>3208</v>
      </c>
      <c r="E468" s="5">
        <v>320</v>
      </c>
      <c r="F468" s="5">
        <v>1</v>
      </c>
      <c r="G468" s="5">
        <v>3</v>
      </c>
      <c r="H468" s="5">
        <v>81736</v>
      </c>
      <c r="I468" s="5" t="s">
        <v>16</v>
      </c>
      <c r="J468" s="5">
        <v>73868081</v>
      </c>
      <c r="K468" s="5" t="s">
        <v>1244</v>
      </c>
      <c r="L468" s="5" t="s">
        <v>1250</v>
      </c>
      <c r="M468" s="6">
        <v>299900</v>
      </c>
      <c r="N468" s="7">
        <v>0.9</v>
      </c>
      <c r="O468" s="6">
        <f t="shared" si="16"/>
        <v>29990</v>
      </c>
      <c r="P468" s="5" t="s">
        <v>504</v>
      </c>
    </row>
    <row r="469" spans="1:16" x14ac:dyDescent="0.35">
      <c r="A469" s="5" t="str">
        <f t="shared" si="15"/>
        <v>2022 All Items D90</v>
      </c>
      <c r="B469" s="8">
        <f>'ALL 2024 H2 D80'!$B$2</f>
        <v>46114</v>
      </c>
      <c r="C469" s="8">
        <f>'ALL 2024 H2 D80'!$C$2</f>
        <v>46120</v>
      </c>
      <c r="D469" s="5">
        <v>3208</v>
      </c>
      <c r="E469" s="5">
        <v>320</v>
      </c>
      <c r="F469" s="5">
        <v>1</v>
      </c>
      <c r="G469" s="5">
        <v>3</v>
      </c>
      <c r="H469" s="5">
        <v>81736</v>
      </c>
      <c r="I469" s="5" t="s">
        <v>16</v>
      </c>
      <c r="J469" s="5">
        <v>73868090</v>
      </c>
      <c r="K469" s="5" t="s">
        <v>1244</v>
      </c>
      <c r="L469" s="5" t="s">
        <v>1251</v>
      </c>
      <c r="M469" s="6">
        <v>299900</v>
      </c>
      <c r="N469" s="7">
        <v>0.9</v>
      </c>
      <c r="O469" s="6">
        <f t="shared" si="16"/>
        <v>29990</v>
      </c>
      <c r="P469" s="5" t="s">
        <v>504</v>
      </c>
    </row>
    <row r="470" spans="1:16" x14ac:dyDescent="0.35">
      <c r="A470" s="5" t="str">
        <f t="shared" si="15"/>
        <v>2022 All Items D90</v>
      </c>
      <c r="B470" s="8">
        <f>'ALL 2024 H2 D80'!$B$2</f>
        <v>46114</v>
      </c>
      <c r="C470" s="8">
        <f>'ALL 2024 H2 D80'!$C$2</f>
        <v>46120</v>
      </c>
      <c r="D470" s="5">
        <v>3208</v>
      </c>
      <c r="E470" s="5">
        <v>320</v>
      </c>
      <c r="F470" s="5">
        <v>1</v>
      </c>
      <c r="G470" s="5">
        <v>3</v>
      </c>
      <c r="H470" s="5">
        <v>81736</v>
      </c>
      <c r="I470" s="5" t="s">
        <v>16</v>
      </c>
      <c r="J470" s="5">
        <v>73868107</v>
      </c>
      <c r="K470" s="5" t="s">
        <v>1244</v>
      </c>
      <c r="L470" s="5" t="s">
        <v>1252</v>
      </c>
      <c r="M470" s="6">
        <v>299900</v>
      </c>
      <c r="N470" s="7">
        <v>0.9</v>
      </c>
      <c r="O470" s="6">
        <f t="shared" si="16"/>
        <v>29990</v>
      </c>
      <c r="P470" s="5" t="s">
        <v>504</v>
      </c>
    </row>
    <row r="471" spans="1:16" x14ac:dyDescent="0.35">
      <c r="A471" s="5" t="str">
        <f t="shared" si="15"/>
        <v>2022 All Items D90</v>
      </c>
      <c r="B471" s="8">
        <f>'ALL 2024 H2 D80'!$B$2</f>
        <v>46114</v>
      </c>
      <c r="C471" s="8">
        <f>'ALL 2024 H2 D80'!$C$2</f>
        <v>46120</v>
      </c>
      <c r="D471" s="5">
        <v>3208</v>
      </c>
      <c r="E471" s="5">
        <v>320</v>
      </c>
      <c r="F471" s="5">
        <v>1</v>
      </c>
      <c r="G471" s="5">
        <v>3</v>
      </c>
      <c r="H471" s="5">
        <v>81078</v>
      </c>
      <c r="I471" s="5" t="s">
        <v>16</v>
      </c>
      <c r="J471" s="5">
        <v>75733534</v>
      </c>
      <c r="K471" s="5" t="s">
        <v>926</v>
      </c>
      <c r="L471" s="5" t="s">
        <v>1253</v>
      </c>
      <c r="M471" s="6">
        <v>399900</v>
      </c>
      <c r="N471" s="7">
        <v>0.9</v>
      </c>
      <c r="O471" s="6">
        <f t="shared" si="16"/>
        <v>39990</v>
      </c>
      <c r="P471" s="5" t="s">
        <v>504</v>
      </c>
    </row>
    <row r="472" spans="1:16" x14ac:dyDescent="0.35">
      <c r="A472" s="5" t="str">
        <f t="shared" si="15"/>
        <v>2022 All Items D90</v>
      </c>
      <c r="B472" s="8">
        <f>'ALL 2024 H2 D80'!$B$2</f>
        <v>46114</v>
      </c>
      <c r="C472" s="8">
        <f>'ALL 2024 H2 D80'!$C$2</f>
        <v>46120</v>
      </c>
      <c r="D472" s="5">
        <v>3208</v>
      </c>
      <c r="E472" s="5">
        <v>320</v>
      </c>
      <c r="F472" s="5">
        <v>1</v>
      </c>
      <c r="G472" s="5">
        <v>3</v>
      </c>
      <c r="H472" s="5">
        <v>81078</v>
      </c>
      <c r="I472" s="5" t="s">
        <v>16</v>
      </c>
      <c r="J472" s="5">
        <v>75733543</v>
      </c>
      <c r="K472" s="5" t="s">
        <v>926</v>
      </c>
      <c r="L472" s="5" t="s">
        <v>1254</v>
      </c>
      <c r="M472" s="6">
        <v>399900</v>
      </c>
      <c r="N472" s="7">
        <v>0.9</v>
      </c>
      <c r="O472" s="6">
        <f t="shared" si="16"/>
        <v>39990</v>
      </c>
      <c r="P472" s="5" t="s">
        <v>504</v>
      </c>
    </row>
    <row r="473" spans="1:16" x14ac:dyDescent="0.35">
      <c r="A473" s="5" t="str">
        <f t="shared" si="15"/>
        <v>2022 All Items D90</v>
      </c>
      <c r="B473" s="8">
        <f>'ALL 2024 H2 D80'!$B$2</f>
        <v>46114</v>
      </c>
      <c r="C473" s="8">
        <f>'ALL 2024 H2 D80'!$C$2</f>
        <v>46120</v>
      </c>
      <c r="D473" s="5">
        <v>3208</v>
      </c>
      <c r="E473" s="5">
        <v>320</v>
      </c>
      <c r="F473" s="5">
        <v>1</v>
      </c>
      <c r="G473" s="5">
        <v>3</v>
      </c>
      <c r="H473" s="5">
        <v>81078</v>
      </c>
      <c r="I473" s="5" t="s">
        <v>16</v>
      </c>
      <c r="J473" s="5">
        <v>75733561</v>
      </c>
      <c r="K473" s="5" t="s">
        <v>926</v>
      </c>
      <c r="L473" s="5" t="s">
        <v>1255</v>
      </c>
      <c r="M473" s="6">
        <v>399900</v>
      </c>
      <c r="N473" s="7">
        <v>0.9</v>
      </c>
      <c r="O473" s="6">
        <f t="shared" si="16"/>
        <v>39990</v>
      </c>
      <c r="P473" s="5" t="s">
        <v>504</v>
      </c>
    </row>
    <row r="474" spans="1:16" x14ac:dyDescent="0.35">
      <c r="A474" s="5" t="str">
        <f t="shared" si="15"/>
        <v>2022 All Items D90</v>
      </c>
      <c r="B474" s="8">
        <f>'ALL 2024 H2 D80'!$B$2</f>
        <v>46114</v>
      </c>
      <c r="C474" s="8">
        <f>'ALL 2024 H2 D80'!$C$2</f>
        <v>46120</v>
      </c>
      <c r="D474" s="5">
        <v>3208</v>
      </c>
      <c r="E474" s="5">
        <v>320</v>
      </c>
      <c r="F474" s="5">
        <v>1</v>
      </c>
      <c r="G474" s="5">
        <v>3</v>
      </c>
      <c r="H474" s="5">
        <v>81078</v>
      </c>
      <c r="I474" s="5" t="s">
        <v>16</v>
      </c>
      <c r="J474" s="5">
        <v>75733614</v>
      </c>
      <c r="K474" s="5" t="s">
        <v>1256</v>
      </c>
      <c r="L474" s="5" t="s">
        <v>1257</v>
      </c>
      <c r="M474" s="6">
        <v>279900</v>
      </c>
      <c r="N474" s="7">
        <v>0.9</v>
      </c>
      <c r="O474" s="6">
        <f t="shared" si="16"/>
        <v>27990</v>
      </c>
      <c r="P474" s="5" t="s">
        <v>504</v>
      </c>
    </row>
    <row r="475" spans="1:16" x14ac:dyDescent="0.35">
      <c r="A475" s="5" t="str">
        <f t="shared" si="15"/>
        <v>2022 All Items D90</v>
      </c>
      <c r="B475" s="8">
        <f>'ALL 2024 H2 D80'!$B$2</f>
        <v>46114</v>
      </c>
      <c r="C475" s="8">
        <f>'ALL 2024 H2 D80'!$C$2</f>
        <v>46120</v>
      </c>
      <c r="D475" s="5">
        <v>3208</v>
      </c>
      <c r="E475" s="5">
        <v>320</v>
      </c>
      <c r="F475" s="5">
        <v>1</v>
      </c>
      <c r="G475" s="5">
        <v>3</v>
      </c>
      <c r="H475" s="5">
        <v>81078</v>
      </c>
      <c r="I475" s="5" t="s">
        <v>16</v>
      </c>
      <c r="J475" s="5">
        <v>75733623</v>
      </c>
      <c r="K475" s="5" t="s">
        <v>1256</v>
      </c>
      <c r="L475" s="5" t="s">
        <v>1258</v>
      </c>
      <c r="M475" s="6">
        <v>279900</v>
      </c>
      <c r="N475" s="7">
        <v>0.9</v>
      </c>
      <c r="O475" s="6">
        <f t="shared" si="16"/>
        <v>27990</v>
      </c>
      <c r="P475" s="5" t="s">
        <v>504</v>
      </c>
    </row>
    <row r="476" spans="1:16" x14ac:dyDescent="0.35">
      <c r="A476" s="5" t="str">
        <f t="shared" si="15"/>
        <v>2022 All Items D90</v>
      </c>
      <c r="B476" s="8">
        <f>'ALL 2024 H2 D80'!$B$2</f>
        <v>46114</v>
      </c>
      <c r="C476" s="8">
        <f>'ALL 2024 H2 D80'!$C$2</f>
        <v>46120</v>
      </c>
      <c r="D476" s="5">
        <v>3208</v>
      </c>
      <c r="E476" s="5">
        <v>320</v>
      </c>
      <c r="F476" s="5">
        <v>1</v>
      </c>
      <c r="G476" s="5">
        <v>3</v>
      </c>
      <c r="H476" s="5">
        <v>81078</v>
      </c>
      <c r="I476" s="5" t="s">
        <v>16</v>
      </c>
      <c r="J476" s="5">
        <v>75733632</v>
      </c>
      <c r="K476" s="5" t="s">
        <v>1256</v>
      </c>
      <c r="L476" s="5" t="s">
        <v>1259</v>
      </c>
      <c r="M476" s="6">
        <v>279900</v>
      </c>
      <c r="N476" s="7">
        <v>0.9</v>
      </c>
      <c r="O476" s="6">
        <f t="shared" si="16"/>
        <v>27990</v>
      </c>
      <c r="P476" s="5" t="s">
        <v>504</v>
      </c>
    </row>
    <row r="477" spans="1:16" x14ac:dyDescent="0.35">
      <c r="A477" s="5" t="str">
        <f t="shared" si="15"/>
        <v>2022 All Items D90</v>
      </c>
      <c r="B477" s="8">
        <f>'ALL 2024 H2 D80'!$B$2</f>
        <v>46114</v>
      </c>
      <c r="C477" s="8">
        <f>'ALL 2024 H2 D80'!$C$2</f>
        <v>46120</v>
      </c>
      <c r="D477" s="5">
        <v>3208</v>
      </c>
      <c r="E477" s="5">
        <v>320</v>
      </c>
      <c r="F477" s="5">
        <v>1</v>
      </c>
      <c r="G477" s="5">
        <v>3</v>
      </c>
      <c r="H477" s="5">
        <v>81078</v>
      </c>
      <c r="I477" s="5" t="s">
        <v>16</v>
      </c>
      <c r="J477" s="5">
        <v>75733641</v>
      </c>
      <c r="K477" s="5" t="s">
        <v>1256</v>
      </c>
      <c r="L477" s="5" t="s">
        <v>1260</v>
      </c>
      <c r="M477" s="6">
        <v>279900</v>
      </c>
      <c r="N477" s="7">
        <v>0.9</v>
      </c>
      <c r="O477" s="6">
        <f t="shared" si="16"/>
        <v>27990</v>
      </c>
      <c r="P477" s="5" t="s">
        <v>504</v>
      </c>
    </row>
    <row r="478" spans="1:16" x14ac:dyDescent="0.35">
      <c r="A478" s="5" t="str">
        <f t="shared" si="15"/>
        <v>2022 All Items D90</v>
      </c>
      <c r="B478" s="8">
        <f>'ALL 2024 H2 D80'!$B$2</f>
        <v>46114</v>
      </c>
      <c r="C478" s="8">
        <f>'ALL 2024 H2 D80'!$C$2</f>
        <v>46120</v>
      </c>
      <c r="D478" s="5">
        <v>3208</v>
      </c>
      <c r="E478" s="5">
        <v>320</v>
      </c>
      <c r="F478" s="5">
        <v>1</v>
      </c>
      <c r="G478" s="5">
        <v>3</v>
      </c>
      <c r="H478" s="5">
        <v>81078</v>
      </c>
      <c r="I478" s="5" t="s">
        <v>16</v>
      </c>
      <c r="J478" s="5">
        <v>76705545</v>
      </c>
      <c r="K478" s="5" t="s">
        <v>1261</v>
      </c>
      <c r="L478" s="5" t="s">
        <v>1262</v>
      </c>
      <c r="M478" s="6">
        <v>329900</v>
      </c>
      <c r="N478" s="7">
        <v>0.9</v>
      </c>
      <c r="O478" s="6">
        <f t="shared" si="16"/>
        <v>32990</v>
      </c>
      <c r="P478" s="5" t="s">
        <v>504</v>
      </c>
    </row>
    <row r="479" spans="1:16" x14ac:dyDescent="0.35">
      <c r="A479" s="5" t="str">
        <f t="shared" si="15"/>
        <v>2022 All Items D90</v>
      </c>
      <c r="B479" s="8">
        <f>'ALL 2024 H2 D80'!$B$2</f>
        <v>46114</v>
      </c>
      <c r="C479" s="8">
        <f>'ALL 2024 H2 D80'!$C$2</f>
        <v>46120</v>
      </c>
      <c r="D479" s="5">
        <v>3208</v>
      </c>
      <c r="E479" s="5">
        <v>320</v>
      </c>
      <c r="F479" s="5">
        <v>1</v>
      </c>
      <c r="G479" s="5">
        <v>3</v>
      </c>
      <c r="H479" s="5">
        <v>81078</v>
      </c>
      <c r="I479" s="5" t="s">
        <v>16</v>
      </c>
      <c r="J479" s="5">
        <v>76705554</v>
      </c>
      <c r="K479" s="5" t="s">
        <v>1261</v>
      </c>
      <c r="L479" s="5" t="s">
        <v>1263</v>
      </c>
      <c r="M479" s="6">
        <v>329900</v>
      </c>
      <c r="N479" s="7">
        <v>0.9</v>
      </c>
      <c r="O479" s="6">
        <f t="shared" si="16"/>
        <v>32990</v>
      </c>
      <c r="P479" s="5" t="s">
        <v>504</v>
      </c>
    </row>
    <row r="480" spans="1:16" x14ac:dyDescent="0.35">
      <c r="A480" s="5" t="str">
        <f t="shared" si="15"/>
        <v>2022 All Items D90</v>
      </c>
      <c r="B480" s="8">
        <f>'ALL 2024 H2 D80'!$B$2</f>
        <v>46114</v>
      </c>
      <c r="C480" s="8">
        <f>'ALL 2024 H2 D80'!$C$2</f>
        <v>46120</v>
      </c>
      <c r="D480" s="5">
        <v>3208</v>
      </c>
      <c r="E480" s="5">
        <v>320</v>
      </c>
      <c r="F480" s="5">
        <v>1</v>
      </c>
      <c r="G480" s="5">
        <v>3</v>
      </c>
      <c r="H480" s="5">
        <v>81078</v>
      </c>
      <c r="I480" s="5" t="s">
        <v>16</v>
      </c>
      <c r="J480" s="5">
        <v>76705563</v>
      </c>
      <c r="K480" s="5" t="s">
        <v>1261</v>
      </c>
      <c r="L480" s="5" t="s">
        <v>1264</v>
      </c>
      <c r="M480" s="6">
        <v>329900</v>
      </c>
      <c r="N480" s="7">
        <v>0.9</v>
      </c>
      <c r="O480" s="6">
        <f t="shared" si="16"/>
        <v>32990</v>
      </c>
      <c r="P480" s="5" t="s">
        <v>504</v>
      </c>
    </row>
    <row r="481" spans="1:16" x14ac:dyDescent="0.35">
      <c r="A481" s="5" t="str">
        <f t="shared" si="15"/>
        <v>2022 All Items D90</v>
      </c>
      <c r="B481" s="8">
        <f>'ALL 2024 H2 D80'!$B$2</f>
        <v>46114</v>
      </c>
      <c r="C481" s="8">
        <f>'ALL 2024 H2 D80'!$C$2</f>
        <v>46120</v>
      </c>
      <c r="D481" s="5">
        <v>3208</v>
      </c>
      <c r="E481" s="5">
        <v>320</v>
      </c>
      <c r="F481" s="5">
        <v>1</v>
      </c>
      <c r="G481" s="5">
        <v>4</v>
      </c>
      <c r="H481" s="5">
        <v>81044</v>
      </c>
      <c r="I481" s="5" t="s">
        <v>16</v>
      </c>
      <c r="J481" s="5">
        <v>60636257</v>
      </c>
      <c r="K481" s="5" t="s">
        <v>1791</v>
      </c>
      <c r="L481" s="5" t="s">
        <v>1792</v>
      </c>
      <c r="M481" s="6">
        <v>349900</v>
      </c>
      <c r="N481" s="7">
        <v>0.9</v>
      </c>
      <c r="O481" s="6">
        <f t="shared" si="16"/>
        <v>34990</v>
      </c>
      <c r="P481" s="5" t="s">
        <v>504</v>
      </c>
    </row>
    <row r="482" spans="1:16" x14ac:dyDescent="0.35">
      <c r="A482" s="5" t="str">
        <f t="shared" si="15"/>
        <v>2022 All Items D90</v>
      </c>
      <c r="B482" s="8">
        <f>'ALL 2024 H2 D80'!$B$2</f>
        <v>46114</v>
      </c>
      <c r="C482" s="8">
        <f>'ALL 2024 H2 D80'!$C$2</f>
        <v>46120</v>
      </c>
      <c r="D482" s="5">
        <v>3208</v>
      </c>
      <c r="E482" s="5">
        <v>320</v>
      </c>
      <c r="F482" s="5">
        <v>1</v>
      </c>
      <c r="G482" s="5">
        <v>4</v>
      </c>
      <c r="H482" s="5">
        <v>81044</v>
      </c>
      <c r="I482" s="5" t="s">
        <v>16</v>
      </c>
      <c r="J482" s="5">
        <v>60636266</v>
      </c>
      <c r="K482" s="5" t="s">
        <v>1791</v>
      </c>
      <c r="L482" s="5" t="s">
        <v>1793</v>
      </c>
      <c r="M482" s="6">
        <v>349900</v>
      </c>
      <c r="N482" s="7">
        <v>0.9</v>
      </c>
      <c r="O482" s="6">
        <f t="shared" si="16"/>
        <v>34990</v>
      </c>
      <c r="P482" s="5" t="s">
        <v>504</v>
      </c>
    </row>
    <row r="483" spans="1:16" x14ac:dyDescent="0.35">
      <c r="A483" s="5" t="str">
        <f t="shared" si="15"/>
        <v>2022 All Items D90</v>
      </c>
      <c r="B483" s="8">
        <f>'ALL 2024 H2 D80'!$B$2</f>
        <v>46114</v>
      </c>
      <c r="C483" s="8">
        <f>'ALL 2024 H2 D80'!$C$2</f>
        <v>46120</v>
      </c>
      <c r="D483" s="5">
        <v>3208</v>
      </c>
      <c r="E483" s="5">
        <v>320</v>
      </c>
      <c r="F483" s="5">
        <v>1</v>
      </c>
      <c r="G483" s="5">
        <v>4</v>
      </c>
      <c r="H483" s="5">
        <v>81044</v>
      </c>
      <c r="I483" s="5" t="s">
        <v>16</v>
      </c>
      <c r="J483" s="5">
        <v>74560919</v>
      </c>
      <c r="K483" s="5" t="s">
        <v>1265</v>
      </c>
      <c r="L483" s="5" t="s">
        <v>1266</v>
      </c>
      <c r="M483" s="6">
        <v>329900</v>
      </c>
      <c r="N483" s="7">
        <v>0.9</v>
      </c>
      <c r="O483" s="6">
        <f t="shared" si="16"/>
        <v>32990</v>
      </c>
      <c r="P483" s="5" t="s">
        <v>504</v>
      </c>
    </row>
    <row r="484" spans="1:16" x14ac:dyDescent="0.35">
      <c r="A484" s="5" t="str">
        <f t="shared" si="15"/>
        <v>2022 All Items D90</v>
      </c>
      <c r="B484" s="8">
        <f>'ALL 2024 H2 D80'!$B$2</f>
        <v>46114</v>
      </c>
      <c r="C484" s="8">
        <f>'ALL 2024 H2 D80'!$C$2</f>
        <v>46120</v>
      </c>
      <c r="D484" s="5">
        <v>3208</v>
      </c>
      <c r="E484" s="5">
        <v>320</v>
      </c>
      <c r="F484" s="5">
        <v>1</v>
      </c>
      <c r="G484" s="5">
        <v>4</v>
      </c>
      <c r="H484" s="5">
        <v>81044</v>
      </c>
      <c r="I484" s="5" t="s">
        <v>16</v>
      </c>
      <c r="J484" s="5">
        <v>74560928</v>
      </c>
      <c r="K484" s="5" t="s">
        <v>1265</v>
      </c>
      <c r="L484" s="5" t="s">
        <v>1267</v>
      </c>
      <c r="M484" s="6">
        <v>329900</v>
      </c>
      <c r="N484" s="7">
        <v>0.9</v>
      </c>
      <c r="O484" s="6">
        <f t="shared" si="16"/>
        <v>32990</v>
      </c>
      <c r="P484" s="5" t="s">
        <v>504</v>
      </c>
    </row>
    <row r="485" spans="1:16" x14ac:dyDescent="0.35">
      <c r="A485" s="5" t="str">
        <f t="shared" si="15"/>
        <v>2022 All Items D90</v>
      </c>
      <c r="B485" s="8">
        <f>'ALL 2024 H2 D80'!$B$2</f>
        <v>46114</v>
      </c>
      <c r="C485" s="8">
        <f>'ALL 2024 H2 D80'!$C$2</f>
        <v>46120</v>
      </c>
      <c r="D485" s="5">
        <v>3208</v>
      </c>
      <c r="E485" s="5">
        <v>320</v>
      </c>
      <c r="F485" s="5">
        <v>1</v>
      </c>
      <c r="G485" s="5">
        <v>4</v>
      </c>
      <c r="H485" s="5">
        <v>81044</v>
      </c>
      <c r="I485" s="5" t="s">
        <v>16</v>
      </c>
      <c r="J485" s="5">
        <v>74560937</v>
      </c>
      <c r="K485" s="5" t="s">
        <v>1265</v>
      </c>
      <c r="L485" s="5" t="s">
        <v>1268</v>
      </c>
      <c r="M485" s="6">
        <v>329900</v>
      </c>
      <c r="N485" s="7">
        <v>0.9</v>
      </c>
      <c r="O485" s="6">
        <f t="shared" si="16"/>
        <v>32990</v>
      </c>
      <c r="P485" s="5" t="s">
        <v>504</v>
      </c>
    </row>
    <row r="486" spans="1:16" x14ac:dyDescent="0.35">
      <c r="A486" s="5" t="str">
        <f t="shared" si="15"/>
        <v>2022 All Items D90</v>
      </c>
      <c r="B486" s="8">
        <f>'ALL 2024 H2 D80'!$B$2</f>
        <v>46114</v>
      </c>
      <c r="C486" s="8">
        <f>'ALL 2024 H2 D80'!$C$2</f>
        <v>46120</v>
      </c>
      <c r="D486" s="5">
        <v>3208</v>
      </c>
      <c r="E486" s="5">
        <v>320</v>
      </c>
      <c r="F486" s="5">
        <v>1</v>
      </c>
      <c r="G486" s="5">
        <v>4</v>
      </c>
      <c r="H486" s="5">
        <v>81495</v>
      </c>
      <c r="I486" s="5" t="s">
        <v>16</v>
      </c>
      <c r="J486" s="5">
        <v>33261668</v>
      </c>
      <c r="K486" s="5" t="s">
        <v>1794</v>
      </c>
      <c r="L486" s="5" t="s">
        <v>1795</v>
      </c>
      <c r="M486" s="6">
        <v>349900</v>
      </c>
      <c r="N486" s="7">
        <v>0.9</v>
      </c>
      <c r="O486" s="6">
        <f t="shared" si="16"/>
        <v>34990</v>
      </c>
      <c r="P486" s="5" t="s">
        <v>504</v>
      </c>
    </row>
    <row r="487" spans="1:16" x14ac:dyDescent="0.35">
      <c r="A487" s="5" t="str">
        <f t="shared" si="15"/>
        <v>2022 All Items D90</v>
      </c>
      <c r="B487" s="8">
        <f>'ALL 2024 H2 D80'!$B$2</f>
        <v>46114</v>
      </c>
      <c r="C487" s="8">
        <f>'ALL 2024 H2 D80'!$C$2</f>
        <v>46120</v>
      </c>
      <c r="D487" s="5">
        <v>3208</v>
      </c>
      <c r="E487" s="5">
        <v>320</v>
      </c>
      <c r="F487" s="5">
        <v>1</v>
      </c>
      <c r="G487" s="5">
        <v>4</v>
      </c>
      <c r="H487" s="5">
        <v>81495</v>
      </c>
      <c r="I487" s="5" t="s">
        <v>16</v>
      </c>
      <c r="J487" s="5">
        <v>33261677</v>
      </c>
      <c r="K487" s="5" t="s">
        <v>1794</v>
      </c>
      <c r="L487" s="5" t="s">
        <v>1796</v>
      </c>
      <c r="M487" s="6">
        <v>349900</v>
      </c>
      <c r="N487" s="7">
        <v>0.9</v>
      </c>
      <c r="O487" s="6">
        <f t="shared" si="16"/>
        <v>34990</v>
      </c>
      <c r="P487" s="5" t="s">
        <v>504</v>
      </c>
    </row>
    <row r="488" spans="1:16" x14ac:dyDescent="0.35">
      <c r="A488" s="5" t="str">
        <f t="shared" si="15"/>
        <v>2022 All Items D90</v>
      </c>
      <c r="B488" s="8">
        <f>'ALL 2024 H2 D80'!$B$2</f>
        <v>46114</v>
      </c>
      <c r="C488" s="8">
        <f>'ALL 2024 H2 D80'!$C$2</f>
        <v>46120</v>
      </c>
      <c r="D488" s="5">
        <v>3208</v>
      </c>
      <c r="E488" s="5">
        <v>320</v>
      </c>
      <c r="F488" s="5">
        <v>1</v>
      </c>
      <c r="G488" s="5">
        <v>4</v>
      </c>
      <c r="H488" s="5">
        <v>81495</v>
      </c>
      <c r="I488" s="5" t="s">
        <v>16</v>
      </c>
      <c r="J488" s="5">
        <v>33261686</v>
      </c>
      <c r="K488" s="5" t="s">
        <v>1794</v>
      </c>
      <c r="L488" s="5" t="s">
        <v>1797</v>
      </c>
      <c r="M488" s="6">
        <v>349900</v>
      </c>
      <c r="N488" s="7">
        <v>0.9</v>
      </c>
      <c r="O488" s="6">
        <f t="shared" si="16"/>
        <v>34990</v>
      </c>
      <c r="P488" s="5" t="s">
        <v>504</v>
      </c>
    </row>
    <row r="489" spans="1:16" x14ac:dyDescent="0.35">
      <c r="A489" s="5" t="str">
        <f t="shared" si="15"/>
        <v>2022 All Items D90</v>
      </c>
      <c r="B489" s="8">
        <f>'ALL 2024 H2 D80'!$B$2</f>
        <v>46114</v>
      </c>
      <c r="C489" s="8">
        <f>'ALL 2024 H2 D80'!$C$2</f>
        <v>46120</v>
      </c>
      <c r="D489" s="5">
        <v>3208</v>
      </c>
      <c r="E489" s="5">
        <v>320</v>
      </c>
      <c r="F489" s="5">
        <v>1</v>
      </c>
      <c r="G489" s="5">
        <v>4</v>
      </c>
      <c r="H489" s="5">
        <v>81495</v>
      </c>
      <c r="I489" s="5" t="s">
        <v>16</v>
      </c>
      <c r="J489" s="5">
        <v>73366953</v>
      </c>
      <c r="K489" s="5" t="s">
        <v>1269</v>
      </c>
      <c r="L489" s="5" t="s">
        <v>1270</v>
      </c>
      <c r="M489" s="6">
        <v>299900</v>
      </c>
      <c r="N489" s="7">
        <v>0.9</v>
      </c>
      <c r="O489" s="6">
        <f t="shared" si="16"/>
        <v>29990</v>
      </c>
      <c r="P489" s="5" t="s">
        <v>504</v>
      </c>
    </row>
    <row r="490" spans="1:16" x14ac:dyDescent="0.35">
      <c r="A490" s="5" t="str">
        <f t="shared" si="15"/>
        <v>2022 All Items D90</v>
      </c>
      <c r="B490" s="8">
        <f>'ALL 2024 H2 D80'!$B$2</f>
        <v>46114</v>
      </c>
      <c r="C490" s="8">
        <f>'ALL 2024 H2 D80'!$C$2</f>
        <v>46120</v>
      </c>
      <c r="D490" s="5">
        <v>3208</v>
      </c>
      <c r="E490" s="5">
        <v>320</v>
      </c>
      <c r="F490" s="5">
        <v>1</v>
      </c>
      <c r="G490" s="5">
        <v>4</v>
      </c>
      <c r="H490" s="5">
        <v>81495</v>
      </c>
      <c r="I490" s="5" t="s">
        <v>16</v>
      </c>
      <c r="J490" s="5">
        <v>73366962</v>
      </c>
      <c r="K490" s="5" t="s">
        <v>1269</v>
      </c>
      <c r="L490" s="5" t="s">
        <v>1271</v>
      </c>
      <c r="M490" s="6">
        <v>299900</v>
      </c>
      <c r="N490" s="7">
        <v>0.9</v>
      </c>
      <c r="O490" s="6">
        <f t="shared" si="16"/>
        <v>29990</v>
      </c>
      <c r="P490" s="5" t="s">
        <v>504</v>
      </c>
    </row>
    <row r="491" spans="1:16" x14ac:dyDescent="0.35">
      <c r="A491" s="5" t="str">
        <f t="shared" si="15"/>
        <v>2022 All Items D90</v>
      </c>
      <c r="B491" s="8">
        <f>'ALL 2024 H2 D80'!$B$2</f>
        <v>46114</v>
      </c>
      <c r="C491" s="8">
        <f>'ALL 2024 H2 D80'!$C$2</f>
        <v>46120</v>
      </c>
      <c r="D491" s="5">
        <v>3208</v>
      </c>
      <c r="E491" s="5">
        <v>320</v>
      </c>
      <c r="F491" s="5">
        <v>1</v>
      </c>
      <c r="G491" s="5">
        <v>4</v>
      </c>
      <c r="H491" s="5">
        <v>81495</v>
      </c>
      <c r="I491" s="5" t="s">
        <v>16</v>
      </c>
      <c r="J491" s="5">
        <v>73366971</v>
      </c>
      <c r="K491" s="5" t="s">
        <v>1269</v>
      </c>
      <c r="L491" s="5" t="s">
        <v>1272</v>
      </c>
      <c r="M491" s="6">
        <v>299900</v>
      </c>
      <c r="N491" s="7">
        <v>0.9</v>
      </c>
      <c r="O491" s="6">
        <f t="shared" si="16"/>
        <v>29990</v>
      </c>
      <c r="P491" s="5" t="s">
        <v>504</v>
      </c>
    </row>
    <row r="492" spans="1:16" x14ac:dyDescent="0.35">
      <c r="A492" s="5" t="str">
        <f t="shared" si="15"/>
        <v>2022 All Items D90</v>
      </c>
      <c r="B492" s="8">
        <f>'ALL 2024 H2 D80'!$B$2</f>
        <v>46114</v>
      </c>
      <c r="C492" s="8">
        <f>'ALL 2024 H2 D80'!$C$2</f>
        <v>46120</v>
      </c>
      <c r="D492" s="5">
        <v>3208</v>
      </c>
      <c r="E492" s="5">
        <v>320</v>
      </c>
      <c r="F492" s="5">
        <v>1</v>
      </c>
      <c r="G492" s="5">
        <v>4</v>
      </c>
      <c r="H492" s="5">
        <v>81495</v>
      </c>
      <c r="I492" s="5" t="s">
        <v>16</v>
      </c>
      <c r="J492" s="5">
        <v>76705223</v>
      </c>
      <c r="K492" s="5" t="s">
        <v>1273</v>
      </c>
      <c r="L492" s="5" t="s">
        <v>1274</v>
      </c>
      <c r="M492" s="6">
        <v>299900</v>
      </c>
      <c r="N492" s="7">
        <v>0.9</v>
      </c>
      <c r="O492" s="6">
        <f t="shared" si="16"/>
        <v>29990</v>
      </c>
      <c r="P492" s="5" t="s">
        <v>504</v>
      </c>
    </row>
    <row r="493" spans="1:16" x14ac:dyDescent="0.35">
      <c r="A493" s="5" t="str">
        <f t="shared" si="15"/>
        <v>2022 All Items D90</v>
      </c>
      <c r="B493" s="8">
        <f>'ALL 2024 H2 D80'!$B$2</f>
        <v>46114</v>
      </c>
      <c r="C493" s="8">
        <f>'ALL 2024 H2 D80'!$C$2</f>
        <v>46120</v>
      </c>
      <c r="D493" s="5">
        <v>3208</v>
      </c>
      <c r="E493" s="5">
        <v>320</v>
      </c>
      <c r="F493" s="5">
        <v>1</v>
      </c>
      <c r="G493" s="5">
        <v>4</v>
      </c>
      <c r="H493" s="5">
        <v>81495</v>
      </c>
      <c r="I493" s="5" t="s">
        <v>16</v>
      </c>
      <c r="J493" s="5">
        <v>76705232</v>
      </c>
      <c r="K493" s="5" t="s">
        <v>1273</v>
      </c>
      <c r="L493" s="5" t="s">
        <v>1275</v>
      </c>
      <c r="M493" s="6">
        <v>299900</v>
      </c>
      <c r="N493" s="7">
        <v>0.9</v>
      </c>
      <c r="O493" s="6">
        <f t="shared" si="16"/>
        <v>29990</v>
      </c>
      <c r="P493" s="5" t="s">
        <v>504</v>
      </c>
    </row>
    <row r="494" spans="1:16" x14ac:dyDescent="0.35">
      <c r="A494" s="5" t="str">
        <f t="shared" si="15"/>
        <v>2022 All Items D90</v>
      </c>
      <c r="B494" s="8">
        <f>'ALL 2024 H2 D80'!$B$2</f>
        <v>46114</v>
      </c>
      <c r="C494" s="8">
        <f>'ALL 2024 H2 D80'!$C$2</f>
        <v>46120</v>
      </c>
      <c r="D494" s="5">
        <v>3208</v>
      </c>
      <c r="E494" s="5">
        <v>320</v>
      </c>
      <c r="F494" s="5">
        <v>1</v>
      </c>
      <c r="G494" s="5">
        <v>4</v>
      </c>
      <c r="H494" s="5">
        <v>81495</v>
      </c>
      <c r="I494" s="5" t="s">
        <v>16</v>
      </c>
      <c r="J494" s="5">
        <v>76705241</v>
      </c>
      <c r="K494" s="5" t="s">
        <v>1273</v>
      </c>
      <c r="L494" s="5" t="s">
        <v>1276</v>
      </c>
      <c r="M494" s="6">
        <v>299900</v>
      </c>
      <c r="N494" s="7">
        <v>0.9</v>
      </c>
      <c r="O494" s="6">
        <f t="shared" si="16"/>
        <v>29990</v>
      </c>
      <c r="P494" s="5" t="s">
        <v>504</v>
      </c>
    </row>
    <row r="495" spans="1:16" x14ac:dyDescent="0.35">
      <c r="A495" s="5" t="str">
        <f t="shared" si="15"/>
        <v>2022 All Items D90</v>
      </c>
      <c r="B495" s="8">
        <f>'ALL 2024 H2 D80'!$B$2</f>
        <v>46114</v>
      </c>
      <c r="C495" s="8">
        <f>'ALL 2024 H2 D80'!$C$2</f>
        <v>46120</v>
      </c>
      <c r="D495" s="5">
        <v>3208</v>
      </c>
      <c r="E495" s="5">
        <v>320</v>
      </c>
      <c r="F495" s="5">
        <v>1</v>
      </c>
      <c r="G495" s="5">
        <v>4</v>
      </c>
      <c r="H495" s="5">
        <v>81495</v>
      </c>
      <c r="I495" s="5" t="s">
        <v>16</v>
      </c>
      <c r="J495" s="5">
        <v>76705250</v>
      </c>
      <c r="K495" s="5" t="s">
        <v>1273</v>
      </c>
      <c r="L495" s="5" t="s">
        <v>1277</v>
      </c>
      <c r="M495" s="6">
        <v>299900</v>
      </c>
      <c r="N495" s="7">
        <v>0.9</v>
      </c>
      <c r="O495" s="6">
        <f t="shared" si="16"/>
        <v>29990</v>
      </c>
      <c r="P495" s="5" t="s">
        <v>504</v>
      </c>
    </row>
    <row r="496" spans="1:16" x14ac:dyDescent="0.35">
      <c r="A496" s="5" t="str">
        <f t="shared" si="15"/>
        <v>2022 All Items D90</v>
      </c>
      <c r="B496" s="8">
        <f>'ALL 2024 H2 D80'!$B$2</f>
        <v>46114</v>
      </c>
      <c r="C496" s="8">
        <f>'ALL 2024 H2 D80'!$C$2</f>
        <v>46120</v>
      </c>
      <c r="D496" s="5">
        <v>3208</v>
      </c>
      <c r="E496" s="5">
        <v>320</v>
      </c>
      <c r="F496" s="5">
        <v>1</v>
      </c>
      <c r="G496" s="5">
        <v>4</v>
      </c>
      <c r="H496" s="5">
        <v>81736</v>
      </c>
      <c r="I496" s="5" t="s">
        <v>16</v>
      </c>
      <c r="J496" s="5">
        <v>60818711</v>
      </c>
      <c r="K496" s="5" t="s">
        <v>1798</v>
      </c>
      <c r="L496" s="5" t="s">
        <v>1799</v>
      </c>
      <c r="M496" s="6">
        <v>329900</v>
      </c>
      <c r="N496" s="7">
        <v>0.9</v>
      </c>
      <c r="O496" s="6">
        <f t="shared" si="16"/>
        <v>32990</v>
      </c>
      <c r="P496" s="5" t="s">
        <v>504</v>
      </c>
    </row>
    <row r="497" spans="1:16" x14ac:dyDescent="0.35">
      <c r="A497" s="5" t="str">
        <f t="shared" si="15"/>
        <v>2022 All Items D90</v>
      </c>
      <c r="B497" s="8">
        <f>'ALL 2024 H2 D80'!$B$2</f>
        <v>46114</v>
      </c>
      <c r="C497" s="8">
        <f>'ALL 2024 H2 D80'!$C$2</f>
        <v>46120</v>
      </c>
      <c r="D497" s="5">
        <v>3208</v>
      </c>
      <c r="E497" s="5">
        <v>320</v>
      </c>
      <c r="F497" s="5">
        <v>1</v>
      </c>
      <c r="G497" s="5">
        <v>4</v>
      </c>
      <c r="H497" s="5">
        <v>81736</v>
      </c>
      <c r="I497" s="5" t="s">
        <v>16</v>
      </c>
      <c r="J497" s="5">
        <v>60818720</v>
      </c>
      <c r="K497" s="5" t="s">
        <v>1798</v>
      </c>
      <c r="L497" s="5" t="s">
        <v>1800</v>
      </c>
      <c r="M497" s="6">
        <v>329900</v>
      </c>
      <c r="N497" s="7">
        <v>0.9</v>
      </c>
      <c r="O497" s="6">
        <f t="shared" si="16"/>
        <v>32990</v>
      </c>
      <c r="P497" s="5" t="s">
        <v>504</v>
      </c>
    </row>
    <row r="498" spans="1:16" x14ac:dyDescent="0.35">
      <c r="A498" s="5" t="str">
        <f t="shared" si="15"/>
        <v>2022 All Items D90</v>
      </c>
      <c r="B498" s="8">
        <f>'ALL 2024 H2 D80'!$B$2</f>
        <v>46114</v>
      </c>
      <c r="C498" s="8">
        <f>'ALL 2024 H2 D80'!$C$2</f>
        <v>46120</v>
      </c>
      <c r="D498" s="5">
        <v>3208</v>
      </c>
      <c r="E498" s="5">
        <v>320</v>
      </c>
      <c r="F498" s="5">
        <v>1</v>
      </c>
      <c r="G498" s="5">
        <v>4</v>
      </c>
      <c r="H498" s="5">
        <v>81736</v>
      </c>
      <c r="I498" s="5" t="s">
        <v>16</v>
      </c>
      <c r="J498" s="5">
        <v>60818739</v>
      </c>
      <c r="K498" s="5" t="s">
        <v>1798</v>
      </c>
      <c r="L498" s="5" t="s">
        <v>1801</v>
      </c>
      <c r="M498" s="6">
        <v>329900</v>
      </c>
      <c r="N498" s="7">
        <v>0.9</v>
      </c>
      <c r="O498" s="6">
        <f t="shared" si="16"/>
        <v>32990</v>
      </c>
      <c r="P498" s="5" t="s">
        <v>504</v>
      </c>
    </row>
    <row r="499" spans="1:16" x14ac:dyDescent="0.35">
      <c r="A499" s="5" t="str">
        <f t="shared" si="15"/>
        <v>2022 All Items D90</v>
      </c>
      <c r="B499" s="8">
        <f>'ALL 2024 H2 D80'!$B$2</f>
        <v>46114</v>
      </c>
      <c r="C499" s="8">
        <f>'ALL 2024 H2 D80'!$C$2</f>
        <v>46120</v>
      </c>
      <c r="D499" s="5">
        <v>3208</v>
      </c>
      <c r="E499" s="5">
        <v>320</v>
      </c>
      <c r="F499" s="5">
        <v>1</v>
      </c>
      <c r="G499" s="5">
        <v>4</v>
      </c>
      <c r="H499" s="5">
        <v>81736</v>
      </c>
      <c r="I499" s="5" t="s">
        <v>16</v>
      </c>
      <c r="J499" s="5">
        <v>60818748</v>
      </c>
      <c r="K499" s="5" t="s">
        <v>1798</v>
      </c>
      <c r="L499" s="5" t="s">
        <v>1802</v>
      </c>
      <c r="M499" s="6">
        <v>329900</v>
      </c>
      <c r="N499" s="7">
        <v>0.9</v>
      </c>
      <c r="O499" s="6">
        <f t="shared" si="16"/>
        <v>32990</v>
      </c>
      <c r="P499" s="5" t="s">
        <v>504</v>
      </c>
    </row>
    <row r="500" spans="1:16" x14ac:dyDescent="0.35">
      <c r="A500" s="5" t="str">
        <f t="shared" si="15"/>
        <v>2022 All Items D90</v>
      </c>
      <c r="B500" s="8">
        <f>'ALL 2024 H2 D80'!$B$2</f>
        <v>46114</v>
      </c>
      <c r="C500" s="8">
        <f>'ALL 2024 H2 D80'!$C$2</f>
        <v>46120</v>
      </c>
      <c r="D500" s="5">
        <v>3208</v>
      </c>
      <c r="E500" s="5">
        <v>320</v>
      </c>
      <c r="F500" s="5">
        <v>1</v>
      </c>
      <c r="G500" s="5">
        <v>4</v>
      </c>
      <c r="H500" s="5">
        <v>81736</v>
      </c>
      <c r="I500" s="5" t="s">
        <v>16</v>
      </c>
      <c r="J500" s="5">
        <v>62464528</v>
      </c>
      <c r="K500" s="5" t="s">
        <v>1803</v>
      </c>
      <c r="L500" s="5" t="s">
        <v>1804</v>
      </c>
      <c r="M500" s="6">
        <v>299900</v>
      </c>
      <c r="N500" s="7">
        <v>0.9</v>
      </c>
      <c r="O500" s="6">
        <f t="shared" si="16"/>
        <v>29990</v>
      </c>
      <c r="P500" s="5" t="s">
        <v>504</v>
      </c>
    </row>
    <row r="501" spans="1:16" x14ac:dyDescent="0.35">
      <c r="A501" s="5" t="str">
        <f t="shared" si="15"/>
        <v>2022 All Items D90</v>
      </c>
      <c r="B501" s="8">
        <f>'ALL 2024 H2 D80'!$B$2</f>
        <v>46114</v>
      </c>
      <c r="C501" s="8">
        <f>'ALL 2024 H2 D80'!$C$2</f>
        <v>46120</v>
      </c>
      <c r="D501" s="5">
        <v>3208</v>
      </c>
      <c r="E501" s="5">
        <v>320</v>
      </c>
      <c r="F501" s="5">
        <v>1</v>
      </c>
      <c r="G501" s="5">
        <v>4</v>
      </c>
      <c r="H501" s="5">
        <v>81736</v>
      </c>
      <c r="I501" s="5" t="s">
        <v>16</v>
      </c>
      <c r="J501" s="5">
        <v>62464537</v>
      </c>
      <c r="K501" s="5" t="s">
        <v>1803</v>
      </c>
      <c r="L501" s="5" t="s">
        <v>1805</v>
      </c>
      <c r="M501" s="6">
        <v>299900</v>
      </c>
      <c r="N501" s="7">
        <v>0.9</v>
      </c>
      <c r="O501" s="6">
        <f t="shared" si="16"/>
        <v>29990</v>
      </c>
      <c r="P501" s="5" t="s">
        <v>504</v>
      </c>
    </row>
    <row r="502" spans="1:16" x14ac:dyDescent="0.35">
      <c r="A502" s="5" t="str">
        <f t="shared" si="15"/>
        <v>2022 All Items D90</v>
      </c>
      <c r="B502" s="8">
        <f>'ALL 2024 H2 D80'!$B$2</f>
        <v>46114</v>
      </c>
      <c r="C502" s="8">
        <f>'ALL 2024 H2 D80'!$C$2</f>
        <v>46120</v>
      </c>
      <c r="D502" s="5">
        <v>3208</v>
      </c>
      <c r="E502" s="5">
        <v>320</v>
      </c>
      <c r="F502" s="5">
        <v>1</v>
      </c>
      <c r="G502" s="5">
        <v>4</v>
      </c>
      <c r="H502" s="5">
        <v>81736</v>
      </c>
      <c r="I502" s="5" t="s">
        <v>16</v>
      </c>
      <c r="J502" s="5">
        <v>62464546</v>
      </c>
      <c r="K502" s="5" t="s">
        <v>1803</v>
      </c>
      <c r="L502" s="5" t="s">
        <v>1806</v>
      </c>
      <c r="M502" s="6">
        <v>299900</v>
      </c>
      <c r="N502" s="7">
        <v>0.9</v>
      </c>
      <c r="O502" s="6">
        <f t="shared" si="16"/>
        <v>29990</v>
      </c>
      <c r="P502" s="5" t="s">
        <v>504</v>
      </c>
    </row>
    <row r="503" spans="1:16" x14ac:dyDescent="0.35">
      <c r="A503" s="5" t="str">
        <f t="shared" si="15"/>
        <v>2022 All Items D90</v>
      </c>
      <c r="B503" s="8">
        <f>'ALL 2024 H2 D80'!$B$2</f>
        <v>46114</v>
      </c>
      <c r="C503" s="8">
        <f>'ALL 2024 H2 D80'!$C$2</f>
        <v>46120</v>
      </c>
      <c r="D503" s="5">
        <v>3208</v>
      </c>
      <c r="E503" s="5">
        <v>320</v>
      </c>
      <c r="F503" s="5">
        <v>1</v>
      </c>
      <c r="G503" s="5">
        <v>5</v>
      </c>
      <c r="H503" s="5">
        <v>81044</v>
      </c>
      <c r="I503" s="5" t="s">
        <v>16</v>
      </c>
      <c r="J503" s="5">
        <v>33381529</v>
      </c>
      <c r="K503" s="5" t="s">
        <v>1807</v>
      </c>
      <c r="L503" s="5" t="s">
        <v>1808</v>
      </c>
      <c r="M503" s="6">
        <v>299900</v>
      </c>
      <c r="N503" s="7">
        <v>0.9</v>
      </c>
      <c r="O503" s="6">
        <f t="shared" si="16"/>
        <v>29990</v>
      </c>
      <c r="P503" s="5" t="s">
        <v>504</v>
      </c>
    </row>
    <row r="504" spans="1:16" x14ac:dyDescent="0.35">
      <c r="A504" s="5" t="str">
        <f t="shared" si="15"/>
        <v>2022 All Items D90</v>
      </c>
      <c r="B504" s="8">
        <f>'ALL 2024 H2 D80'!$B$2</f>
        <v>46114</v>
      </c>
      <c r="C504" s="8">
        <f>'ALL 2024 H2 D80'!$C$2</f>
        <v>46120</v>
      </c>
      <c r="D504" s="5">
        <v>3208</v>
      </c>
      <c r="E504" s="5">
        <v>320</v>
      </c>
      <c r="F504" s="5">
        <v>1</v>
      </c>
      <c r="G504" s="5">
        <v>5</v>
      </c>
      <c r="H504" s="5">
        <v>81044</v>
      </c>
      <c r="I504" s="5" t="s">
        <v>16</v>
      </c>
      <c r="J504" s="5">
        <v>33381538</v>
      </c>
      <c r="K504" s="5" t="s">
        <v>1807</v>
      </c>
      <c r="L504" s="5" t="s">
        <v>1809</v>
      </c>
      <c r="M504" s="6">
        <v>299900</v>
      </c>
      <c r="N504" s="7">
        <v>0.9</v>
      </c>
      <c r="O504" s="6">
        <f t="shared" si="16"/>
        <v>29990</v>
      </c>
      <c r="P504" s="5" t="s">
        <v>504</v>
      </c>
    </row>
    <row r="505" spans="1:16" x14ac:dyDescent="0.35">
      <c r="A505" s="5" t="str">
        <f t="shared" si="15"/>
        <v>2022 All Items D90</v>
      </c>
      <c r="B505" s="8">
        <f>'ALL 2024 H2 D80'!$B$2</f>
        <v>46114</v>
      </c>
      <c r="C505" s="8">
        <f>'ALL 2024 H2 D80'!$C$2</f>
        <v>46120</v>
      </c>
      <c r="D505" s="5">
        <v>3208</v>
      </c>
      <c r="E505" s="5">
        <v>320</v>
      </c>
      <c r="F505" s="5">
        <v>1</v>
      </c>
      <c r="G505" s="5">
        <v>5</v>
      </c>
      <c r="H505" s="5">
        <v>81044</v>
      </c>
      <c r="I505" s="5" t="s">
        <v>16</v>
      </c>
      <c r="J505" s="5">
        <v>33381547</v>
      </c>
      <c r="K505" s="5" t="s">
        <v>1807</v>
      </c>
      <c r="L505" s="5" t="s">
        <v>1810</v>
      </c>
      <c r="M505" s="6">
        <v>299900</v>
      </c>
      <c r="N505" s="7">
        <v>0.9</v>
      </c>
      <c r="O505" s="6">
        <f t="shared" si="16"/>
        <v>29990</v>
      </c>
      <c r="P505" s="5" t="s">
        <v>504</v>
      </c>
    </row>
    <row r="506" spans="1:16" x14ac:dyDescent="0.35">
      <c r="A506" s="5" t="str">
        <f t="shared" si="15"/>
        <v>2022 All Items D90</v>
      </c>
      <c r="B506" s="8">
        <f>'ALL 2024 H2 D80'!$B$2</f>
        <v>46114</v>
      </c>
      <c r="C506" s="8">
        <f>'ALL 2024 H2 D80'!$C$2</f>
        <v>46120</v>
      </c>
      <c r="D506" s="5">
        <v>3208</v>
      </c>
      <c r="E506" s="5">
        <v>320</v>
      </c>
      <c r="F506" s="5">
        <v>1</v>
      </c>
      <c r="G506" s="5">
        <v>5</v>
      </c>
      <c r="H506" s="5">
        <v>81044</v>
      </c>
      <c r="I506" s="5" t="s">
        <v>16</v>
      </c>
      <c r="J506" s="5">
        <v>33381556</v>
      </c>
      <c r="K506" s="5" t="s">
        <v>1807</v>
      </c>
      <c r="L506" s="5" t="s">
        <v>1811</v>
      </c>
      <c r="M506" s="6">
        <v>299900</v>
      </c>
      <c r="N506" s="7">
        <v>0.9</v>
      </c>
      <c r="O506" s="6">
        <f t="shared" si="16"/>
        <v>29990</v>
      </c>
      <c r="P506" s="5" t="s">
        <v>504</v>
      </c>
    </row>
    <row r="507" spans="1:16" x14ac:dyDescent="0.35">
      <c r="A507" s="5" t="str">
        <f t="shared" si="15"/>
        <v>2022 All Items D90</v>
      </c>
      <c r="B507" s="8">
        <f>'ALL 2024 H2 D80'!$B$2</f>
        <v>46114</v>
      </c>
      <c r="C507" s="8">
        <f>'ALL 2024 H2 D80'!$C$2</f>
        <v>46120</v>
      </c>
      <c r="D507" s="5">
        <v>3208</v>
      </c>
      <c r="E507" s="5">
        <v>320</v>
      </c>
      <c r="F507" s="5">
        <v>1</v>
      </c>
      <c r="G507" s="5">
        <v>5</v>
      </c>
      <c r="H507" s="5">
        <v>81044</v>
      </c>
      <c r="I507" s="5" t="s">
        <v>16</v>
      </c>
      <c r="J507" s="5">
        <v>46708447</v>
      </c>
      <c r="K507" s="5" t="s">
        <v>1812</v>
      </c>
      <c r="L507" s="5" t="s">
        <v>1813</v>
      </c>
      <c r="M507" s="6">
        <v>279900</v>
      </c>
      <c r="N507" s="7">
        <v>0.9</v>
      </c>
      <c r="O507" s="6">
        <f t="shared" si="16"/>
        <v>27990</v>
      </c>
      <c r="P507" s="5" t="s">
        <v>504</v>
      </c>
    </row>
    <row r="508" spans="1:16" x14ac:dyDescent="0.35">
      <c r="A508" s="5" t="str">
        <f t="shared" si="15"/>
        <v>2022 All Items D90</v>
      </c>
      <c r="B508" s="8">
        <f>'ALL 2024 H2 D80'!$B$2</f>
        <v>46114</v>
      </c>
      <c r="C508" s="8">
        <f>'ALL 2024 H2 D80'!$C$2</f>
        <v>46120</v>
      </c>
      <c r="D508" s="5">
        <v>3208</v>
      </c>
      <c r="E508" s="5">
        <v>320</v>
      </c>
      <c r="F508" s="5">
        <v>1</v>
      </c>
      <c r="G508" s="5">
        <v>5</v>
      </c>
      <c r="H508" s="5">
        <v>81044</v>
      </c>
      <c r="I508" s="5" t="s">
        <v>16</v>
      </c>
      <c r="J508" s="5">
        <v>46708456</v>
      </c>
      <c r="K508" s="5" t="s">
        <v>1812</v>
      </c>
      <c r="L508" s="5" t="s">
        <v>1814</v>
      </c>
      <c r="M508" s="6">
        <v>279900</v>
      </c>
      <c r="N508" s="7">
        <v>0.9</v>
      </c>
      <c r="O508" s="6">
        <f t="shared" si="16"/>
        <v>27990</v>
      </c>
      <c r="P508" s="5" t="s">
        <v>504</v>
      </c>
    </row>
    <row r="509" spans="1:16" x14ac:dyDescent="0.35">
      <c r="A509" s="5" t="str">
        <f t="shared" si="15"/>
        <v>2022 All Items D90</v>
      </c>
      <c r="B509" s="8">
        <f>'ALL 2024 H2 D80'!$B$2</f>
        <v>46114</v>
      </c>
      <c r="C509" s="8">
        <f>'ALL 2024 H2 D80'!$C$2</f>
        <v>46120</v>
      </c>
      <c r="D509" s="5">
        <v>3208</v>
      </c>
      <c r="E509" s="5">
        <v>320</v>
      </c>
      <c r="F509" s="5">
        <v>1</v>
      </c>
      <c r="G509" s="5">
        <v>5</v>
      </c>
      <c r="H509" s="5">
        <v>81044</v>
      </c>
      <c r="I509" s="5" t="s">
        <v>16</v>
      </c>
      <c r="J509" s="5">
        <v>46708474</v>
      </c>
      <c r="K509" s="5" t="s">
        <v>1812</v>
      </c>
      <c r="L509" s="5" t="s">
        <v>1815</v>
      </c>
      <c r="M509" s="6">
        <v>279900</v>
      </c>
      <c r="N509" s="7">
        <v>0.9</v>
      </c>
      <c r="O509" s="6">
        <f t="shared" si="16"/>
        <v>27990</v>
      </c>
      <c r="P509" s="5" t="s">
        <v>504</v>
      </c>
    </row>
    <row r="510" spans="1:16" x14ac:dyDescent="0.35">
      <c r="A510" s="5" t="str">
        <f t="shared" si="15"/>
        <v>2022 All Items D90</v>
      </c>
      <c r="B510" s="8">
        <f>'ALL 2024 H2 D80'!$B$2</f>
        <v>46114</v>
      </c>
      <c r="C510" s="8">
        <f>'ALL 2024 H2 D80'!$C$2</f>
        <v>46120</v>
      </c>
      <c r="D510" s="5">
        <v>3208</v>
      </c>
      <c r="E510" s="5">
        <v>320</v>
      </c>
      <c r="F510" s="5">
        <v>1</v>
      </c>
      <c r="G510" s="5">
        <v>5</v>
      </c>
      <c r="H510" s="5">
        <v>81044</v>
      </c>
      <c r="I510" s="5" t="s">
        <v>16</v>
      </c>
      <c r="J510" s="5">
        <v>75733776</v>
      </c>
      <c r="K510" s="5" t="s">
        <v>1278</v>
      </c>
      <c r="L510" s="5" t="s">
        <v>1279</v>
      </c>
      <c r="M510" s="6">
        <v>369900</v>
      </c>
      <c r="N510" s="7">
        <v>0.9</v>
      </c>
      <c r="O510" s="6">
        <f t="shared" si="16"/>
        <v>36990</v>
      </c>
      <c r="P510" s="5" t="s">
        <v>504</v>
      </c>
    </row>
    <row r="511" spans="1:16" x14ac:dyDescent="0.35">
      <c r="A511" s="5" t="str">
        <f t="shared" si="15"/>
        <v>2022 All Items D90</v>
      </c>
      <c r="B511" s="8">
        <f>'ALL 2024 H2 D80'!$B$2</f>
        <v>46114</v>
      </c>
      <c r="C511" s="8">
        <f>'ALL 2024 H2 D80'!$C$2</f>
        <v>46120</v>
      </c>
      <c r="D511" s="5">
        <v>3208</v>
      </c>
      <c r="E511" s="5">
        <v>320</v>
      </c>
      <c r="F511" s="5">
        <v>1</v>
      </c>
      <c r="G511" s="5">
        <v>5</v>
      </c>
      <c r="H511" s="5">
        <v>81044</v>
      </c>
      <c r="I511" s="5" t="s">
        <v>16</v>
      </c>
      <c r="J511" s="5">
        <v>75733785</v>
      </c>
      <c r="K511" s="5" t="s">
        <v>1278</v>
      </c>
      <c r="L511" s="5" t="s">
        <v>1280</v>
      </c>
      <c r="M511" s="6">
        <v>369900</v>
      </c>
      <c r="N511" s="7">
        <v>0.9</v>
      </c>
      <c r="O511" s="6">
        <f t="shared" si="16"/>
        <v>36990</v>
      </c>
      <c r="P511" s="5" t="s">
        <v>504</v>
      </c>
    </row>
    <row r="512" spans="1:16" x14ac:dyDescent="0.35">
      <c r="A512" s="5" t="str">
        <f t="shared" si="15"/>
        <v>2022 All Items D90</v>
      </c>
      <c r="B512" s="8">
        <f>'ALL 2024 H2 D80'!$B$2</f>
        <v>46114</v>
      </c>
      <c r="C512" s="8">
        <f>'ALL 2024 H2 D80'!$C$2</f>
        <v>46120</v>
      </c>
      <c r="D512" s="5">
        <v>3208</v>
      </c>
      <c r="E512" s="5">
        <v>320</v>
      </c>
      <c r="F512" s="5">
        <v>1</v>
      </c>
      <c r="G512" s="5">
        <v>5</v>
      </c>
      <c r="H512" s="5">
        <v>81044</v>
      </c>
      <c r="I512" s="5" t="s">
        <v>16</v>
      </c>
      <c r="J512" s="5">
        <v>75733794</v>
      </c>
      <c r="K512" s="5" t="s">
        <v>1278</v>
      </c>
      <c r="L512" s="5" t="s">
        <v>1281</v>
      </c>
      <c r="M512" s="6">
        <v>369900</v>
      </c>
      <c r="N512" s="7">
        <v>0.9</v>
      </c>
      <c r="O512" s="6">
        <f t="shared" si="16"/>
        <v>36990</v>
      </c>
      <c r="P512" s="5" t="s">
        <v>504</v>
      </c>
    </row>
    <row r="513" spans="1:16" x14ac:dyDescent="0.35">
      <c r="A513" s="5" t="str">
        <f t="shared" si="15"/>
        <v>2022 All Items D90</v>
      </c>
      <c r="B513" s="8">
        <f>'ALL 2024 H2 D80'!$B$2</f>
        <v>46114</v>
      </c>
      <c r="C513" s="8">
        <f>'ALL 2024 H2 D80'!$C$2</f>
        <v>46120</v>
      </c>
      <c r="D513" s="5">
        <v>3208</v>
      </c>
      <c r="E513" s="5">
        <v>320</v>
      </c>
      <c r="F513" s="5">
        <v>1</v>
      </c>
      <c r="G513" s="5">
        <v>5</v>
      </c>
      <c r="H513" s="5">
        <v>81044</v>
      </c>
      <c r="I513" s="5" t="s">
        <v>16</v>
      </c>
      <c r="J513" s="5">
        <v>75733801</v>
      </c>
      <c r="K513" s="5" t="s">
        <v>1278</v>
      </c>
      <c r="L513" s="5" t="s">
        <v>1282</v>
      </c>
      <c r="M513" s="6">
        <v>369900</v>
      </c>
      <c r="N513" s="7">
        <v>0.9</v>
      </c>
      <c r="O513" s="6">
        <f t="shared" si="16"/>
        <v>36990</v>
      </c>
      <c r="P513" s="5" t="s">
        <v>504</v>
      </c>
    </row>
    <row r="514" spans="1:16" x14ac:dyDescent="0.35">
      <c r="A514" s="5" t="str">
        <f t="shared" si="15"/>
        <v>2022 All Items D90</v>
      </c>
      <c r="B514" s="8">
        <f>'ALL 2024 H2 D80'!$B$2</f>
        <v>46114</v>
      </c>
      <c r="C514" s="8">
        <f>'ALL 2024 H2 D80'!$C$2</f>
        <v>46120</v>
      </c>
      <c r="D514" s="5">
        <v>3208</v>
      </c>
      <c r="E514" s="5">
        <v>320</v>
      </c>
      <c r="F514" s="5">
        <v>1</v>
      </c>
      <c r="G514" s="5">
        <v>5</v>
      </c>
      <c r="H514" s="5">
        <v>81044</v>
      </c>
      <c r="I514" s="5" t="s">
        <v>16</v>
      </c>
      <c r="J514" s="5">
        <v>75733810</v>
      </c>
      <c r="K514" s="5" t="s">
        <v>1283</v>
      </c>
      <c r="L514" s="5" t="s">
        <v>1284</v>
      </c>
      <c r="M514" s="6">
        <v>279900</v>
      </c>
      <c r="N514" s="7">
        <v>0.9</v>
      </c>
      <c r="O514" s="6">
        <f t="shared" si="16"/>
        <v>27990</v>
      </c>
      <c r="P514" s="5" t="s">
        <v>504</v>
      </c>
    </row>
    <row r="515" spans="1:16" x14ac:dyDescent="0.35">
      <c r="A515" s="5" t="str">
        <f t="shared" si="15"/>
        <v>2022 All Items D90</v>
      </c>
      <c r="B515" s="8">
        <f>'ALL 2024 H2 D80'!$B$2</f>
        <v>46114</v>
      </c>
      <c r="C515" s="8">
        <f>'ALL 2024 H2 D80'!$C$2</f>
        <v>46120</v>
      </c>
      <c r="D515" s="5">
        <v>3208</v>
      </c>
      <c r="E515" s="5">
        <v>320</v>
      </c>
      <c r="F515" s="5">
        <v>1</v>
      </c>
      <c r="G515" s="5">
        <v>5</v>
      </c>
      <c r="H515" s="5">
        <v>81044</v>
      </c>
      <c r="I515" s="5" t="s">
        <v>16</v>
      </c>
      <c r="J515" s="5">
        <v>75733829</v>
      </c>
      <c r="K515" s="5" t="s">
        <v>1283</v>
      </c>
      <c r="L515" s="5" t="s">
        <v>1285</v>
      </c>
      <c r="M515" s="6">
        <v>279900</v>
      </c>
      <c r="N515" s="7">
        <v>0.9</v>
      </c>
      <c r="O515" s="6">
        <f t="shared" si="16"/>
        <v>27990</v>
      </c>
      <c r="P515" s="5" t="s">
        <v>504</v>
      </c>
    </row>
    <row r="516" spans="1:16" x14ac:dyDescent="0.35">
      <c r="A516" s="5" t="str">
        <f t="shared" ref="A516:A579" si="17">$A$2</f>
        <v>2022 All Items D90</v>
      </c>
      <c r="B516" s="8">
        <f>'ALL 2024 H2 D80'!$B$2</f>
        <v>46114</v>
      </c>
      <c r="C516" s="8">
        <f>'ALL 2024 H2 D80'!$C$2</f>
        <v>46120</v>
      </c>
      <c r="D516" s="5">
        <v>3208</v>
      </c>
      <c r="E516" s="5">
        <v>320</v>
      </c>
      <c r="F516" s="5">
        <v>1</v>
      </c>
      <c r="G516" s="5">
        <v>5</v>
      </c>
      <c r="H516" s="5">
        <v>81044</v>
      </c>
      <c r="I516" s="5" t="s">
        <v>16</v>
      </c>
      <c r="J516" s="5">
        <v>75733847</v>
      </c>
      <c r="K516" s="5" t="s">
        <v>1283</v>
      </c>
      <c r="L516" s="5" t="s">
        <v>1286</v>
      </c>
      <c r="M516" s="6">
        <v>279900</v>
      </c>
      <c r="N516" s="7">
        <v>0.9</v>
      </c>
      <c r="O516" s="6">
        <f t="shared" si="16"/>
        <v>27990</v>
      </c>
      <c r="P516" s="5" t="s">
        <v>504</v>
      </c>
    </row>
    <row r="517" spans="1:16" x14ac:dyDescent="0.35">
      <c r="A517" s="5" t="str">
        <f t="shared" si="17"/>
        <v>2022 All Items D90</v>
      </c>
      <c r="B517" s="8">
        <f>'ALL 2024 H2 D80'!$B$2</f>
        <v>46114</v>
      </c>
      <c r="C517" s="8">
        <f>'ALL 2024 H2 D80'!$C$2</f>
        <v>46120</v>
      </c>
      <c r="D517" s="5">
        <v>3208</v>
      </c>
      <c r="E517" s="5">
        <v>320</v>
      </c>
      <c r="F517" s="5">
        <v>1</v>
      </c>
      <c r="G517" s="5">
        <v>5</v>
      </c>
      <c r="H517" s="5">
        <v>81044</v>
      </c>
      <c r="I517" s="5" t="s">
        <v>16</v>
      </c>
      <c r="J517" s="5">
        <v>75733856</v>
      </c>
      <c r="K517" s="5" t="s">
        <v>1287</v>
      </c>
      <c r="L517" s="5" t="s">
        <v>1288</v>
      </c>
      <c r="M517" s="6">
        <v>249900</v>
      </c>
      <c r="N517" s="7">
        <v>0.9</v>
      </c>
      <c r="O517" s="6">
        <f t="shared" si="16"/>
        <v>24990</v>
      </c>
      <c r="P517" s="5" t="s">
        <v>504</v>
      </c>
    </row>
    <row r="518" spans="1:16" x14ac:dyDescent="0.35">
      <c r="A518" s="5" t="str">
        <f t="shared" si="17"/>
        <v>2022 All Items D90</v>
      </c>
      <c r="B518" s="8">
        <f>'ALL 2024 H2 D80'!$B$2</f>
        <v>46114</v>
      </c>
      <c r="C518" s="8">
        <f>'ALL 2024 H2 D80'!$C$2</f>
        <v>46120</v>
      </c>
      <c r="D518" s="5">
        <v>3208</v>
      </c>
      <c r="E518" s="5">
        <v>320</v>
      </c>
      <c r="F518" s="5">
        <v>1</v>
      </c>
      <c r="G518" s="5">
        <v>5</v>
      </c>
      <c r="H518" s="5">
        <v>81044</v>
      </c>
      <c r="I518" s="5" t="s">
        <v>16</v>
      </c>
      <c r="J518" s="5">
        <v>75733865</v>
      </c>
      <c r="K518" s="5" t="s">
        <v>1287</v>
      </c>
      <c r="L518" s="5" t="s">
        <v>1289</v>
      </c>
      <c r="M518" s="6">
        <v>249900</v>
      </c>
      <c r="N518" s="7">
        <v>0.9</v>
      </c>
      <c r="O518" s="6">
        <f t="shared" ref="O518:O581" si="18">M518-(M518*N518)</f>
        <v>24990</v>
      </c>
      <c r="P518" s="5" t="s">
        <v>504</v>
      </c>
    </row>
    <row r="519" spans="1:16" x14ac:dyDescent="0.35">
      <c r="A519" s="5" t="str">
        <f t="shared" si="17"/>
        <v>2022 All Items D90</v>
      </c>
      <c r="B519" s="8">
        <f>'ALL 2024 H2 D80'!$B$2</f>
        <v>46114</v>
      </c>
      <c r="C519" s="8">
        <f>'ALL 2024 H2 D80'!$C$2</f>
        <v>46120</v>
      </c>
      <c r="D519" s="5">
        <v>3208</v>
      </c>
      <c r="E519" s="5">
        <v>320</v>
      </c>
      <c r="F519" s="5">
        <v>1</v>
      </c>
      <c r="G519" s="5">
        <v>5</v>
      </c>
      <c r="H519" s="5">
        <v>81044</v>
      </c>
      <c r="I519" s="5" t="s">
        <v>16</v>
      </c>
      <c r="J519" s="5">
        <v>75733883</v>
      </c>
      <c r="K519" s="5" t="s">
        <v>1287</v>
      </c>
      <c r="L519" s="5" t="s">
        <v>1290</v>
      </c>
      <c r="M519" s="6">
        <v>249900</v>
      </c>
      <c r="N519" s="7">
        <v>0.9</v>
      </c>
      <c r="O519" s="6">
        <f t="shared" si="18"/>
        <v>24990</v>
      </c>
      <c r="P519" s="5" t="s">
        <v>504</v>
      </c>
    </row>
    <row r="520" spans="1:16" x14ac:dyDescent="0.35">
      <c r="A520" s="5" t="str">
        <f t="shared" si="17"/>
        <v>2022 All Items D90</v>
      </c>
      <c r="B520" s="8">
        <f>'ALL 2024 H2 D80'!$B$2</f>
        <v>46114</v>
      </c>
      <c r="C520" s="8">
        <f>'ALL 2024 H2 D80'!$C$2</f>
        <v>46120</v>
      </c>
      <c r="D520" s="5">
        <v>3208</v>
      </c>
      <c r="E520" s="5">
        <v>320</v>
      </c>
      <c r="F520" s="5">
        <v>1</v>
      </c>
      <c r="G520" s="5">
        <v>5</v>
      </c>
      <c r="H520" s="5">
        <v>81044</v>
      </c>
      <c r="I520" s="5" t="s">
        <v>16</v>
      </c>
      <c r="J520" s="5">
        <v>79080358</v>
      </c>
      <c r="K520" s="5" t="s">
        <v>1291</v>
      </c>
      <c r="L520" s="5" t="s">
        <v>1292</v>
      </c>
      <c r="M520" s="6">
        <v>229900</v>
      </c>
      <c r="N520" s="7">
        <v>0.9</v>
      </c>
      <c r="O520" s="6">
        <f t="shared" si="18"/>
        <v>22990</v>
      </c>
      <c r="P520" s="5" t="s">
        <v>504</v>
      </c>
    </row>
    <row r="521" spans="1:16" x14ac:dyDescent="0.35">
      <c r="A521" s="5" t="str">
        <f t="shared" si="17"/>
        <v>2022 All Items D90</v>
      </c>
      <c r="B521" s="8">
        <f>'ALL 2024 H2 D80'!$B$2</f>
        <v>46114</v>
      </c>
      <c r="C521" s="8">
        <f>'ALL 2024 H2 D80'!$C$2</f>
        <v>46120</v>
      </c>
      <c r="D521" s="5">
        <v>3208</v>
      </c>
      <c r="E521" s="5">
        <v>320</v>
      </c>
      <c r="F521" s="5">
        <v>1</v>
      </c>
      <c r="G521" s="5">
        <v>5</v>
      </c>
      <c r="H521" s="5">
        <v>81044</v>
      </c>
      <c r="I521" s="5" t="s">
        <v>16</v>
      </c>
      <c r="J521" s="5">
        <v>79080367</v>
      </c>
      <c r="K521" s="5" t="s">
        <v>1291</v>
      </c>
      <c r="L521" s="5" t="s">
        <v>1293</v>
      </c>
      <c r="M521" s="6">
        <v>229900</v>
      </c>
      <c r="N521" s="7">
        <v>0.9</v>
      </c>
      <c r="O521" s="6">
        <f t="shared" si="18"/>
        <v>22990</v>
      </c>
      <c r="P521" s="5" t="s">
        <v>504</v>
      </c>
    </row>
    <row r="522" spans="1:16" x14ac:dyDescent="0.35">
      <c r="A522" s="5" t="str">
        <f t="shared" si="17"/>
        <v>2022 All Items D90</v>
      </c>
      <c r="B522" s="8">
        <f>'ALL 2024 H2 D80'!$B$2</f>
        <v>46114</v>
      </c>
      <c r="C522" s="8">
        <f>'ALL 2024 H2 D80'!$C$2</f>
        <v>46120</v>
      </c>
      <c r="D522" s="5">
        <v>3208</v>
      </c>
      <c r="E522" s="5">
        <v>320</v>
      </c>
      <c r="F522" s="5">
        <v>1</v>
      </c>
      <c r="G522" s="5">
        <v>5</v>
      </c>
      <c r="H522" s="5">
        <v>81044</v>
      </c>
      <c r="I522" s="5" t="s">
        <v>16</v>
      </c>
      <c r="J522" s="5">
        <v>79080376</v>
      </c>
      <c r="K522" s="5" t="s">
        <v>1291</v>
      </c>
      <c r="L522" s="5" t="s">
        <v>1294</v>
      </c>
      <c r="M522" s="6">
        <v>229900</v>
      </c>
      <c r="N522" s="7">
        <v>0.9</v>
      </c>
      <c r="O522" s="6">
        <f t="shared" si="18"/>
        <v>22990</v>
      </c>
      <c r="P522" s="5" t="s">
        <v>504</v>
      </c>
    </row>
    <row r="523" spans="1:16" x14ac:dyDescent="0.35">
      <c r="A523" s="5" t="str">
        <f t="shared" si="17"/>
        <v>2022 All Items D90</v>
      </c>
      <c r="B523" s="8">
        <f>'ALL 2024 H2 D80'!$B$2</f>
        <v>46114</v>
      </c>
      <c r="C523" s="8">
        <f>'ALL 2024 H2 D80'!$C$2</f>
        <v>46120</v>
      </c>
      <c r="D523" s="5">
        <v>3208</v>
      </c>
      <c r="E523" s="5">
        <v>320</v>
      </c>
      <c r="F523" s="5">
        <v>1</v>
      </c>
      <c r="G523" s="5">
        <v>5</v>
      </c>
      <c r="H523" s="5">
        <v>81044</v>
      </c>
      <c r="I523" s="5" t="s">
        <v>16</v>
      </c>
      <c r="J523" s="5">
        <v>79080385</v>
      </c>
      <c r="K523" s="5" t="s">
        <v>1291</v>
      </c>
      <c r="L523" s="5" t="s">
        <v>1295</v>
      </c>
      <c r="M523" s="6">
        <v>229900</v>
      </c>
      <c r="N523" s="7">
        <v>0.9</v>
      </c>
      <c r="O523" s="6">
        <f t="shared" si="18"/>
        <v>22990</v>
      </c>
      <c r="P523" s="5" t="s">
        <v>504</v>
      </c>
    </row>
    <row r="524" spans="1:16" x14ac:dyDescent="0.35">
      <c r="A524" s="5" t="str">
        <f t="shared" si="17"/>
        <v>2022 All Items D90</v>
      </c>
      <c r="B524" s="8">
        <f>'ALL 2024 H2 D80'!$B$2</f>
        <v>46114</v>
      </c>
      <c r="C524" s="8">
        <f>'ALL 2024 H2 D80'!$C$2</f>
        <v>46120</v>
      </c>
      <c r="D524" s="5">
        <v>3208</v>
      </c>
      <c r="E524" s="5">
        <v>320</v>
      </c>
      <c r="F524" s="5">
        <v>1</v>
      </c>
      <c r="G524" s="5">
        <v>5</v>
      </c>
      <c r="H524" s="5">
        <v>81044</v>
      </c>
      <c r="I524" s="5" t="s">
        <v>16</v>
      </c>
      <c r="J524" s="5">
        <v>79080394</v>
      </c>
      <c r="K524" s="5" t="s">
        <v>1291</v>
      </c>
      <c r="L524" s="5" t="s">
        <v>1296</v>
      </c>
      <c r="M524" s="6">
        <v>229900</v>
      </c>
      <c r="N524" s="7">
        <v>0.9</v>
      </c>
      <c r="O524" s="6">
        <f t="shared" si="18"/>
        <v>22990</v>
      </c>
      <c r="P524" s="5" t="s">
        <v>504</v>
      </c>
    </row>
    <row r="525" spans="1:16" x14ac:dyDescent="0.35">
      <c r="A525" s="5" t="str">
        <f t="shared" si="17"/>
        <v>2022 All Items D90</v>
      </c>
      <c r="B525" s="8">
        <f>'ALL 2024 H2 D80'!$B$2</f>
        <v>46114</v>
      </c>
      <c r="C525" s="8">
        <f>'ALL 2024 H2 D80'!$C$2</f>
        <v>46120</v>
      </c>
      <c r="D525" s="5">
        <v>3208</v>
      </c>
      <c r="E525" s="5">
        <v>320</v>
      </c>
      <c r="F525" s="5">
        <v>1</v>
      </c>
      <c r="G525" s="5">
        <v>5</v>
      </c>
      <c r="H525" s="5">
        <v>81044</v>
      </c>
      <c r="I525" s="5" t="s">
        <v>16</v>
      </c>
      <c r="J525" s="5">
        <v>79080401</v>
      </c>
      <c r="K525" s="5" t="s">
        <v>1291</v>
      </c>
      <c r="L525" s="5" t="s">
        <v>1297</v>
      </c>
      <c r="M525" s="6">
        <v>229900</v>
      </c>
      <c r="N525" s="7">
        <v>0.9</v>
      </c>
      <c r="O525" s="6">
        <f t="shared" si="18"/>
        <v>22990</v>
      </c>
      <c r="P525" s="5" t="s">
        <v>504</v>
      </c>
    </row>
    <row r="526" spans="1:16" x14ac:dyDescent="0.35">
      <c r="A526" s="5" t="str">
        <f t="shared" si="17"/>
        <v>2022 All Items D90</v>
      </c>
      <c r="B526" s="8">
        <f>'ALL 2024 H2 D80'!$B$2</f>
        <v>46114</v>
      </c>
      <c r="C526" s="8">
        <f>'ALL 2024 H2 D80'!$C$2</f>
        <v>46120</v>
      </c>
      <c r="D526" s="5">
        <v>3208</v>
      </c>
      <c r="E526" s="5">
        <v>320</v>
      </c>
      <c r="F526" s="5">
        <v>1</v>
      </c>
      <c r="G526" s="5">
        <v>5</v>
      </c>
      <c r="H526" s="5">
        <v>81044</v>
      </c>
      <c r="I526" s="5" t="s">
        <v>16</v>
      </c>
      <c r="J526" s="5">
        <v>79080410</v>
      </c>
      <c r="K526" s="5" t="s">
        <v>1291</v>
      </c>
      <c r="L526" s="5" t="s">
        <v>1298</v>
      </c>
      <c r="M526" s="6">
        <v>229900</v>
      </c>
      <c r="N526" s="7">
        <v>0.9</v>
      </c>
      <c r="O526" s="6">
        <f t="shared" si="18"/>
        <v>22990</v>
      </c>
      <c r="P526" s="5" t="s">
        <v>504</v>
      </c>
    </row>
    <row r="527" spans="1:16" x14ac:dyDescent="0.35">
      <c r="A527" s="5" t="str">
        <f t="shared" si="17"/>
        <v>2022 All Items D90</v>
      </c>
      <c r="B527" s="8">
        <f>'ALL 2024 H2 D80'!$B$2</f>
        <v>46114</v>
      </c>
      <c r="C527" s="8">
        <f>'ALL 2024 H2 D80'!$C$2</f>
        <v>46120</v>
      </c>
      <c r="D527" s="5">
        <v>3208</v>
      </c>
      <c r="E527" s="5">
        <v>320</v>
      </c>
      <c r="F527" s="5">
        <v>1</v>
      </c>
      <c r="G527" s="5">
        <v>5</v>
      </c>
      <c r="H527" s="5">
        <v>81044</v>
      </c>
      <c r="I527" s="5" t="s">
        <v>16</v>
      </c>
      <c r="J527" s="5">
        <v>79080429</v>
      </c>
      <c r="K527" s="5" t="s">
        <v>1291</v>
      </c>
      <c r="L527" s="5" t="s">
        <v>1299</v>
      </c>
      <c r="M527" s="6">
        <v>229900</v>
      </c>
      <c r="N527" s="7">
        <v>0.9</v>
      </c>
      <c r="O527" s="6">
        <f t="shared" si="18"/>
        <v>22990</v>
      </c>
      <c r="P527" s="5" t="s">
        <v>504</v>
      </c>
    </row>
    <row r="528" spans="1:16" x14ac:dyDescent="0.35">
      <c r="A528" s="5" t="str">
        <f t="shared" si="17"/>
        <v>2022 All Items D90</v>
      </c>
      <c r="B528" s="8">
        <f>'ALL 2024 H2 D80'!$B$2</f>
        <v>46114</v>
      </c>
      <c r="C528" s="8">
        <f>'ALL 2024 H2 D80'!$C$2</f>
        <v>46120</v>
      </c>
      <c r="D528" s="5">
        <v>3208</v>
      </c>
      <c r="E528" s="5">
        <v>320</v>
      </c>
      <c r="F528" s="5">
        <v>1</v>
      </c>
      <c r="G528" s="5">
        <v>5</v>
      </c>
      <c r="H528" s="5">
        <v>81495</v>
      </c>
      <c r="I528" s="5" t="s">
        <v>16</v>
      </c>
      <c r="J528" s="5">
        <v>46708410</v>
      </c>
      <c r="K528" s="5" t="s">
        <v>1816</v>
      </c>
      <c r="L528" s="5" t="s">
        <v>1817</v>
      </c>
      <c r="M528" s="6">
        <v>279900</v>
      </c>
      <c r="N528" s="7">
        <v>0.9</v>
      </c>
      <c r="O528" s="6">
        <f t="shared" si="18"/>
        <v>27990</v>
      </c>
      <c r="P528" s="5" t="s">
        <v>504</v>
      </c>
    </row>
    <row r="529" spans="1:16" x14ac:dyDescent="0.35">
      <c r="A529" s="5" t="str">
        <f t="shared" si="17"/>
        <v>2022 All Items D90</v>
      </c>
      <c r="B529" s="8">
        <f>'ALL 2024 H2 D80'!$B$2</f>
        <v>46114</v>
      </c>
      <c r="C529" s="8">
        <f>'ALL 2024 H2 D80'!$C$2</f>
        <v>46120</v>
      </c>
      <c r="D529" s="5">
        <v>3208</v>
      </c>
      <c r="E529" s="5">
        <v>320</v>
      </c>
      <c r="F529" s="5">
        <v>1</v>
      </c>
      <c r="G529" s="5">
        <v>5</v>
      </c>
      <c r="H529" s="5">
        <v>81495</v>
      </c>
      <c r="I529" s="5" t="s">
        <v>16</v>
      </c>
      <c r="J529" s="5">
        <v>46708429</v>
      </c>
      <c r="K529" s="5" t="s">
        <v>1816</v>
      </c>
      <c r="L529" s="5" t="s">
        <v>1818</v>
      </c>
      <c r="M529" s="6">
        <v>279900</v>
      </c>
      <c r="N529" s="7">
        <v>0.9</v>
      </c>
      <c r="O529" s="6">
        <f t="shared" si="18"/>
        <v>27990</v>
      </c>
      <c r="P529" s="5" t="s">
        <v>504</v>
      </c>
    </row>
    <row r="530" spans="1:16" x14ac:dyDescent="0.35">
      <c r="A530" s="5" t="str">
        <f t="shared" si="17"/>
        <v>2022 All Items D90</v>
      </c>
      <c r="B530" s="8">
        <f>'ALL 2024 H2 D80'!$B$2</f>
        <v>46114</v>
      </c>
      <c r="C530" s="8">
        <f>'ALL 2024 H2 D80'!$C$2</f>
        <v>46120</v>
      </c>
      <c r="D530" s="5">
        <v>3208</v>
      </c>
      <c r="E530" s="5">
        <v>320</v>
      </c>
      <c r="F530" s="5">
        <v>1</v>
      </c>
      <c r="G530" s="5">
        <v>5</v>
      </c>
      <c r="H530" s="5">
        <v>81495</v>
      </c>
      <c r="I530" s="5" t="s">
        <v>16</v>
      </c>
      <c r="J530" s="5">
        <v>46708438</v>
      </c>
      <c r="K530" s="5" t="s">
        <v>1816</v>
      </c>
      <c r="L530" s="5" t="s">
        <v>1819</v>
      </c>
      <c r="M530" s="6">
        <v>279900</v>
      </c>
      <c r="N530" s="7">
        <v>0.9</v>
      </c>
      <c r="O530" s="6">
        <f t="shared" si="18"/>
        <v>27990</v>
      </c>
      <c r="P530" s="5" t="s">
        <v>504</v>
      </c>
    </row>
    <row r="531" spans="1:16" x14ac:dyDescent="0.35">
      <c r="A531" s="5" t="str">
        <f t="shared" si="17"/>
        <v>2022 All Items D90</v>
      </c>
      <c r="B531" s="8">
        <f>'ALL 2024 H2 D80'!$B$2</f>
        <v>46114</v>
      </c>
      <c r="C531" s="8">
        <f>'ALL 2024 H2 D80'!$C$2</f>
        <v>46120</v>
      </c>
      <c r="D531" s="5">
        <v>3208</v>
      </c>
      <c r="E531" s="5">
        <v>320</v>
      </c>
      <c r="F531" s="5">
        <v>1</v>
      </c>
      <c r="G531" s="5">
        <v>5</v>
      </c>
      <c r="H531" s="5">
        <v>81495</v>
      </c>
      <c r="I531" s="5" t="s">
        <v>16</v>
      </c>
      <c r="J531" s="5">
        <v>58561752</v>
      </c>
      <c r="K531" s="5" t="s">
        <v>1820</v>
      </c>
      <c r="L531" s="5" t="s">
        <v>1821</v>
      </c>
      <c r="M531" s="6">
        <v>279900</v>
      </c>
      <c r="N531" s="7">
        <v>0.9</v>
      </c>
      <c r="O531" s="6">
        <f t="shared" si="18"/>
        <v>27990</v>
      </c>
      <c r="P531" s="5" t="s">
        <v>504</v>
      </c>
    </row>
    <row r="532" spans="1:16" x14ac:dyDescent="0.35">
      <c r="A532" s="5" t="str">
        <f t="shared" si="17"/>
        <v>2022 All Items D90</v>
      </c>
      <c r="B532" s="8">
        <f>'ALL 2024 H2 D80'!$B$2</f>
        <v>46114</v>
      </c>
      <c r="C532" s="8">
        <f>'ALL 2024 H2 D80'!$C$2</f>
        <v>46120</v>
      </c>
      <c r="D532" s="5">
        <v>3208</v>
      </c>
      <c r="E532" s="5">
        <v>320</v>
      </c>
      <c r="F532" s="5">
        <v>1</v>
      </c>
      <c r="G532" s="5">
        <v>5</v>
      </c>
      <c r="H532" s="5">
        <v>81495</v>
      </c>
      <c r="I532" s="5" t="s">
        <v>16</v>
      </c>
      <c r="J532" s="5">
        <v>58562199</v>
      </c>
      <c r="K532" s="5" t="s">
        <v>1820</v>
      </c>
      <c r="L532" s="5" t="s">
        <v>1822</v>
      </c>
      <c r="M532" s="6">
        <v>279900</v>
      </c>
      <c r="N532" s="7">
        <v>0.9</v>
      </c>
      <c r="O532" s="6">
        <f t="shared" si="18"/>
        <v>27990</v>
      </c>
      <c r="P532" s="5" t="s">
        <v>504</v>
      </c>
    </row>
    <row r="533" spans="1:16" x14ac:dyDescent="0.35">
      <c r="A533" s="5" t="str">
        <f t="shared" si="17"/>
        <v>2022 All Items D90</v>
      </c>
      <c r="B533" s="8">
        <f>'ALL 2024 H2 D80'!$B$2</f>
        <v>46114</v>
      </c>
      <c r="C533" s="8">
        <f>'ALL 2024 H2 D80'!$C$2</f>
        <v>46120</v>
      </c>
      <c r="D533" s="5">
        <v>3208</v>
      </c>
      <c r="E533" s="5">
        <v>320</v>
      </c>
      <c r="F533" s="5">
        <v>1</v>
      </c>
      <c r="G533" s="5">
        <v>5</v>
      </c>
      <c r="H533" s="5">
        <v>81495</v>
      </c>
      <c r="I533" s="5" t="s">
        <v>16</v>
      </c>
      <c r="J533" s="5">
        <v>58562206</v>
      </c>
      <c r="K533" s="5" t="s">
        <v>1820</v>
      </c>
      <c r="L533" s="5" t="s">
        <v>1823</v>
      </c>
      <c r="M533" s="6">
        <v>279900</v>
      </c>
      <c r="N533" s="7">
        <v>0.9</v>
      </c>
      <c r="O533" s="6">
        <f t="shared" si="18"/>
        <v>27990</v>
      </c>
      <c r="P533" s="5" t="s">
        <v>504</v>
      </c>
    </row>
    <row r="534" spans="1:16" x14ac:dyDescent="0.35">
      <c r="A534" s="5" t="str">
        <f t="shared" si="17"/>
        <v>2022 All Items D90</v>
      </c>
      <c r="B534" s="8">
        <f>'ALL 2024 H2 D80'!$B$2</f>
        <v>46114</v>
      </c>
      <c r="C534" s="8">
        <f>'ALL 2024 H2 D80'!$C$2</f>
        <v>46120</v>
      </c>
      <c r="D534" s="5">
        <v>3208</v>
      </c>
      <c r="E534" s="5">
        <v>320</v>
      </c>
      <c r="F534" s="5">
        <v>1</v>
      </c>
      <c r="G534" s="5">
        <v>5</v>
      </c>
      <c r="H534" s="5">
        <v>81495</v>
      </c>
      <c r="I534" s="5" t="s">
        <v>16</v>
      </c>
      <c r="J534" s="5">
        <v>58562215</v>
      </c>
      <c r="K534" s="5" t="s">
        <v>1820</v>
      </c>
      <c r="L534" s="5" t="s">
        <v>1824</v>
      </c>
      <c r="M534" s="6">
        <v>279900</v>
      </c>
      <c r="N534" s="7">
        <v>0.9</v>
      </c>
      <c r="O534" s="6">
        <f t="shared" si="18"/>
        <v>27990</v>
      </c>
      <c r="P534" s="5" t="s">
        <v>504</v>
      </c>
    </row>
    <row r="535" spans="1:16" x14ac:dyDescent="0.35">
      <c r="A535" s="5" t="str">
        <f t="shared" si="17"/>
        <v>2022 All Items D90</v>
      </c>
      <c r="B535" s="8">
        <f>'ALL 2024 H2 D80'!$B$2</f>
        <v>46114</v>
      </c>
      <c r="C535" s="8">
        <f>'ALL 2024 H2 D80'!$C$2</f>
        <v>46120</v>
      </c>
      <c r="D535" s="5">
        <v>3208</v>
      </c>
      <c r="E535" s="5">
        <v>320</v>
      </c>
      <c r="F535" s="5">
        <v>1</v>
      </c>
      <c r="G535" s="5">
        <v>5</v>
      </c>
      <c r="H535" s="5">
        <v>81495</v>
      </c>
      <c r="I535" s="5" t="s">
        <v>16</v>
      </c>
      <c r="J535" s="5">
        <v>58562224</v>
      </c>
      <c r="K535" s="5" t="s">
        <v>1820</v>
      </c>
      <c r="L535" s="5" t="s">
        <v>1825</v>
      </c>
      <c r="M535" s="6">
        <v>279900</v>
      </c>
      <c r="N535" s="7">
        <v>0.9</v>
      </c>
      <c r="O535" s="6">
        <f t="shared" si="18"/>
        <v>27990</v>
      </c>
      <c r="P535" s="5" t="s">
        <v>504</v>
      </c>
    </row>
    <row r="536" spans="1:16" x14ac:dyDescent="0.35">
      <c r="A536" s="5" t="str">
        <f t="shared" si="17"/>
        <v>2022 All Items D90</v>
      </c>
      <c r="B536" s="8">
        <f>'ALL 2024 H2 D80'!$B$2</f>
        <v>46114</v>
      </c>
      <c r="C536" s="8">
        <f>'ALL 2024 H2 D80'!$C$2</f>
        <v>46120</v>
      </c>
      <c r="D536" s="5">
        <v>3208</v>
      </c>
      <c r="E536" s="5">
        <v>320</v>
      </c>
      <c r="F536" s="5">
        <v>1</v>
      </c>
      <c r="G536" s="5">
        <v>5</v>
      </c>
      <c r="H536" s="5">
        <v>81495</v>
      </c>
      <c r="I536" s="5" t="s">
        <v>16</v>
      </c>
      <c r="J536" s="5">
        <v>59361574</v>
      </c>
      <c r="K536" s="5" t="s">
        <v>1826</v>
      </c>
      <c r="L536" s="5" t="s">
        <v>1827</v>
      </c>
      <c r="M536" s="6">
        <v>229900</v>
      </c>
      <c r="N536" s="7">
        <v>0.9</v>
      </c>
      <c r="O536" s="6">
        <f t="shared" si="18"/>
        <v>22990</v>
      </c>
      <c r="P536" s="5" t="s">
        <v>504</v>
      </c>
    </row>
    <row r="537" spans="1:16" x14ac:dyDescent="0.35">
      <c r="A537" s="5" t="str">
        <f t="shared" si="17"/>
        <v>2022 All Items D90</v>
      </c>
      <c r="B537" s="8">
        <f>'ALL 2024 H2 D80'!$B$2</f>
        <v>46114</v>
      </c>
      <c r="C537" s="8">
        <f>'ALL 2024 H2 D80'!$C$2</f>
        <v>46120</v>
      </c>
      <c r="D537" s="5">
        <v>3208</v>
      </c>
      <c r="E537" s="5">
        <v>320</v>
      </c>
      <c r="F537" s="5">
        <v>1</v>
      </c>
      <c r="G537" s="5">
        <v>5</v>
      </c>
      <c r="H537" s="5">
        <v>81495</v>
      </c>
      <c r="I537" s="5" t="s">
        <v>16</v>
      </c>
      <c r="J537" s="5">
        <v>59361583</v>
      </c>
      <c r="K537" s="5" t="s">
        <v>1826</v>
      </c>
      <c r="L537" s="5" t="s">
        <v>1828</v>
      </c>
      <c r="M537" s="6">
        <v>229900</v>
      </c>
      <c r="N537" s="7">
        <v>0.9</v>
      </c>
      <c r="O537" s="6">
        <f t="shared" si="18"/>
        <v>22990</v>
      </c>
      <c r="P537" s="5" t="s">
        <v>504</v>
      </c>
    </row>
    <row r="538" spans="1:16" x14ac:dyDescent="0.35">
      <c r="A538" s="5" t="str">
        <f t="shared" si="17"/>
        <v>2022 All Items D90</v>
      </c>
      <c r="B538" s="8">
        <f>'ALL 2024 H2 D80'!$B$2</f>
        <v>46114</v>
      </c>
      <c r="C538" s="8">
        <f>'ALL 2024 H2 D80'!$C$2</f>
        <v>46120</v>
      </c>
      <c r="D538" s="5">
        <v>3208</v>
      </c>
      <c r="E538" s="5">
        <v>320</v>
      </c>
      <c r="F538" s="5">
        <v>1</v>
      </c>
      <c r="G538" s="5">
        <v>5</v>
      </c>
      <c r="H538" s="5">
        <v>81495</v>
      </c>
      <c r="I538" s="5" t="s">
        <v>16</v>
      </c>
      <c r="J538" s="5">
        <v>59361609</v>
      </c>
      <c r="K538" s="5" t="s">
        <v>1826</v>
      </c>
      <c r="L538" s="5" t="s">
        <v>1829</v>
      </c>
      <c r="M538" s="6">
        <v>229900</v>
      </c>
      <c r="N538" s="7">
        <v>0.9</v>
      </c>
      <c r="O538" s="6">
        <f t="shared" si="18"/>
        <v>22990</v>
      </c>
      <c r="P538" s="5" t="s">
        <v>504</v>
      </c>
    </row>
    <row r="539" spans="1:16" x14ac:dyDescent="0.35">
      <c r="A539" s="5" t="str">
        <f t="shared" si="17"/>
        <v>2022 All Items D90</v>
      </c>
      <c r="B539" s="8">
        <f>'ALL 2024 H2 D80'!$B$2</f>
        <v>46114</v>
      </c>
      <c r="C539" s="8">
        <f>'ALL 2024 H2 D80'!$C$2</f>
        <v>46120</v>
      </c>
      <c r="D539" s="5">
        <v>3208</v>
      </c>
      <c r="E539" s="5">
        <v>320</v>
      </c>
      <c r="F539" s="5">
        <v>1</v>
      </c>
      <c r="G539" s="5">
        <v>5</v>
      </c>
      <c r="H539" s="5">
        <v>81495</v>
      </c>
      <c r="I539" s="5" t="s">
        <v>16</v>
      </c>
      <c r="J539" s="5">
        <v>59361618</v>
      </c>
      <c r="K539" s="5" t="s">
        <v>1826</v>
      </c>
      <c r="L539" s="5" t="s">
        <v>1830</v>
      </c>
      <c r="M539" s="6">
        <v>229900</v>
      </c>
      <c r="N539" s="7">
        <v>0.9</v>
      </c>
      <c r="O539" s="6">
        <f t="shared" si="18"/>
        <v>22990</v>
      </c>
      <c r="P539" s="5" t="s">
        <v>504</v>
      </c>
    </row>
    <row r="540" spans="1:16" x14ac:dyDescent="0.35">
      <c r="A540" s="5" t="str">
        <f t="shared" si="17"/>
        <v>2022 All Items D90</v>
      </c>
      <c r="B540" s="8">
        <f>'ALL 2024 H2 D80'!$B$2</f>
        <v>46114</v>
      </c>
      <c r="C540" s="8">
        <f>'ALL 2024 H2 D80'!$C$2</f>
        <v>46120</v>
      </c>
      <c r="D540" s="5">
        <v>3208</v>
      </c>
      <c r="E540" s="5">
        <v>320</v>
      </c>
      <c r="F540" s="5">
        <v>1</v>
      </c>
      <c r="G540" s="5">
        <v>5</v>
      </c>
      <c r="H540" s="5">
        <v>81495</v>
      </c>
      <c r="I540" s="5" t="s">
        <v>16</v>
      </c>
      <c r="J540" s="5">
        <v>59361636</v>
      </c>
      <c r="K540" s="5" t="s">
        <v>1826</v>
      </c>
      <c r="L540" s="5" t="s">
        <v>1831</v>
      </c>
      <c r="M540" s="6">
        <v>229900</v>
      </c>
      <c r="N540" s="7">
        <v>0.9</v>
      </c>
      <c r="O540" s="6">
        <f t="shared" si="18"/>
        <v>22990</v>
      </c>
      <c r="P540" s="5" t="s">
        <v>504</v>
      </c>
    </row>
    <row r="541" spans="1:16" x14ac:dyDescent="0.35">
      <c r="A541" s="5" t="str">
        <f t="shared" si="17"/>
        <v>2022 All Items D90</v>
      </c>
      <c r="B541" s="8">
        <f>'ALL 2024 H2 D80'!$B$2</f>
        <v>46114</v>
      </c>
      <c r="C541" s="8">
        <f>'ALL 2024 H2 D80'!$C$2</f>
        <v>46120</v>
      </c>
      <c r="D541" s="5">
        <v>3208</v>
      </c>
      <c r="E541" s="5">
        <v>320</v>
      </c>
      <c r="F541" s="5">
        <v>1</v>
      </c>
      <c r="G541" s="5">
        <v>5</v>
      </c>
      <c r="H541" s="5">
        <v>81495</v>
      </c>
      <c r="I541" s="5" t="s">
        <v>16</v>
      </c>
      <c r="J541" s="5">
        <v>66255416</v>
      </c>
      <c r="K541" s="5" t="s">
        <v>1832</v>
      </c>
      <c r="L541" s="5" t="s">
        <v>1833</v>
      </c>
      <c r="M541" s="6">
        <v>269900</v>
      </c>
      <c r="N541" s="7">
        <v>0.9</v>
      </c>
      <c r="O541" s="6">
        <f t="shared" si="18"/>
        <v>26990</v>
      </c>
      <c r="P541" s="5" t="s">
        <v>504</v>
      </c>
    </row>
    <row r="542" spans="1:16" x14ac:dyDescent="0.35">
      <c r="A542" s="5" t="str">
        <f t="shared" si="17"/>
        <v>2022 All Items D90</v>
      </c>
      <c r="B542" s="8">
        <f>'ALL 2024 H2 D80'!$B$2</f>
        <v>46114</v>
      </c>
      <c r="C542" s="8">
        <f>'ALL 2024 H2 D80'!$C$2</f>
        <v>46120</v>
      </c>
      <c r="D542" s="5">
        <v>3208</v>
      </c>
      <c r="E542" s="5">
        <v>320</v>
      </c>
      <c r="F542" s="5">
        <v>1</v>
      </c>
      <c r="G542" s="5">
        <v>5</v>
      </c>
      <c r="H542" s="5">
        <v>81495</v>
      </c>
      <c r="I542" s="5" t="s">
        <v>16</v>
      </c>
      <c r="J542" s="5">
        <v>66255425</v>
      </c>
      <c r="K542" s="5" t="s">
        <v>1832</v>
      </c>
      <c r="L542" s="5" t="s">
        <v>1834</v>
      </c>
      <c r="M542" s="6">
        <v>269900</v>
      </c>
      <c r="N542" s="7">
        <v>0.9</v>
      </c>
      <c r="O542" s="6">
        <f t="shared" si="18"/>
        <v>26990</v>
      </c>
      <c r="P542" s="5" t="s">
        <v>504</v>
      </c>
    </row>
    <row r="543" spans="1:16" x14ac:dyDescent="0.35">
      <c r="A543" s="5" t="str">
        <f t="shared" si="17"/>
        <v>2022 All Items D90</v>
      </c>
      <c r="B543" s="8">
        <f>'ALL 2024 H2 D80'!$B$2</f>
        <v>46114</v>
      </c>
      <c r="C543" s="8">
        <f>'ALL 2024 H2 D80'!$C$2</f>
        <v>46120</v>
      </c>
      <c r="D543" s="5">
        <v>3208</v>
      </c>
      <c r="E543" s="5">
        <v>320</v>
      </c>
      <c r="F543" s="5">
        <v>1</v>
      </c>
      <c r="G543" s="5">
        <v>5</v>
      </c>
      <c r="H543" s="5">
        <v>81495</v>
      </c>
      <c r="I543" s="5" t="s">
        <v>16</v>
      </c>
      <c r="J543" s="5">
        <v>66255434</v>
      </c>
      <c r="K543" s="5" t="s">
        <v>1832</v>
      </c>
      <c r="L543" s="5" t="s">
        <v>1835</v>
      </c>
      <c r="M543" s="6">
        <v>269900</v>
      </c>
      <c r="N543" s="7">
        <v>0.9</v>
      </c>
      <c r="O543" s="6">
        <f t="shared" si="18"/>
        <v>26990</v>
      </c>
      <c r="P543" s="5" t="s">
        <v>504</v>
      </c>
    </row>
    <row r="544" spans="1:16" x14ac:dyDescent="0.35">
      <c r="A544" s="5" t="str">
        <f t="shared" si="17"/>
        <v>2022 All Items D90</v>
      </c>
      <c r="B544" s="8">
        <f>'ALL 2024 H2 D80'!$B$2</f>
        <v>46114</v>
      </c>
      <c r="C544" s="8">
        <f>'ALL 2024 H2 D80'!$C$2</f>
        <v>46120</v>
      </c>
      <c r="D544" s="5">
        <v>3208</v>
      </c>
      <c r="E544" s="5">
        <v>320</v>
      </c>
      <c r="F544" s="5">
        <v>1</v>
      </c>
      <c r="G544" s="5">
        <v>5</v>
      </c>
      <c r="H544" s="5">
        <v>81495</v>
      </c>
      <c r="I544" s="5" t="s">
        <v>16</v>
      </c>
      <c r="J544" s="5">
        <v>66255443</v>
      </c>
      <c r="K544" s="5" t="s">
        <v>1832</v>
      </c>
      <c r="L544" s="5" t="s">
        <v>1836</v>
      </c>
      <c r="M544" s="6">
        <v>269900</v>
      </c>
      <c r="N544" s="7">
        <v>0.9</v>
      </c>
      <c r="O544" s="6">
        <f t="shared" si="18"/>
        <v>26990</v>
      </c>
      <c r="P544" s="5" t="s">
        <v>504</v>
      </c>
    </row>
    <row r="545" spans="1:16" x14ac:dyDescent="0.35">
      <c r="A545" s="5" t="str">
        <f t="shared" si="17"/>
        <v>2022 All Items D90</v>
      </c>
      <c r="B545" s="8">
        <f>'ALL 2024 H2 D80'!$B$2</f>
        <v>46114</v>
      </c>
      <c r="C545" s="8">
        <f>'ALL 2024 H2 D80'!$C$2</f>
        <v>46120</v>
      </c>
      <c r="D545" s="5">
        <v>3208</v>
      </c>
      <c r="E545" s="5">
        <v>320</v>
      </c>
      <c r="F545" s="5">
        <v>1</v>
      </c>
      <c r="G545" s="5">
        <v>5</v>
      </c>
      <c r="H545" s="5">
        <v>81495</v>
      </c>
      <c r="I545" s="5" t="s">
        <v>16</v>
      </c>
      <c r="J545" s="5">
        <v>66255676</v>
      </c>
      <c r="K545" s="5" t="s">
        <v>1454</v>
      </c>
      <c r="L545" s="5" t="s">
        <v>1455</v>
      </c>
      <c r="M545" s="6">
        <v>229900</v>
      </c>
      <c r="N545" s="7">
        <v>0.9</v>
      </c>
      <c r="O545" s="6">
        <f t="shared" si="18"/>
        <v>22990</v>
      </c>
      <c r="P545" s="5" t="s">
        <v>504</v>
      </c>
    </row>
    <row r="546" spans="1:16" x14ac:dyDescent="0.35">
      <c r="A546" s="5" t="str">
        <f t="shared" si="17"/>
        <v>2022 All Items D90</v>
      </c>
      <c r="B546" s="8">
        <f>'ALL 2024 H2 D80'!$B$2</f>
        <v>46114</v>
      </c>
      <c r="C546" s="8">
        <f>'ALL 2024 H2 D80'!$C$2</f>
        <v>46120</v>
      </c>
      <c r="D546" s="5">
        <v>3208</v>
      </c>
      <c r="E546" s="5">
        <v>320</v>
      </c>
      <c r="F546" s="5">
        <v>1</v>
      </c>
      <c r="G546" s="5">
        <v>5</v>
      </c>
      <c r="H546" s="5">
        <v>81495</v>
      </c>
      <c r="I546" s="5" t="s">
        <v>16</v>
      </c>
      <c r="J546" s="5">
        <v>66255694</v>
      </c>
      <c r="K546" s="5" t="s">
        <v>1454</v>
      </c>
      <c r="L546" s="5" t="s">
        <v>1456</v>
      </c>
      <c r="M546" s="6">
        <v>229900</v>
      </c>
      <c r="N546" s="7">
        <v>0.9</v>
      </c>
      <c r="O546" s="6">
        <f t="shared" si="18"/>
        <v>22990</v>
      </c>
      <c r="P546" s="5" t="s">
        <v>504</v>
      </c>
    </row>
    <row r="547" spans="1:16" x14ac:dyDescent="0.35">
      <c r="A547" s="5" t="str">
        <f t="shared" si="17"/>
        <v>2022 All Items D90</v>
      </c>
      <c r="B547" s="8">
        <f>'ALL 2024 H2 D80'!$B$2</f>
        <v>46114</v>
      </c>
      <c r="C547" s="8">
        <f>'ALL 2024 H2 D80'!$C$2</f>
        <v>46120</v>
      </c>
      <c r="D547" s="5">
        <v>3208</v>
      </c>
      <c r="E547" s="5">
        <v>320</v>
      </c>
      <c r="F547" s="5">
        <v>1</v>
      </c>
      <c r="G547" s="5">
        <v>5</v>
      </c>
      <c r="H547" s="5">
        <v>81495</v>
      </c>
      <c r="I547" s="5" t="s">
        <v>16</v>
      </c>
      <c r="J547" s="5">
        <v>67441123</v>
      </c>
      <c r="K547" s="5" t="s">
        <v>396</v>
      </c>
      <c r="L547" s="5" t="s">
        <v>1300</v>
      </c>
      <c r="M547" s="6">
        <v>289900</v>
      </c>
      <c r="N547" s="7">
        <v>0.9</v>
      </c>
      <c r="O547" s="6">
        <f t="shared" si="18"/>
        <v>28990</v>
      </c>
      <c r="P547" s="5" t="s">
        <v>504</v>
      </c>
    </row>
    <row r="548" spans="1:16" x14ac:dyDescent="0.35">
      <c r="A548" s="5" t="str">
        <f t="shared" si="17"/>
        <v>2022 All Items D90</v>
      </c>
      <c r="B548" s="8">
        <f>'ALL 2024 H2 D80'!$B$2</f>
        <v>46114</v>
      </c>
      <c r="C548" s="8">
        <f>'ALL 2024 H2 D80'!$C$2</f>
        <v>46120</v>
      </c>
      <c r="D548" s="5">
        <v>3208</v>
      </c>
      <c r="E548" s="5">
        <v>320</v>
      </c>
      <c r="F548" s="5">
        <v>1</v>
      </c>
      <c r="G548" s="5">
        <v>5</v>
      </c>
      <c r="H548" s="5">
        <v>81495</v>
      </c>
      <c r="I548" s="5" t="s">
        <v>16</v>
      </c>
      <c r="J548" s="5">
        <v>67441141</v>
      </c>
      <c r="K548" s="5" t="s">
        <v>396</v>
      </c>
      <c r="L548" s="5" t="s">
        <v>1301</v>
      </c>
      <c r="M548" s="6">
        <v>289900</v>
      </c>
      <c r="N548" s="7">
        <v>0.9</v>
      </c>
      <c r="O548" s="6">
        <f t="shared" si="18"/>
        <v>28990</v>
      </c>
      <c r="P548" s="5" t="s">
        <v>504</v>
      </c>
    </row>
    <row r="549" spans="1:16" x14ac:dyDescent="0.35">
      <c r="A549" s="5" t="str">
        <f t="shared" si="17"/>
        <v>2022 All Items D90</v>
      </c>
      <c r="B549" s="8">
        <f>'ALL 2024 H2 D80'!$B$2</f>
        <v>46114</v>
      </c>
      <c r="C549" s="8">
        <f>'ALL 2024 H2 D80'!$C$2</f>
        <v>46120</v>
      </c>
      <c r="D549" s="5">
        <v>3208</v>
      </c>
      <c r="E549" s="5">
        <v>320</v>
      </c>
      <c r="F549" s="5">
        <v>1</v>
      </c>
      <c r="G549" s="5">
        <v>5</v>
      </c>
      <c r="H549" s="5">
        <v>81495</v>
      </c>
      <c r="I549" s="5" t="s">
        <v>16</v>
      </c>
      <c r="J549" s="5">
        <v>67441150</v>
      </c>
      <c r="K549" s="5" t="s">
        <v>396</v>
      </c>
      <c r="L549" s="5" t="s">
        <v>1302</v>
      </c>
      <c r="M549" s="6">
        <v>289900</v>
      </c>
      <c r="N549" s="7">
        <v>0.9</v>
      </c>
      <c r="O549" s="6">
        <f t="shared" si="18"/>
        <v>28990</v>
      </c>
      <c r="P549" s="5" t="s">
        <v>504</v>
      </c>
    </row>
    <row r="550" spans="1:16" x14ac:dyDescent="0.35">
      <c r="A550" s="5" t="str">
        <f t="shared" si="17"/>
        <v>2022 All Items D90</v>
      </c>
      <c r="B550" s="8">
        <f>'ALL 2024 H2 D80'!$B$2</f>
        <v>46114</v>
      </c>
      <c r="C550" s="8">
        <f>'ALL 2024 H2 D80'!$C$2</f>
        <v>46120</v>
      </c>
      <c r="D550" s="5">
        <v>3208</v>
      </c>
      <c r="E550" s="5">
        <v>320</v>
      </c>
      <c r="F550" s="5">
        <v>1</v>
      </c>
      <c r="G550" s="5">
        <v>5</v>
      </c>
      <c r="H550" s="5">
        <v>81495</v>
      </c>
      <c r="I550" s="5" t="s">
        <v>16</v>
      </c>
      <c r="J550" s="5">
        <v>67441178</v>
      </c>
      <c r="K550" s="5" t="s">
        <v>396</v>
      </c>
      <c r="L550" s="5" t="s">
        <v>1837</v>
      </c>
      <c r="M550" s="6">
        <v>289900</v>
      </c>
      <c r="N550" s="7">
        <v>0.9</v>
      </c>
      <c r="O550" s="6">
        <f t="shared" si="18"/>
        <v>28990</v>
      </c>
      <c r="P550" s="5" t="s">
        <v>504</v>
      </c>
    </row>
    <row r="551" spans="1:16" x14ac:dyDescent="0.35">
      <c r="A551" s="5" t="str">
        <f t="shared" si="17"/>
        <v>2022 All Items D90</v>
      </c>
      <c r="B551" s="8">
        <f>'ALL 2024 H2 D80'!$B$2</f>
        <v>46114</v>
      </c>
      <c r="C551" s="8">
        <f>'ALL 2024 H2 D80'!$C$2</f>
        <v>46120</v>
      </c>
      <c r="D551" s="5">
        <v>3208</v>
      </c>
      <c r="E551" s="5">
        <v>320</v>
      </c>
      <c r="F551" s="5">
        <v>1</v>
      </c>
      <c r="G551" s="5">
        <v>5</v>
      </c>
      <c r="H551" s="5">
        <v>81495</v>
      </c>
      <c r="I551" s="5" t="s">
        <v>16</v>
      </c>
      <c r="J551" s="5">
        <v>67441187</v>
      </c>
      <c r="K551" s="5" t="s">
        <v>396</v>
      </c>
      <c r="L551" s="5" t="s">
        <v>1838</v>
      </c>
      <c r="M551" s="6">
        <v>289900</v>
      </c>
      <c r="N551" s="7">
        <v>0.9</v>
      </c>
      <c r="O551" s="6">
        <f t="shared" si="18"/>
        <v>28990</v>
      </c>
      <c r="P551" s="5" t="s">
        <v>504</v>
      </c>
    </row>
    <row r="552" spans="1:16" x14ac:dyDescent="0.35">
      <c r="A552" s="5" t="str">
        <f t="shared" si="17"/>
        <v>2022 All Items D90</v>
      </c>
      <c r="B552" s="8">
        <f>'ALL 2024 H2 D80'!$B$2</f>
        <v>46114</v>
      </c>
      <c r="C552" s="8">
        <f>'ALL 2024 H2 D80'!$C$2</f>
        <v>46120</v>
      </c>
      <c r="D552" s="5">
        <v>3208</v>
      </c>
      <c r="E552" s="5">
        <v>320</v>
      </c>
      <c r="F552" s="5">
        <v>1</v>
      </c>
      <c r="G552" s="5">
        <v>5</v>
      </c>
      <c r="H552" s="5">
        <v>81495</v>
      </c>
      <c r="I552" s="5" t="s">
        <v>16</v>
      </c>
      <c r="J552" s="5">
        <v>67441203</v>
      </c>
      <c r="K552" s="5" t="s">
        <v>1839</v>
      </c>
      <c r="L552" s="5" t="s">
        <v>1840</v>
      </c>
      <c r="M552" s="6">
        <v>249900</v>
      </c>
      <c r="N552" s="7">
        <v>0.9</v>
      </c>
      <c r="O552" s="6">
        <f t="shared" si="18"/>
        <v>24990</v>
      </c>
      <c r="P552" s="5" t="s">
        <v>504</v>
      </c>
    </row>
    <row r="553" spans="1:16" x14ac:dyDescent="0.35">
      <c r="A553" s="5" t="str">
        <f t="shared" si="17"/>
        <v>2022 All Items D90</v>
      </c>
      <c r="B553" s="8">
        <f>'ALL 2024 H2 D80'!$B$2</f>
        <v>46114</v>
      </c>
      <c r="C553" s="8">
        <f>'ALL 2024 H2 D80'!$C$2</f>
        <v>46120</v>
      </c>
      <c r="D553" s="5">
        <v>3208</v>
      </c>
      <c r="E553" s="5">
        <v>320</v>
      </c>
      <c r="F553" s="5">
        <v>1</v>
      </c>
      <c r="G553" s="5">
        <v>5</v>
      </c>
      <c r="H553" s="5">
        <v>81495</v>
      </c>
      <c r="I553" s="5" t="s">
        <v>16</v>
      </c>
      <c r="J553" s="5">
        <v>67441212</v>
      </c>
      <c r="K553" s="5" t="s">
        <v>1839</v>
      </c>
      <c r="L553" s="5" t="s">
        <v>1841</v>
      </c>
      <c r="M553" s="6">
        <v>249900</v>
      </c>
      <c r="N553" s="7">
        <v>0.9</v>
      </c>
      <c r="O553" s="6">
        <f t="shared" si="18"/>
        <v>24990</v>
      </c>
      <c r="P553" s="5" t="s">
        <v>504</v>
      </c>
    </row>
    <row r="554" spans="1:16" x14ac:dyDescent="0.35">
      <c r="A554" s="5" t="str">
        <f t="shared" si="17"/>
        <v>2022 All Items D90</v>
      </c>
      <c r="B554" s="8">
        <f>'ALL 2024 H2 D80'!$B$2</f>
        <v>46114</v>
      </c>
      <c r="C554" s="8">
        <f>'ALL 2024 H2 D80'!$C$2</f>
        <v>46120</v>
      </c>
      <c r="D554" s="5">
        <v>3208</v>
      </c>
      <c r="E554" s="5">
        <v>320</v>
      </c>
      <c r="F554" s="5">
        <v>1</v>
      </c>
      <c r="G554" s="5">
        <v>5</v>
      </c>
      <c r="H554" s="5">
        <v>81495</v>
      </c>
      <c r="I554" s="5" t="s">
        <v>16</v>
      </c>
      <c r="J554" s="5">
        <v>67441221</v>
      </c>
      <c r="K554" s="5" t="s">
        <v>1839</v>
      </c>
      <c r="L554" s="5" t="s">
        <v>1842</v>
      </c>
      <c r="M554" s="6">
        <v>249900</v>
      </c>
      <c r="N554" s="7">
        <v>0.9</v>
      </c>
      <c r="O554" s="6">
        <f t="shared" si="18"/>
        <v>24990</v>
      </c>
      <c r="P554" s="5" t="s">
        <v>504</v>
      </c>
    </row>
    <row r="555" spans="1:16" x14ac:dyDescent="0.35">
      <c r="A555" s="5" t="str">
        <f t="shared" si="17"/>
        <v>2022 All Items D90</v>
      </c>
      <c r="B555" s="8">
        <f>'ALL 2024 H2 D80'!$B$2</f>
        <v>46114</v>
      </c>
      <c r="C555" s="8">
        <f>'ALL 2024 H2 D80'!$C$2</f>
        <v>46120</v>
      </c>
      <c r="D555" s="5">
        <v>3208</v>
      </c>
      <c r="E555" s="5">
        <v>320</v>
      </c>
      <c r="F555" s="5">
        <v>1</v>
      </c>
      <c r="G555" s="5">
        <v>5</v>
      </c>
      <c r="H555" s="5">
        <v>81495</v>
      </c>
      <c r="I555" s="5" t="s">
        <v>16</v>
      </c>
      <c r="J555" s="5">
        <v>67441230</v>
      </c>
      <c r="K555" s="5" t="s">
        <v>1839</v>
      </c>
      <c r="L555" s="5" t="s">
        <v>1843</v>
      </c>
      <c r="M555" s="6">
        <v>249900</v>
      </c>
      <c r="N555" s="7">
        <v>0.9</v>
      </c>
      <c r="O555" s="6">
        <f t="shared" si="18"/>
        <v>24990</v>
      </c>
      <c r="P555" s="5" t="s">
        <v>504</v>
      </c>
    </row>
    <row r="556" spans="1:16" x14ac:dyDescent="0.35">
      <c r="A556" s="5" t="str">
        <f t="shared" si="17"/>
        <v>2022 All Items D90</v>
      </c>
      <c r="B556" s="8">
        <f>'ALL 2024 H2 D80'!$B$2</f>
        <v>46114</v>
      </c>
      <c r="C556" s="8">
        <f>'ALL 2024 H2 D80'!$C$2</f>
        <v>46120</v>
      </c>
      <c r="D556" s="5">
        <v>3208</v>
      </c>
      <c r="E556" s="5">
        <v>320</v>
      </c>
      <c r="F556" s="5">
        <v>1</v>
      </c>
      <c r="G556" s="5">
        <v>5</v>
      </c>
      <c r="H556" s="5">
        <v>81495</v>
      </c>
      <c r="I556" s="5" t="s">
        <v>16</v>
      </c>
      <c r="J556" s="5">
        <v>70042174</v>
      </c>
      <c r="K556" s="5" t="s">
        <v>1844</v>
      </c>
      <c r="L556" s="5" t="s">
        <v>1845</v>
      </c>
      <c r="M556" s="6">
        <v>289900</v>
      </c>
      <c r="N556" s="7">
        <v>0.9</v>
      </c>
      <c r="O556" s="6">
        <f t="shared" si="18"/>
        <v>28990</v>
      </c>
      <c r="P556" s="5" t="s">
        <v>504</v>
      </c>
    </row>
    <row r="557" spans="1:16" x14ac:dyDescent="0.35">
      <c r="A557" s="5" t="str">
        <f t="shared" si="17"/>
        <v>2022 All Items D90</v>
      </c>
      <c r="B557" s="8">
        <f>'ALL 2024 H2 D80'!$B$2</f>
        <v>46114</v>
      </c>
      <c r="C557" s="8">
        <f>'ALL 2024 H2 D80'!$C$2</f>
        <v>46120</v>
      </c>
      <c r="D557" s="5">
        <v>3208</v>
      </c>
      <c r="E557" s="5">
        <v>320</v>
      </c>
      <c r="F557" s="5">
        <v>1</v>
      </c>
      <c r="G557" s="5">
        <v>5</v>
      </c>
      <c r="H557" s="5">
        <v>81495</v>
      </c>
      <c r="I557" s="5" t="s">
        <v>16</v>
      </c>
      <c r="J557" s="5">
        <v>70042183</v>
      </c>
      <c r="K557" s="5" t="s">
        <v>1844</v>
      </c>
      <c r="L557" s="5" t="s">
        <v>1846</v>
      </c>
      <c r="M557" s="6">
        <v>289900</v>
      </c>
      <c r="N557" s="7">
        <v>0.9</v>
      </c>
      <c r="O557" s="6">
        <f t="shared" si="18"/>
        <v>28990</v>
      </c>
      <c r="P557" s="5" t="s">
        <v>504</v>
      </c>
    </row>
    <row r="558" spans="1:16" x14ac:dyDescent="0.35">
      <c r="A558" s="5" t="str">
        <f t="shared" si="17"/>
        <v>2022 All Items D90</v>
      </c>
      <c r="B558" s="8">
        <f>'ALL 2024 H2 D80'!$B$2</f>
        <v>46114</v>
      </c>
      <c r="C558" s="8">
        <f>'ALL 2024 H2 D80'!$C$2</f>
        <v>46120</v>
      </c>
      <c r="D558" s="5">
        <v>3208</v>
      </c>
      <c r="E558" s="5">
        <v>320</v>
      </c>
      <c r="F558" s="5">
        <v>1</v>
      </c>
      <c r="G558" s="5">
        <v>5</v>
      </c>
      <c r="H558" s="5">
        <v>81495</v>
      </c>
      <c r="I558" s="5" t="s">
        <v>16</v>
      </c>
      <c r="J558" s="5">
        <v>70042192</v>
      </c>
      <c r="K558" s="5" t="s">
        <v>1844</v>
      </c>
      <c r="L558" s="5" t="s">
        <v>1847</v>
      </c>
      <c r="M558" s="6">
        <v>289900</v>
      </c>
      <c r="N558" s="7">
        <v>0.9</v>
      </c>
      <c r="O558" s="6">
        <f t="shared" si="18"/>
        <v>28990</v>
      </c>
      <c r="P558" s="5" t="s">
        <v>504</v>
      </c>
    </row>
    <row r="559" spans="1:16" x14ac:dyDescent="0.35">
      <c r="A559" s="5" t="str">
        <f t="shared" si="17"/>
        <v>2022 All Items D90</v>
      </c>
      <c r="B559" s="8">
        <f>'ALL 2024 H2 D80'!$B$2</f>
        <v>46114</v>
      </c>
      <c r="C559" s="8">
        <f>'ALL 2024 H2 D80'!$C$2</f>
        <v>46120</v>
      </c>
      <c r="D559" s="5">
        <v>3208</v>
      </c>
      <c r="E559" s="5">
        <v>320</v>
      </c>
      <c r="F559" s="5">
        <v>1</v>
      </c>
      <c r="G559" s="5">
        <v>5</v>
      </c>
      <c r="H559" s="5">
        <v>81495</v>
      </c>
      <c r="I559" s="5" t="s">
        <v>16</v>
      </c>
      <c r="J559" s="5">
        <v>70042209</v>
      </c>
      <c r="K559" s="5" t="s">
        <v>1844</v>
      </c>
      <c r="L559" s="5" t="s">
        <v>1848</v>
      </c>
      <c r="M559" s="6">
        <v>289900</v>
      </c>
      <c r="N559" s="7">
        <v>0.9</v>
      </c>
      <c r="O559" s="6">
        <f t="shared" si="18"/>
        <v>28990</v>
      </c>
      <c r="P559" s="5" t="s">
        <v>504</v>
      </c>
    </row>
    <row r="560" spans="1:16" x14ac:dyDescent="0.35">
      <c r="A560" s="5" t="str">
        <f t="shared" si="17"/>
        <v>2022 All Items D90</v>
      </c>
      <c r="B560" s="8">
        <f>'ALL 2024 H2 D80'!$B$2</f>
        <v>46114</v>
      </c>
      <c r="C560" s="8">
        <f>'ALL 2024 H2 D80'!$C$2</f>
        <v>46120</v>
      </c>
      <c r="D560" s="5">
        <v>3208</v>
      </c>
      <c r="E560" s="5">
        <v>320</v>
      </c>
      <c r="F560" s="5">
        <v>1</v>
      </c>
      <c r="G560" s="5">
        <v>5</v>
      </c>
      <c r="H560" s="5">
        <v>81495</v>
      </c>
      <c r="I560" s="5" t="s">
        <v>16</v>
      </c>
      <c r="J560" s="5">
        <v>70042218</v>
      </c>
      <c r="K560" s="5" t="s">
        <v>1844</v>
      </c>
      <c r="L560" s="5" t="s">
        <v>1849</v>
      </c>
      <c r="M560" s="6">
        <v>289900</v>
      </c>
      <c r="N560" s="7">
        <v>0.9</v>
      </c>
      <c r="O560" s="6">
        <f t="shared" si="18"/>
        <v>28990</v>
      </c>
      <c r="P560" s="5" t="s">
        <v>504</v>
      </c>
    </row>
    <row r="561" spans="1:16" x14ac:dyDescent="0.35">
      <c r="A561" s="5" t="str">
        <f t="shared" si="17"/>
        <v>2022 All Items D90</v>
      </c>
      <c r="B561" s="8">
        <f>'ALL 2024 H2 D80'!$B$2</f>
        <v>46114</v>
      </c>
      <c r="C561" s="8">
        <f>'ALL 2024 H2 D80'!$C$2</f>
        <v>46120</v>
      </c>
      <c r="D561" s="5">
        <v>3208</v>
      </c>
      <c r="E561" s="5">
        <v>320</v>
      </c>
      <c r="F561" s="5">
        <v>1</v>
      </c>
      <c r="G561" s="5">
        <v>5</v>
      </c>
      <c r="H561" s="5">
        <v>81495</v>
      </c>
      <c r="I561" s="5" t="s">
        <v>16</v>
      </c>
      <c r="J561" s="5">
        <v>70042227</v>
      </c>
      <c r="K561" s="5" t="s">
        <v>1844</v>
      </c>
      <c r="L561" s="5" t="s">
        <v>1850</v>
      </c>
      <c r="M561" s="6">
        <v>289900</v>
      </c>
      <c r="N561" s="7">
        <v>0.9</v>
      </c>
      <c r="O561" s="6">
        <f t="shared" si="18"/>
        <v>28990</v>
      </c>
      <c r="P561" s="5" t="s">
        <v>504</v>
      </c>
    </row>
    <row r="562" spans="1:16" x14ac:dyDescent="0.35">
      <c r="A562" s="5" t="str">
        <f t="shared" si="17"/>
        <v>2022 All Items D90</v>
      </c>
      <c r="B562" s="8">
        <f>'ALL 2024 H2 D80'!$B$2</f>
        <v>46114</v>
      </c>
      <c r="C562" s="8">
        <f>'ALL 2024 H2 D80'!$C$2</f>
        <v>46120</v>
      </c>
      <c r="D562" s="5">
        <v>3208</v>
      </c>
      <c r="E562" s="5">
        <v>320</v>
      </c>
      <c r="F562" s="5">
        <v>1</v>
      </c>
      <c r="G562" s="5">
        <v>5</v>
      </c>
      <c r="H562" s="5">
        <v>81495</v>
      </c>
      <c r="I562" s="5" t="s">
        <v>16</v>
      </c>
      <c r="J562" s="5">
        <v>70042236</v>
      </c>
      <c r="K562" s="5" t="s">
        <v>1844</v>
      </c>
      <c r="L562" s="5" t="s">
        <v>1851</v>
      </c>
      <c r="M562" s="6">
        <v>289900</v>
      </c>
      <c r="N562" s="7">
        <v>0.9</v>
      </c>
      <c r="O562" s="6">
        <f t="shared" si="18"/>
        <v>28990</v>
      </c>
      <c r="P562" s="5" t="s">
        <v>504</v>
      </c>
    </row>
    <row r="563" spans="1:16" x14ac:dyDescent="0.35">
      <c r="A563" s="5" t="str">
        <f t="shared" si="17"/>
        <v>2022 All Items D90</v>
      </c>
      <c r="B563" s="8">
        <f>'ALL 2024 H2 D80'!$B$2</f>
        <v>46114</v>
      </c>
      <c r="C563" s="8">
        <f>'ALL 2024 H2 D80'!$C$2</f>
        <v>46120</v>
      </c>
      <c r="D563" s="5">
        <v>3208</v>
      </c>
      <c r="E563" s="5">
        <v>320</v>
      </c>
      <c r="F563" s="5">
        <v>1</v>
      </c>
      <c r="G563" s="5">
        <v>5</v>
      </c>
      <c r="H563" s="5">
        <v>81495</v>
      </c>
      <c r="I563" s="5" t="s">
        <v>16</v>
      </c>
      <c r="J563" s="5">
        <v>70042245</v>
      </c>
      <c r="K563" s="5" t="s">
        <v>1844</v>
      </c>
      <c r="L563" s="5" t="s">
        <v>1852</v>
      </c>
      <c r="M563" s="6">
        <v>289900</v>
      </c>
      <c r="N563" s="7">
        <v>0.9</v>
      </c>
      <c r="O563" s="6">
        <f t="shared" si="18"/>
        <v>28990</v>
      </c>
      <c r="P563" s="5" t="s">
        <v>504</v>
      </c>
    </row>
    <row r="564" spans="1:16" x14ac:dyDescent="0.35">
      <c r="A564" s="5" t="str">
        <f t="shared" si="17"/>
        <v>2022 All Items D90</v>
      </c>
      <c r="B564" s="8">
        <f>'ALL 2024 H2 D80'!$B$2</f>
        <v>46114</v>
      </c>
      <c r="C564" s="8">
        <f>'ALL 2024 H2 D80'!$C$2</f>
        <v>46120</v>
      </c>
      <c r="D564" s="5">
        <v>3208</v>
      </c>
      <c r="E564" s="5">
        <v>320</v>
      </c>
      <c r="F564" s="5">
        <v>1</v>
      </c>
      <c r="G564" s="5">
        <v>5</v>
      </c>
      <c r="H564" s="5">
        <v>81495</v>
      </c>
      <c r="I564" s="5" t="s">
        <v>16</v>
      </c>
      <c r="J564" s="5">
        <v>70042254</v>
      </c>
      <c r="K564" s="5" t="s">
        <v>1844</v>
      </c>
      <c r="L564" s="5" t="s">
        <v>1853</v>
      </c>
      <c r="M564" s="6">
        <v>289900</v>
      </c>
      <c r="N564" s="7">
        <v>0.9</v>
      </c>
      <c r="O564" s="6">
        <f t="shared" si="18"/>
        <v>28990</v>
      </c>
      <c r="P564" s="5" t="s">
        <v>504</v>
      </c>
    </row>
    <row r="565" spans="1:16" x14ac:dyDescent="0.35">
      <c r="A565" s="5" t="str">
        <f t="shared" si="17"/>
        <v>2022 All Items D90</v>
      </c>
      <c r="B565" s="8">
        <f>'ALL 2024 H2 D80'!$B$2</f>
        <v>46114</v>
      </c>
      <c r="C565" s="8">
        <f>'ALL 2024 H2 D80'!$C$2</f>
        <v>46120</v>
      </c>
      <c r="D565" s="5">
        <v>3208</v>
      </c>
      <c r="E565" s="5">
        <v>320</v>
      </c>
      <c r="F565" s="5">
        <v>1</v>
      </c>
      <c r="G565" s="5">
        <v>5</v>
      </c>
      <c r="H565" s="5">
        <v>81495</v>
      </c>
      <c r="I565" s="5" t="s">
        <v>16</v>
      </c>
      <c r="J565" s="5">
        <v>70042263</v>
      </c>
      <c r="K565" s="5" t="s">
        <v>1844</v>
      </c>
      <c r="L565" s="5" t="s">
        <v>1854</v>
      </c>
      <c r="M565" s="6">
        <v>289900</v>
      </c>
      <c r="N565" s="7">
        <v>0.9</v>
      </c>
      <c r="O565" s="6">
        <f t="shared" si="18"/>
        <v>28990</v>
      </c>
      <c r="P565" s="5" t="s">
        <v>504</v>
      </c>
    </row>
    <row r="566" spans="1:16" x14ac:dyDescent="0.35">
      <c r="A566" s="5" t="str">
        <f t="shared" si="17"/>
        <v>2022 All Items D90</v>
      </c>
      <c r="B566" s="8">
        <f>'ALL 2024 H2 D80'!$B$2</f>
        <v>46114</v>
      </c>
      <c r="C566" s="8">
        <f>'ALL 2024 H2 D80'!$C$2</f>
        <v>46120</v>
      </c>
      <c r="D566" s="5">
        <v>3208</v>
      </c>
      <c r="E566" s="5">
        <v>320</v>
      </c>
      <c r="F566" s="5">
        <v>1</v>
      </c>
      <c r="G566" s="5">
        <v>5</v>
      </c>
      <c r="H566" s="5">
        <v>81495</v>
      </c>
      <c r="I566" s="5" t="s">
        <v>16</v>
      </c>
      <c r="J566" s="5">
        <v>70042272</v>
      </c>
      <c r="K566" s="5" t="s">
        <v>1844</v>
      </c>
      <c r="L566" s="5" t="s">
        <v>1855</v>
      </c>
      <c r="M566" s="6">
        <v>289900</v>
      </c>
      <c r="N566" s="7">
        <v>0.9</v>
      </c>
      <c r="O566" s="6">
        <f t="shared" si="18"/>
        <v>28990</v>
      </c>
      <c r="P566" s="5" t="s">
        <v>504</v>
      </c>
    </row>
    <row r="567" spans="1:16" x14ac:dyDescent="0.35">
      <c r="A567" s="5" t="str">
        <f t="shared" si="17"/>
        <v>2022 All Items D90</v>
      </c>
      <c r="B567" s="8">
        <f>'ALL 2024 H2 D80'!$B$2</f>
        <v>46114</v>
      </c>
      <c r="C567" s="8">
        <f>'ALL 2024 H2 D80'!$C$2</f>
        <v>46120</v>
      </c>
      <c r="D567" s="5">
        <v>3208</v>
      </c>
      <c r="E567" s="5">
        <v>320</v>
      </c>
      <c r="F567" s="5">
        <v>1</v>
      </c>
      <c r="G567" s="5">
        <v>5</v>
      </c>
      <c r="H567" s="5">
        <v>81495</v>
      </c>
      <c r="I567" s="5" t="s">
        <v>16</v>
      </c>
      <c r="J567" s="5">
        <v>70042281</v>
      </c>
      <c r="K567" s="5" t="s">
        <v>1844</v>
      </c>
      <c r="L567" s="5" t="s">
        <v>1856</v>
      </c>
      <c r="M567" s="6">
        <v>289900</v>
      </c>
      <c r="N567" s="7">
        <v>0.9</v>
      </c>
      <c r="O567" s="6">
        <f t="shared" si="18"/>
        <v>28990</v>
      </c>
      <c r="P567" s="5" t="s">
        <v>504</v>
      </c>
    </row>
    <row r="568" spans="1:16" x14ac:dyDescent="0.35">
      <c r="A568" s="5" t="str">
        <f t="shared" si="17"/>
        <v>2022 All Items D90</v>
      </c>
      <c r="B568" s="8">
        <f>'ALL 2024 H2 D80'!$B$2</f>
        <v>46114</v>
      </c>
      <c r="C568" s="8">
        <f>'ALL 2024 H2 D80'!$C$2</f>
        <v>46120</v>
      </c>
      <c r="D568" s="5">
        <v>3208</v>
      </c>
      <c r="E568" s="5">
        <v>320</v>
      </c>
      <c r="F568" s="5">
        <v>1</v>
      </c>
      <c r="G568" s="5">
        <v>5</v>
      </c>
      <c r="H568" s="5">
        <v>81495</v>
      </c>
      <c r="I568" s="5" t="s">
        <v>16</v>
      </c>
      <c r="J568" s="5">
        <v>73565934</v>
      </c>
      <c r="K568" s="5" t="s">
        <v>1857</v>
      </c>
      <c r="L568" s="5" t="s">
        <v>1858</v>
      </c>
      <c r="M568" s="6">
        <v>289900</v>
      </c>
      <c r="N568" s="7">
        <v>0.9</v>
      </c>
      <c r="O568" s="6">
        <f t="shared" si="18"/>
        <v>28990</v>
      </c>
      <c r="P568" s="5" t="s">
        <v>504</v>
      </c>
    </row>
    <row r="569" spans="1:16" x14ac:dyDescent="0.35">
      <c r="A569" s="5" t="str">
        <f t="shared" si="17"/>
        <v>2022 All Items D90</v>
      </c>
      <c r="B569" s="8">
        <f>'ALL 2024 H2 D80'!$B$2</f>
        <v>46114</v>
      </c>
      <c r="C569" s="8">
        <f>'ALL 2024 H2 D80'!$C$2</f>
        <v>46120</v>
      </c>
      <c r="D569" s="5">
        <v>3208</v>
      </c>
      <c r="E569" s="5">
        <v>320</v>
      </c>
      <c r="F569" s="5">
        <v>1</v>
      </c>
      <c r="G569" s="5">
        <v>5</v>
      </c>
      <c r="H569" s="5">
        <v>81495</v>
      </c>
      <c r="I569" s="5" t="s">
        <v>16</v>
      </c>
      <c r="J569" s="5">
        <v>73565952</v>
      </c>
      <c r="K569" s="5" t="s">
        <v>1857</v>
      </c>
      <c r="L569" s="5" t="s">
        <v>1859</v>
      </c>
      <c r="M569" s="6">
        <v>289900</v>
      </c>
      <c r="N569" s="7">
        <v>0.9</v>
      </c>
      <c r="O569" s="6">
        <f t="shared" si="18"/>
        <v>28990</v>
      </c>
      <c r="P569" s="5" t="s">
        <v>504</v>
      </c>
    </row>
    <row r="570" spans="1:16" x14ac:dyDescent="0.35">
      <c r="A570" s="5" t="str">
        <f t="shared" si="17"/>
        <v>2022 All Items D90</v>
      </c>
      <c r="B570" s="8">
        <f>'ALL 2024 H2 D80'!$B$2</f>
        <v>46114</v>
      </c>
      <c r="C570" s="8">
        <f>'ALL 2024 H2 D80'!$C$2</f>
        <v>46120</v>
      </c>
      <c r="D570" s="5">
        <v>3208</v>
      </c>
      <c r="E570" s="5">
        <v>320</v>
      </c>
      <c r="F570" s="5">
        <v>1</v>
      </c>
      <c r="G570" s="5">
        <v>5</v>
      </c>
      <c r="H570" s="5">
        <v>81495</v>
      </c>
      <c r="I570" s="5" t="s">
        <v>16</v>
      </c>
      <c r="J570" s="5">
        <v>73565961</v>
      </c>
      <c r="K570" s="5" t="s">
        <v>1857</v>
      </c>
      <c r="L570" s="5" t="s">
        <v>1860</v>
      </c>
      <c r="M570" s="6">
        <v>289900</v>
      </c>
      <c r="N570" s="7">
        <v>0.9</v>
      </c>
      <c r="O570" s="6">
        <f t="shared" si="18"/>
        <v>28990</v>
      </c>
      <c r="P570" s="5" t="s">
        <v>504</v>
      </c>
    </row>
    <row r="571" spans="1:16" x14ac:dyDescent="0.35">
      <c r="A571" s="5" t="str">
        <f t="shared" si="17"/>
        <v>2022 All Items D90</v>
      </c>
      <c r="B571" s="8">
        <f>'ALL 2024 H2 D80'!$B$2</f>
        <v>46114</v>
      </c>
      <c r="C571" s="8">
        <f>'ALL 2024 H2 D80'!$C$2</f>
        <v>46120</v>
      </c>
      <c r="D571" s="5">
        <v>3208</v>
      </c>
      <c r="E571" s="5">
        <v>320</v>
      </c>
      <c r="F571" s="5">
        <v>1</v>
      </c>
      <c r="G571" s="5">
        <v>5</v>
      </c>
      <c r="H571" s="5">
        <v>81495</v>
      </c>
      <c r="I571" s="5" t="s">
        <v>16</v>
      </c>
      <c r="J571" s="5">
        <v>73565970</v>
      </c>
      <c r="K571" s="5" t="s">
        <v>1857</v>
      </c>
      <c r="L571" s="5" t="s">
        <v>1861</v>
      </c>
      <c r="M571" s="6">
        <v>289900</v>
      </c>
      <c r="N571" s="7">
        <v>0.9</v>
      </c>
      <c r="O571" s="6">
        <f t="shared" si="18"/>
        <v>28990</v>
      </c>
      <c r="P571" s="5" t="s">
        <v>504</v>
      </c>
    </row>
    <row r="572" spans="1:16" x14ac:dyDescent="0.35">
      <c r="A572" s="5" t="str">
        <f t="shared" si="17"/>
        <v>2022 All Items D90</v>
      </c>
      <c r="B572" s="8">
        <f>'ALL 2024 H2 D80'!$B$2</f>
        <v>46114</v>
      </c>
      <c r="C572" s="8">
        <f>'ALL 2024 H2 D80'!$C$2</f>
        <v>46120</v>
      </c>
      <c r="D572" s="5">
        <v>3208</v>
      </c>
      <c r="E572" s="5">
        <v>320</v>
      </c>
      <c r="F572" s="5">
        <v>1</v>
      </c>
      <c r="G572" s="5">
        <v>5</v>
      </c>
      <c r="H572" s="5">
        <v>81495</v>
      </c>
      <c r="I572" s="5" t="s">
        <v>16</v>
      </c>
      <c r="J572" s="5">
        <v>73565989</v>
      </c>
      <c r="K572" s="5" t="s">
        <v>1857</v>
      </c>
      <c r="L572" s="5" t="s">
        <v>1862</v>
      </c>
      <c r="M572" s="6">
        <v>289900</v>
      </c>
      <c r="N572" s="7">
        <v>0.9</v>
      </c>
      <c r="O572" s="6">
        <f t="shared" si="18"/>
        <v>28990</v>
      </c>
      <c r="P572" s="5" t="s">
        <v>504</v>
      </c>
    </row>
    <row r="573" spans="1:16" x14ac:dyDescent="0.35">
      <c r="A573" s="5" t="str">
        <f t="shared" si="17"/>
        <v>2022 All Items D90</v>
      </c>
      <c r="B573" s="8">
        <f>'ALL 2024 H2 D80'!$B$2</f>
        <v>46114</v>
      </c>
      <c r="C573" s="8">
        <f>'ALL 2024 H2 D80'!$C$2</f>
        <v>46120</v>
      </c>
      <c r="D573" s="5">
        <v>3208</v>
      </c>
      <c r="E573" s="5">
        <v>320</v>
      </c>
      <c r="F573" s="5">
        <v>1</v>
      </c>
      <c r="G573" s="5">
        <v>5</v>
      </c>
      <c r="H573" s="5">
        <v>81495</v>
      </c>
      <c r="I573" s="5" t="s">
        <v>16</v>
      </c>
      <c r="J573" s="5">
        <v>73565998</v>
      </c>
      <c r="K573" s="5" t="s">
        <v>1857</v>
      </c>
      <c r="L573" s="5" t="s">
        <v>1863</v>
      </c>
      <c r="M573" s="6">
        <v>289900</v>
      </c>
      <c r="N573" s="7">
        <v>0.9</v>
      </c>
      <c r="O573" s="6">
        <f t="shared" si="18"/>
        <v>28990</v>
      </c>
      <c r="P573" s="5" t="s">
        <v>504</v>
      </c>
    </row>
    <row r="574" spans="1:16" x14ac:dyDescent="0.35">
      <c r="A574" s="5" t="str">
        <f t="shared" si="17"/>
        <v>2022 All Items D90</v>
      </c>
      <c r="B574" s="8">
        <f>'ALL 2024 H2 D80'!$B$2</f>
        <v>46114</v>
      </c>
      <c r="C574" s="8">
        <f>'ALL 2024 H2 D80'!$C$2</f>
        <v>46120</v>
      </c>
      <c r="D574" s="5">
        <v>3208</v>
      </c>
      <c r="E574" s="5">
        <v>320</v>
      </c>
      <c r="F574" s="5">
        <v>1</v>
      </c>
      <c r="G574" s="5">
        <v>5</v>
      </c>
      <c r="H574" s="5">
        <v>81495</v>
      </c>
      <c r="I574" s="5" t="s">
        <v>16</v>
      </c>
      <c r="J574" s="5">
        <v>73566004</v>
      </c>
      <c r="K574" s="5" t="s">
        <v>1857</v>
      </c>
      <c r="L574" s="5" t="s">
        <v>1864</v>
      </c>
      <c r="M574" s="6">
        <v>289900</v>
      </c>
      <c r="N574" s="7">
        <v>0.9</v>
      </c>
      <c r="O574" s="6">
        <f t="shared" si="18"/>
        <v>28990</v>
      </c>
      <c r="P574" s="5" t="s">
        <v>504</v>
      </c>
    </row>
    <row r="575" spans="1:16" x14ac:dyDescent="0.35">
      <c r="A575" s="5" t="str">
        <f t="shared" si="17"/>
        <v>2022 All Items D90</v>
      </c>
      <c r="B575" s="8">
        <f>'ALL 2024 H2 D80'!$B$2</f>
        <v>46114</v>
      </c>
      <c r="C575" s="8">
        <f>'ALL 2024 H2 D80'!$C$2</f>
        <v>46120</v>
      </c>
      <c r="D575" s="5">
        <v>3208</v>
      </c>
      <c r="E575" s="5">
        <v>320</v>
      </c>
      <c r="F575" s="5">
        <v>1</v>
      </c>
      <c r="G575" s="5">
        <v>5</v>
      </c>
      <c r="H575" s="5">
        <v>81495</v>
      </c>
      <c r="I575" s="5" t="s">
        <v>16</v>
      </c>
      <c r="J575" s="5">
        <v>75733892</v>
      </c>
      <c r="K575" s="5" t="s">
        <v>1303</v>
      </c>
      <c r="L575" s="5" t="s">
        <v>1304</v>
      </c>
      <c r="M575" s="6">
        <v>279900</v>
      </c>
      <c r="N575" s="7">
        <v>0.9</v>
      </c>
      <c r="O575" s="6">
        <f t="shared" si="18"/>
        <v>27990</v>
      </c>
      <c r="P575" s="5" t="s">
        <v>504</v>
      </c>
    </row>
    <row r="576" spans="1:16" x14ac:dyDescent="0.35">
      <c r="A576" s="5" t="str">
        <f t="shared" si="17"/>
        <v>2022 All Items D90</v>
      </c>
      <c r="B576" s="8">
        <f>'ALL 2024 H2 D80'!$B$2</f>
        <v>46114</v>
      </c>
      <c r="C576" s="8">
        <f>'ALL 2024 H2 D80'!$C$2</f>
        <v>46120</v>
      </c>
      <c r="D576" s="5">
        <v>3208</v>
      </c>
      <c r="E576" s="5">
        <v>320</v>
      </c>
      <c r="F576" s="5">
        <v>1</v>
      </c>
      <c r="G576" s="5">
        <v>5</v>
      </c>
      <c r="H576" s="5">
        <v>81495</v>
      </c>
      <c r="I576" s="5" t="s">
        <v>16</v>
      </c>
      <c r="J576" s="5">
        <v>75733909</v>
      </c>
      <c r="K576" s="5" t="s">
        <v>1303</v>
      </c>
      <c r="L576" s="5" t="s">
        <v>1305</v>
      </c>
      <c r="M576" s="6">
        <v>279900</v>
      </c>
      <c r="N576" s="7">
        <v>0.9</v>
      </c>
      <c r="O576" s="6">
        <f t="shared" si="18"/>
        <v>27990</v>
      </c>
      <c r="P576" s="5" t="s">
        <v>504</v>
      </c>
    </row>
    <row r="577" spans="1:16" x14ac:dyDescent="0.35">
      <c r="A577" s="5" t="str">
        <f t="shared" si="17"/>
        <v>2022 All Items D90</v>
      </c>
      <c r="B577" s="8">
        <f>'ALL 2024 H2 D80'!$B$2</f>
        <v>46114</v>
      </c>
      <c r="C577" s="8">
        <f>'ALL 2024 H2 D80'!$C$2</f>
        <v>46120</v>
      </c>
      <c r="D577" s="5">
        <v>3208</v>
      </c>
      <c r="E577" s="5">
        <v>320</v>
      </c>
      <c r="F577" s="5">
        <v>1</v>
      </c>
      <c r="G577" s="5">
        <v>5</v>
      </c>
      <c r="H577" s="5">
        <v>81495</v>
      </c>
      <c r="I577" s="5" t="s">
        <v>16</v>
      </c>
      <c r="J577" s="5">
        <v>75733918</v>
      </c>
      <c r="K577" s="5" t="s">
        <v>1303</v>
      </c>
      <c r="L577" s="5" t="s">
        <v>1306</v>
      </c>
      <c r="M577" s="6">
        <v>279900</v>
      </c>
      <c r="N577" s="7">
        <v>0.9</v>
      </c>
      <c r="O577" s="6">
        <f t="shared" si="18"/>
        <v>27990</v>
      </c>
      <c r="P577" s="5" t="s">
        <v>504</v>
      </c>
    </row>
    <row r="578" spans="1:16" x14ac:dyDescent="0.35">
      <c r="A578" s="5" t="str">
        <f t="shared" si="17"/>
        <v>2022 All Items D90</v>
      </c>
      <c r="B578" s="8">
        <f>'ALL 2024 H2 D80'!$B$2</f>
        <v>46114</v>
      </c>
      <c r="C578" s="8">
        <f>'ALL 2024 H2 D80'!$C$2</f>
        <v>46120</v>
      </c>
      <c r="D578" s="5">
        <v>3208</v>
      </c>
      <c r="E578" s="5">
        <v>320</v>
      </c>
      <c r="F578" s="5">
        <v>1</v>
      </c>
      <c r="G578" s="5">
        <v>5</v>
      </c>
      <c r="H578" s="5">
        <v>81626</v>
      </c>
      <c r="I578" s="5" t="s">
        <v>16</v>
      </c>
      <c r="J578" s="5">
        <v>33261784</v>
      </c>
      <c r="K578" s="5" t="s">
        <v>1865</v>
      </c>
      <c r="L578" s="5" t="s">
        <v>1866</v>
      </c>
      <c r="M578" s="6">
        <v>249900</v>
      </c>
      <c r="N578" s="7">
        <v>0.9</v>
      </c>
      <c r="O578" s="6">
        <f t="shared" si="18"/>
        <v>24990</v>
      </c>
      <c r="P578" s="5" t="s">
        <v>504</v>
      </c>
    </row>
    <row r="579" spans="1:16" x14ac:dyDescent="0.35">
      <c r="A579" s="5" t="str">
        <f t="shared" si="17"/>
        <v>2022 All Items D90</v>
      </c>
      <c r="B579" s="8">
        <f>'ALL 2024 H2 D80'!$B$2</f>
        <v>46114</v>
      </c>
      <c r="C579" s="8">
        <f>'ALL 2024 H2 D80'!$C$2</f>
        <v>46120</v>
      </c>
      <c r="D579" s="5">
        <v>3208</v>
      </c>
      <c r="E579" s="5">
        <v>320</v>
      </c>
      <c r="F579" s="5">
        <v>1</v>
      </c>
      <c r="G579" s="5">
        <v>5</v>
      </c>
      <c r="H579" s="5">
        <v>81626</v>
      </c>
      <c r="I579" s="5" t="s">
        <v>16</v>
      </c>
      <c r="J579" s="5">
        <v>33261793</v>
      </c>
      <c r="K579" s="5" t="s">
        <v>1865</v>
      </c>
      <c r="L579" s="5" t="s">
        <v>1867</v>
      </c>
      <c r="M579" s="6">
        <v>249900</v>
      </c>
      <c r="N579" s="7">
        <v>0.9</v>
      </c>
      <c r="O579" s="6">
        <f t="shared" si="18"/>
        <v>24990</v>
      </c>
      <c r="P579" s="5" t="s">
        <v>504</v>
      </c>
    </row>
    <row r="580" spans="1:16" x14ac:dyDescent="0.35">
      <c r="A580" s="5" t="str">
        <f t="shared" ref="A580:A643" si="19">$A$2</f>
        <v>2022 All Items D90</v>
      </c>
      <c r="B580" s="8">
        <f>'ALL 2024 H2 D80'!$B$2</f>
        <v>46114</v>
      </c>
      <c r="C580" s="8">
        <f>'ALL 2024 H2 D80'!$C$2</f>
        <v>46120</v>
      </c>
      <c r="D580" s="5">
        <v>3208</v>
      </c>
      <c r="E580" s="5">
        <v>320</v>
      </c>
      <c r="F580" s="5">
        <v>1</v>
      </c>
      <c r="G580" s="5">
        <v>5</v>
      </c>
      <c r="H580" s="5">
        <v>81626</v>
      </c>
      <c r="I580" s="5" t="s">
        <v>16</v>
      </c>
      <c r="J580" s="5">
        <v>33261819</v>
      </c>
      <c r="K580" s="5" t="s">
        <v>1865</v>
      </c>
      <c r="L580" s="5" t="s">
        <v>1868</v>
      </c>
      <c r="M580" s="6">
        <v>249900</v>
      </c>
      <c r="N580" s="7">
        <v>0.9</v>
      </c>
      <c r="O580" s="6">
        <f t="shared" si="18"/>
        <v>24990</v>
      </c>
      <c r="P580" s="5" t="s">
        <v>504</v>
      </c>
    </row>
    <row r="581" spans="1:16" x14ac:dyDescent="0.35">
      <c r="A581" s="5" t="str">
        <f t="shared" si="19"/>
        <v>2022 All Items D90</v>
      </c>
      <c r="B581" s="8">
        <f>'ALL 2024 H2 D80'!$B$2</f>
        <v>46114</v>
      </c>
      <c r="C581" s="8">
        <f>'ALL 2024 H2 D80'!$C$2</f>
        <v>46120</v>
      </c>
      <c r="D581" s="5">
        <v>3208</v>
      </c>
      <c r="E581" s="5">
        <v>320</v>
      </c>
      <c r="F581" s="5">
        <v>1</v>
      </c>
      <c r="G581" s="5">
        <v>5</v>
      </c>
      <c r="H581" s="5">
        <v>81626</v>
      </c>
      <c r="I581" s="5" t="s">
        <v>16</v>
      </c>
      <c r="J581" s="5">
        <v>58599150</v>
      </c>
      <c r="K581" s="5" t="s">
        <v>1870</v>
      </c>
      <c r="L581" s="5" t="s">
        <v>1871</v>
      </c>
      <c r="M581" s="6">
        <v>259900</v>
      </c>
      <c r="N581" s="7">
        <v>0.9</v>
      </c>
      <c r="O581" s="6">
        <f t="shared" si="18"/>
        <v>25990</v>
      </c>
      <c r="P581" s="5" t="s">
        <v>504</v>
      </c>
    </row>
    <row r="582" spans="1:16" x14ac:dyDescent="0.35">
      <c r="A582" s="5" t="str">
        <f t="shared" si="19"/>
        <v>2022 All Items D90</v>
      </c>
      <c r="B582" s="8">
        <f>'ALL 2024 H2 D80'!$B$2</f>
        <v>46114</v>
      </c>
      <c r="C582" s="8">
        <f>'ALL 2024 H2 D80'!$C$2</f>
        <v>46120</v>
      </c>
      <c r="D582" s="5">
        <v>3208</v>
      </c>
      <c r="E582" s="5">
        <v>320</v>
      </c>
      <c r="F582" s="5">
        <v>1</v>
      </c>
      <c r="G582" s="5">
        <v>5</v>
      </c>
      <c r="H582" s="5">
        <v>81626</v>
      </c>
      <c r="I582" s="5" t="s">
        <v>16</v>
      </c>
      <c r="J582" s="5">
        <v>58599187</v>
      </c>
      <c r="K582" s="5" t="s">
        <v>1870</v>
      </c>
      <c r="L582" s="5" t="s">
        <v>1872</v>
      </c>
      <c r="M582" s="6">
        <v>259900</v>
      </c>
      <c r="N582" s="7">
        <v>0.9</v>
      </c>
      <c r="O582" s="6">
        <f t="shared" ref="O582:O645" si="20">M582-(M582*N582)</f>
        <v>25990</v>
      </c>
      <c r="P582" s="5" t="s">
        <v>504</v>
      </c>
    </row>
    <row r="583" spans="1:16" x14ac:dyDescent="0.35">
      <c r="A583" s="5" t="str">
        <f t="shared" si="19"/>
        <v>2022 All Items D90</v>
      </c>
      <c r="B583" s="8">
        <f>'ALL 2024 H2 D80'!$B$2</f>
        <v>46114</v>
      </c>
      <c r="C583" s="8">
        <f>'ALL 2024 H2 D80'!$C$2</f>
        <v>46120</v>
      </c>
      <c r="D583" s="5">
        <v>3208</v>
      </c>
      <c r="E583" s="5">
        <v>320</v>
      </c>
      <c r="F583" s="5">
        <v>1</v>
      </c>
      <c r="G583" s="5">
        <v>5</v>
      </c>
      <c r="H583" s="5">
        <v>81626</v>
      </c>
      <c r="I583" s="5" t="s">
        <v>16</v>
      </c>
      <c r="J583" s="5">
        <v>59362144</v>
      </c>
      <c r="K583" s="5" t="s">
        <v>1873</v>
      </c>
      <c r="L583" s="5" t="s">
        <v>1874</v>
      </c>
      <c r="M583" s="6">
        <v>249900</v>
      </c>
      <c r="N583" s="7">
        <v>0.9</v>
      </c>
      <c r="O583" s="6">
        <f t="shared" si="20"/>
        <v>24990</v>
      </c>
      <c r="P583" s="5" t="s">
        <v>504</v>
      </c>
    </row>
    <row r="584" spans="1:16" x14ac:dyDescent="0.35">
      <c r="A584" s="5" t="str">
        <f t="shared" si="19"/>
        <v>2022 All Items D90</v>
      </c>
      <c r="B584" s="8">
        <f>'ALL 2024 H2 D80'!$B$2</f>
        <v>46114</v>
      </c>
      <c r="C584" s="8">
        <f>'ALL 2024 H2 D80'!$C$2</f>
        <v>46120</v>
      </c>
      <c r="D584" s="5">
        <v>3208</v>
      </c>
      <c r="E584" s="5">
        <v>320</v>
      </c>
      <c r="F584" s="5">
        <v>1</v>
      </c>
      <c r="G584" s="5">
        <v>5</v>
      </c>
      <c r="H584" s="5">
        <v>81626</v>
      </c>
      <c r="I584" s="5" t="s">
        <v>16</v>
      </c>
      <c r="J584" s="5">
        <v>59362153</v>
      </c>
      <c r="K584" s="5" t="s">
        <v>1873</v>
      </c>
      <c r="L584" s="5" t="s">
        <v>1875</v>
      </c>
      <c r="M584" s="6">
        <v>249900</v>
      </c>
      <c r="N584" s="7">
        <v>0.9</v>
      </c>
      <c r="O584" s="6">
        <f t="shared" si="20"/>
        <v>24990</v>
      </c>
      <c r="P584" s="5" t="s">
        <v>504</v>
      </c>
    </row>
    <row r="585" spans="1:16" x14ac:dyDescent="0.35">
      <c r="A585" s="5" t="str">
        <f t="shared" si="19"/>
        <v>2022 All Items D90</v>
      </c>
      <c r="B585" s="8">
        <f>'ALL 2024 H2 D80'!$B$2</f>
        <v>46114</v>
      </c>
      <c r="C585" s="8">
        <f>'ALL 2024 H2 D80'!$C$2</f>
        <v>46120</v>
      </c>
      <c r="D585" s="5">
        <v>3208</v>
      </c>
      <c r="E585" s="5">
        <v>320</v>
      </c>
      <c r="F585" s="5">
        <v>1</v>
      </c>
      <c r="G585" s="5">
        <v>5</v>
      </c>
      <c r="H585" s="5">
        <v>81626</v>
      </c>
      <c r="I585" s="5" t="s">
        <v>16</v>
      </c>
      <c r="J585" s="5">
        <v>59362162</v>
      </c>
      <c r="K585" s="5" t="s">
        <v>1873</v>
      </c>
      <c r="L585" s="5" t="s">
        <v>1876</v>
      </c>
      <c r="M585" s="6">
        <v>249900</v>
      </c>
      <c r="N585" s="7">
        <v>0.9</v>
      </c>
      <c r="O585" s="6">
        <f t="shared" si="20"/>
        <v>24990</v>
      </c>
      <c r="P585" s="5" t="s">
        <v>504</v>
      </c>
    </row>
    <row r="586" spans="1:16" x14ac:dyDescent="0.35">
      <c r="A586" s="5" t="str">
        <f t="shared" si="19"/>
        <v>2022 All Items D90</v>
      </c>
      <c r="B586" s="8">
        <f>'ALL 2024 H2 D80'!$B$2</f>
        <v>46114</v>
      </c>
      <c r="C586" s="8">
        <f>'ALL 2024 H2 D80'!$C$2</f>
        <v>46120</v>
      </c>
      <c r="D586" s="5">
        <v>3208</v>
      </c>
      <c r="E586" s="5">
        <v>320</v>
      </c>
      <c r="F586" s="5">
        <v>1</v>
      </c>
      <c r="G586" s="5">
        <v>5</v>
      </c>
      <c r="H586" s="5">
        <v>81626</v>
      </c>
      <c r="I586" s="5" t="s">
        <v>16</v>
      </c>
      <c r="J586" s="5">
        <v>59362171</v>
      </c>
      <c r="K586" s="5" t="s">
        <v>1873</v>
      </c>
      <c r="L586" s="5" t="s">
        <v>1877</v>
      </c>
      <c r="M586" s="6">
        <v>249900</v>
      </c>
      <c r="N586" s="7">
        <v>0.9</v>
      </c>
      <c r="O586" s="6">
        <f t="shared" si="20"/>
        <v>24990</v>
      </c>
      <c r="P586" s="5" t="s">
        <v>504</v>
      </c>
    </row>
    <row r="587" spans="1:16" x14ac:dyDescent="0.35">
      <c r="A587" s="5" t="str">
        <f t="shared" si="19"/>
        <v>2022 All Items D90</v>
      </c>
      <c r="B587" s="8">
        <f>'ALL 2024 H2 D80'!$B$2</f>
        <v>46114</v>
      </c>
      <c r="C587" s="8">
        <f>'ALL 2024 H2 D80'!$C$2</f>
        <v>46120</v>
      </c>
      <c r="D587" s="5">
        <v>3208</v>
      </c>
      <c r="E587" s="5">
        <v>320</v>
      </c>
      <c r="F587" s="5">
        <v>1</v>
      </c>
      <c r="G587" s="5">
        <v>5</v>
      </c>
      <c r="H587" s="5">
        <v>81626</v>
      </c>
      <c r="I587" s="5" t="s">
        <v>16</v>
      </c>
      <c r="J587" s="5">
        <v>59362448</v>
      </c>
      <c r="K587" s="5" t="s">
        <v>1878</v>
      </c>
      <c r="L587" s="5" t="s">
        <v>1879</v>
      </c>
      <c r="M587" s="6">
        <v>249900</v>
      </c>
      <c r="N587" s="7">
        <v>0.9</v>
      </c>
      <c r="O587" s="6">
        <f t="shared" si="20"/>
        <v>24990</v>
      </c>
      <c r="P587" s="5" t="s">
        <v>504</v>
      </c>
    </row>
    <row r="588" spans="1:16" x14ac:dyDescent="0.35">
      <c r="A588" s="5" t="str">
        <f t="shared" si="19"/>
        <v>2022 All Items D90</v>
      </c>
      <c r="B588" s="8">
        <f>'ALL 2024 H2 D80'!$B$2</f>
        <v>46114</v>
      </c>
      <c r="C588" s="8">
        <f>'ALL 2024 H2 D80'!$C$2</f>
        <v>46120</v>
      </c>
      <c r="D588" s="5">
        <v>3208</v>
      </c>
      <c r="E588" s="5">
        <v>320</v>
      </c>
      <c r="F588" s="5">
        <v>1</v>
      </c>
      <c r="G588" s="5">
        <v>5</v>
      </c>
      <c r="H588" s="5">
        <v>81626</v>
      </c>
      <c r="I588" s="5" t="s">
        <v>16</v>
      </c>
      <c r="J588" s="5">
        <v>59362457</v>
      </c>
      <c r="K588" s="5" t="s">
        <v>1878</v>
      </c>
      <c r="L588" s="5" t="s">
        <v>1880</v>
      </c>
      <c r="M588" s="6">
        <v>249900</v>
      </c>
      <c r="N588" s="7">
        <v>0.9</v>
      </c>
      <c r="O588" s="6">
        <f t="shared" si="20"/>
        <v>24990</v>
      </c>
      <c r="P588" s="5" t="s">
        <v>504</v>
      </c>
    </row>
    <row r="589" spans="1:16" x14ac:dyDescent="0.35">
      <c r="A589" s="5" t="str">
        <f t="shared" si="19"/>
        <v>2022 All Items D90</v>
      </c>
      <c r="B589" s="8">
        <f>'ALL 2024 H2 D80'!$B$2</f>
        <v>46114</v>
      </c>
      <c r="C589" s="8">
        <f>'ALL 2024 H2 D80'!$C$2</f>
        <v>46120</v>
      </c>
      <c r="D589" s="5">
        <v>3208</v>
      </c>
      <c r="E589" s="5">
        <v>320</v>
      </c>
      <c r="F589" s="5">
        <v>1</v>
      </c>
      <c r="G589" s="5">
        <v>5</v>
      </c>
      <c r="H589" s="5">
        <v>81626</v>
      </c>
      <c r="I589" s="5" t="s">
        <v>16</v>
      </c>
      <c r="J589" s="5">
        <v>59362466</v>
      </c>
      <c r="K589" s="5" t="s">
        <v>1878</v>
      </c>
      <c r="L589" s="5" t="s">
        <v>1881</v>
      </c>
      <c r="M589" s="6">
        <v>249900</v>
      </c>
      <c r="N589" s="7">
        <v>0.9</v>
      </c>
      <c r="O589" s="6">
        <f t="shared" si="20"/>
        <v>24990</v>
      </c>
      <c r="P589" s="5" t="s">
        <v>504</v>
      </c>
    </row>
    <row r="590" spans="1:16" x14ac:dyDescent="0.35">
      <c r="A590" s="5" t="str">
        <f t="shared" si="19"/>
        <v>2022 All Items D90</v>
      </c>
      <c r="B590" s="8">
        <f>'ALL 2024 H2 D80'!$B$2</f>
        <v>46114</v>
      </c>
      <c r="C590" s="8">
        <f>'ALL 2024 H2 D80'!$C$2</f>
        <v>46120</v>
      </c>
      <c r="D590" s="5">
        <v>3208</v>
      </c>
      <c r="E590" s="5">
        <v>320</v>
      </c>
      <c r="F590" s="5">
        <v>1</v>
      </c>
      <c r="G590" s="5">
        <v>5</v>
      </c>
      <c r="H590" s="5">
        <v>81626</v>
      </c>
      <c r="I590" s="5" t="s">
        <v>16</v>
      </c>
      <c r="J590" s="5">
        <v>59362475</v>
      </c>
      <c r="K590" s="5" t="s">
        <v>1882</v>
      </c>
      <c r="L590" s="5" t="s">
        <v>1883</v>
      </c>
      <c r="M590" s="6">
        <v>229900</v>
      </c>
      <c r="N590" s="7">
        <v>0.9</v>
      </c>
      <c r="O590" s="6">
        <f t="shared" si="20"/>
        <v>22990</v>
      </c>
      <c r="P590" s="5" t="s">
        <v>504</v>
      </c>
    </row>
    <row r="591" spans="1:16" x14ac:dyDescent="0.35">
      <c r="A591" s="5" t="str">
        <f t="shared" si="19"/>
        <v>2022 All Items D90</v>
      </c>
      <c r="B591" s="8">
        <f>'ALL 2024 H2 D80'!$B$2</f>
        <v>46114</v>
      </c>
      <c r="C591" s="8">
        <f>'ALL 2024 H2 D80'!$C$2</f>
        <v>46120</v>
      </c>
      <c r="D591" s="5">
        <v>3208</v>
      </c>
      <c r="E591" s="5">
        <v>320</v>
      </c>
      <c r="F591" s="5">
        <v>1</v>
      </c>
      <c r="G591" s="5">
        <v>5</v>
      </c>
      <c r="H591" s="5">
        <v>81626</v>
      </c>
      <c r="I591" s="5" t="s">
        <v>16</v>
      </c>
      <c r="J591" s="5">
        <v>59362484</v>
      </c>
      <c r="K591" s="5" t="s">
        <v>1882</v>
      </c>
      <c r="L591" s="5" t="s">
        <v>1884</v>
      </c>
      <c r="M591" s="6">
        <v>229900</v>
      </c>
      <c r="N591" s="7">
        <v>0.9</v>
      </c>
      <c r="O591" s="6">
        <f t="shared" si="20"/>
        <v>22990</v>
      </c>
      <c r="P591" s="5" t="s">
        <v>504</v>
      </c>
    </row>
    <row r="592" spans="1:16" x14ac:dyDescent="0.35">
      <c r="A592" s="5" t="str">
        <f t="shared" si="19"/>
        <v>2022 All Items D90</v>
      </c>
      <c r="B592" s="8">
        <f>'ALL 2024 H2 D80'!$B$2</f>
        <v>46114</v>
      </c>
      <c r="C592" s="8">
        <f>'ALL 2024 H2 D80'!$C$2</f>
        <v>46120</v>
      </c>
      <c r="D592" s="5">
        <v>3208</v>
      </c>
      <c r="E592" s="5">
        <v>320</v>
      </c>
      <c r="F592" s="5">
        <v>1</v>
      </c>
      <c r="G592" s="5">
        <v>5</v>
      </c>
      <c r="H592" s="5">
        <v>81626</v>
      </c>
      <c r="I592" s="5" t="s">
        <v>16</v>
      </c>
      <c r="J592" s="5">
        <v>59362493</v>
      </c>
      <c r="K592" s="5" t="s">
        <v>1882</v>
      </c>
      <c r="L592" s="5" t="s">
        <v>1885</v>
      </c>
      <c r="M592" s="6">
        <v>229900</v>
      </c>
      <c r="N592" s="7">
        <v>0.9</v>
      </c>
      <c r="O592" s="6">
        <f t="shared" si="20"/>
        <v>22990</v>
      </c>
      <c r="P592" s="5" t="s">
        <v>504</v>
      </c>
    </row>
    <row r="593" spans="1:16" x14ac:dyDescent="0.35">
      <c r="A593" s="5" t="str">
        <f t="shared" si="19"/>
        <v>2022 All Items D90</v>
      </c>
      <c r="B593" s="8">
        <f>'ALL 2024 H2 D80'!$B$2</f>
        <v>46114</v>
      </c>
      <c r="C593" s="8">
        <f>'ALL 2024 H2 D80'!$C$2</f>
        <v>46120</v>
      </c>
      <c r="D593" s="5">
        <v>3208</v>
      </c>
      <c r="E593" s="5">
        <v>320</v>
      </c>
      <c r="F593" s="5">
        <v>1</v>
      </c>
      <c r="G593" s="5">
        <v>5</v>
      </c>
      <c r="H593" s="5">
        <v>81626</v>
      </c>
      <c r="I593" s="5" t="s">
        <v>16</v>
      </c>
      <c r="J593" s="5">
        <v>62464573</v>
      </c>
      <c r="K593" s="5" t="s">
        <v>1886</v>
      </c>
      <c r="L593" s="5" t="s">
        <v>1887</v>
      </c>
      <c r="M593" s="6">
        <v>249900</v>
      </c>
      <c r="N593" s="7">
        <v>0.9</v>
      </c>
      <c r="O593" s="6">
        <f t="shared" si="20"/>
        <v>24990</v>
      </c>
      <c r="P593" s="5" t="s">
        <v>504</v>
      </c>
    </row>
    <row r="594" spans="1:16" x14ac:dyDescent="0.35">
      <c r="A594" s="5" t="str">
        <f t="shared" si="19"/>
        <v>2022 All Items D90</v>
      </c>
      <c r="B594" s="8">
        <f>'ALL 2024 H2 D80'!$B$2</f>
        <v>46114</v>
      </c>
      <c r="C594" s="8">
        <f>'ALL 2024 H2 D80'!$C$2</f>
        <v>46120</v>
      </c>
      <c r="D594" s="5">
        <v>3208</v>
      </c>
      <c r="E594" s="5">
        <v>320</v>
      </c>
      <c r="F594" s="5">
        <v>1</v>
      </c>
      <c r="G594" s="5">
        <v>5</v>
      </c>
      <c r="H594" s="5">
        <v>81626</v>
      </c>
      <c r="I594" s="5" t="s">
        <v>16</v>
      </c>
      <c r="J594" s="5">
        <v>62464591</v>
      </c>
      <c r="K594" s="5" t="s">
        <v>1886</v>
      </c>
      <c r="L594" s="5" t="s">
        <v>1888</v>
      </c>
      <c r="M594" s="6">
        <v>249900</v>
      </c>
      <c r="N594" s="7">
        <v>0.9</v>
      </c>
      <c r="O594" s="6">
        <f t="shared" si="20"/>
        <v>24990</v>
      </c>
      <c r="P594" s="5" t="s">
        <v>504</v>
      </c>
    </row>
    <row r="595" spans="1:16" x14ac:dyDescent="0.35">
      <c r="A595" s="5" t="str">
        <f t="shared" si="19"/>
        <v>2022 All Items D90</v>
      </c>
      <c r="B595" s="8">
        <f>'ALL 2024 H2 D80'!$B$2</f>
        <v>46114</v>
      </c>
      <c r="C595" s="8">
        <f>'ALL 2024 H2 D80'!$C$2</f>
        <v>46120</v>
      </c>
      <c r="D595" s="5">
        <v>3208</v>
      </c>
      <c r="E595" s="5">
        <v>320</v>
      </c>
      <c r="F595" s="5">
        <v>1</v>
      </c>
      <c r="G595" s="5">
        <v>5</v>
      </c>
      <c r="H595" s="5">
        <v>81626</v>
      </c>
      <c r="I595" s="5" t="s">
        <v>16</v>
      </c>
      <c r="J595" s="5">
        <v>62464608</v>
      </c>
      <c r="K595" s="5" t="s">
        <v>1889</v>
      </c>
      <c r="L595" s="5" t="s">
        <v>1890</v>
      </c>
      <c r="M595" s="6">
        <v>249900</v>
      </c>
      <c r="N595" s="7">
        <v>0.9</v>
      </c>
      <c r="O595" s="6">
        <f t="shared" si="20"/>
        <v>24990</v>
      </c>
      <c r="P595" s="5" t="s">
        <v>504</v>
      </c>
    </row>
    <row r="596" spans="1:16" x14ac:dyDescent="0.35">
      <c r="A596" s="5" t="str">
        <f t="shared" si="19"/>
        <v>2022 All Items D90</v>
      </c>
      <c r="B596" s="8">
        <f>'ALL 2024 H2 D80'!$B$2</f>
        <v>46114</v>
      </c>
      <c r="C596" s="8">
        <f>'ALL 2024 H2 D80'!$C$2</f>
        <v>46120</v>
      </c>
      <c r="D596" s="5">
        <v>3208</v>
      </c>
      <c r="E596" s="5">
        <v>320</v>
      </c>
      <c r="F596" s="5">
        <v>1</v>
      </c>
      <c r="G596" s="5">
        <v>5</v>
      </c>
      <c r="H596" s="5">
        <v>81626</v>
      </c>
      <c r="I596" s="5" t="s">
        <v>16</v>
      </c>
      <c r="J596" s="5">
        <v>65899161</v>
      </c>
      <c r="K596" s="5" t="s">
        <v>1891</v>
      </c>
      <c r="L596" s="5" t="s">
        <v>1892</v>
      </c>
      <c r="M596" s="6">
        <v>249900</v>
      </c>
      <c r="N596" s="7">
        <v>0.9</v>
      </c>
      <c r="O596" s="6">
        <f t="shared" si="20"/>
        <v>24990</v>
      </c>
      <c r="P596" s="5" t="s">
        <v>504</v>
      </c>
    </row>
    <row r="597" spans="1:16" x14ac:dyDescent="0.35">
      <c r="A597" s="5" t="str">
        <f t="shared" si="19"/>
        <v>2022 All Items D90</v>
      </c>
      <c r="B597" s="8">
        <f>'ALL 2024 H2 D80'!$B$2</f>
        <v>46114</v>
      </c>
      <c r="C597" s="8">
        <f>'ALL 2024 H2 D80'!$C$2</f>
        <v>46120</v>
      </c>
      <c r="D597" s="5">
        <v>3208</v>
      </c>
      <c r="E597" s="5">
        <v>320</v>
      </c>
      <c r="F597" s="5">
        <v>1</v>
      </c>
      <c r="G597" s="5">
        <v>5</v>
      </c>
      <c r="H597" s="5">
        <v>81626</v>
      </c>
      <c r="I597" s="5" t="s">
        <v>16</v>
      </c>
      <c r="J597" s="5">
        <v>65899170</v>
      </c>
      <c r="K597" s="5" t="s">
        <v>1891</v>
      </c>
      <c r="L597" s="5" t="s">
        <v>1893</v>
      </c>
      <c r="M597" s="6">
        <v>249900</v>
      </c>
      <c r="N597" s="7">
        <v>0.9</v>
      </c>
      <c r="O597" s="6">
        <f t="shared" si="20"/>
        <v>24990</v>
      </c>
      <c r="P597" s="5" t="s">
        <v>504</v>
      </c>
    </row>
    <row r="598" spans="1:16" x14ac:dyDescent="0.35">
      <c r="A598" s="5" t="str">
        <f t="shared" si="19"/>
        <v>2022 All Items D90</v>
      </c>
      <c r="B598" s="8">
        <f>'ALL 2024 H2 D80'!$B$2</f>
        <v>46114</v>
      </c>
      <c r="C598" s="8">
        <f>'ALL 2024 H2 D80'!$C$2</f>
        <v>46120</v>
      </c>
      <c r="D598" s="5">
        <v>3208</v>
      </c>
      <c r="E598" s="5">
        <v>320</v>
      </c>
      <c r="F598" s="5">
        <v>1</v>
      </c>
      <c r="G598" s="5">
        <v>5</v>
      </c>
      <c r="H598" s="5">
        <v>81626</v>
      </c>
      <c r="I598" s="5" t="s">
        <v>16</v>
      </c>
      <c r="J598" s="5">
        <v>65899189</v>
      </c>
      <c r="K598" s="5" t="s">
        <v>1891</v>
      </c>
      <c r="L598" s="5" t="s">
        <v>1894</v>
      </c>
      <c r="M598" s="6">
        <v>249900</v>
      </c>
      <c r="N598" s="7">
        <v>0.9</v>
      </c>
      <c r="O598" s="6">
        <f t="shared" si="20"/>
        <v>24990</v>
      </c>
      <c r="P598" s="5" t="s">
        <v>504</v>
      </c>
    </row>
    <row r="599" spans="1:16" x14ac:dyDescent="0.35">
      <c r="A599" s="5" t="str">
        <f t="shared" si="19"/>
        <v>2022 All Items D90</v>
      </c>
      <c r="B599" s="8">
        <f>'ALL 2024 H2 D80'!$B$2</f>
        <v>46114</v>
      </c>
      <c r="C599" s="8">
        <f>'ALL 2024 H2 D80'!$C$2</f>
        <v>46120</v>
      </c>
      <c r="D599" s="5">
        <v>3208</v>
      </c>
      <c r="E599" s="5">
        <v>320</v>
      </c>
      <c r="F599" s="5">
        <v>1</v>
      </c>
      <c r="G599" s="5">
        <v>5</v>
      </c>
      <c r="H599" s="5">
        <v>81626</v>
      </c>
      <c r="I599" s="5" t="s">
        <v>16</v>
      </c>
      <c r="J599" s="5">
        <v>65899198</v>
      </c>
      <c r="K599" s="5" t="s">
        <v>1891</v>
      </c>
      <c r="L599" s="5" t="s">
        <v>1895</v>
      </c>
      <c r="M599" s="6">
        <v>249900</v>
      </c>
      <c r="N599" s="7">
        <v>0.9</v>
      </c>
      <c r="O599" s="6">
        <f t="shared" si="20"/>
        <v>24990</v>
      </c>
      <c r="P599" s="5" t="s">
        <v>504</v>
      </c>
    </row>
    <row r="600" spans="1:16" x14ac:dyDescent="0.35">
      <c r="A600" s="5" t="str">
        <f t="shared" si="19"/>
        <v>2022 All Items D90</v>
      </c>
      <c r="B600" s="8">
        <f>'ALL 2024 H2 D80'!$B$2</f>
        <v>46114</v>
      </c>
      <c r="C600" s="8">
        <f>'ALL 2024 H2 D80'!$C$2</f>
        <v>46120</v>
      </c>
      <c r="D600" s="5">
        <v>3208</v>
      </c>
      <c r="E600" s="5">
        <v>320</v>
      </c>
      <c r="F600" s="5">
        <v>1</v>
      </c>
      <c r="G600" s="5">
        <v>5</v>
      </c>
      <c r="H600" s="5">
        <v>81626</v>
      </c>
      <c r="I600" s="5" t="s">
        <v>16</v>
      </c>
      <c r="J600" s="5">
        <v>66163417</v>
      </c>
      <c r="K600" s="5" t="s">
        <v>1307</v>
      </c>
      <c r="L600" s="5" t="s">
        <v>1308</v>
      </c>
      <c r="M600" s="6">
        <v>249900</v>
      </c>
      <c r="N600" s="7">
        <v>0.9</v>
      </c>
      <c r="O600" s="6">
        <f t="shared" si="20"/>
        <v>24990</v>
      </c>
      <c r="P600" s="5" t="s">
        <v>504</v>
      </c>
    </row>
    <row r="601" spans="1:16" x14ac:dyDescent="0.35">
      <c r="A601" s="5" t="str">
        <f t="shared" si="19"/>
        <v>2022 All Items D90</v>
      </c>
      <c r="B601" s="8">
        <f>'ALL 2024 H2 D80'!$B$2</f>
        <v>46114</v>
      </c>
      <c r="C601" s="8">
        <f>'ALL 2024 H2 D80'!$C$2</f>
        <v>46120</v>
      </c>
      <c r="D601" s="5">
        <v>3208</v>
      </c>
      <c r="E601" s="5">
        <v>320</v>
      </c>
      <c r="F601" s="5">
        <v>1</v>
      </c>
      <c r="G601" s="5">
        <v>5</v>
      </c>
      <c r="H601" s="5">
        <v>81626</v>
      </c>
      <c r="I601" s="5" t="s">
        <v>16</v>
      </c>
      <c r="J601" s="5">
        <v>66163426</v>
      </c>
      <c r="K601" s="5" t="s">
        <v>1307</v>
      </c>
      <c r="L601" s="5" t="s">
        <v>1309</v>
      </c>
      <c r="M601" s="6">
        <v>249900</v>
      </c>
      <c r="N601" s="7">
        <v>0.9</v>
      </c>
      <c r="O601" s="6">
        <f t="shared" si="20"/>
        <v>24990</v>
      </c>
      <c r="P601" s="5" t="s">
        <v>504</v>
      </c>
    </row>
    <row r="602" spans="1:16" x14ac:dyDescent="0.35">
      <c r="A602" s="5" t="str">
        <f t="shared" si="19"/>
        <v>2022 All Items D90</v>
      </c>
      <c r="B602" s="8">
        <f>'ALL 2024 H2 D80'!$B$2</f>
        <v>46114</v>
      </c>
      <c r="C602" s="8">
        <f>'ALL 2024 H2 D80'!$C$2</f>
        <v>46120</v>
      </c>
      <c r="D602" s="5">
        <v>3208</v>
      </c>
      <c r="E602" s="5">
        <v>320</v>
      </c>
      <c r="F602" s="5">
        <v>1</v>
      </c>
      <c r="G602" s="5">
        <v>5</v>
      </c>
      <c r="H602" s="5">
        <v>81626</v>
      </c>
      <c r="I602" s="5" t="s">
        <v>16</v>
      </c>
      <c r="J602" s="5">
        <v>66163444</v>
      </c>
      <c r="K602" s="5" t="s">
        <v>1307</v>
      </c>
      <c r="L602" s="5" t="s">
        <v>1310</v>
      </c>
      <c r="M602" s="6">
        <v>249900</v>
      </c>
      <c r="N602" s="7">
        <v>0.9</v>
      </c>
      <c r="O602" s="6">
        <f t="shared" si="20"/>
        <v>24990</v>
      </c>
      <c r="P602" s="5" t="s">
        <v>504</v>
      </c>
    </row>
    <row r="603" spans="1:16" x14ac:dyDescent="0.35">
      <c r="A603" s="5" t="str">
        <f t="shared" si="19"/>
        <v>2022 All Items D90</v>
      </c>
      <c r="B603" s="8">
        <f>'ALL 2024 H2 D80'!$B$2</f>
        <v>46114</v>
      </c>
      <c r="C603" s="8">
        <f>'ALL 2024 H2 D80'!$C$2</f>
        <v>46120</v>
      </c>
      <c r="D603" s="5">
        <v>3208</v>
      </c>
      <c r="E603" s="5">
        <v>320</v>
      </c>
      <c r="F603" s="5">
        <v>1</v>
      </c>
      <c r="G603" s="5">
        <v>5</v>
      </c>
      <c r="H603" s="5">
        <v>81626</v>
      </c>
      <c r="I603" s="5" t="s">
        <v>16</v>
      </c>
      <c r="J603" s="5">
        <v>66163533</v>
      </c>
      <c r="K603" s="5" t="s">
        <v>1896</v>
      </c>
      <c r="L603" s="5" t="s">
        <v>1897</v>
      </c>
      <c r="M603" s="6">
        <v>279900</v>
      </c>
      <c r="N603" s="7">
        <v>0.9</v>
      </c>
      <c r="O603" s="6">
        <f t="shared" si="20"/>
        <v>27990</v>
      </c>
      <c r="P603" s="5" t="s">
        <v>504</v>
      </c>
    </row>
    <row r="604" spans="1:16" x14ac:dyDescent="0.35">
      <c r="A604" s="5" t="str">
        <f t="shared" si="19"/>
        <v>2022 All Items D90</v>
      </c>
      <c r="B604" s="8">
        <f>'ALL 2024 H2 D80'!$B$2</f>
        <v>46114</v>
      </c>
      <c r="C604" s="8">
        <f>'ALL 2024 H2 D80'!$C$2</f>
        <v>46120</v>
      </c>
      <c r="D604" s="5">
        <v>3208</v>
      </c>
      <c r="E604" s="5">
        <v>320</v>
      </c>
      <c r="F604" s="5">
        <v>1</v>
      </c>
      <c r="G604" s="5">
        <v>5</v>
      </c>
      <c r="H604" s="5">
        <v>81626</v>
      </c>
      <c r="I604" s="5" t="s">
        <v>16</v>
      </c>
      <c r="J604" s="5">
        <v>66163542</v>
      </c>
      <c r="K604" s="5" t="s">
        <v>1896</v>
      </c>
      <c r="L604" s="5" t="s">
        <v>1898</v>
      </c>
      <c r="M604" s="6">
        <v>279900</v>
      </c>
      <c r="N604" s="7">
        <v>0.9</v>
      </c>
      <c r="O604" s="6">
        <f t="shared" si="20"/>
        <v>27990</v>
      </c>
      <c r="P604" s="5" t="s">
        <v>504</v>
      </c>
    </row>
    <row r="605" spans="1:16" x14ac:dyDescent="0.35">
      <c r="A605" s="5" t="str">
        <f t="shared" si="19"/>
        <v>2022 All Items D90</v>
      </c>
      <c r="B605" s="8">
        <f>'ALL 2024 H2 D80'!$B$2</f>
        <v>46114</v>
      </c>
      <c r="C605" s="8">
        <f>'ALL 2024 H2 D80'!$C$2</f>
        <v>46120</v>
      </c>
      <c r="D605" s="5">
        <v>3208</v>
      </c>
      <c r="E605" s="5">
        <v>320</v>
      </c>
      <c r="F605" s="5">
        <v>1</v>
      </c>
      <c r="G605" s="5">
        <v>5</v>
      </c>
      <c r="H605" s="5">
        <v>81626</v>
      </c>
      <c r="I605" s="5" t="s">
        <v>16</v>
      </c>
      <c r="J605" s="5">
        <v>66163551</v>
      </c>
      <c r="K605" s="5" t="s">
        <v>1896</v>
      </c>
      <c r="L605" s="5" t="s">
        <v>1899</v>
      </c>
      <c r="M605" s="6">
        <v>279900</v>
      </c>
      <c r="N605" s="7">
        <v>0.9</v>
      </c>
      <c r="O605" s="6">
        <f t="shared" si="20"/>
        <v>27990</v>
      </c>
      <c r="P605" s="5" t="s">
        <v>504</v>
      </c>
    </row>
    <row r="606" spans="1:16" x14ac:dyDescent="0.35">
      <c r="A606" s="5" t="str">
        <f t="shared" si="19"/>
        <v>2022 All Items D90</v>
      </c>
      <c r="B606" s="8">
        <f>'ALL 2024 H2 D80'!$B$2</f>
        <v>46114</v>
      </c>
      <c r="C606" s="8">
        <f>'ALL 2024 H2 D80'!$C$2</f>
        <v>46120</v>
      </c>
      <c r="D606" s="5">
        <v>3208</v>
      </c>
      <c r="E606" s="5">
        <v>320</v>
      </c>
      <c r="F606" s="5">
        <v>1</v>
      </c>
      <c r="G606" s="5">
        <v>5</v>
      </c>
      <c r="H606" s="5">
        <v>81626</v>
      </c>
      <c r="I606" s="5" t="s">
        <v>16</v>
      </c>
      <c r="J606" s="5">
        <v>66163560</v>
      </c>
      <c r="K606" s="5" t="s">
        <v>1896</v>
      </c>
      <c r="L606" s="5" t="s">
        <v>1900</v>
      </c>
      <c r="M606" s="6">
        <v>279900</v>
      </c>
      <c r="N606" s="7">
        <v>0.9</v>
      </c>
      <c r="O606" s="6">
        <f t="shared" si="20"/>
        <v>27990</v>
      </c>
      <c r="P606" s="5" t="s">
        <v>504</v>
      </c>
    </row>
    <row r="607" spans="1:16" x14ac:dyDescent="0.35">
      <c r="A607" s="5" t="str">
        <f t="shared" si="19"/>
        <v>2022 All Items D90</v>
      </c>
      <c r="B607" s="8">
        <f>'ALL 2024 H2 D80'!$B$2</f>
        <v>46114</v>
      </c>
      <c r="C607" s="8">
        <f>'ALL 2024 H2 D80'!$C$2</f>
        <v>46120</v>
      </c>
      <c r="D607" s="5">
        <v>3208</v>
      </c>
      <c r="E607" s="5">
        <v>320</v>
      </c>
      <c r="F607" s="5">
        <v>1</v>
      </c>
      <c r="G607" s="5">
        <v>5</v>
      </c>
      <c r="H607" s="5">
        <v>81626</v>
      </c>
      <c r="I607" s="5" t="s">
        <v>16</v>
      </c>
      <c r="J607" s="5">
        <v>66163819</v>
      </c>
      <c r="K607" s="5" t="s">
        <v>1901</v>
      </c>
      <c r="L607" s="5" t="s">
        <v>1902</v>
      </c>
      <c r="M607" s="6">
        <v>269900</v>
      </c>
      <c r="N607" s="7">
        <v>0.9</v>
      </c>
      <c r="O607" s="6">
        <f t="shared" si="20"/>
        <v>26990</v>
      </c>
      <c r="P607" s="5" t="s">
        <v>504</v>
      </c>
    </row>
    <row r="608" spans="1:16" x14ac:dyDescent="0.35">
      <c r="A608" s="5" t="str">
        <f t="shared" si="19"/>
        <v>2022 All Items D90</v>
      </c>
      <c r="B608" s="8">
        <f>'ALL 2024 H2 D80'!$B$2</f>
        <v>46114</v>
      </c>
      <c r="C608" s="8">
        <f>'ALL 2024 H2 D80'!$C$2</f>
        <v>46120</v>
      </c>
      <c r="D608" s="5">
        <v>3208</v>
      </c>
      <c r="E608" s="5">
        <v>320</v>
      </c>
      <c r="F608" s="5">
        <v>1</v>
      </c>
      <c r="G608" s="5">
        <v>5</v>
      </c>
      <c r="H608" s="5">
        <v>81626</v>
      </c>
      <c r="I608" s="5" t="s">
        <v>16</v>
      </c>
      <c r="J608" s="5">
        <v>66163828</v>
      </c>
      <c r="K608" s="5" t="s">
        <v>1901</v>
      </c>
      <c r="L608" s="5" t="s">
        <v>1903</v>
      </c>
      <c r="M608" s="6">
        <v>269900</v>
      </c>
      <c r="N608" s="7">
        <v>0.9</v>
      </c>
      <c r="O608" s="6">
        <f t="shared" si="20"/>
        <v>26990</v>
      </c>
      <c r="P608" s="5" t="s">
        <v>504</v>
      </c>
    </row>
    <row r="609" spans="1:16" x14ac:dyDescent="0.35">
      <c r="A609" s="5" t="str">
        <f t="shared" si="19"/>
        <v>2022 All Items D90</v>
      </c>
      <c r="B609" s="8">
        <f>'ALL 2024 H2 D80'!$B$2</f>
        <v>46114</v>
      </c>
      <c r="C609" s="8">
        <f>'ALL 2024 H2 D80'!$C$2</f>
        <v>46120</v>
      </c>
      <c r="D609" s="5">
        <v>3208</v>
      </c>
      <c r="E609" s="5">
        <v>320</v>
      </c>
      <c r="F609" s="5">
        <v>1</v>
      </c>
      <c r="G609" s="5">
        <v>5</v>
      </c>
      <c r="H609" s="5">
        <v>81626</v>
      </c>
      <c r="I609" s="5" t="s">
        <v>16</v>
      </c>
      <c r="J609" s="5">
        <v>66163837</v>
      </c>
      <c r="K609" s="5" t="s">
        <v>1901</v>
      </c>
      <c r="L609" s="5" t="s">
        <v>1904</v>
      </c>
      <c r="M609" s="6">
        <v>269900</v>
      </c>
      <c r="N609" s="7">
        <v>0.9</v>
      </c>
      <c r="O609" s="6">
        <f t="shared" si="20"/>
        <v>26990</v>
      </c>
      <c r="P609" s="5" t="s">
        <v>504</v>
      </c>
    </row>
    <row r="610" spans="1:16" x14ac:dyDescent="0.35">
      <c r="A610" s="5" t="str">
        <f t="shared" si="19"/>
        <v>2022 All Items D90</v>
      </c>
      <c r="B610" s="8">
        <f>'ALL 2024 H2 D80'!$B$2</f>
        <v>46114</v>
      </c>
      <c r="C610" s="8">
        <f>'ALL 2024 H2 D80'!$C$2</f>
        <v>46120</v>
      </c>
      <c r="D610" s="5">
        <v>3208</v>
      </c>
      <c r="E610" s="5">
        <v>320</v>
      </c>
      <c r="F610" s="5">
        <v>1</v>
      </c>
      <c r="G610" s="5">
        <v>5</v>
      </c>
      <c r="H610" s="5">
        <v>81626</v>
      </c>
      <c r="I610" s="5" t="s">
        <v>16</v>
      </c>
      <c r="J610" s="5">
        <v>66163846</v>
      </c>
      <c r="K610" s="5" t="s">
        <v>1901</v>
      </c>
      <c r="L610" s="5" t="s">
        <v>1905</v>
      </c>
      <c r="M610" s="6">
        <v>269900</v>
      </c>
      <c r="N610" s="7">
        <v>0.9</v>
      </c>
      <c r="O610" s="6">
        <f t="shared" si="20"/>
        <v>26990</v>
      </c>
      <c r="P610" s="5" t="s">
        <v>504</v>
      </c>
    </row>
    <row r="611" spans="1:16" x14ac:dyDescent="0.35">
      <c r="A611" s="5" t="str">
        <f t="shared" si="19"/>
        <v>2022 All Items D90</v>
      </c>
      <c r="B611" s="8">
        <f>'ALL 2024 H2 D80'!$B$2</f>
        <v>46114</v>
      </c>
      <c r="C611" s="8">
        <f>'ALL 2024 H2 D80'!$C$2</f>
        <v>46120</v>
      </c>
      <c r="D611" s="5">
        <v>3208</v>
      </c>
      <c r="E611" s="5">
        <v>320</v>
      </c>
      <c r="F611" s="5">
        <v>1</v>
      </c>
      <c r="G611" s="5">
        <v>5</v>
      </c>
      <c r="H611" s="5">
        <v>81626</v>
      </c>
      <c r="I611" s="5" t="s">
        <v>16</v>
      </c>
      <c r="J611" s="5">
        <v>66163855</v>
      </c>
      <c r="K611" s="5" t="s">
        <v>1901</v>
      </c>
      <c r="L611" s="5" t="s">
        <v>1906</v>
      </c>
      <c r="M611" s="6">
        <v>269900</v>
      </c>
      <c r="N611" s="7">
        <v>0.9</v>
      </c>
      <c r="O611" s="6">
        <f t="shared" si="20"/>
        <v>26990</v>
      </c>
      <c r="P611" s="5" t="s">
        <v>504</v>
      </c>
    </row>
    <row r="612" spans="1:16" x14ac:dyDescent="0.35">
      <c r="A612" s="5" t="str">
        <f t="shared" si="19"/>
        <v>2022 All Items D90</v>
      </c>
      <c r="B612" s="8">
        <f>'ALL 2024 H2 D80'!$B$2</f>
        <v>46114</v>
      </c>
      <c r="C612" s="8">
        <f>'ALL 2024 H2 D80'!$C$2</f>
        <v>46120</v>
      </c>
      <c r="D612" s="5">
        <v>3208</v>
      </c>
      <c r="E612" s="5">
        <v>320</v>
      </c>
      <c r="F612" s="5">
        <v>1</v>
      </c>
      <c r="G612" s="5">
        <v>5</v>
      </c>
      <c r="H612" s="5">
        <v>81626</v>
      </c>
      <c r="I612" s="5" t="s">
        <v>16</v>
      </c>
      <c r="J612" s="5">
        <v>66163864</v>
      </c>
      <c r="K612" s="5" t="s">
        <v>1901</v>
      </c>
      <c r="L612" s="5" t="s">
        <v>1907</v>
      </c>
      <c r="M612" s="6">
        <v>269900</v>
      </c>
      <c r="N612" s="7">
        <v>0.9</v>
      </c>
      <c r="O612" s="6">
        <f t="shared" si="20"/>
        <v>26990</v>
      </c>
      <c r="P612" s="5" t="s">
        <v>504</v>
      </c>
    </row>
    <row r="613" spans="1:16" x14ac:dyDescent="0.35">
      <c r="A613" s="5" t="str">
        <f t="shared" si="19"/>
        <v>2022 All Items D90</v>
      </c>
      <c r="B613" s="8">
        <f>'ALL 2024 H2 D80'!$B$2</f>
        <v>46114</v>
      </c>
      <c r="C613" s="8">
        <f>'ALL 2024 H2 D80'!$C$2</f>
        <v>46120</v>
      </c>
      <c r="D613" s="5">
        <v>3208</v>
      </c>
      <c r="E613" s="5">
        <v>320</v>
      </c>
      <c r="F613" s="5">
        <v>1</v>
      </c>
      <c r="G613" s="5">
        <v>5</v>
      </c>
      <c r="H613" s="5">
        <v>81626</v>
      </c>
      <c r="I613" s="5" t="s">
        <v>16</v>
      </c>
      <c r="J613" s="5">
        <v>66163882</v>
      </c>
      <c r="K613" s="5" t="s">
        <v>1901</v>
      </c>
      <c r="L613" s="5" t="s">
        <v>1908</v>
      </c>
      <c r="M613" s="6">
        <v>269900</v>
      </c>
      <c r="N613" s="7">
        <v>0.9</v>
      </c>
      <c r="O613" s="6">
        <f t="shared" si="20"/>
        <v>26990</v>
      </c>
      <c r="P613" s="5" t="s">
        <v>504</v>
      </c>
    </row>
    <row r="614" spans="1:16" x14ac:dyDescent="0.35">
      <c r="A614" s="5" t="str">
        <f t="shared" si="19"/>
        <v>2022 All Items D90</v>
      </c>
      <c r="B614" s="8">
        <f>'ALL 2024 H2 D80'!$B$2</f>
        <v>46114</v>
      </c>
      <c r="C614" s="8">
        <f>'ALL 2024 H2 D80'!$C$2</f>
        <v>46120</v>
      </c>
      <c r="D614" s="5">
        <v>3208</v>
      </c>
      <c r="E614" s="5">
        <v>320</v>
      </c>
      <c r="F614" s="5">
        <v>1</v>
      </c>
      <c r="G614" s="5">
        <v>5</v>
      </c>
      <c r="H614" s="5">
        <v>81626</v>
      </c>
      <c r="I614" s="5" t="s">
        <v>16</v>
      </c>
      <c r="J614" s="5">
        <v>66163935</v>
      </c>
      <c r="K614" s="5" t="s">
        <v>1909</v>
      </c>
      <c r="L614" s="5" t="s">
        <v>1910</v>
      </c>
      <c r="M614" s="6">
        <v>279900</v>
      </c>
      <c r="N614" s="7">
        <v>0.9</v>
      </c>
      <c r="O614" s="6">
        <f t="shared" si="20"/>
        <v>27990</v>
      </c>
      <c r="P614" s="5" t="s">
        <v>504</v>
      </c>
    </row>
    <row r="615" spans="1:16" x14ac:dyDescent="0.35">
      <c r="A615" s="5" t="str">
        <f t="shared" si="19"/>
        <v>2022 All Items D90</v>
      </c>
      <c r="B615" s="8">
        <f>'ALL 2024 H2 D80'!$B$2</f>
        <v>46114</v>
      </c>
      <c r="C615" s="8">
        <f>'ALL 2024 H2 D80'!$C$2</f>
        <v>46120</v>
      </c>
      <c r="D615" s="5">
        <v>3208</v>
      </c>
      <c r="E615" s="5">
        <v>320</v>
      </c>
      <c r="F615" s="5">
        <v>1</v>
      </c>
      <c r="G615" s="5">
        <v>5</v>
      </c>
      <c r="H615" s="5">
        <v>81626</v>
      </c>
      <c r="I615" s="5" t="s">
        <v>16</v>
      </c>
      <c r="J615" s="5">
        <v>66163953</v>
      </c>
      <c r="K615" s="5" t="s">
        <v>1909</v>
      </c>
      <c r="L615" s="5" t="s">
        <v>1911</v>
      </c>
      <c r="M615" s="6">
        <v>279900</v>
      </c>
      <c r="N615" s="7">
        <v>0.9</v>
      </c>
      <c r="O615" s="6">
        <f t="shared" si="20"/>
        <v>27990</v>
      </c>
      <c r="P615" s="5" t="s">
        <v>504</v>
      </c>
    </row>
    <row r="616" spans="1:16" x14ac:dyDescent="0.35">
      <c r="A616" s="5" t="str">
        <f t="shared" si="19"/>
        <v>2022 All Items D90</v>
      </c>
      <c r="B616" s="8">
        <f>'ALL 2024 H2 D80'!$B$2</f>
        <v>46114</v>
      </c>
      <c r="C616" s="8">
        <f>'ALL 2024 H2 D80'!$C$2</f>
        <v>46120</v>
      </c>
      <c r="D616" s="5">
        <v>3208</v>
      </c>
      <c r="E616" s="5">
        <v>320</v>
      </c>
      <c r="F616" s="5">
        <v>1</v>
      </c>
      <c r="G616" s="5">
        <v>5</v>
      </c>
      <c r="H616" s="5">
        <v>81626</v>
      </c>
      <c r="I616" s="5" t="s">
        <v>16</v>
      </c>
      <c r="J616" s="5">
        <v>66168314</v>
      </c>
      <c r="K616" s="5" t="s">
        <v>1912</v>
      </c>
      <c r="L616" s="5" t="s">
        <v>1913</v>
      </c>
      <c r="M616" s="6">
        <v>249900</v>
      </c>
      <c r="N616" s="7">
        <v>0.9</v>
      </c>
      <c r="O616" s="6">
        <f t="shared" si="20"/>
        <v>24990</v>
      </c>
      <c r="P616" s="5" t="s">
        <v>504</v>
      </c>
    </row>
    <row r="617" spans="1:16" x14ac:dyDescent="0.35">
      <c r="A617" s="5" t="str">
        <f t="shared" si="19"/>
        <v>2022 All Items D90</v>
      </c>
      <c r="B617" s="8">
        <f>'ALL 2024 H2 D80'!$B$2</f>
        <v>46114</v>
      </c>
      <c r="C617" s="8">
        <f>'ALL 2024 H2 D80'!$C$2</f>
        <v>46120</v>
      </c>
      <c r="D617" s="5">
        <v>3208</v>
      </c>
      <c r="E617" s="5">
        <v>320</v>
      </c>
      <c r="F617" s="5">
        <v>1</v>
      </c>
      <c r="G617" s="5">
        <v>5</v>
      </c>
      <c r="H617" s="5">
        <v>81626</v>
      </c>
      <c r="I617" s="5" t="s">
        <v>16</v>
      </c>
      <c r="J617" s="5">
        <v>66168323</v>
      </c>
      <c r="K617" s="5" t="s">
        <v>1912</v>
      </c>
      <c r="L617" s="5" t="s">
        <v>1914</v>
      </c>
      <c r="M617" s="6">
        <v>249900</v>
      </c>
      <c r="N617" s="7">
        <v>0.9</v>
      </c>
      <c r="O617" s="6">
        <f t="shared" si="20"/>
        <v>24990</v>
      </c>
      <c r="P617" s="5" t="s">
        <v>504</v>
      </c>
    </row>
    <row r="618" spans="1:16" x14ac:dyDescent="0.35">
      <c r="A618" s="5" t="str">
        <f t="shared" si="19"/>
        <v>2022 All Items D90</v>
      </c>
      <c r="B618" s="8">
        <f>'ALL 2024 H2 D80'!$B$2</f>
        <v>46114</v>
      </c>
      <c r="C618" s="8">
        <f>'ALL 2024 H2 D80'!$C$2</f>
        <v>46120</v>
      </c>
      <c r="D618" s="5">
        <v>3208</v>
      </c>
      <c r="E618" s="5">
        <v>320</v>
      </c>
      <c r="F618" s="5">
        <v>1</v>
      </c>
      <c r="G618" s="5">
        <v>5</v>
      </c>
      <c r="H618" s="5">
        <v>81626</v>
      </c>
      <c r="I618" s="5" t="s">
        <v>16</v>
      </c>
      <c r="J618" s="5">
        <v>66168332</v>
      </c>
      <c r="K618" s="5" t="s">
        <v>1912</v>
      </c>
      <c r="L618" s="5" t="s">
        <v>1915</v>
      </c>
      <c r="M618" s="6">
        <v>249900</v>
      </c>
      <c r="N618" s="7">
        <v>0.9</v>
      </c>
      <c r="O618" s="6">
        <f t="shared" si="20"/>
        <v>24990</v>
      </c>
      <c r="P618" s="5" t="s">
        <v>504</v>
      </c>
    </row>
    <row r="619" spans="1:16" x14ac:dyDescent="0.35">
      <c r="A619" s="5" t="str">
        <f t="shared" si="19"/>
        <v>2022 All Items D90</v>
      </c>
      <c r="B619" s="8">
        <f>'ALL 2024 H2 D80'!$B$2</f>
        <v>46114</v>
      </c>
      <c r="C619" s="8">
        <f>'ALL 2024 H2 D80'!$C$2</f>
        <v>46120</v>
      </c>
      <c r="D619" s="5">
        <v>3208</v>
      </c>
      <c r="E619" s="5">
        <v>320</v>
      </c>
      <c r="F619" s="5">
        <v>1</v>
      </c>
      <c r="G619" s="5">
        <v>5</v>
      </c>
      <c r="H619" s="5">
        <v>81626</v>
      </c>
      <c r="I619" s="5" t="s">
        <v>16</v>
      </c>
      <c r="J619" s="5">
        <v>66168341</v>
      </c>
      <c r="K619" s="5" t="s">
        <v>1912</v>
      </c>
      <c r="L619" s="5" t="s">
        <v>1916</v>
      </c>
      <c r="M619" s="6">
        <v>249900</v>
      </c>
      <c r="N619" s="7">
        <v>0.9</v>
      </c>
      <c r="O619" s="6">
        <f t="shared" si="20"/>
        <v>24990</v>
      </c>
      <c r="P619" s="5" t="s">
        <v>504</v>
      </c>
    </row>
    <row r="620" spans="1:16" x14ac:dyDescent="0.35">
      <c r="A620" s="5" t="str">
        <f t="shared" si="19"/>
        <v>2022 All Items D90</v>
      </c>
      <c r="B620" s="8">
        <f>'ALL 2024 H2 D80'!$B$2</f>
        <v>46114</v>
      </c>
      <c r="C620" s="8">
        <f>'ALL 2024 H2 D80'!$C$2</f>
        <v>46120</v>
      </c>
      <c r="D620" s="5">
        <v>3208</v>
      </c>
      <c r="E620" s="5">
        <v>320</v>
      </c>
      <c r="F620" s="5">
        <v>1</v>
      </c>
      <c r="G620" s="5">
        <v>5</v>
      </c>
      <c r="H620" s="5">
        <v>81626</v>
      </c>
      <c r="I620" s="5" t="s">
        <v>16</v>
      </c>
      <c r="J620" s="5">
        <v>66168369</v>
      </c>
      <c r="K620" s="5" t="s">
        <v>1912</v>
      </c>
      <c r="L620" s="5" t="s">
        <v>1917</v>
      </c>
      <c r="M620" s="6">
        <v>249900</v>
      </c>
      <c r="N620" s="7">
        <v>0.9</v>
      </c>
      <c r="O620" s="6">
        <f t="shared" si="20"/>
        <v>24990</v>
      </c>
      <c r="P620" s="5" t="s">
        <v>504</v>
      </c>
    </row>
    <row r="621" spans="1:16" x14ac:dyDescent="0.35">
      <c r="A621" s="5" t="str">
        <f t="shared" si="19"/>
        <v>2022 All Items D90</v>
      </c>
      <c r="B621" s="8">
        <f>'ALL 2024 H2 D80'!$B$2</f>
        <v>46114</v>
      </c>
      <c r="C621" s="8">
        <f>'ALL 2024 H2 D80'!$C$2</f>
        <v>46120</v>
      </c>
      <c r="D621" s="5">
        <v>3208</v>
      </c>
      <c r="E621" s="5">
        <v>320</v>
      </c>
      <c r="F621" s="5">
        <v>1</v>
      </c>
      <c r="G621" s="5">
        <v>5</v>
      </c>
      <c r="H621" s="5">
        <v>81626</v>
      </c>
      <c r="I621" s="5" t="s">
        <v>16</v>
      </c>
      <c r="J621" s="5">
        <v>66168378</v>
      </c>
      <c r="K621" s="5" t="s">
        <v>1912</v>
      </c>
      <c r="L621" s="5" t="s">
        <v>1918</v>
      </c>
      <c r="M621" s="6">
        <v>249900</v>
      </c>
      <c r="N621" s="7">
        <v>0.9</v>
      </c>
      <c r="O621" s="6">
        <f t="shared" si="20"/>
        <v>24990</v>
      </c>
      <c r="P621" s="5" t="s">
        <v>504</v>
      </c>
    </row>
    <row r="622" spans="1:16" x14ac:dyDescent="0.35">
      <c r="A622" s="5" t="str">
        <f t="shared" si="19"/>
        <v>2022 All Items D90</v>
      </c>
      <c r="B622" s="8">
        <f>'ALL 2024 H2 D80'!$B$2</f>
        <v>46114</v>
      </c>
      <c r="C622" s="8">
        <f>'ALL 2024 H2 D80'!$C$2</f>
        <v>46120</v>
      </c>
      <c r="D622" s="5">
        <v>3208</v>
      </c>
      <c r="E622" s="5">
        <v>320</v>
      </c>
      <c r="F622" s="5">
        <v>1</v>
      </c>
      <c r="G622" s="5">
        <v>5</v>
      </c>
      <c r="H622" s="5">
        <v>81626</v>
      </c>
      <c r="I622" s="5" t="s">
        <v>16</v>
      </c>
      <c r="J622" s="5">
        <v>66168387</v>
      </c>
      <c r="K622" s="5" t="s">
        <v>1912</v>
      </c>
      <c r="L622" s="5" t="s">
        <v>1919</v>
      </c>
      <c r="M622" s="6">
        <v>249900</v>
      </c>
      <c r="N622" s="7">
        <v>0.9</v>
      </c>
      <c r="O622" s="6">
        <f t="shared" si="20"/>
        <v>24990</v>
      </c>
      <c r="P622" s="5" t="s">
        <v>504</v>
      </c>
    </row>
    <row r="623" spans="1:16" x14ac:dyDescent="0.35">
      <c r="A623" s="5" t="str">
        <f t="shared" si="19"/>
        <v>2022 All Items D90</v>
      </c>
      <c r="B623" s="8">
        <f>'ALL 2024 H2 D80'!$B$2</f>
        <v>46114</v>
      </c>
      <c r="C623" s="8">
        <f>'ALL 2024 H2 D80'!$C$2</f>
        <v>46120</v>
      </c>
      <c r="D623" s="5">
        <v>3208</v>
      </c>
      <c r="E623" s="5">
        <v>320</v>
      </c>
      <c r="F623" s="5">
        <v>1</v>
      </c>
      <c r="G623" s="5">
        <v>5</v>
      </c>
      <c r="H623" s="5">
        <v>81626</v>
      </c>
      <c r="I623" s="5" t="s">
        <v>16</v>
      </c>
      <c r="J623" s="5">
        <v>70042325</v>
      </c>
      <c r="K623" s="5" t="s">
        <v>990</v>
      </c>
      <c r="L623" s="5" t="s">
        <v>1920</v>
      </c>
      <c r="M623" s="6">
        <v>279900</v>
      </c>
      <c r="N623" s="7">
        <v>0.9</v>
      </c>
      <c r="O623" s="6">
        <f t="shared" si="20"/>
        <v>27990</v>
      </c>
      <c r="P623" s="5" t="s">
        <v>504</v>
      </c>
    </row>
    <row r="624" spans="1:16" x14ac:dyDescent="0.35">
      <c r="A624" s="5" t="str">
        <f t="shared" si="19"/>
        <v>2022 All Items D90</v>
      </c>
      <c r="B624" s="8">
        <f>'ALL 2024 H2 D80'!$B$2</f>
        <v>46114</v>
      </c>
      <c r="C624" s="8">
        <f>'ALL 2024 H2 D80'!$C$2</f>
        <v>46120</v>
      </c>
      <c r="D624" s="5">
        <v>3208</v>
      </c>
      <c r="E624" s="5">
        <v>320</v>
      </c>
      <c r="F624" s="5">
        <v>1</v>
      </c>
      <c r="G624" s="5">
        <v>5</v>
      </c>
      <c r="H624" s="5">
        <v>81626</v>
      </c>
      <c r="I624" s="5" t="s">
        <v>16</v>
      </c>
      <c r="J624" s="5">
        <v>70042343</v>
      </c>
      <c r="K624" s="5" t="s">
        <v>990</v>
      </c>
      <c r="L624" s="5" t="s">
        <v>1921</v>
      </c>
      <c r="M624" s="6">
        <v>279900</v>
      </c>
      <c r="N624" s="7">
        <v>0.9</v>
      </c>
      <c r="O624" s="6">
        <f t="shared" si="20"/>
        <v>27990</v>
      </c>
      <c r="P624" s="5" t="s">
        <v>504</v>
      </c>
    </row>
    <row r="625" spans="1:16" x14ac:dyDescent="0.35">
      <c r="A625" s="5" t="str">
        <f t="shared" si="19"/>
        <v>2022 All Items D90</v>
      </c>
      <c r="B625" s="8">
        <f>'ALL 2024 H2 D80'!$B$2</f>
        <v>46114</v>
      </c>
      <c r="C625" s="8">
        <f>'ALL 2024 H2 D80'!$C$2</f>
        <v>46120</v>
      </c>
      <c r="D625" s="5">
        <v>3208</v>
      </c>
      <c r="E625" s="5">
        <v>320</v>
      </c>
      <c r="F625" s="5">
        <v>1</v>
      </c>
      <c r="G625" s="5">
        <v>5</v>
      </c>
      <c r="H625" s="5">
        <v>81626</v>
      </c>
      <c r="I625" s="5" t="s">
        <v>16</v>
      </c>
      <c r="J625" s="5">
        <v>70042361</v>
      </c>
      <c r="K625" s="5" t="s">
        <v>990</v>
      </c>
      <c r="L625" s="5" t="s">
        <v>1922</v>
      </c>
      <c r="M625" s="6">
        <v>279900</v>
      </c>
      <c r="N625" s="7">
        <v>0.9</v>
      </c>
      <c r="O625" s="6">
        <f t="shared" si="20"/>
        <v>27990</v>
      </c>
      <c r="P625" s="5" t="s">
        <v>504</v>
      </c>
    </row>
    <row r="626" spans="1:16" x14ac:dyDescent="0.35">
      <c r="A626" s="5" t="str">
        <f t="shared" si="19"/>
        <v>2022 All Items D90</v>
      </c>
      <c r="B626" s="8">
        <f>'ALL 2024 H2 D80'!$B$2</f>
        <v>46114</v>
      </c>
      <c r="C626" s="8">
        <f>'ALL 2024 H2 D80'!$C$2</f>
        <v>46120</v>
      </c>
      <c r="D626" s="5">
        <v>3208</v>
      </c>
      <c r="E626" s="5">
        <v>320</v>
      </c>
      <c r="F626" s="5">
        <v>1</v>
      </c>
      <c r="G626" s="5">
        <v>5</v>
      </c>
      <c r="H626" s="5">
        <v>81626</v>
      </c>
      <c r="I626" s="5" t="s">
        <v>16</v>
      </c>
      <c r="J626" s="5">
        <v>73868116</v>
      </c>
      <c r="K626" s="5" t="s">
        <v>1311</v>
      </c>
      <c r="L626" s="5" t="s">
        <v>1312</v>
      </c>
      <c r="M626" s="6">
        <v>289900</v>
      </c>
      <c r="N626" s="7">
        <v>0.9</v>
      </c>
      <c r="O626" s="6">
        <f t="shared" si="20"/>
        <v>28990</v>
      </c>
      <c r="P626" s="5" t="s">
        <v>504</v>
      </c>
    </row>
    <row r="627" spans="1:16" x14ac:dyDescent="0.35">
      <c r="A627" s="5" t="str">
        <f t="shared" si="19"/>
        <v>2022 All Items D90</v>
      </c>
      <c r="B627" s="8">
        <f>'ALL 2024 H2 D80'!$B$2</f>
        <v>46114</v>
      </c>
      <c r="C627" s="8">
        <f>'ALL 2024 H2 D80'!$C$2</f>
        <v>46120</v>
      </c>
      <c r="D627" s="5">
        <v>3208</v>
      </c>
      <c r="E627" s="5">
        <v>320</v>
      </c>
      <c r="F627" s="5">
        <v>1</v>
      </c>
      <c r="G627" s="5">
        <v>5</v>
      </c>
      <c r="H627" s="5">
        <v>81626</v>
      </c>
      <c r="I627" s="5" t="s">
        <v>16</v>
      </c>
      <c r="J627" s="5">
        <v>73868125</v>
      </c>
      <c r="K627" s="5" t="s">
        <v>1311</v>
      </c>
      <c r="L627" s="5" t="s">
        <v>1313</v>
      </c>
      <c r="M627" s="6">
        <v>289900</v>
      </c>
      <c r="N627" s="7">
        <v>0.9</v>
      </c>
      <c r="O627" s="6">
        <f t="shared" si="20"/>
        <v>28990</v>
      </c>
      <c r="P627" s="5" t="s">
        <v>504</v>
      </c>
    </row>
    <row r="628" spans="1:16" x14ac:dyDescent="0.35">
      <c r="A628" s="5" t="str">
        <f t="shared" si="19"/>
        <v>2022 All Items D90</v>
      </c>
      <c r="B628" s="8">
        <f>'ALL 2024 H2 D80'!$B$2</f>
        <v>46114</v>
      </c>
      <c r="C628" s="8">
        <f>'ALL 2024 H2 D80'!$C$2</f>
        <v>46120</v>
      </c>
      <c r="D628" s="5">
        <v>3208</v>
      </c>
      <c r="E628" s="5">
        <v>320</v>
      </c>
      <c r="F628" s="5">
        <v>1</v>
      </c>
      <c r="G628" s="5">
        <v>5</v>
      </c>
      <c r="H628" s="5">
        <v>81626</v>
      </c>
      <c r="I628" s="5" t="s">
        <v>16</v>
      </c>
      <c r="J628" s="5">
        <v>73868134</v>
      </c>
      <c r="K628" s="5" t="s">
        <v>1311</v>
      </c>
      <c r="L628" s="5" t="s">
        <v>1314</v>
      </c>
      <c r="M628" s="6">
        <v>289900</v>
      </c>
      <c r="N628" s="7">
        <v>0.9</v>
      </c>
      <c r="O628" s="6">
        <f t="shared" si="20"/>
        <v>28990</v>
      </c>
      <c r="P628" s="5" t="s">
        <v>504</v>
      </c>
    </row>
    <row r="629" spans="1:16" x14ac:dyDescent="0.35">
      <c r="A629" s="5" t="str">
        <f t="shared" si="19"/>
        <v>2022 All Items D90</v>
      </c>
      <c r="B629" s="8">
        <f>'ALL 2024 H2 D80'!$B$2</f>
        <v>46114</v>
      </c>
      <c r="C629" s="8">
        <f>'ALL 2024 H2 D80'!$C$2</f>
        <v>46120</v>
      </c>
      <c r="D629" s="5">
        <v>3208</v>
      </c>
      <c r="E629" s="5">
        <v>320</v>
      </c>
      <c r="F629" s="5">
        <v>1</v>
      </c>
      <c r="G629" s="5">
        <v>5</v>
      </c>
      <c r="H629" s="5">
        <v>81626</v>
      </c>
      <c r="I629" s="5" t="s">
        <v>16</v>
      </c>
      <c r="J629" s="5">
        <v>73868143</v>
      </c>
      <c r="K629" s="5" t="s">
        <v>1311</v>
      </c>
      <c r="L629" s="5" t="s">
        <v>1315</v>
      </c>
      <c r="M629" s="6">
        <v>289900</v>
      </c>
      <c r="N629" s="7">
        <v>0.9</v>
      </c>
      <c r="O629" s="6">
        <f t="shared" si="20"/>
        <v>28990</v>
      </c>
      <c r="P629" s="5" t="s">
        <v>504</v>
      </c>
    </row>
    <row r="630" spans="1:16" x14ac:dyDescent="0.35">
      <c r="A630" s="5" t="str">
        <f t="shared" si="19"/>
        <v>2022 All Items D90</v>
      </c>
      <c r="B630" s="8">
        <f>'ALL 2024 H2 D80'!$B$2</f>
        <v>46114</v>
      </c>
      <c r="C630" s="8">
        <f>'ALL 2024 H2 D80'!$C$2</f>
        <v>46120</v>
      </c>
      <c r="D630" s="5">
        <v>3208</v>
      </c>
      <c r="E630" s="5">
        <v>320</v>
      </c>
      <c r="F630" s="5">
        <v>1</v>
      </c>
      <c r="G630" s="5">
        <v>5</v>
      </c>
      <c r="H630" s="5">
        <v>81626</v>
      </c>
      <c r="I630" s="5" t="s">
        <v>16</v>
      </c>
      <c r="J630" s="5">
        <v>73868152</v>
      </c>
      <c r="K630" s="5" t="s">
        <v>1311</v>
      </c>
      <c r="L630" s="5" t="s">
        <v>1316</v>
      </c>
      <c r="M630" s="6">
        <v>289900</v>
      </c>
      <c r="N630" s="7">
        <v>0.9</v>
      </c>
      <c r="O630" s="6">
        <f t="shared" si="20"/>
        <v>28990</v>
      </c>
      <c r="P630" s="5" t="s">
        <v>504</v>
      </c>
    </row>
    <row r="631" spans="1:16" x14ac:dyDescent="0.35">
      <c r="A631" s="5" t="str">
        <f t="shared" si="19"/>
        <v>2022 All Items D90</v>
      </c>
      <c r="B631" s="8">
        <f>'ALL 2024 H2 D80'!$B$2</f>
        <v>46114</v>
      </c>
      <c r="C631" s="8">
        <f>'ALL 2024 H2 D80'!$C$2</f>
        <v>46120</v>
      </c>
      <c r="D631" s="5">
        <v>3208</v>
      </c>
      <c r="E631" s="5">
        <v>320</v>
      </c>
      <c r="F631" s="5">
        <v>1</v>
      </c>
      <c r="G631" s="5">
        <v>5</v>
      </c>
      <c r="H631" s="5">
        <v>81626</v>
      </c>
      <c r="I631" s="5" t="s">
        <v>16</v>
      </c>
      <c r="J631" s="5">
        <v>73868161</v>
      </c>
      <c r="K631" s="5" t="s">
        <v>1311</v>
      </c>
      <c r="L631" s="5" t="s">
        <v>1317</v>
      </c>
      <c r="M631" s="6">
        <v>289900</v>
      </c>
      <c r="N631" s="7">
        <v>0.9</v>
      </c>
      <c r="O631" s="6">
        <f t="shared" si="20"/>
        <v>28990</v>
      </c>
      <c r="P631" s="5" t="s">
        <v>504</v>
      </c>
    </row>
    <row r="632" spans="1:16" x14ac:dyDescent="0.35">
      <c r="A632" s="5" t="str">
        <f t="shared" si="19"/>
        <v>2022 All Items D90</v>
      </c>
      <c r="B632" s="8">
        <f>'ALL 2024 H2 D80'!$B$2</f>
        <v>46114</v>
      </c>
      <c r="C632" s="8">
        <f>'ALL 2024 H2 D80'!$C$2</f>
        <v>46120</v>
      </c>
      <c r="D632" s="5">
        <v>3208</v>
      </c>
      <c r="E632" s="5">
        <v>320</v>
      </c>
      <c r="F632" s="5">
        <v>1</v>
      </c>
      <c r="G632" s="5">
        <v>5</v>
      </c>
      <c r="H632" s="5">
        <v>81626</v>
      </c>
      <c r="I632" s="5" t="s">
        <v>16</v>
      </c>
      <c r="J632" s="5">
        <v>73868170</v>
      </c>
      <c r="K632" s="5" t="s">
        <v>1311</v>
      </c>
      <c r="L632" s="5" t="s">
        <v>1318</v>
      </c>
      <c r="M632" s="6">
        <v>289900</v>
      </c>
      <c r="N632" s="7">
        <v>0.9</v>
      </c>
      <c r="O632" s="6">
        <f t="shared" si="20"/>
        <v>28990</v>
      </c>
      <c r="P632" s="5" t="s">
        <v>504</v>
      </c>
    </row>
    <row r="633" spans="1:16" x14ac:dyDescent="0.35">
      <c r="A633" s="5" t="str">
        <f t="shared" si="19"/>
        <v>2022 All Items D90</v>
      </c>
      <c r="B633" s="8">
        <f>'ALL 2024 H2 D80'!$B$2</f>
        <v>46114</v>
      </c>
      <c r="C633" s="8">
        <f>'ALL 2024 H2 D80'!$C$2</f>
        <v>46120</v>
      </c>
      <c r="D633" s="5">
        <v>3208</v>
      </c>
      <c r="E633" s="5">
        <v>320</v>
      </c>
      <c r="F633" s="5">
        <v>1</v>
      </c>
      <c r="G633" s="5">
        <v>5</v>
      </c>
      <c r="H633" s="5">
        <v>81626</v>
      </c>
      <c r="I633" s="5" t="s">
        <v>16</v>
      </c>
      <c r="J633" s="5">
        <v>73868189</v>
      </c>
      <c r="K633" s="5" t="s">
        <v>1311</v>
      </c>
      <c r="L633" s="5" t="s">
        <v>1319</v>
      </c>
      <c r="M633" s="6">
        <v>289900</v>
      </c>
      <c r="N633" s="7">
        <v>0.9</v>
      </c>
      <c r="O633" s="6">
        <f t="shared" si="20"/>
        <v>28990</v>
      </c>
      <c r="P633" s="5" t="s">
        <v>504</v>
      </c>
    </row>
    <row r="634" spans="1:16" x14ac:dyDescent="0.35">
      <c r="A634" s="5" t="str">
        <f t="shared" si="19"/>
        <v>2022 All Items D90</v>
      </c>
      <c r="B634" s="8">
        <f>'ALL 2024 H2 D80'!$B$2</f>
        <v>46114</v>
      </c>
      <c r="C634" s="8">
        <f>'ALL 2024 H2 D80'!$C$2</f>
        <v>46120</v>
      </c>
      <c r="D634" s="5">
        <v>3208</v>
      </c>
      <c r="E634" s="5">
        <v>320</v>
      </c>
      <c r="F634" s="5">
        <v>1</v>
      </c>
      <c r="G634" s="5">
        <v>5</v>
      </c>
      <c r="H634" s="5">
        <v>81626</v>
      </c>
      <c r="I634" s="5" t="s">
        <v>16</v>
      </c>
      <c r="J634" s="5">
        <v>73868198</v>
      </c>
      <c r="K634" s="5" t="s">
        <v>1320</v>
      </c>
      <c r="L634" s="5" t="s">
        <v>1321</v>
      </c>
      <c r="M634" s="6">
        <v>299900</v>
      </c>
      <c r="N634" s="7">
        <v>0.9</v>
      </c>
      <c r="O634" s="6">
        <f t="shared" si="20"/>
        <v>29990</v>
      </c>
      <c r="P634" s="5" t="s">
        <v>504</v>
      </c>
    </row>
    <row r="635" spans="1:16" x14ac:dyDescent="0.35">
      <c r="A635" s="5" t="str">
        <f t="shared" si="19"/>
        <v>2022 All Items D90</v>
      </c>
      <c r="B635" s="8">
        <f>'ALL 2024 H2 D80'!$B$2</f>
        <v>46114</v>
      </c>
      <c r="C635" s="8">
        <f>'ALL 2024 H2 D80'!$C$2</f>
        <v>46120</v>
      </c>
      <c r="D635" s="5">
        <v>3208</v>
      </c>
      <c r="E635" s="5">
        <v>320</v>
      </c>
      <c r="F635" s="5">
        <v>1</v>
      </c>
      <c r="G635" s="5">
        <v>5</v>
      </c>
      <c r="H635" s="5">
        <v>81626</v>
      </c>
      <c r="I635" s="5" t="s">
        <v>16</v>
      </c>
      <c r="J635" s="5">
        <v>73868205</v>
      </c>
      <c r="K635" s="5" t="s">
        <v>1320</v>
      </c>
      <c r="L635" s="5" t="s">
        <v>1322</v>
      </c>
      <c r="M635" s="6">
        <v>299900</v>
      </c>
      <c r="N635" s="7">
        <v>0.9</v>
      </c>
      <c r="O635" s="6">
        <f t="shared" si="20"/>
        <v>29990</v>
      </c>
      <c r="P635" s="5" t="s">
        <v>504</v>
      </c>
    </row>
    <row r="636" spans="1:16" x14ac:dyDescent="0.35">
      <c r="A636" s="5" t="str">
        <f t="shared" si="19"/>
        <v>2022 All Items D90</v>
      </c>
      <c r="B636" s="8">
        <f>'ALL 2024 H2 D80'!$B$2</f>
        <v>46114</v>
      </c>
      <c r="C636" s="8">
        <f>'ALL 2024 H2 D80'!$C$2</f>
        <v>46120</v>
      </c>
      <c r="D636" s="5">
        <v>3208</v>
      </c>
      <c r="E636" s="5">
        <v>320</v>
      </c>
      <c r="F636" s="5">
        <v>1</v>
      </c>
      <c r="G636" s="5">
        <v>5</v>
      </c>
      <c r="H636" s="5">
        <v>81626</v>
      </c>
      <c r="I636" s="5" t="s">
        <v>16</v>
      </c>
      <c r="J636" s="5">
        <v>73868214</v>
      </c>
      <c r="K636" s="5" t="s">
        <v>1320</v>
      </c>
      <c r="L636" s="5" t="s">
        <v>1323</v>
      </c>
      <c r="M636" s="6">
        <v>299900</v>
      </c>
      <c r="N636" s="7">
        <v>0.9</v>
      </c>
      <c r="O636" s="6">
        <f t="shared" si="20"/>
        <v>29990</v>
      </c>
      <c r="P636" s="5" t="s">
        <v>504</v>
      </c>
    </row>
    <row r="637" spans="1:16" x14ac:dyDescent="0.35">
      <c r="A637" s="5" t="str">
        <f t="shared" si="19"/>
        <v>2022 All Items D90</v>
      </c>
      <c r="B637" s="8">
        <f>'ALL 2024 H2 D80'!$B$2</f>
        <v>46114</v>
      </c>
      <c r="C637" s="8">
        <f>'ALL 2024 H2 D80'!$C$2</f>
        <v>46120</v>
      </c>
      <c r="D637" s="5">
        <v>3208</v>
      </c>
      <c r="E637" s="5">
        <v>320</v>
      </c>
      <c r="F637" s="5">
        <v>1</v>
      </c>
      <c r="G637" s="5">
        <v>5</v>
      </c>
      <c r="H637" s="5">
        <v>81626</v>
      </c>
      <c r="I637" s="5" t="s">
        <v>16</v>
      </c>
      <c r="J637" s="5">
        <v>73868223</v>
      </c>
      <c r="K637" s="5" t="s">
        <v>1320</v>
      </c>
      <c r="L637" s="5" t="s">
        <v>1324</v>
      </c>
      <c r="M637" s="6">
        <v>299900</v>
      </c>
      <c r="N637" s="7">
        <v>0.9</v>
      </c>
      <c r="O637" s="6">
        <f t="shared" si="20"/>
        <v>29990</v>
      </c>
      <c r="P637" s="5" t="s">
        <v>504</v>
      </c>
    </row>
    <row r="638" spans="1:16" x14ac:dyDescent="0.35">
      <c r="A638" s="5" t="str">
        <f t="shared" si="19"/>
        <v>2022 All Items D90</v>
      </c>
      <c r="B638" s="8">
        <f>'ALL 2024 H2 D80'!$B$2</f>
        <v>46114</v>
      </c>
      <c r="C638" s="8">
        <f>'ALL 2024 H2 D80'!$C$2</f>
        <v>46120</v>
      </c>
      <c r="D638" s="5">
        <v>3208</v>
      </c>
      <c r="E638" s="5">
        <v>320</v>
      </c>
      <c r="F638" s="5">
        <v>1</v>
      </c>
      <c r="G638" s="5">
        <v>5</v>
      </c>
      <c r="H638" s="5">
        <v>81626</v>
      </c>
      <c r="I638" s="5" t="s">
        <v>16</v>
      </c>
      <c r="J638" s="5">
        <v>74560875</v>
      </c>
      <c r="K638" s="5" t="s">
        <v>1325</v>
      </c>
      <c r="L638" s="5" t="s">
        <v>1326</v>
      </c>
      <c r="M638" s="6">
        <v>279900</v>
      </c>
      <c r="N638" s="7">
        <v>0.9</v>
      </c>
      <c r="O638" s="6">
        <f t="shared" si="20"/>
        <v>27990</v>
      </c>
      <c r="P638" s="5" t="s">
        <v>504</v>
      </c>
    </row>
    <row r="639" spans="1:16" x14ac:dyDescent="0.35">
      <c r="A639" s="5" t="str">
        <f t="shared" si="19"/>
        <v>2022 All Items D90</v>
      </c>
      <c r="B639" s="8">
        <f>'ALL 2024 H2 D80'!$B$2</f>
        <v>46114</v>
      </c>
      <c r="C639" s="8">
        <f>'ALL 2024 H2 D80'!$C$2</f>
        <v>46120</v>
      </c>
      <c r="D639" s="5">
        <v>3208</v>
      </c>
      <c r="E639" s="5">
        <v>320</v>
      </c>
      <c r="F639" s="5">
        <v>1</v>
      </c>
      <c r="G639" s="5">
        <v>5</v>
      </c>
      <c r="H639" s="5">
        <v>81626</v>
      </c>
      <c r="I639" s="5" t="s">
        <v>16</v>
      </c>
      <c r="J639" s="5">
        <v>74560884</v>
      </c>
      <c r="K639" s="5" t="s">
        <v>1325</v>
      </c>
      <c r="L639" s="5" t="s">
        <v>1327</v>
      </c>
      <c r="M639" s="6">
        <v>279900</v>
      </c>
      <c r="N639" s="7">
        <v>0.9</v>
      </c>
      <c r="O639" s="6">
        <f t="shared" si="20"/>
        <v>27990</v>
      </c>
      <c r="P639" s="5" t="s">
        <v>504</v>
      </c>
    </row>
    <row r="640" spans="1:16" x14ac:dyDescent="0.35">
      <c r="A640" s="5" t="str">
        <f t="shared" si="19"/>
        <v>2022 All Items D90</v>
      </c>
      <c r="B640" s="8">
        <f>'ALL 2024 H2 D80'!$B$2</f>
        <v>46114</v>
      </c>
      <c r="C640" s="8">
        <f>'ALL 2024 H2 D80'!$C$2</f>
        <v>46120</v>
      </c>
      <c r="D640" s="5">
        <v>3208</v>
      </c>
      <c r="E640" s="5">
        <v>320</v>
      </c>
      <c r="F640" s="5">
        <v>1</v>
      </c>
      <c r="G640" s="5">
        <v>5</v>
      </c>
      <c r="H640" s="5">
        <v>81626</v>
      </c>
      <c r="I640" s="5" t="s">
        <v>16</v>
      </c>
      <c r="J640" s="5">
        <v>74560893</v>
      </c>
      <c r="K640" s="5" t="s">
        <v>1325</v>
      </c>
      <c r="L640" s="5" t="s">
        <v>1328</v>
      </c>
      <c r="M640" s="6">
        <v>279900</v>
      </c>
      <c r="N640" s="7">
        <v>0.9</v>
      </c>
      <c r="O640" s="6">
        <f t="shared" si="20"/>
        <v>27990</v>
      </c>
      <c r="P640" s="5" t="s">
        <v>504</v>
      </c>
    </row>
    <row r="641" spans="1:16" x14ac:dyDescent="0.35">
      <c r="A641" s="5" t="str">
        <f t="shared" si="19"/>
        <v>2022 All Items D90</v>
      </c>
      <c r="B641" s="8">
        <f>'ALL 2024 H2 D80'!$B$2</f>
        <v>46114</v>
      </c>
      <c r="C641" s="8">
        <f>'ALL 2024 H2 D80'!$C$2</f>
        <v>46120</v>
      </c>
      <c r="D641" s="5">
        <v>3208</v>
      </c>
      <c r="E641" s="5">
        <v>320</v>
      </c>
      <c r="F641" s="5">
        <v>1</v>
      </c>
      <c r="G641" s="5">
        <v>5</v>
      </c>
      <c r="H641" s="5">
        <v>81626</v>
      </c>
      <c r="I641" s="5" t="s">
        <v>16</v>
      </c>
      <c r="J641" s="5">
        <v>74560900</v>
      </c>
      <c r="K641" s="5" t="s">
        <v>1325</v>
      </c>
      <c r="L641" s="5" t="s">
        <v>1329</v>
      </c>
      <c r="M641" s="6">
        <v>279900</v>
      </c>
      <c r="N641" s="7">
        <v>0.9</v>
      </c>
      <c r="O641" s="6">
        <f t="shared" si="20"/>
        <v>27990</v>
      </c>
      <c r="P641" s="5" t="s">
        <v>504</v>
      </c>
    </row>
    <row r="642" spans="1:16" x14ac:dyDescent="0.35">
      <c r="A642" s="5" t="str">
        <f t="shared" si="19"/>
        <v>2022 All Items D90</v>
      </c>
      <c r="B642" s="8">
        <f>'ALL 2024 H2 D80'!$B$2</f>
        <v>46114</v>
      </c>
      <c r="C642" s="8">
        <f>'ALL 2024 H2 D80'!$C$2</f>
        <v>46120</v>
      </c>
      <c r="D642" s="5">
        <v>3208</v>
      </c>
      <c r="E642" s="5">
        <v>320</v>
      </c>
      <c r="F642" s="5">
        <v>1</v>
      </c>
      <c r="G642" s="5">
        <v>5</v>
      </c>
      <c r="H642" s="5">
        <v>81626</v>
      </c>
      <c r="I642" s="5" t="s">
        <v>16</v>
      </c>
      <c r="J642" s="5">
        <v>75733650</v>
      </c>
      <c r="K642" s="5" t="s">
        <v>75</v>
      </c>
      <c r="L642" s="5" t="s">
        <v>1330</v>
      </c>
      <c r="M642" s="6">
        <v>279900</v>
      </c>
      <c r="N642" s="7">
        <v>0.9</v>
      </c>
      <c r="O642" s="6">
        <f t="shared" si="20"/>
        <v>27990</v>
      </c>
      <c r="P642" s="5" t="s">
        <v>504</v>
      </c>
    </row>
    <row r="643" spans="1:16" x14ac:dyDescent="0.35">
      <c r="A643" s="5" t="str">
        <f t="shared" si="19"/>
        <v>2022 All Items D90</v>
      </c>
      <c r="B643" s="8">
        <f>'ALL 2024 H2 D80'!$B$2</f>
        <v>46114</v>
      </c>
      <c r="C643" s="8">
        <f>'ALL 2024 H2 D80'!$C$2</f>
        <v>46120</v>
      </c>
      <c r="D643" s="5">
        <v>3208</v>
      </c>
      <c r="E643" s="5">
        <v>320</v>
      </c>
      <c r="F643" s="5">
        <v>1</v>
      </c>
      <c r="G643" s="5">
        <v>5</v>
      </c>
      <c r="H643" s="5">
        <v>81626</v>
      </c>
      <c r="I643" s="5" t="s">
        <v>16</v>
      </c>
      <c r="J643" s="5">
        <v>75733669</v>
      </c>
      <c r="K643" s="5" t="s">
        <v>75</v>
      </c>
      <c r="L643" s="5" t="s">
        <v>1331</v>
      </c>
      <c r="M643" s="6">
        <v>279900</v>
      </c>
      <c r="N643" s="7">
        <v>0.9</v>
      </c>
      <c r="O643" s="6">
        <f t="shared" si="20"/>
        <v>27990</v>
      </c>
      <c r="P643" s="5" t="s">
        <v>504</v>
      </c>
    </row>
    <row r="644" spans="1:16" x14ac:dyDescent="0.35">
      <c r="A644" s="5" t="str">
        <f t="shared" ref="A644:A707" si="21">$A$2</f>
        <v>2022 All Items D90</v>
      </c>
      <c r="B644" s="8">
        <f>'ALL 2024 H2 D80'!$B$2</f>
        <v>46114</v>
      </c>
      <c r="C644" s="8">
        <f>'ALL 2024 H2 D80'!$C$2</f>
        <v>46120</v>
      </c>
      <c r="D644" s="5">
        <v>3208</v>
      </c>
      <c r="E644" s="5">
        <v>320</v>
      </c>
      <c r="F644" s="5">
        <v>1</v>
      </c>
      <c r="G644" s="5">
        <v>5</v>
      </c>
      <c r="H644" s="5">
        <v>81626</v>
      </c>
      <c r="I644" s="5" t="s">
        <v>16</v>
      </c>
      <c r="J644" s="5">
        <v>75733678</v>
      </c>
      <c r="K644" s="5" t="s">
        <v>75</v>
      </c>
      <c r="L644" s="5" t="s">
        <v>1332</v>
      </c>
      <c r="M644" s="6">
        <v>279900</v>
      </c>
      <c r="N644" s="7">
        <v>0.9</v>
      </c>
      <c r="O644" s="6">
        <f t="shared" si="20"/>
        <v>27990</v>
      </c>
      <c r="P644" s="5" t="s">
        <v>504</v>
      </c>
    </row>
    <row r="645" spans="1:16" x14ac:dyDescent="0.35">
      <c r="A645" s="5" t="str">
        <f t="shared" si="21"/>
        <v>2022 All Items D90</v>
      </c>
      <c r="B645" s="8">
        <f>'ALL 2024 H2 D80'!$B$2</f>
        <v>46114</v>
      </c>
      <c r="C645" s="8">
        <f>'ALL 2024 H2 D80'!$C$2</f>
        <v>46120</v>
      </c>
      <c r="D645" s="5">
        <v>3208</v>
      </c>
      <c r="E645" s="5">
        <v>320</v>
      </c>
      <c r="F645" s="5">
        <v>1</v>
      </c>
      <c r="G645" s="5">
        <v>5</v>
      </c>
      <c r="H645" s="5">
        <v>81626</v>
      </c>
      <c r="I645" s="5" t="s">
        <v>16</v>
      </c>
      <c r="J645" s="5">
        <v>75733687</v>
      </c>
      <c r="K645" s="5" t="s">
        <v>75</v>
      </c>
      <c r="L645" s="5" t="s">
        <v>1333</v>
      </c>
      <c r="M645" s="6">
        <v>279900</v>
      </c>
      <c r="N645" s="7">
        <v>0.9</v>
      </c>
      <c r="O645" s="6">
        <f t="shared" si="20"/>
        <v>27990</v>
      </c>
      <c r="P645" s="5" t="s">
        <v>504</v>
      </c>
    </row>
    <row r="646" spans="1:16" x14ac:dyDescent="0.35">
      <c r="A646" s="5" t="str">
        <f t="shared" si="21"/>
        <v>2022 All Items D90</v>
      </c>
      <c r="B646" s="8">
        <f>'ALL 2024 H2 D80'!$B$2</f>
        <v>46114</v>
      </c>
      <c r="C646" s="8">
        <f>'ALL 2024 H2 D80'!$C$2</f>
        <v>46120</v>
      </c>
      <c r="D646" s="5">
        <v>3208</v>
      </c>
      <c r="E646" s="5">
        <v>320</v>
      </c>
      <c r="F646" s="5">
        <v>1</v>
      </c>
      <c r="G646" s="5">
        <v>5</v>
      </c>
      <c r="H646" s="5">
        <v>81626</v>
      </c>
      <c r="I646" s="5" t="s">
        <v>16</v>
      </c>
      <c r="J646" s="5">
        <v>75733730</v>
      </c>
      <c r="K646" s="5" t="s">
        <v>1334</v>
      </c>
      <c r="L646" s="5" t="s">
        <v>1335</v>
      </c>
      <c r="M646" s="6">
        <v>279900</v>
      </c>
      <c r="N646" s="7">
        <v>0.9</v>
      </c>
      <c r="O646" s="6">
        <f t="shared" ref="O646:O709" si="22">M646-(M646*N646)</f>
        <v>27990</v>
      </c>
      <c r="P646" s="5" t="s">
        <v>504</v>
      </c>
    </row>
    <row r="647" spans="1:16" x14ac:dyDescent="0.35">
      <c r="A647" s="5" t="str">
        <f t="shared" si="21"/>
        <v>2022 All Items D90</v>
      </c>
      <c r="B647" s="8">
        <f>'ALL 2024 H2 D80'!$B$2</f>
        <v>46114</v>
      </c>
      <c r="C647" s="8">
        <f>'ALL 2024 H2 D80'!$C$2</f>
        <v>46120</v>
      </c>
      <c r="D647" s="5">
        <v>3208</v>
      </c>
      <c r="E647" s="5">
        <v>320</v>
      </c>
      <c r="F647" s="5">
        <v>1</v>
      </c>
      <c r="G647" s="5">
        <v>5</v>
      </c>
      <c r="H647" s="5">
        <v>81626</v>
      </c>
      <c r="I647" s="5" t="s">
        <v>16</v>
      </c>
      <c r="J647" s="5">
        <v>75733749</v>
      </c>
      <c r="K647" s="5" t="s">
        <v>1334</v>
      </c>
      <c r="L647" s="5" t="s">
        <v>1336</v>
      </c>
      <c r="M647" s="6">
        <v>279900</v>
      </c>
      <c r="N647" s="7">
        <v>0.9</v>
      </c>
      <c r="O647" s="6">
        <f t="shared" si="22"/>
        <v>27990</v>
      </c>
      <c r="P647" s="5" t="s">
        <v>504</v>
      </c>
    </row>
    <row r="648" spans="1:16" x14ac:dyDescent="0.35">
      <c r="A648" s="5" t="str">
        <f t="shared" si="21"/>
        <v>2022 All Items D90</v>
      </c>
      <c r="B648" s="8">
        <f>'ALL 2024 H2 D80'!$B$2</f>
        <v>46114</v>
      </c>
      <c r="C648" s="8">
        <f>'ALL 2024 H2 D80'!$C$2</f>
        <v>46120</v>
      </c>
      <c r="D648" s="5">
        <v>3208</v>
      </c>
      <c r="E648" s="5">
        <v>320</v>
      </c>
      <c r="F648" s="5">
        <v>1</v>
      </c>
      <c r="G648" s="5">
        <v>5</v>
      </c>
      <c r="H648" s="5">
        <v>81626</v>
      </c>
      <c r="I648" s="5" t="s">
        <v>16</v>
      </c>
      <c r="J648" s="5">
        <v>75733758</v>
      </c>
      <c r="K648" s="5" t="s">
        <v>1334</v>
      </c>
      <c r="L648" s="5" t="s">
        <v>1337</v>
      </c>
      <c r="M648" s="6">
        <v>279900</v>
      </c>
      <c r="N648" s="7">
        <v>0.9</v>
      </c>
      <c r="O648" s="6">
        <f t="shared" si="22"/>
        <v>27990</v>
      </c>
      <c r="P648" s="5" t="s">
        <v>504</v>
      </c>
    </row>
    <row r="649" spans="1:16" x14ac:dyDescent="0.35">
      <c r="A649" s="5" t="str">
        <f t="shared" si="21"/>
        <v>2022 All Items D90</v>
      </c>
      <c r="B649" s="8">
        <f>'ALL 2024 H2 D80'!$B$2</f>
        <v>46114</v>
      </c>
      <c r="C649" s="8">
        <f>'ALL 2024 H2 D80'!$C$2</f>
        <v>46120</v>
      </c>
      <c r="D649" s="5">
        <v>3208</v>
      </c>
      <c r="E649" s="5">
        <v>320</v>
      </c>
      <c r="F649" s="5">
        <v>1</v>
      </c>
      <c r="G649" s="5">
        <v>5</v>
      </c>
      <c r="H649" s="5">
        <v>81626</v>
      </c>
      <c r="I649" s="5" t="s">
        <v>16</v>
      </c>
      <c r="J649" s="5">
        <v>75733767</v>
      </c>
      <c r="K649" s="5" t="s">
        <v>1334</v>
      </c>
      <c r="L649" s="5" t="s">
        <v>1338</v>
      </c>
      <c r="M649" s="6">
        <v>279900</v>
      </c>
      <c r="N649" s="7">
        <v>0.9</v>
      </c>
      <c r="O649" s="6">
        <f t="shared" si="22"/>
        <v>27990</v>
      </c>
      <c r="P649" s="5" t="s">
        <v>504</v>
      </c>
    </row>
    <row r="650" spans="1:16" x14ac:dyDescent="0.35">
      <c r="A650" s="5" t="str">
        <f t="shared" si="21"/>
        <v>2022 All Items D90</v>
      </c>
      <c r="B650" s="8">
        <f>'ALL 2024 H2 D80'!$B$2</f>
        <v>46114</v>
      </c>
      <c r="C650" s="8">
        <f>'ALL 2024 H2 D80'!$C$2</f>
        <v>46120</v>
      </c>
      <c r="D650" s="5">
        <v>3208</v>
      </c>
      <c r="E650" s="5">
        <v>320</v>
      </c>
      <c r="F650" s="5">
        <v>1</v>
      </c>
      <c r="G650" s="5">
        <v>5</v>
      </c>
      <c r="H650" s="5">
        <v>81626</v>
      </c>
      <c r="I650" s="5" t="s">
        <v>16</v>
      </c>
      <c r="J650" s="5">
        <v>76209635</v>
      </c>
      <c r="K650" s="5" t="s">
        <v>1339</v>
      </c>
      <c r="L650" s="5" t="s">
        <v>1340</v>
      </c>
      <c r="M650" s="6">
        <v>279900</v>
      </c>
      <c r="N650" s="7">
        <v>0.9</v>
      </c>
      <c r="O650" s="6">
        <f t="shared" si="22"/>
        <v>27990</v>
      </c>
      <c r="P650" s="5" t="s">
        <v>504</v>
      </c>
    </row>
    <row r="651" spans="1:16" x14ac:dyDescent="0.35">
      <c r="A651" s="5" t="str">
        <f t="shared" si="21"/>
        <v>2022 All Items D90</v>
      </c>
      <c r="B651" s="8">
        <f>'ALL 2024 H2 D80'!$B$2</f>
        <v>46114</v>
      </c>
      <c r="C651" s="8">
        <f>'ALL 2024 H2 D80'!$C$2</f>
        <v>46120</v>
      </c>
      <c r="D651" s="5">
        <v>3208</v>
      </c>
      <c r="E651" s="5">
        <v>320</v>
      </c>
      <c r="F651" s="5">
        <v>1</v>
      </c>
      <c r="G651" s="5">
        <v>5</v>
      </c>
      <c r="H651" s="5">
        <v>81626</v>
      </c>
      <c r="I651" s="5" t="s">
        <v>16</v>
      </c>
      <c r="J651" s="5">
        <v>76209644</v>
      </c>
      <c r="K651" s="5" t="s">
        <v>1339</v>
      </c>
      <c r="L651" s="5" t="s">
        <v>1341</v>
      </c>
      <c r="M651" s="6">
        <v>279900</v>
      </c>
      <c r="N651" s="7">
        <v>0.9</v>
      </c>
      <c r="O651" s="6">
        <f t="shared" si="22"/>
        <v>27990</v>
      </c>
      <c r="P651" s="5" t="s">
        <v>504</v>
      </c>
    </row>
    <row r="652" spans="1:16" x14ac:dyDescent="0.35">
      <c r="A652" s="5" t="str">
        <f t="shared" si="21"/>
        <v>2022 All Items D90</v>
      </c>
      <c r="B652" s="8">
        <f>'ALL 2024 H2 D80'!$B$2</f>
        <v>46114</v>
      </c>
      <c r="C652" s="8">
        <f>'ALL 2024 H2 D80'!$C$2</f>
        <v>46120</v>
      </c>
      <c r="D652" s="5">
        <v>3208</v>
      </c>
      <c r="E652" s="5">
        <v>320</v>
      </c>
      <c r="F652" s="5">
        <v>1</v>
      </c>
      <c r="G652" s="5">
        <v>5</v>
      </c>
      <c r="H652" s="5">
        <v>81626</v>
      </c>
      <c r="I652" s="5" t="s">
        <v>16</v>
      </c>
      <c r="J652" s="5">
        <v>76209653</v>
      </c>
      <c r="K652" s="5" t="s">
        <v>1339</v>
      </c>
      <c r="L652" s="5" t="s">
        <v>1342</v>
      </c>
      <c r="M652" s="6">
        <v>279900</v>
      </c>
      <c r="N652" s="7">
        <v>0.9</v>
      </c>
      <c r="O652" s="6">
        <f t="shared" si="22"/>
        <v>27990</v>
      </c>
      <c r="P652" s="5" t="s">
        <v>504</v>
      </c>
    </row>
    <row r="653" spans="1:16" x14ac:dyDescent="0.35">
      <c r="A653" s="5" t="str">
        <f t="shared" si="21"/>
        <v>2022 All Items D90</v>
      </c>
      <c r="B653" s="8">
        <f>'ALL 2024 H2 D80'!$B$2</f>
        <v>46114</v>
      </c>
      <c r="C653" s="8">
        <f>'ALL 2024 H2 D80'!$C$2</f>
        <v>46120</v>
      </c>
      <c r="D653" s="5">
        <v>3208</v>
      </c>
      <c r="E653" s="5">
        <v>320</v>
      </c>
      <c r="F653" s="5">
        <v>1</v>
      </c>
      <c r="G653" s="5">
        <v>5</v>
      </c>
      <c r="H653" s="5">
        <v>81626</v>
      </c>
      <c r="I653" s="5" t="s">
        <v>16</v>
      </c>
      <c r="J653" s="5">
        <v>76209662</v>
      </c>
      <c r="K653" s="5" t="s">
        <v>1339</v>
      </c>
      <c r="L653" s="5" t="s">
        <v>1343</v>
      </c>
      <c r="M653" s="6">
        <v>279900</v>
      </c>
      <c r="N653" s="7">
        <v>0.9</v>
      </c>
      <c r="O653" s="6">
        <f t="shared" si="22"/>
        <v>27990</v>
      </c>
      <c r="P653" s="5" t="s">
        <v>504</v>
      </c>
    </row>
    <row r="654" spans="1:16" x14ac:dyDescent="0.35">
      <c r="A654" s="5" t="str">
        <f t="shared" si="21"/>
        <v>2022 All Items D90</v>
      </c>
      <c r="B654" s="8">
        <f>'ALL 2024 H2 D80'!$B$2</f>
        <v>46114</v>
      </c>
      <c r="C654" s="8">
        <f>'ALL 2024 H2 D80'!$C$2</f>
        <v>46120</v>
      </c>
      <c r="D654" s="5">
        <v>3208</v>
      </c>
      <c r="E654" s="5">
        <v>320</v>
      </c>
      <c r="F654" s="5">
        <v>1</v>
      </c>
      <c r="G654" s="5">
        <v>5</v>
      </c>
      <c r="H654" s="5">
        <v>81626</v>
      </c>
      <c r="I654" s="5" t="s">
        <v>16</v>
      </c>
      <c r="J654" s="5">
        <v>76704822</v>
      </c>
      <c r="K654" s="5" t="s">
        <v>1344</v>
      </c>
      <c r="L654" s="5" t="s">
        <v>1345</v>
      </c>
      <c r="M654" s="6">
        <v>209900</v>
      </c>
      <c r="N654" s="7">
        <v>0.9</v>
      </c>
      <c r="O654" s="6">
        <f t="shared" si="22"/>
        <v>20990</v>
      </c>
      <c r="P654" s="5" t="s">
        <v>504</v>
      </c>
    </row>
    <row r="655" spans="1:16" x14ac:dyDescent="0.35">
      <c r="A655" s="5" t="str">
        <f t="shared" si="21"/>
        <v>2022 All Items D90</v>
      </c>
      <c r="B655" s="8">
        <f>'ALL 2024 H2 D80'!$B$2</f>
        <v>46114</v>
      </c>
      <c r="C655" s="8">
        <f>'ALL 2024 H2 D80'!$C$2</f>
        <v>46120</v>
      </c>
      <c r="D655" s="5">
        <v>3208</v>
      </c>
      <c r="E655" s="5">
        <v>320</v>
      </c>
      <c r="F655" s="5">
        <v>1</v>
      </c>
      <c r="G655" s="5">
        <v>5</v>
      </c>
      <c r="H655" s="5">
        <v>81626</v>
      </c>
      <c r="I655" s="5" t="s">
        <v>16</v>
      </c>
      <c r="J655" s="5">
        <v>76704831</v>
      </c>
      <c r="K655" s="5" t="s">
        <v>1344</v>
      </c>
      <c r="L655" s="5" t="s">
        <v>1346</v>
      </c>
      <c r="M655" s="6">
        <v>209900</v>
      </c>
      <c r="N655" s="7">
        <v>0.9</v>
      </c>
      <c r="O655" s="6">
        <f t="shared" si="22"/>
        <v>20990</v>
      </c>
      <c r="P655" s="5" t="s">
        <v>504</v>
      </c>
    </row>
    <row r="656" spans="1:16" x14ac:dyDescent="0.35">
      <c r="A656" s="5" t="str">
        <f t="shared" si="21"/>
        <v>2022 All Items D90</v>
      </c>
      <c r="B656" s="8">
        <f>'ALL 2024 H2 D80'!$B$2</f>
        <v>46114</v>
      </c>
      <c r="C656" s="8">
        <f>'ALL 2024 H2 D80'!$C$2</f>
        <v>46120</v>
      </c>
      <c r="D656" s="5">
        <v>3208</v>
      </c>
      <c r="E656" s="5">
        <v>320</v>
      </c>
      <c r="F656" s="5">
        <v>1</v>
      </c>
      <c r="G656" s="5">
        <v>5</v>
      </c>
      <c r="H656" s="5">
        <v>81626</v>
      </c>
      <c r="I656" s="5" t="s">
        <v>16</v>
      </c>
      <c r="J656" s="5">
        <v>76704840</v>
      </c>
      <c r="K656" s="5" t="s">
        <v>1344</v>
      </c>
      <c r="L656" s="5" t="s">
        <v>1347</v>
      </c>
      <c r="M656" s="6">
        <v>209900</v>
      </c>
      <c r="N656" s="7">
        <v>0.9</v>
      </c>
      <c r="O656" s="6">
        <f t="shared" si="22"/>
        <v>20990</v>
      </c>
      <c r="P656" s="5" t="s">
        <v>504</v>
      </c>
    </row>
    <row r="657" spans="1:16" x14ac:dyDescent="0.35">
      <c r="A657" s="5" t="str">
        <f t="shared" si="21"/>
        <v>2022 All Items D90</v>
      </c>
      <c r="B657" s="8">
        <f>'ALL 2024 H2 D80'!$B$2</f>
        <v>46114</v>
      </c>
      <c r="C657" s="8">
        <f>'ALL 2024 H2 D80'!$C$2</f>
        <v>46120</v>
      </c>
      <c r="D657" s="5">
        <v>3208</v>
      </c>
      <c r="E657" s="5">
        <v>320</v>
      </c>
      <c r="F657" s="5">
        <v>1</v>
      </c>
      <c r="G657" s="5">
        <v>5</v>
      </c>
      <c r="H657" s="5">
        <v>81626</v>
      </c>
      <c r="I657" s="5" t="s">
        <v>16</v>
      </c>
      <c r="J657" s="5">
        <v>76704859</v>
      </c>
      <c r="K657" s="5" t="s">
        <v>1344</v>
      </c>
      <c r="L657" s="5" t="s">
        <v>1348</v>
      </c>
      <c r="M657" s="6">
        <v>209900</v>
      </c>
      <c r="N657" s="7">
        <v>0.9</v>
      </c>
      <c r="O657" s="6">
        <f t="shared" si="22"/>
        <v>20990</v>
      </c>
      <c r="P657" s="5" t="s">
        <v>504</v>
      </c>
    </row>
    <row r="658" spans="1:16" x14ac:dyDescent="0.35">
      <c r="A658" s="5" t="str">
        <f t="shared" si="21"/>
        <v>2022 All Items D90</v>
      </c>
      <c r="B658" s="8">
        <f>'ALL 2024 H2 D80'!$B$2</f>
        <v>46114</v>
      </c>
      <c r="C658" s="8">
        <f>'ALL 2024 H2 D80'!$C$2</f>
        <v>46120</v>
      </c>
      <c r="D658" s="5">
        <v>3208</v>
      </c>
      <c r="E658" s="5">
        <v>320</v>
      </c>
      <c r="F658" s="5">
        <v>1</v>
      </c>
      <c r="G658" s="5">
        <v>5</v>
      </c>
      <c r="H658" s="5">
        <v>81626</v>
      </c>
      <c r="I658" s="5" t="s">
        <v>16</v>
      </c>
      <c r="J658" s="5">
        <v>76704984</v>
      </c>
      <c r="K658" s="5" t="s">
        <v>1349</v>
      </c>
      <c r="L658" s="5" t="s">
        <v>1350</v>
      </c>
      <c r="M658" s="6">
        <v>289900</v>
      </c>
      <c r="N658" s="7">
        <v>0.9</v>
      </c>
      <c r="O658" s="6">
        <f t="shared" si="22"/>
        <v>28990</v>
      </c>
      <c r="P658" s="5" t="s">
        <v>504</v>
      </c>
    </row>
    <row r="659" spans="1:16" x14ac:dyDescent="0.35">
      <c r="A659" s="5" t="str">
        <f t="shared" si="21"/>
        <v>2022 All Items D90</v>
      </c>
      <c r="B659" s="8">
        <f>'ALL 2024 H2 D80'!$B$2</f>
        <v>46114</v>
      </c>
      <c r="C659" s="8">
        <f>'ALL 2024 H2 D80'!$C$2</f>
        <v>46120</v>
      </c>
      <c r="D659" s="5">
        <v>3208</v>
      </c>
      <c r="E659" s="5">
        <v>320</v>
      </c>
      <c r="F659" s="5">
        <v>1</v>
      </c>
      <c r="G659" s="5">
        <v>5</v>
      </c>
      <c r="H659" s="5">
        <v>81626</v>
      </c>
      <c r="I659" s="5" t="s">
        <v>16</v>
      </c>
      <c r="J659" s="5">
        <v>76704993</v>
      </c>
      <c r="K659" s="5" t="s">
        <v>1349</v>
      </c>
      <c r="L659" s="5" t="s">
        <v>1351</v>
      </c>
      <c r="M659" s="6">
        <v>289900</v>
      </c>
      <c r="N659" s="7">
        <v>0.9</v>
      </c>
      <c r="O659" s="6">
        <f t="shared" si="22"/>
        <v>28990</v>
      </c>
      <c r="P659" s="5" t="s">
        <v>504</v>
      </c>
    </row>
    <row r="660" spans="1:16" x14ac:dyDescent="0.35">
      <c r="A660" s="5" t="str">
        <f t="shared" si="21"/>
        <v>2022 All Items D90</v>
      </c>
      <c r="B660" s="8">
        <f>'ALL 2024 H2 D80'!$B$2</f>
        <v>46114</v>
      </c>
      <c r="C660" s="8">
        <f>'ALL 2024 H2 D80'!$C$2</f>
        <v>46120</v>
      </c>
      <c r="D660" s="5">
        <v>3208</v>
      </c>
      <c r="E660" s="5">
        <v>320</v>
      </c>
      <c r="F660" s="5">
        <v>1</v>
      </c>
      <c r="G660" s="5">
        <v>5</v>
      </c>
      <c r="H660" s="5">
        <v>81626</v>
      </c>
      <c r="I660" s="5" t="s">
        <v>16</v>
      </c>
      <c r="J660" s="5">
        <v>76705009</v>
      </c>
      <c r="K660" s="5" t="s">
        <v>1349</v>
      </c>
      <c r="L660" s="5" t="s">
        <v>1352</v>
      </c>
      <c r="M660" s="6">
        <v>289900</v>
      </c>
      <c r="N660" s="7">
        <v>0.9</v>
      </c>
      <c r="O660" s="6">
        <f t="shared" si="22"/>
        <v>28990</v>
      </c>
      <c r="P660" s="5" t="s">
        <v>504</v>
      </c>
    </row>
    <row r="661" spans="1:16" x14ac:dyDescent="0.35">
      <c r="A661" s="5" t="str">
        <f t="shared" si="21"/>
        <v>2022 All Items D90</v>
      </c>
      <c r="B661" s="8">
        <f>'ALL 2024 H2 D80'!$B$2</f>
        <v>46114</v>
      </c>
      <c r="C661" s="8">
        <f>'ALL 2024 H2 D80'!$C$2</f>
        <v>46120</v>
      </c>
      <c r="D661" s="5">
        <v>3208</v>
      </c>
      <c r="E661" s="5">
        <v>320</v>
      </c>
      <c r="F661" s="5">
        <v>1</v>
      </c>
      <c r="G661" s="5">
        <v>5</v>
      </c>
      <c r="H661" s="5">
        <v>81626</v>
      </c>
      <c r="I661" s="5" t="s">
        <v>16</v>
      </c>
      <c r="J661" s="5">
        <v>76705018</v>
      </c>
      <c r="K661" s="5" t="s">
        <v>1349</v>
      </c>
      <c r="L661" s="5" t="s">
        <v>1353</v>
      </c>
      <c r="M661" s="6">
        <v>289900</v>
      </c>
      <c r="N661" s="7">
        <v>0.9</v>
      </c>
      <c r="O661" s="6">
        <f t="shared" si="22"/>
        <v>28990</v>
      </c>
      <c r="P661" s="5" t="s">
        <v>504</v>
      </c>
    </row>
    <row r="662" spans="1:16" x14ac:dyDescent="0.35">
      <c r="A662" s="5" t="str">
        <f t="shared" si="21"/>
        <v>2022 All Items D90</v>
      </c>
      <c r="B662" s="8">
        <f>'ALL 2024 H2 D80'!$B$2</f>
        <v>46114</v>
      </c>
      <c r="C662" s="8">
        <f>'ALL 2024 H2 D80'!$C$2</f>
        <v>46120</v>
      </c>
      <c r="D662" s="5">
        <v>3208</v>
      </c>
      <c r="E662" s="5">
        <v>320</v>
      </c>
      <c r="F662" s="5">
        <v>1</v>
      </c>
      <c r="G662" s="5">
        <v>5</v>
      </c>
      <c r="H662" s="5">
        <v>81626</v>
      </c>
      <c r="I662" s="5" t="s">
        <v>16</v>
      </c>
      <c r="J662" s="5">
        <v>78416069</v>
      </c>
      <c r="K662" s="5" t="s">
        <v>1354</v>
      </c>
      <c r="L662" s="5" t="s">
        <v>1355</v>
      </c>
      <c r="M662" s="6">
        <v>209900</v>
      </c>
      <c r="N662" s="7">
        <v>0.9</v>
      </c>
      <c r="O662" s="6">
        <f t="shared" si="22"/>
        <v>20990</v>
      </c>
      <c r="P662" s="5" t="s">
        <v>504</v>
      </c>
    </row>
    <row r="663" spans="1:16" x14ac:dyDescent="0.35">
      <c r="A663" s="5" t="str">
        <f t="shared" si="21"/>
        <v>2022 All Items D90</v>
      </c>
      <c r="B663" s="8">
        <f>'ALL 2024 H2 D80'!$B$2</f>
        <v>46114</v>
      </c>
      <c r="C663" s="8">
        <f>'ALL 2024 H2 D80'!$C$2</f>
        <v>46120</v>
      </c>
      <c r="D663" s="5">
        <v>3208</v>
      </c>
      <c r="E663" s="5">
        <v>320</v>
      </c>
      <c r="F663" s="5">
        <v>1</v>
      </c>
      <c r="G663" s="5">
        <v>5</v>
      </c>
      <c r="H663" s="5">
        <v>81626</v>
      </c>
      <c r="I663" s="5" t="s">
        <v>16</v>
      </c>
      <c r="J663" s="5">
        <v>78416078</v>
      </c>
      <c r="K663" s="5" t="s">
        <v>1354</v>
      </c>
      <c r="L663" s="5" t="s">
        <v>1356</v>
      </c>
      <c r="M663" s="6">
        <v>209900</v>
      </c>
      <c r="N663" s="7">
        <v>0.9</v>
      </c>
      <c r="O663" s="6">
        <f t="shared" si="22"/>
        <v>20990</v>
      </c>
      <c r="P663" s="5" t="s">
        <v>504</v>
      </c>
    </row>
    <row r="664" spans="1:16" x14ac:dyDescent="0.35">
      <c r="A664" s="5" t="str">
        <f t="shared" si="21"/>
        <v>2022 All Items D90</v>
      </c>
      <c r="B664" s="8">
        <f>'ALL 2024 H2 D80'!$B$2</f>
        <v>46114</v>
      </c>
      <c r="C664" s="8">
        <f>'ALL 2024 H2 D80'!$C$2</f>
        <v>46120</v>
      </c>
      <c r="D664" s="5">
        <v>3208</v>
      </c>
      <c r="E664" s="5">
        <v>320</v>
      </c>
      <c r="F664" s="5">
        <v>1</v>
      </c>
      <c r="G664" s="5">
        <v>5</v>
      </c>
      <c r="H664" s="5">
        <v>81626</v>
      </c>
      <c r="I664" s="5" t="s">
        <v>16</v>
      </c>
      <c r="J664" s="5">
        <v>78416096</v>
      </c>
      <c r="K664" s="5" t="s">
        <v>1354</v>
      </c>
      <c r="L664" s="5" t="s">
        <v>1357</v>
      </c>
      <c r="M664" s="6">
        <v>209900</v>
      </c>
      <c r="N664" s="7">
        <v>0.9</v>
      </c>
      <c r="O664" s="6">
        <f t="shared" si="22"/>
        <v>20990</v>
      </c>
      <c r="P664" s="5" t="s">
        <v>504</v>
      </c>
    </row>
    <row r="665" spans="1:16" x14ac:dyDescent="0.35">
      <c r="A665" s="5" t="str">
        <f t="shared" si="21"/>
        <v>2022 All Items D90</v>
      </c>
      <c r="B665" s="8">
        <f>'ALL 2024 H2 D80'!$B$2</f>
        <v>46114</v>
      </c>
      <c r="C665" s="8">
        <f>'ALL 2024 H2 D80'!$C$2</f>
        <v>46120</v>
      </c>
      <c r="D665" s="5">
        <v>3208</v>
      </c>
      <c r="E665" s="5">
        <v>320</v>
      </c>
      <c r="F665" s="5">
        <v>1</v>
      </c>
      <c r="G665" s="5">
        <v>5</v>
      </c>
      <c r="H665" s="5">
        <v>81626</v>
      </c>
      <c r="I665" s="5" t="s">
        <v>16</v>
      </c>
      <c r="J665" s="5">
        <v>78416103</v>
      </c>
      <c r="K665" s="5" t="s">
        <v>1354</v>
      </c>
      <c r="L665" s="5" t="s">
        <v>1358</v>
      </c>
      <c r="M665" s="6">
        <v>209900</v>
      </c>
      <c r="N665" s="7">
        <v>0.9</v>
      </c>
      <c r="O665" s="6">
        <f t="shared" si="22"/>
        <v>20990</v>
      </c>
      <c r="P665" s="5" t="s">
        <v>504</v>
      </c>
    </row>
    <row r="666" spans="1:16" x14ac:dyDescent="0.35">
      <c r="A666" s="5" t="str">
        <f t="shared" si="21"/>
        <v>2022 All Items D90</v>
      </c>
      <c r="B666" s="8">
        <f>'ALL 2024 H2 D80'!$B$2</f>
        <v>46114</v>
      </c>
      <c r="C666" s="8">
        <f>'ALL 2024 H2 D80'!$C$2</f>
        <v>46120</v>
      </c>
      <c r="D666" s="5">
        <v>3208</v>
      </c>
      <c r="E666" s="5">
        <v>320</v>
      </c>
      <c r="F666" s="5">
        <v>1</v>
      </c>
      <c r="G666" s="5">
        <v>5</v>
      </c>
      <c r="H666" s="5">
        <v>81626</v>
      </c>
      <c r="I666" s="5" t="s">
        <v>16</v>
      </c>
      <c r="J666" s="5">
        <v>78416112</v>
      </c>
      <c r="K666" s="5" t="s">
        <v>1354</v>
      </c>
      <c r="L666" s="5" t="s">
        <v>1359</v>
      </c>
      <c r="M666" s="6">
        <v>209900</v>
      </c>
      <c r="N666" s="7">
        <v>0.9</v>
      </c>
      <c r="O666" s="6">
        <f t="shared" si="22"/>
        <v>20990</v>
      </c>
      <c r="P666" s="5" t="s">
        <v>504</v>
      </c>
    </row>
    <row r="667" spans="1:16" x14ac:dyDescent="0.35">
      <c r="A667" s="5" t="str">
        <f t="shared" si="21"/>
        <v>2022 All Items D90</v>
      </c>
      <c r="B667" s="8">
        <f>'ALL 2024 H2 D80'!$B$2</f>
        <v>46114</v>
      </c>
      <c r="C667" s="8">
        <f>'ALL 2024 H2 D80'!$C$2</f>
        <v>46120</v>
      </c>
      <c r="D667" s="5">
        <v>3208</v>
      </c>
      <c r="E667" s="5">
        <v>320</v>
      </c>
      <c r="F667" s="5">
        <v>1</v>
      </c>
      <c r="G667" s="5">
        <v>6</v>
      </c>
      <c r="H667" s="5">
        <v>81736</v>
      </c>
      <c r="I667" s="5" t="s">
        <v>16</v>
      </c>
      <c r="J667" s="5">
        <v>33261828</v>
      </c>
      <c r="K667" s="5" t="s">
        <v>1923</v>
      </c>
      <c r="L667" s="5" t="s">
        <v>1924</v>
      </c>
      <c r="M667" s="6">
        <v>269900</v>
      </c>
      <c r="N667" s="7">
        <v>0.9</v>
      </c>
      <c r="O667" s="6">
        <f t="shared" si="22"/>
        <v>26990</v>
      </c>
      <c r="P667" s="5" t="s">
        <v>504</v>
      </c>
    </row>
    <row r="668" spans="1:16" x14ac:dyDescent="0.35">
      <c r="A668" s="5" t="str">
        <f t="shared" si="21"/>
        <v>2022 All Items D90</v>
      </c>
      <c r="B668" s="8">
        <f>'ALL 2024 H2 D80'!$B$2</f>
        <v>46114</v>
      </c>
      <c r="C668" s="8">
        <f>'ALL 2024 H2 D80'!$C$2</f>
        <v>46120</v>
      </c>
      <c r="D668" s="5">
        <v>3208</v>
      </c>
      <c r="E668" s="5">
        <v>320</v>
      </c>
      <c r="F668" s="5">
        <v>1</v>
      </c>
      <c r="G668" s="5">
        <v>6</v>
      </c>
      <c r="H668" s="5">
        <v>81736</v>
      </c>
      <c r="I668" s="5" t="s">
        <v>16</v>
      </c>
      <c r="J668" s="5">
        <v>33261837</v>
      </c>
      <c r="K668" s="5" t="s">
        <v>1923</v>
      </c>
      <c r="L668" s="5" t="s">
        <v>1925</v>
      </c>
      <c r="M668" s="6">
        <v>269900</v>
      </c>
      <c r="N668" s="7">
        <v>0.9</v>
      </c>
      <c r="O668" s="6">
        <f t="shared" si="22"/>
        <v>26990</v>
      </c>
      <c r="P668" s="5" t="s">
        <v>504</v>
      </c>
    </row>
    <row r="669" spans="1:16" x14ac:dyDescent="0.35">
      <c r="A669" s="5" t="str">
        <f t="shared" si="21"/>
        <v>2022 All Items D90</v>
      </c>
      <c r="B669" s="8">
        <f>'ALL 2024 H2 D80'!$B$2</f>
        <v>46114</v>
      </c>
      <c r="C669" s="8">
        <f>'ALL 2024 H2 D80'!$C$2</f>
        <v>46120</v>
      </c>
      <c r="D669" s="5">
        <v>3208</v>
      </c>
      <c r="E669" s="5">
        <v>320</v>
      </c>
      <c r="F669" s="5">
        <v>1</v>
      </c>
      <c r="G669" s="5">
        <v>6</v>
      </c>
      <c r="H669" s="5">
        <v>81736</v>
      </c>
      <c r="I669" s="5" t="s">
        <v>16</v>
      </c>
      <c r="J669" s="5">
        <v>33261846</v>
      </c>
      <c r="K669" s="5" t="s">
        <v>1923</v>
      </c>
      <c r="L669" s="5" t="s">
        <v>1926</v>
      </c>
      <c r="M669" s="6">
        <v>269900</v>
      </c>
      <c r="N669" s="7">
        <v>0.9</v>
      </c>
      <c r="O669" s="6">
        <f t="shared" si="22"/>
        <v>26990</v>
      </c>
      <c r="P669" s="5" t="s">
        <v>504</v>
      </c>
    </row>
    <row r="670" spans="1:16" x14ac:dyDescent="0.35">
      <c r="A670" s="5" t="str">
        <f t="shared" si="21"/>
        <v>2022 All Items D90</v>
      </c>
      <c r="B670" s="8">
        <f>'ALL 2024 H2 D80'!$B$2</f>
        <v>46114</v>
      </c>
      <c r="C670" s="8">
        <f>'ALL 2024 H2 D80'!$C$2</f>
        <v>46120</v>
      </c>
      <c r="D670" s="5">
        <v>3208</v>
      </c>
      <c r="E670" s="5">
        <v>320</v>
      </c>
      <c r="F670" s="5">
        <v>1</v>
      </c>
      <c r="G670" s="5">
        <v>6</v>
      </c>
      <c r="H670" s="5">
        <v>81736</v>
      </c>
      <c r="I670" s="5" t="s">
        <v>16</v>
      </c>
      <c r="J670" s="5">
        <v>33261855</v>
      </c>
      <c r="K670" s="5" t="s">
        <v>1923</v>
      </c>
      <c r="L670" s="5" t="s">
        <v>1927</v>
      </c>
      <c r="M670" s="6">
        <v>269900</v>
      </c>
      <c r="N670" s="7">
        <v>0.9</v>
      </c>
      <c r="O670" s="6">
        <f t="shared" si="22"/>
        <v>26990</v>
      </c>
      <c r="P670" s="5" t="s">
        <v>504</v>
      </c>
    </row>
    <row r="671" spans="1:16" x14ac:dyDescent="0.35">
      <c r="A671" s="5" t="str">
        <f t="shared" si="21"/>
        <v>2022 All Items D90</v>
      </c>
      <c r="B671" s="8">
        <f>'ALL 2024 H2 D80'!$B$2</f>
        <v>46114</v>
      </c>
      <c r="C671" s="8">
        <f>'ALL 2024 H2 D80'!$C$2</f>
        <v>46120</v>
      </c>
      <c r="D671" s="5">
        <v>3208</v>
      </c>
      <c r="E671" s="5">
        <v>320</v>
      </c>
      <c r="F671" s="5">
        <v>1</v>
      </c>
      <c r="G671" s="5">
        <v>6</v>
      </c>
      <c r="H671" s="5">
        <v>81736</v>
      </c>
      <c r="I671" s="5" t="s">
        <v>16</v>
      </c>
      <c r="J671" s="5">
        <v>33261864</v>
      </c>
      <c r="K671" s="5" t="s">
        <v>1928</v>
      </c>
      <c r="L671" s="5" t="s">
        <v>1929</v>
      </c>
      <c r="M671" s="6">
        <v>229900</v>
      </c>
      <c r="N671" s="7">
        <v>0.9</v>
      </c>
      <c r="O671" s="6">
        <f t="shared" si="22"/>
        <v>22990</v>
      </c>
      <c r="P671" s="5" t="s">
        <v>504</v>
      </c>
    </row>
    <row r="672" spans="1:16" x14ac:dyDescent="0.35">
      <c r="A672" s="5" t="str">
        <f t="shared" si="21"/>
        <v>2022 All Items D90</v>
      </c>
      <c r="B672" s="8">
        <f>'ALL 2024 H2 D80'!$B$2</f>
        <v>46114</v>
      </c>
      <c r="C672" s="8">
        <f>'ALL 2024 H2 D80'!$C$2</f>
        <v>46120</v>
      </c>
      <c r="D672" s="5">
        <v>3208</v>
      </c>
      <c r="E672" s="5">
        <v>320</v>
      </c>
      <c r="F672" s="5">
        <v>1</v>
      </c>
      <c r="G672" s="5">
        <v>6</v>
      </c>
      <c r="H672" s="5">
        <v>81736</v>
      </c>
      <c r="I672" s="5" t="s">
        <v>16</v>
      </c>
      <c r="J672" s="5">
        <v>33381485</v>
      </c>
      <c r="K672" s="5" t="s">
        <v>1930</v>
      </c>
      <c r="L672" s="5" t="s">
        <v>1931</v>
      </c>
      <c r="M672" s="6">
        <v>229900</v>
      </c>
      <c r="N672" s="7">
        <v>0.9</v>
      </c>
      <c r="O672" s="6">
        <f t="shared" si="22"/>
        <v>22990</v>
      </c>
      <c r="P672" s="5" t="s">
        <v>504</v>
      </c>
    </row>
    <row r="673" spans="1:16" x14ac:dyDescent="0.35">
      <c r="A673" s="5" t="str">
        <f t="shared" si="21"/>
        <v>2022 All Items D90</v>
      </c>
      <c r="B673" s="8">
        <f>'ALL 2024 H2 D80'!$B$2</f>
        <v>46114</v>
      </c>
      <c r="C673" s="8">
        <f>'ALL 2024 H2 D80'!$C$2</f>
        <v>46120</v>
      </c>
      <c r="D673" s="5">
        <v>3208</v>
      </c>
      <c r="E673" s="5">
        <v>320</v>
      </c>
      <c r="F673" s="5">
        <v>1</v>
      </c>
      <c r="G673" s="5">
        <v>6</v>
      </c>
      <c r="H673" s="5">
        <v>81736</v>
      </c>
      <c r="I673" s="5" t="s">
        <v>16</v>
      </c>
      <c r="J673" s="5">
        <v>33381494</v>
      </c>
      <c r="K673" s="5" t="s">
        <v>1930</v>
      </c>
      <c r="L673" s="5" t="s">
        <v>1932</v>
      </c>
      <c r="M673" s="6">
        <v>229900</v>
      </c>
      <c r="N673" s="7">
        <v>0.9</v>
      </c>
      <c r="O673" s="6">
        <f t="shared" si="22"/>
        <v>22990</v>
      </c>
      <c r="P673" s="5" t="s">
        <v>504</v>
      </c>
    </row>
    <row r="674" spans="1:16" x14ac:dyDescent="0.35">
      <c r="A674" s="5" t="str">
        <f t="shared" si="21"/>
        <v>2022 All Items D90</v>
      </c>
      <c r="B674" s="8">
        <f>'ALL 2024 H2 D80'!$B$2</f>
        <v>46114</v>
      </c>
      <c r="C674" s="8">
        <f>'ALL 2024 H2 D80'!$C$2</f>
        <v>46120</v>
      </c>
      <c r="D674" s="5">
        <v>3208</v>
      </c>
      <c r="E674" s="5">
        <v>320</v>
      </c>
      <c r="F674" s="5">
        <v>1</v>
      </c>
      <c r="G674" s="5">
        <v>6</v>
      </c>
      <c r="H674" s="5">
        <v>81736</v>
      </c>
      <c r="I674" s="5" t="s">
        <v>16</v>
      </c>
      <c r="J674" s="5">
        <v>33381501</v>
      </c>
      <c r="K674" s="5" t="s">
        <v>1930</v>
      </c>
      <c r="L674" s="5" t="s">
        <v>1933</v>
      </c>
      <c r="M674" s="6">
        <v>229900</v>
      </c>
      <c r="N674" s="7">
        <v>0.9</v>
      </c>
      <c r="O674" s="6">
        <f t="shared" si="22"/>
        <v>22990</v>
      </c>
      <c r="P674" s="5" t="s">
        <v>504</v>
      </c>
    </row>
    <row r="675" spans="1:16" x14ac:dyDescent="0.35">
      <c r="A675" s="5" t="str">
        <f t="shared" si="21"/>
        <v>2022 All Items D90</v>
      </c>
      <c r="B675" s="8">
        <f>'ALL 2024 H2 D80'!$B$2</f>
        <v>46114</v>
      </c>
      <c r="C675" s="8">
        <f>'ALL 2024 H2 D80'!$C$2</f>
        <v>46120</v>
      </c>
      <c r="D675" s="5">
        <v>3208</v>
      </c>
      <c r="E675" s="5">
        <v>320</v>
      </c>
      <c r="F675" s="5">
        <v>1</v>
      </c>
      <c r="G675" s="5">
        <v>6</v>
      </c>
      <c r="H675" s="5">
        <v>81736</v>
      </c>
      <c r="I675" s="5" t="s">
        <v>16</v>
      </c>
      <c r="J675" s="5">
        <v>33381510</v>
      </c>
      <c r="K675" s="5" t="s">
        <v>1930</v>
      </c>
      <c r="L675" s="5" t="s">
        <v>1934</v>
      </c>
      <c r="M675" s="6">
        <v>229900</v>
      </c>
      <c r="N675" s="7">
        <v>0.9</v>
      </c>
      <c r="O675" s="6">
        <f t="shared" si="22"/>
        <v>22990</v>
      </c>
      <c r="P675" s="5" t="s">
        <v>504</v>
      </c>
    </row>
    <row r="676" spans="1:16" x14ac:dyDescent="0.35">
      <c r="A676" s="5" t="str">
        <f t="shared" si="21"/>
        <v>2022 All Items D90</v>
      </c>
      <c r="B676" s="8">
        <f>'ALL 2024 H2 D80'!$B$2</f>
        <v>46114</v>
      </c>
      <c r="C676" s="8">
        <f>'ALL 2024 H2 D80'!$C$2</f>
        <v>46120</v>
      </c>
      <c r="D676" s="5">
        <v>3208</v>
      </c>
      <c r="E676" s="5">
        <v>320</v>
      </c>
      <c r="F676" s="5">
        <v>1</v>
      </c>
      <c r="G676" s="5">
        <v>6</v>
      </c>
      <c r="H676" s="5">
        <v>81736</v>
      </c>
      <c r="I676" s="5" t="s">
        <v>16</v>
      </c>
      <c r="J676" s="5">
        <v>62042206</v>
      </c>
      <c r="K676" s="5" t="s">
        <v>1360</v>
      </c>
      <c r="L676" s="5" t="s">
        <v>1361</v>
      </c>
      <c r="M676" s="6">
        <v>319900</v>
      </c>
      <c r="N676" s="7">
        <v>0.9</v>
      </c>
      <c r="O676" s="6">
        <f t="shared" si="22"/>
        <v>31990</v>
      </c>
      <c r="P676" s="5" t="s">
        <v>504</v>
      </c>
    </row>
    <row r="677" spans="1:16" x14ac:dyDescent="0.35">
      <c r="A677" s="5" t="str">
        <f t="shared" si="21"/>
        <v>2022 All Items D90</v>
      </c>
      <c r="B677" s="8">
        <f>'ALL 2024 H2 D80'!$B$2</f>
        <v>46114</v>
      </c>
      <c r="C677" s="8">
        <f>'ALL 2024 H2 D80'!$C$2</f>
        <v>46120</v>
      </c>
      <c r="D677" s="5">
        <v>3208</v>
      </c>
      <c r="E677" s="5">
        <v>320</v>
      </c>
      <c r="F677" s="5">
        <v>1</v>
      </c>
      <c r="G677" s="5">
        <v>6</v>
      </c>
      <c r="H677" s="5">
        <v>81736</v>
      </c>
      <c r="I677" s="5" t="s">
        <v>16</v>
      </c>
      <c r="J677" s="5">
        <v>62042215</v>
      </c>
      <c r="K677" s="5" t="s">
        <v>1360</v>
      </c>
      <c r="L677" s="5" t="s">
        <v>1362</v>
      </c>
      <c r="M677" s="6">
        <v>319900</v>
      </c>
      <c r="N677" s="7">
        <v>0.9</v>
      </c>
      <c r="O677" s="6">
        <f t="shared" si="22"/>
        <v>31990</v>
      </c>
      <c r="P677" s="5" t="s">
        <v>504</v>
      </c>
    </row>
    <row r="678" spans="1:16" x14ac:dyDescent="0.35">
      <c r="A678" s="5" t="str">
        <f t="shared" si="21"/>
        <v>2022 All Items D90</v>
      </c>
      <c r="B678" s="8">
        <f>'ALL 2024 H2 D80'!$B$2</f>
        <v>46114</v>
      </c>
      <c r="C678" s="8">
        <f>'ALL 2024 H2 D80'!$C$2</f>
        <v>46120</v>
      </c>
      <c r="D678" s="5">
        <v>3208</v>
      </c>
      <c r="E678" s="5">
        <v>320</v>
      </c>
      <c r="F678" s="5">
        <v>1</v>
      </c>
      <c r="G678" s="5">
        <v>6</v>
      </c>
      <c r="H678" s="5">
        <v>81736</v>
      </c>
      <c r="I678" s="5" t="s">
        <v>16</v>
      </c>
      <c r="J678" s="5">
        <v>62042224</v>
      </c>
      <c r="K678" s="5" t="s">
        <v>1360</v>
      </c>
      <c r="L678" s="5" t="s">
        <v>1363</v>
      </c>
      <c r="M678" s="6">
        <v>319900</v>
      </c>
      <c r="N678" s="7">
        <v>0.9</v>
      </c>
      <c r="O678" s="6">
        <f t="shared" si="22"/>
        <v>31990</v>
      </c>
      <c r="P678" s="5" t="s">
        <v>504</v>
      </c>
    </row>
    <row r="679" spans="1:16" x14ac:dyDescent="0.35">
      <c r="A679" s="5" t="str">
        <f t="shared" si="21"/>
        <v>2022 All Items D90</v>
      </c>
      <c r="B679" s="8">
        <f>'ALL 2024 H2 D80'!$B$2</f>
        <v>46114</v>
      </c>
      <c r="C679" s="8">
        <f>'ALL 2024 H2 D80'!$C$2</f>
        <v>46120</v>
      </c>
      <c r="D679" s="5">
        <v>3208</v>
      </c>
      <c r="E679" s="5">
        <v>320</v>
      </c>
      <c r="F679" s="5">
        <v>1</v>
      </c>
      <c r="G679" s="5">
        <v>6</v>
      </c>
      <c r="H679" s="5">
        <v>81736</v>
      </c>
      <c r="I679" s="5" t="s">
        <v>16</v>
      </c>
      <c r="J679" s="5">
        <v>62042233</v>
      </c>
      <c r="K679" s="5" t="s">
        <v>1360</v>
      </c>
      <c r="L679" s="5" t="s">
        <v>1364</v>
      </c>
      <c r="M679" s="6">
        <v>319900</v>
      </c>
      <c r="N679" s="7">
        <v>0.9</v>
      </c>
      <c r="O679" s="6">
        <f t="shared" si="22"/>
        <v>31990</v>
      </c>
      <c r="P679" s="5" t="s">
        <v>504</v>
      </c>
    </row>
    <row r="680" spans="1:16" x14ac:dyDescent="0.35">
      <c r="A680" s="5" t="str">
        <f t="shared" si="21"/>
        <v>2022 All Items D90</v>
      </c>
      <c r="B680" s="8">
        <f>'ALL 2024 H2 D80'!$B$2</f>
        <v>46114</v>
      </c>
      <c r="C680" s="8">
        <f>'ALL 2024 H2 D80'!$C$2</f>
        <v>46120</v>
      </c>
      <c r="D680" s="5">
        <v>3208</v>
      </c>
      <c r="E680" s="5">
        <v>320</v>
      </c>
      <c r="F680" s="5">
        <v>1</v>
      </c>
      <c r="G680" s="5">
        <v>6</v>
      </c>
      <c r="H680" s="5">
        <v>81736</v>
      </c>
      <c r="I680" s="5" t="s">
        <v>16</v>
      </c>
      <c r="J680" s="5">
        <v>62464368</v>
      </c>
      <c r="K680" s="5" t="s">
        <v>1935</v>
      </c>
      <c r="L680" s="5" t="s">
        <v>1936</v>
      </c>
      <c r="M680" s="6">
        <v>299900</v>
      </c>
      <c r="N680" s="7">
        <v>0.9</v>
      </c>
      <c r="O680" s="6">
        <f t="shared" si="22"/>
        <v>29990</v>
      </c>
      <c r="P680" s="5" t="s">
        <v>504</v>
      </c>
    </row>
    <row r="681" spans="1:16" x14ac:dyDescent="0.35">
      <c r="A681" s="5" t="str">
        <f t="shared" si="21"/>
        <v>2022 All Items D90</v>
      </c>
      <c r="B681" s="8">
        <f>'ALL 2024 H2 D80'!$B$2</f>
        <v>46114</v>
      </c>
      <c r="C681" s="8">
        <f>'ALL 2024 H2 D80'!$C$2</f>
        <v>46120</v>
      </c>
      <c r="D681" s="5">
        <v>3208</v>
      </c>
      <c r="E681" s="5">
        <v>320</v>
      </c>
      <c r="F681" s="5">
        <v>1</v>
      </c>
      <c r="G681" s="5">
        <v>6</v>
      </c>
      <c r="H681" s="5">
        <v>81736</v>
      </c>
      <c r="I681" s="5" t="s">
        <v>16</v>
      </c>
      <c r="J681" s="5">
        <v>62464395</v>
      </c>
      <c r="K681" s="5" t="s">
        <v>1935</v>
      </c>
      <c r="L681" s="5" t="s">
        <v>1937</v>
      </c>
      <c r="M681" s="6">
        <v>299900</v>
      </c>
      <c r="N681" s="7">
        <v>0.9</v>
      </c>
      <c r="O681" s="6">
        <f t="shared" si="22"/>
        <v>29990</v>
      </c>
      <c r="P681" s="5" t="s">
        <v>504</v>
      </c>
    </row>
    <row r="682" spans="1:16" x14ac:dyDescent="0.35">
      <c r="A682" s="5" t="str">
        <f t="shared" si="21"/>
        <v>2022 All Items D90</v>
      </c>
      <c r="B682" s="8">
        <f>'ALL 2024 H2 D80'!$B$2</f>
        <v>46114</v>
      </c>
      <c r="C682" s="8">
        <f>'ALL 2024 H2 D80'!$C$2</f>
        <v>46120</v>
      </c>
      <c r="D682" s="5">
        <v>3208</v>
      </c>
      <c r="E682" s="5">
        <v>320</v>
      </c>
      <c r="F682" s="5">
        <v>1</v>
      </c>
      <c r="G682" s="5">
        <v>6</v>
      </c>
      <c r="H682" s="5">
        <v>81736</v>
      </c>
      <c r="I682" s="5" t="s">
        <v>16</v>
      </c>
      <c r="J682" s="5">
        <v>62464402</v>
      </c>
      <c r="K682" s="5" t="s">
        <v>1935</v>
      </c>
      <c r="L682" s="5" t="s">
        <v>1938</v>
      </c>
      <c r="M682" s="6">
        <v>299900</v>
      </c>
      <c r="N682" s="7">
        <v>0.9</v>
      </c>
      <c r="O682" s="6">
        <f t="shared" si="22"/>
        <v>29990</v>
      </c>
      <c r="P682" s="5" t="s">
        <v>504</v>
      </c>
    </row>
    <row r="683" spans="1:16" x14ac:dyDescent="0.35">
      <c r="A683" s="5" t="str">
        <f t="shared" si="21"/>
        <v>2022 All Items D90</v>
      </c>
      <c r="B683" s="8">
        <f>'ALL 2024 H2 D80'!$B$2</f>
        <v>46114</v>
      </c>
      <c r="C683" s="8">
        <f>'ALL 2024 H2 D80'!$C$2</f>
        <v>46120</v>
      </c>
      <c r="D683" s="5">
        <v>3208</v>
      </c>
      <c r="E683" s="5">
        <v>320</v>
      </c>
      <c r="F683" s="5">
        <v>1</v>
      </c>
      <c r="G683" s="5">
        <v>6</v>
      </c>
      <c r="H683" s="5">
        <v>81736</v>
      </c>
      <c r="I683" s="5" t="s">
        <v>16</v>
      </c>
      <c r="J683" s="5">
        <v>62464420</v>
      </c>
      <c r="K683" s="5" t="s">
        <v>1935</v>
      </c>
      <c r="L683" s="5" t="s">
        <v>1939</v>
      </c>
      <c r="M683" s="6">
        <v>299900</v>
      </c>
      <c r="N683" s="7">
        <v>0.9</v>
      </c>
      <c r="O683" s="6">
        <f t="shared" si="22"/>
        <v>29990</v>
      </c>
      <c r="P683" s="5" t="s">
        <v>504</v>
      </c>
    </row>
    <row r="684" spans="1:16" x14ac:dyDescent="0.35">
      <c r="A684" s="5" t="str">
        <f t="shared" si="21"/>
        <v>2022 All Items D90</v>
      </c>
      <c r="B684" s="8">
        <f>'ALL 2024 H2 D80'!$B$2</f>
        <v>46114</v>
      </c>
      <c r="C684" s="8">
        <f>'ALL 2024 H2 D80'!$C$2</f>
        <v>46120</v>
      </c>
      <c r="D684" s="5">
        <v>3208</v>
      </c>
      <c r="E684" s="5">
        <v>320</v>
      </c>
      <c r="F684" s="5">
        <v>1</v>
      </c>
      <c r="G684" s="5">
        <v>6</v>
      </c>
      <c r="H684" s="5">
        <v>81736</v>
      </c>
      <c r="I684" s="5" t="s">
        <v>16</v>
      </c>
      <c r="J684" s="5">
        <v>62464439</v>
      </c>
      <c r="K684" s="5" t="s">
        <v>1935</v>
      </c>
      <c r="L684" s="5" t="s">
        <v>1940</v>
      </c>
      <c r="M684" s="6">
        <v>299900</v>
      </c>
      <c r="N684" s="7">
        <v>0.9</v>
      </c>
      <c r="O684" s="6">
        <f t="shared" si="22"/>
        <v>29990</v>
      </c>
      <c r="P684" s="5" t="s">
        <v>504</v>
      </c>
    </row>
    <row r="685" spans="1:16" x14ac:dyDescent="0.35">
      <c r="A685" s="5" t="str">
        <f t="shared" si="21"/>
        <v>2022 All Items D90</v>
      </c>
      <c r="B685" s="8">
        <f>'ALL 2024 H2 D80'!$B$2</f>
        <v>46114</v>
      </c>
      <c r="C685" s="8">
        <f>'ALL 2024 H2 D80'!$C$2</f>
        <v>46120</v>
      </c>
      <c r="D685" s="5">
        <v>3208</v>
      </c>
      <c r="E685" s="5">
        <v>320</v>
      </c>
      <c r="F685" s="5">
        <v>1</v>
      </c>
      <c r="G685" s="5">
        <v>6</v>
      </c>
      <c r="H685" s="5">
        <v>81736</v>
      </c>
      <c r="I685" s="5" t="s">
        <v>16</v>
      </c>
      <c r="J685" s="5">
        <v>73645517</v>
      </c>
      <c r="K685" s="5" t="s">
        <v>1365</v>
      </c>
      <c r="L685" s="5" t="s">
        <v>1366</v>
      </c>
      <c r="M685" s="6">
        <v>279900</v>
      </c>
      <c r="N685" s="7">
        <v>0.9</v>
      </c>
      <c r="O685" s="6">
        <f t="shared" si="22"/>
        <v>27990</v>
      </c>
      <c r="P685" s="5" t="s">
        <v>504</v>
      </c>
    </row>
    <row r="686" spans="1:16" x14ac:dyDescent="0.35">
      <c r="A686" s="5" t="str">
        <f t="shared" si="21"/>
        <v>2022 All Items D90</v>
      </c>
      <c r="B686" s="8">
        <f>'ALL 2024 H2 D80'!$B$2</f>
        <v>46114</v>
      </c>
      <c r="C686" s="8">
        <f>'ALL 2024 H2 D80'!$C$2</f>
        <v>46120</v>
      </c>
      <c r="D686" s="5">
        <v>3208</v>
      </c>
      <c r="E686" s="5">
        <v>320</v>
      </c>
      <c r="F686" s="5">
        <v>1</v>
      </c>
      <c r="G686" s="5">
        <v>6</v>
      </c>
      <c r="H686" s="5">
        <v>81736</v>
      </c>
      <c r="I686" s="5" t="s">
        <v>16</v>
      </c>
      <c r="J686" s="5">
        <v>73645526</v>
      </c>
      <c r="K686" s="5" t="s">
        <v>1365</v>
      </c>
      <c r="L686" s="5" t="s">
        <v>1367</v>
      </c>
      <c r="M686" s="6">
        <v>279900</v>
      </c>
      <c r="N686" s="7">
        <v>0.9</v>
      </c>
      <c r="O686" s="6">
        <f t="shared" si="22"/>
        <v>27990</v>
      </c>
      <c r="P686" s="5" t="s">
        <v>504</v>
      </c>
    </row>
    <row r="687" spans="1:16" x14ac:dyDescent="0.35">
      <c r="A687" s="5" t="str">
        <f t="shared" si="21"/>
        <v>2022 All Items D90</v>
      </c>
      <c r="B687" s="8">
        <f>'ALL 2024 H2 D80'!$B$2</f>
        <v>46114</v>
      </c>
      <c r="C687" s="8">
        <f>'ALL 2024 H2 D80'!$C$2</f>
        <v>46120</v>
      </c>
      <c r="D687" s="5">
        <v>3208</v>
      </c>
      <c r="E687" s="5">
        <v>320</v>
      </c>
      <c r="F687" s="5">
        <v>1</v>
      </c>
      <c r="G687" s="5">
        <v>6</v>
      </c>
      <c r="H687" s="5">
        <v>81736</v>
      </c>
      <c r="I687" s="5" t="s">
        <v>16</v>
      </c>
      <c r="J687" s="5">
        <v>73645535</v>
      </c>
      <c r="K687" s="5" t="s">
        <v>1365</v>
      </c>
      <c r="L687" s="5" t="s">
        <v>1368</v>
      </c>
      <c r="M687" s="6">
        <v>279900</v>
      </c>
      <c r="N687" s="7">
        <v>0.9</v>
      </c>
      <c r="O687" s="6">
        <f t="shared" si="22"/>
        <v>27990</v>
      </c>
      <c r="P687" s="5" t="s">
        <v>504</v>
      </c>
    </row>
    <row r="688" spans="1:16" x14ac:dyDescent="0.35">
      <c r="A688" s="5" t="str">
        <f t="shared" si="21"/>
        <v>2022 All Items D90</v>
      </c>
      <c r="B688" s="8">
        <f>'ALL 2024 H2 D80'!$B$2</f>
        <v>46114</v>
      </c>
      <c r="C688" s="8">
        <f>'ALL 2024 H2 D80'!$C$2</f>
        <v>46120</v>
      </c>
      <c r="D688" s="5">
        <v>3208</v>
      </c>
      <c r="E688" s="5">
        <v>320</v>
      </c>
      <c r="F688" s="5">
        <v>1</v>
      </c>
      <c r="G688" s="5">
        <v>6</v>
      </c>
      <c r="H688" s="5">
        <v>81736</v>
      </c>
      <c r="I688" s="5" t="s">
        <v>16</v>
      </c>
      <c r="J688" s="5">
        <v>73645544</v>
      </c>
      <c r="K688" s="5" t="s">
        <v>1365</v>
      </c>
      <c r="L688" s="5" t="s">
        <v>1369</v>
      </c>
      <c r="M688" s="6">
        <v>279900</v>
      </c>
      <c r="N688" s="7">
        <v>0.9</v>
      </c>
      <c r="O688" s="6">
        <f t="shared" si="22"/>
        <v>27990</v>
      </c>
      <c r="P688" s="5" t="s">
        <v>504</v>
      </c>
    </row>
    <row r="689" spans="1:16" x14ac:dyDescent="0.35">
      <c r="A689" s="5" t="str">
        <f t="shared" si="21"/>
        <v>2022 All Items D90</v>
      </c>
      <c r="B689" s="8">
        <f>'ALL 2024 H2 D80'!$B$2</f>
        <v>46114</v>
      </c>
      <c r="C689" s="8">
        <f>'ALL 2024 H2 D80'!$C$2</f>
        <v>46120</v>
      </c>
      <c r="D689" s="5">
        <v>3208</v>
      </c>
      <c r="E689" s="5">
        <v>320</v>
      </c>
      <c r="F689" s="5">
        <v>1</v>
      </c>
      <c r="G689" s="5">
        <v>6</v>
      </c>
      <c r="H689" s="5">
        <v>81736</v>
      </c>
      <c r="I689" s="5" t="s">
        <v>16</v>
      </c>
      <c r="J689" s="5">
        <v>73645553</v>
      </c>
      <c r="K689" s="5" t="s">
        <v>1365</v>
      </c>
      <c r="L689" s="5" t="s">
        <v>1370</v>
      </c>
      <c r="M689" s="6">
        <v>279900</v>
      </c>
      <c r="N689" s="7">
        <v>0.9</v>
      </c>
      <c r="O689" s="6">
        <f t="shared" si="22"/>
        <v>27990</v>
      </c>
      <c r="P689" s="5" t="s">
        <v>504</v>
      </c>
    </row>
    <row r="690" spans="1:16" x14ac:dyDescent="0.35">
      <c r="A690" s="5" t="str">
        <f t="shared" si="21"/>
        <v>2022 All Items D90</v>
      </c>
      <c r="B690" s="8">
        <f>'ALL 2024 H2 D80'!$B$2</f>
        <v>46114</v>
      </c>
      <c r="C690" s="8">
        <f>'ALL 2024 H2 D80'!$C$2</f>
        <v>46120</v>
      </c>
      <c r="D690" s="5">
        <v>3208</v>
      </c>
      <c r="E690" s="5">
        <v>320</v>
      </c>
      <c r="F690" s="5">
        <v>1</v>
      </c>
      <c r="G690" s="5">
        <v>6</v>
      </c>
      <c r="H690" s="5">
        <v>81736</v>
      </c>
      <c r="I690" s="5" t="s">
        <v>16</v>
      </c>
      <c r="J690" s="5">
        <v>73645562</v>
      </c>
      <c r="K690" s="5" t="s">
        <v>1365</v>
      </c>
      <c r="L690" s="5" t="s">
        <v>1371</v>
      </c>
      <c r="M690" s="6">
        <v>279900</v>
      </c>
      <c r="N690" s="7">
        <v>0.9</v>
      </c>
      <c r="O690" s="6">
        <f t="shared" si="22"/>
        <v>27990</v>
      </c>
      <c r="P690" s="5" t="s">
        <v>504</v>
      </c>
    </row>
    <row r="691" spans="1:16" x14ac:dyDescent="0.35">
      <c r="A691" s="5" t="str">
        <f t="shared" si="21"/>
        <v>2022 All Items D90</v>
      </c>
      <c r="B691" s="8">
        <f>'ALL 2024 H2 D80'!$B$2</f>
        <v>46114</v>
      </c>
      <c r="C691" s="8">
        <f>'ALL 2024 H2 D80'!$C$2</f>
        <v>46120</v>
      </c>
      <c r="D691" s="5">
        <v>3208</v>
      </c>
      <c r="E691" s="5">
        <v>320</v>
      </c>
      <c r="F691" s="5">
        <v>1</v>
      </c>
      <c r="G691" s="5">
        <v>6</v>
      </c>
      <c r="H691" s="5">
        <v>81736</v>
      </c>
      <c r="I691" s="5" t="s">
        <v>16</v>
      </c>
      <c r="J691" s="5">
        <v>73645571</v>
      </c>
      <c r="K691" s="5" t="s">
        <v>1365</v>
      </c>
      <c r="L691" s="5" t="s">
        <v>1372</v>
      </c>
      <c r="M691" s="6">
        <v>279900</v>
      </c>
      <c r="N691" s="7">
        <v>0.9</v>
      </c>
      <c r="O691" s="6">
        <f t="shared" si="22"/>
        <v>27990</v>
      </c>
      <c r="P691" s="5" t="s">
        <v>504</v>
      </c>
    </row>
    <row r="692" spans="1:16" x14ac:dyDescent="0.35">
      <c r="A692" s="5" t="str">
        <f t="shared" si="21"/>
        <v>2022 All Items D90</v>
      </c>
      <c r="B692" s="8">
        <f>'ALL 2024 H2 D80'!$B$2</f>
        <v>46114</v>
      </c>
      <c r="C692" s="8">
        <f>'ALL 2024 H2 D80'!$C$2</f>
        <v>46120</v>
      </c>
      <c r="D692" s="5">
        <v>3208</v>
      </c>
      <c r="E692" s="5">
        <v>320</v>
      </c>
      <c r="F692" s="5">
        <v>1</v>
      </c>
      <c r="G692" s="5">
        <v>6</v>
      </c>
      <c r="H692" s="5">
        <v>81736</v>
      </c>
      <c r="I692" s="5" t="s">
        <v>16</v>
      </c>
      <c r="J692" s="5">
        <v>73645580</v>
      </c>
      <c r="K692" s="5" t="s">
        <v>1365</v>
      </c>
      <c r="L692" s="5" t="s">
        <v>1373</v>
      </c>
      <c r="M692" s="6">
        <v>279900</v>
      </c>
      <c r="N692" s="7">
        <v>0.9</v>
      </c>
      <c r="O692" s="6">
        <f t="shared" si="22"/>
        <v>27990</v>
      </c>
      <c r="P692" s="5" t="s">
        <v>504</v>
      </c>
    </row>
    <row r="693" spans="1:16" x14ac:dyDescent="0.35">
      <c r="A693" s="5" t="str">
        <f t="shared" si="21"/>
        <v>2022 All Items D90</v>
      </c>
      <c r="B693" s="8">
        <f>'ALL 2024 H2 D80'!$B$2</f>
        <v>46114</v>
      </c>
      <c r="C693" s="8">
        <f>'ALL 2024 H2 D80'!$C$2</f>
        <v>46120</v>
      </c>
      <c r="D693" s="5">
        <v>3208</v>
      </c>
      <c r="E693" s="5">
        <v>320</v>
      </c>
      <c r="F693" s="5">
        <v>1</v>
      </c>
      <c r="G693" s="5">
        <v>7</v>
      </c>
      <c r="H693" s="5">
        <v>81044</v>
      </c>
      <c r="I693" s="5" t="s">
        <v>16</v>
      </c>
      <c r="J693" s="5">
        <v>21244799</v>
      </c>
      <c r="K693" s="5" t="s">
        <v>2725</v>
      </c>
      <c r="L693" s="5" t="s">
        <v>2726</v>
      </c>
      <c r="M693" s="6">
        <v>199900</v>
      </c>
      <c r="N693" s="7">
        <v>0.9</v>
      </c>
      <c r="O693" s="6">
        <f t="shared" si="22"/>
        <v>19990</v>
      </c>
      <c r="P693" s="5" t="s">
        <v>504</v>
      </c>
    </row>
    <row r="694" spans="1:16" x14ac:dyDescent="0.35">
      <c r="A694" s="5" t="str">
        <f t="shared" si="21"/>
        <v>2022 All Items D90</v>
      </c>
      <c r="B694" s="8">
        <f>'ALL 2024 H2 D80'!$B$2</f>
        <v>46114</v>
      </c>
      <c r="C694" s="8">
        <f>'ALL 2024 H2 D80'!$C$2</f>
        <v>46120</v>
      </c>
      <c r="D694" s="5">
        <v>3208</v>
      </c>
      <c r="E694" s="5">
        <v>320</v>
      </c>
      <c r="F694" s="5">
        <v>1</v>
      </c>
      <c r="G694" s="5">
        <v>7</v>
      </c>
      <c r="H694" s="5">
        <v>81044</v>
      </c>
      <c r="I694" s="5" t="s">
        <v>16</v>
      </c>
      <c r="J694" s="5">
        <v>21244806</v>
      </c>
      <c r="K694" s="5" t="s">
        <v>2725</v>
      </c>
      <c r="L694" s="5" t="s">
        <v>2727</v>
      </c>
      <c r="M694" s="6">
        <v>199900</v>
      </c>
      <c r="N694" s="7">
        <v>0.9</v>
      </c>
      <c r="O694" s="6">
        <f t="shared" si="22"/>
        <v>19990</v>
      </c>
      <c r="P694" s="5" t="s">
        <v>504</v>
      </c>
    </row>
    <row r="695" spans="1:16" x14ac:dyDescent="0.35">
      <c r="A695" s="5" t="str">
        <f t="shared" si="21"/>
        <v>2022 All Items D90</v>
      </c>
      <c r="B695" s="8">
        <f>'ALL 2024 H2 D80'!$B$2</f>
        <v>46114</v>
      </c>
      <c r="C695" s="8">
        <f>'ALL 2024 H2 D80'!$C$2</f>
        <v>46120</v>
      </c>
      <c r="D695" s="5">
        <v>3208</v>
      </c>
      <c r="E695" s="5">
        <v>320</v>
      </c>
      <c r="F695" s="5">
        <v>1</v>
      </c>
      <c r="G695" s="5">
        <v>7</v>
      </c>
      <c r="H695" s="5">
        <v>81044</v>
      </c>
      <c r="I695" s="5" t="s">
        <v>16</v>
      </c>
      <c r="J695" s="5">
        <v>21244815</v>
      </c>
      <c r="K695" s="5" t="s">
        <v>2725</v>
      </c>
      <c r="L695" s="5" t="s">
        <v>2728</v>
      </c>
      <c r="M695" s="6">
        <v>199900</v>
      </c>
      <c r="N695" s="7">
        <v>0.9</v>
      </c>
      <c r="O695" s="6">
        <f t="shared" si="22"/>
        <v>19990</v>
      </c>
      <c r="P695" s="5" t="s">
        <v>504</v>
      </c>
    </row>
    <row r="696" spans="1:16" x14ac:dyDescent="0.35">
      <c r="A696" s="5" t="str">
        <f t="shared" si="21"/>
        <v>2022 All Items D90</v>
      </c>
      <c r="B696" s="8">
        <f>'ALL 2024 H2 D80'!$B$2</f>
        <v>46114</v>
      </c>
      <c r="C696" s="8">
        <f>'ALL 2024 H2 D80'!$C$2</f>
        <v>46120</v>
      </c>
      <c r="D696" s="5">
        <v>3208</v>
      </c>
      <c r="E696" s="5">
        <v>320</v>
      </c>
      <c r="F696" s="5">
        <v>1</v>
      </c>
      <c r="G696" s="5">
        <v>7</v>
      </c>
      <c r="H696" s="5">
        <v>81044</v>
      </c>
      <c r="I696" s="5" t="s">
        <v>16</v>
      </c>
      <c r="J696" s="5">
        <v>21244824</v>
      </c>
      <c r="K696" s="5" t="s">
        <v>2725</v>
      </c>
      <c r="L696" s="5" t="s">
        <v>2729</v>
      </c>
      <c r="M696" s="6">
        <v>199900</v>
      </c>
      <c r="N696" s="7">
        <v>0.9</v>
      </c>
      <c r="O696" s="6">
        <f t="shared" si="22"/>
        <v>19990</v>
      </c>
      <c r="P696" s="5" t="s">
        <v>504</v>
      </c>
    </row>
    <row r="697" spans="1:16" x14ac:dyDescent="0.35">
      <c r="A697" s="5" t="str">
        <f t="shared" si="21"/>
        <v>2022 All Items D90</v>
      </c>
      <c r="B697" s="8">
        <f>'ALL 2024 H2 D80'!$B$2</f>
        <v>46114</v>
      </c>
      <c r="C697" s="8">
        <f>'ALL 2024 H2 D80'!$C$2</f>
        <v>46120</v>
      </c>
      <c r="D697" s="5">
        <v>3208</v>
      </c>
      <c r="E697" s="5">
        <v>320</v>
      </c>
      <c r="F697" s="5">
        <v>1</v>
      </c>
      <c r="G697" s="5">
        <v>7</v>
      </c>
      <c r="H697" s="5">
        <v>81044</v>
      </c>
      <c r="I697" s="5" t="s">
        <v>16</v>
      </c>
      <c r="J697" s="5">
        <v>21411894</v>
      </c>
      <c r="K697" s="5" t="s">
        <v>2730</v>
      </c>
      <c r="L697" s="5" t="s">
        <v>2731</v>
      </c>
      <c r="M697" s="6">
        <v>199900</v>
      </c>
      <c r="N697" s="7">
        <v>0.9</v>
      </c>
      <c r="O697" s="6">
        <f t="shared" si="22"/>
        <v>19990</v>
      </c>
      <c r="P697" s="5" t="s">
        <v>504</v>
      </c>
    </row>
    <row r="698" spans="1:16" x14ac:dyDescent="0.35">
      <c r="A698" s="5" t="str">
        <f t="shared" si="21"/>
        <v>2022 All Items D90</v>
      </c>
      <c r="B698" s="8">
        <f>'ALL 2024 H2 D80'!$B$2</f>
        <v>46114</v>
      </c>
      <c r="C698" s="8">
        <f>'ALL 2024 H2 D80'!$C$2</f>
        <v>46120</v>
      </c>
      <c r="D698" s="5">
        <v>3208</v>
      </c>
      <c r="E698" s="5">
        <v>320</v>
      </c>
      <c r="F698" s="5">
        <v>1</v>
      </c>
      <c r="G698" s="5">
        <v>7</v>
      </c>
      <c r="H698" s="5">
        <v>81044</v>
      </c>
      <c r="I698" s="5" t="s">
        <v>16</v>
      </c>
      <c r="J698" s="5">
        <v>21411901</v>
      </c>
      <c r="K698" s="5" t="s">
        <v>2730</v>
      </c>
      <c r="L698" s="5" t="s">
        <v>2732</v>
      </c>
      <c r="M698" s="6">
        <v>199900</v>
      </c>
      <c r="N698" s="7">
        <v>0.9</v>
      </c>
      <c r="O698" s="6">
        <f t="shared" si="22"/>
        <v>19990</v>
      </c>
      <c r="P698" s="5" t="s">
        <v>504</v>
      </c>
    </row>
    <row r="699" spans="1:16" x14ac:dyDescent="0.35">
      <c r="A699" s="5" t="str">
        <f t="shared" si="21"/>
        <v>2022 All Items D90</v>
      </c>
      <c r="B699" s="8">
        <f>'ALL 2024 H2 D80'!$B$2</f>
        <v>46114</v>
      </c>
      <c r="C699" s="8">
        <f>'ALL 2024 H2 D80'!$C$2</f>
        <v>46120</v>
      </c>
      <c r="D699" s="5">
        <v>3208</v>
      </c>
      <c r="E699" s="5">
        <v>320</v>
      </c>
      <c r="F699" s="5">
        <v>1</v>
      </c>
      <c r="G699" s="5">
        <v>7</v>
      </c>
      <c r="H699" s="5">
        <v>81044</v>
      </c>
      <c r="I699" s="5" t="s">
        <v>16</v>
      </c>
      <c r="J699" s="5">
        <v>21411910</v>
      </c>
      <c r="K699" s="5" t="s">
        <v>2730</v>
      </c>
      <c r="L699" s="5" t="s">
        <v>2733</v>
      </c>
      <c r="M699" s="6">
        <v>199900</v>
      </c>
      <c r="N699" s="7">
        <v>0.9</v>
      </c>
      <c r="O699" s="6">
        <f t="shared" si="22"/>
        <v>19990</v>
      </c>
      <c r="P699" s="5" t="s">
        <v>504</v>
      </c>
    </row>
    <row r="700" spans="1:16" x14ac:dyDescent="0.35">
      <c r="A700" s="5" t="str">
        <f t="shared" si="21"/>
        <v>2022 All Items D90</v>
      </c>
      <c r="B700" s="8">
        <f>'ALL 2024 H2 D80'!$B$2</f>
        <v>46114</v>
      </c>
      <c r="C700" s="8">
        <f>'ALL 2024 H2 D80'!$C$2</f>
        <v>46120</v>
      </c>
      <c r="D700" s="5">
        <v>3208</v>
      </c>
      <c r="E700" s="5">
        <v>320</v>
      </c>
      <c r="F700" s="5">
        <v>1</v>
      </c>
      <c r="G700" s="5">
        <v>7</v>
      </c>
      <c r="H700" s="5">
        <v>81044</v>
      </c>
      <c r="I700" s="5" t="s">
        <v>16</v>
      </c>
      <c r="J700" s="5">
        <v>21458693</v>
      </c>
      <c r="K700" s="5" t="s">
        <v>2734</v>
      </c>
      <c r="L700" s="5" t="s">
        <v>2735</v>
      </c>
      <c r="M700" s="6">
        <v>199900</v>
      </c>
      <c r="N700" s="7">
        <v>0.9</v>
      </c>
      <c r="O700" s="6">
        <f t="shared" si="22"/>
        <v>19990</v>
      </c>
      <c r="P700" s="5" t="s">
        <v>504</v>
      </c>
    </row>
    <row r="701" spans="1:16" x14ac:dyDescent="0.35">
      <c r="A701" s="5" t="str">
        <f t="shared" si="21"/>
        <v>2022 All Items D90</v>
      </c>
      <c r="B701" s="8">
        <f>'ALL 2024 H2 D80'!$B$2</f>
        <v>46114</v>
      </c>
      <c r="C701" s="8">
        <f>'ALL 2024 H2 D80'!$C$2</f>
        <v>46120</v>
      </c>
      <c r="D701" s="5">
        <v>3208</v>
      </c>
      <c r="E701" s="5">
        <v>320</v>
      </c>
      <c r="F701" s="5">
        <v>1</v>
      </c>
      <c r="G701" s="5">
        <v>7</v>
      </c>
      <c r="H701" s="5">
        <v>81044</v>
      </c>
      <c r="I701" s="5" t="s">
        <v>16</v>
      </c>
      <c r="J701" s="5">
        <v>21458700</v>
      </c>
      <c r="K701" s="5" t="s">
        <v>2734</v>
      </c>
      <c r="L701" s="5" t="s">
        <v>2736</v>
      </c>
      <c r="M701" s="6">
        <v>199900</v>
      </c>
      <c r="N701" s="7">
        <v>0.9</v>
      </c>
      <c r="O701" s="6">
        <f t="shared" si="22"/>
        <v>19990</v>
      </c>
      <c r="P701" s="5" t="s">
        <v>504</v>
      </c>
    </row>
    <row r="702" spans="1:16" x14ac:dyDescent="0.35">
      <c r="A702" s="5" t="str">
        <f t="shared" si="21"/>
        <v>2022 All Items D90</v>
      </c>
      <c r="B702" s="8">
        <f>'ALL 2024 H2 D80'!$B$2</f>
        <v>46114</v>
      </c>
      <c r="C702" s="8">
        <f>'ALL 2024 H2 D80'!$C$2</f>
        <v>46120</v>
      </c>
      <c r="D702" s="5">
        <v>3208</v>
      </c>
      <c r="E702" s="5">
        <v>320</v>
      </c>
      <c r="F702" s="5">
        <v>1</v>
      </c>
      <c r="G702" s="5">
        <v>7</v>
      </c>
      <c r="H702" s="5">
        <v>81044</v>
      </c>
      <c r="I702" s="5" t="s">
        <v>16</v>
      </c>
      <c r="J702" s="5">
        <v>21458719</v>
      </c>
      <c r="K702" s="5" t="s">
        <v>2734</v>
      </c>
      <c r="L702" s="5" t="s">
        <v>2737</v>
      </c>
      <c r="M702" s="6">
        <v>199900</v>
      </c>
      <c r="N702" s="7">
        <v>0.9</v>
      </c>
      <c r="O702" s="6">
        <f t="shared" si="22"/>
        <v>19990</v>
      </c>
      <c r="P702" s="5" t="s">
        <v>504</v>
      </c>
    </row>
    <row r="703" spans="1:16" x14ac:dyDescent="0.35">
      <c r="A703" s="5" t="str">
        <f t="shared" si="21"/>
        <v>2022 All Items D90</v>
      </c>
      <c r="B703" s="8">
        <f>'ALL 2024 H2 D80'!$B$2</f>
        <v>46114</v>
      </c>
      <c r="C703" s="8">
        <f>'ALL 2024 H2 D80'!$C$2</f>
        <v>46120</v>
      </c>
      <c r="D703" s="5">
        <v>3208</v>
      </c>
      <c r="E703" s="5">
        <v>320</v>
      </c>
      <c r="F703" s="5">
        <v>1</v>
      </c>
      <c r="G703" s="5">
        <v>7</v>
      </c>
      <c r="H703" s="5">
        <v>81044</v>
      </c>
      <c r="I703" s="5" t="s">
        <v>16</v>
      </c>
      <c r="J703" s="5">
        <v>21458728</v>
      </c>
      <c r="K703" s="5" t="s">
        <v>2734</v>
      </c>
      <c r="L703" s="5" t="s">
        <v>2738</v>
      </c>
      <c r="M703" s="6">
        <v>199900</v>
      </c>
      <c r="N703" s="7">
        <v>0.9</v>
      </c>
      <c r="O703" s="6">
        <f t="shared" si="22"/>
        <v>19990</v>
      </c>
      <c r="P703" s="5" t="s">
        <v>504</v>
      </c>
    </row>
    <row r="704" spans="1:16" x14ac:dyDescent="0.35">
      <c r="A704" s="5" t="str">
        <f t="shared" si="21"/>
        <v>2022 All Items D90</v>
      </c>
      <c r="B704" s="8">
        <f>'ALL 2024 H2 D80'!$B$2</f>
        <v>46114</v>
      </c>
      <c r="C704" s="8">
        <f>'ALL 2024 H2 D80'!$C$2</f>
        <v>46120</v>
      </c>
      <c r="D704" s="5">
        <v>3208</v>
      </c>
      <c r="E704" s="5">
        <v>320</v>
      </c>
      <c r="F704" s="5">
        <v>1</v>
      </c>
      <c r="G704" s="5">
        <v>7</v>
      </c>
      <c r="H704" s="5">
        <v>81044</v>
      </c>
      <c r="I704" s="5" t="s">
        <v>16</v>
      </c>
      <c r="J704" s="5">
        <v>21459156</v>
      </c>
      <c r="K704" s="5" t="s">
        <v>2739</v>
      </c>
      <c r="L704" s="5" t="s">
        <v>2740</v>
      </c>
      <c r="M704" s="6">
        <v>199900</v>
      </c>
      <c r="N704" s="7">
        <v>0.9</v>
      </c>
      <c r="O704" s="6">
        <f t="shared" si="22"/>
        <v>19990</v>
      </c>
      <c r="P704" s="5" t="s">
        <v>504</v>
      </c>
    </row>
    <row r="705" spans="1:16" x14ac:dyDescent="0.35">
      <c r="A705" s="5" t="str">
        <f t="shared" si="21"/>
        <v>2022 All Items D90</v>
      </c>
      <c r="B705" s="8">
        <f>'ALL 2024 H2 D80'!$B$2</f>
        <v>46114</v>
      </c>
      <c r="C705" s="8">
        <f>'ALL 2024 H2 D80'!$C$2</f>
        <v>46120</v>
      </c>
      <c r="D705" s="5">
        <v>3208</v>
      </c>
      <c r="E705" s="5">
        <v>320</v>
      </c>
      <c r="F705" s="5">
        <v>1</v>
      </c>
      <c r="G705" s="5">
        <v>7</v>
      </c>
      <c r="H705" s="5">
        <v>81044</v>
      </c>
      <c r="I705" s="5" t="s">
        <v>16</v>
      </c>
      <c r="J705" s="5">
        <v>21459165</v>
      </c>
      <c r="K705" s="5" t="s">
        <v>2739</v>
      </c>
      <c r="L705" s="5" t="s">
        <v>2741</v>
      </c>
      <c r="M705" s="6">
        <v>199900</v>
      </c>
      <c r="N705" s="7">
        <v>0.9</v>
      </c>
      <c r="O705" s="6">
        <f t="shared" si="22"/>
        <v>19990</v>
      </c>
      <c r="P705" s="5" t="s">
        <v>504</v>
      </c>
    </row>
    <row r="706" spans="1:16" x14ac:dyDescent="0.35">
      <c r="A706" s="5" t="str">
        <f t="shared" si="21"/>
        <v>2022 All Items D90</v>
      </c>
      <c r="B706" s="8">
        <f>'ALL 2024 H2 D80'!$B$2</f>
        <v>46114</v>
      </c>
      <c r="C706" s="8">
        <f>'ALL 2024 H2 D80'!$C$2</f>
        <v>46120</v>
      </c>
      <c r="D706" s="5">
        <v>3208</v>
      </c>
      <c r="E706" s="5">
        <v>320</v>
      </c>
      <c r="F706" s="5">
        <v>1</v>
      </c>
      <c r="G706" s="5">
        <v>7</v>
      </c>
      <c r="H706" s="5">
        <v>81044</v>
      </c>
      <c r="I706" s="5" t="s">
        <v>16</v>
      </c>
      <c r="J706" s="5">
        <v>21459174</v>
      </c>
      <c r="K706" s="5" t="s">
        <v>2739</v>
      </c>
      <c r="L706" s="5" t="s">
        <v>2742</v>
      </c>
      <c r="M706" s="6">
        <v>199900</v>
      </c>
      <c r="N706" s="7">
        <v>0.9</v>
      </c>
      <c r="O706" s="6">
        <f t="shared" si="22"/>
        <v>19990</v>
      </c>
      <c r="P706" s="5" t="s">
        <v>504</v>
      </c>
    </row>
    <row r="707" spans="1:16" x14ac:dyDescent="0.35">
      <c r="A707" s="5" t="str">
        <f t="shared" si="21"/>
        <v>2022 All Items D90</v>
      </c>
      <c r="B707" s="8">
        <f>'ALL 2024 H2 D80'!$B$2</f>
        <v>46114</v>
      </c>
      <c r="C707" s="8">
        <f>'ALL 2024 H2 D80'!$C$2</f>
        <v>46120</v>
      </c>
      <c r="D707" s="5">
        <v>3208</v>
      </c>
      <c r="E707" s="5">
        <v>320</v>
      </c>
      <c r="F707" s="5">
        <v>1</v>
      </c>
      <c r="G707" s="5">
        <v>7</v>
      </c>
      <c r="H707" s="5">
        <v>81044</v>
      </c>
      <c r="I707" s="5" t="s">
        <v>16</v>
      </c>
      <c r="J707" s="5">
        <v>21459183</v>
      </c>
      <c r="K707" s="5" t="s">
        <v>2739</v>
      </c>
      <c r="L707" s="5" t="s">
        <v>2743</v>
      </c>
      <c r="M707" s="6">
        <v>199900</v>
      </c>
      <c r="N707" s="7">
        <v>0.9</v>
      </c>
      <c r="O707" s="6">
        <f t="shared" si="22"/>
        <v>19990</v>
      </c>
      <c r="P707" s="5" t="s">
        <v>504</v>
      </c>
    </row>
    <row r="708" spans="1:16" x14ac:dyDescent="0.35">
      <c r="A708" s="5" t="str">
        <f t="shared" ref="A708:A771" si="23">$A$2</f>
        <v>2022 All Items D90</v>
      </c>
      <c r="B708" s="8">
        <f>'ALL 2024 H2 D80'!$B$2</f>
        <v>46114</v>
      </c>
      <c r="C708" s="8">
        <f>'ALL 2024 H2 D80'!$C$2</f>
        <v>46120</v>
      </c>
      <c r="D708" s="5">
        <v>3208</v>
      </c>
      <c r="E708" s="5">
        <v>320</v>
      </c>
      <c r="F708" s="5">
        <v>1</v>
      </c>
      <c r="G708" s="5">
        <v>7</v>
      </c>
      <c r="H708" s="5">
        <v>81044</v>
      </c>
      <c r="I708" s="5" t="s">
        <v>16</v>
      </c>
      <c r="J708" s="5">
        <v>21855905</v>
      </c>
      <c r="K708" s="5" t="s">
        <v>2744</v>
      </c>
      <c r="L708" s="5" t="s">
        <v>2745</v>
      </c>
      <c r="M708" s="6">
        <v>199900</v>
      </c>
      <c r="N708" s="7">
        <v>0.9</v>
      </c>
      <c r="O708" s="6">
        <f t="shared" si="22"/>
        <v>19990</v>
      </c>
      <c r="P708" s="5" t="s">
        <v>504</v>
      </c>
    </row>
    <row r="709" spans="1:16" x14ac:dyDescent="0.35">
      <c r="A709" s="5" t="str">
        <f t="shared" si="23"/>
        <v>2022 All Items D90</v>
      </c>
      <c r="B709" s="8">
        <f>'ALL 2024 H2 D80'!$B$2</f>
        <v>46114</v>
      </c>
      <c r="C709" s="8">
        <f>'ALL 2024 H2 D80'!$C$2</f>
        <v>46120</v>
      </c>
      <c r="D709" s="5">
        <v>3208</v>
      </c>
      <c r="E709" s="5">
        <v>320</v>
      </c>
      <c r="F709" s="5">
        <v>1</v>
      </c>
      <c r="G709" s="5">
        <v>7</v>
      </c>
      <c r="H709" s="5">
        <v>81044</v>
      </c>
      <c r="I709" s="5" t="s">
        <v>16</v>
      </c>
      <c r="J709" s="5">
        <v>21855914</v>
      </c>
      <c r="K709" s="5" t="s">
        <v>2744</v>
      </c>
      <c r="L709" s="5" t="s">
        <v>2746</v>
      </c>
      <c r="M709" s="6">
        <v>199900</v>
      </c>
      <c r="N709" s="7">
        <v>0.9</v>
      </c>
      <c r="O709" s="6">
        <f t="shared" si="22"/>
        <v>19990</v>
      </c>
      <c r="P709" s="5" t="s">
        <v>504</v>
      </c>
    </row>
    <row r="710" spans="1:16" x14ac:dyDescent="0.35">
      <c r="A710" s="5" t="str">
        <f t="shared" si="23"/>
        <v>2022 All Items D90</v>
      </c>
      <c r="B710" s="8">
        <f>'ALL 2024 H2 D80'!$B$2</f>
        <v>46114</v>
      </c>
      <c r="C710" s="8">
        <f>'ALL 2024 H2 D80'!$C$2</f>
        <v>46120</v>
      </c>
      <c r="D710" s="5">
        <v>3208</v>
      </c>
      <c r="E710" s="5">
        <v>320</v>
      </c>
      <c r="F710" s="5">
        <v>1</v>
      </c>
      <c r="G710" s="5">
        <v>7</v>
      </c>
      <c r="H710" s="5">
        <v>81044</v>
      </c>
      <c r="I710" s="5" t="s">
        <v>16</v>
      </c>
      <c r="J710" s="5">
        <v>21855923</v>
      </c>
      <c r="K710" s="5" t="s">
        <v>2744</v>
      </c>
      <c r="L710" s="5" t="s">
        <v>2747</v>
      </c>
      <c r="M710" s="6">
        <v>199900</v>
      </c>
      <c r="N710" s="7">
        <v>0.9</v>
      </c>
      <c r="O710" s="6">
        <f t="shared" ref="O710:O773" si="24">M710-(M710*N710)</f>
        <v>19990</v>
      </c>
      <c r="P710" s="5" t="s">
        <v>504</v>
      </c>
    </row>
    <row r="711" spans="1:16" x14ac:dyDescent="0.35">
      <c r="A711" s="5" t="str">
        <f t="shared" si="23"/>
        <v>2022 All Items D90</v>
      </c>
      <c r="B711" s="8">
        <f>'ALL 2024 H2 D80'!$B$2</f>
        <v>46114</v>
      </c>
      <c r="C711" s="8">
        <f>'ALL 2024 H2 D80'!$C$2</f>
        <v>46120</v>
      </c>
      <c r="D711" s="5">
        <v>3208</v>
      </c>
      <c r="E711" s="5">
        <v>320</v>
      </c>
      <c r="F711" s="5">
        <v>1</v>
      </c>
      <c r="G711" s="5">
        <v>7</v>
      </c>
      <c r="H711" s="5">
        <v>81044</v>
      </c>
      <c r="I711" s="5" t="s">
        <v>16</v>
      </c>
      <c r="J711" s="5">
        <v>21855932</v>
      </c>
      <c r="K711" s="5" t="s">
        <v>2744</v>
      </c>
      <c r="L711" s="5" t="s">
        <v>2748</v>
      </c>
      <c r="M711" s="6">
        <v>199900</v>
      </c>
      <c r="N711" s="7">
        <v>0.9</v>
      </c>
      <c r="O711" s="6">
        <f t="shared" si="24"/>
        <v>19990</v>
      </c>
      <c r="P711" s="5" t="s">
        <v>504</v>
      </c>
    </row>
    <row r="712" spans="1:16" x14ac:dyDescent="0.35">
      <c r="A712" s="5" t="str">
        <f t="shared" si="23"/>
        <v>2022 All Items D90</v>
      </c>
      <c r="B712" s="8">
        <f>'ALL 2024 H2 D80'!$B$2</f>
        <v>46114</v>
      </c>
      <c r="C712" s="8">
        <f>'ALL 2024 H2 D80'!$C$2</f>
        <v>46120</v>
      </c>
      <c r="D712" s="5">
        <v>3208</v>
      </c>
      <c r="E712" s="5">
        <v>320</v>
      </c>
      <c r="F712" s="5">
        <v>1</v>
      </c>
      <c r="G712" s="5">
        <v>7</v>
      </c>
      <c r="H712" s="5">
        <v>81495</v>
      </c>
      <c r="I712" s="5" t="s">
        <v>16</v>
      </c>
      <c r="J712" s="5">
        <v>20576334</v>
      </c>
      <c r="K712" s="5" t="s">
        <v>2761</v>
      </c>
      <c r="L712" s="5" t="s">
        <v>2762</v>
      </c>
      <c r="M712" s="6">
        <v>199900</v>
      </c>
      <c r="N712" s="7">
        <v>0.9</v>
      </c>
      <c r="O712" s="6">
        <f t="shared" si="24"/>
        <v>19990</v>
      </c>
      <c r="P712" s="5" t="s">
        <v>504</v>
      </c>
    </row>
    <row r="713" spans="1:16" x14ac:dyDescent="0.35">
      <c r="A713" s="5" t="str">
        <f t="shared" si="23"/>
        <v>2022 All Items D90</v>
      </c>
      <c r="B713" s="8">
        <f>'ALL 2024 H2 D80'!$B$2</f>
        <v>46114</v>
      </c>
      <c r="C713" s="8">
        <f>'ALL 2024 H2 D80'!$C$2</f>
        <v>46120</v>
      </c>
      <c r="D713" s="5">
        <v>3208</v>
      </c>
      <c r="E713" s="5">
        <v>320</v>
      </c>
      <c r="F713" s="5">
        <v>1</v>
      </c>
      <c r="G713" s="5">
        <v>7</v>
      </c>
      <c r="H713" s="5">
        <v>81495</v>
      </c>
      <c r="I713" s="5" t="s">
        <v>16</v>
      </c>
      <c r="J713" s="5">
        <v>20576361</v>
      </c>
      <c r="K713" s="5" t="s">
        <v>2761</v>
      </c>
      <c r="L713" s="5" t="s">
        <v>2765</v>
      </c>
      <c r="M713" s="6">
        <v>199900</v>
      </c>
      <c r="N713" s="7">
        <v>0.9</v>
      </c>
      <c r="O713" s="6">
        <f t="shared" si="24"/>
        <v>19990</v>
      </c>
      <c r="P713" s="5" t="s">
        <v>504</v>
      </c>
    </row>
    <row r="714" spans="1:16" x14ac:dyDescent="0.35">
      <c r="A714" s="5" t="str">
        <f t="shared" si="23"/>
        <v>2022 All Items D90</v>
      </c>
      <c r="B714" s="8">
        <f>'ALL 2024 H2 D80'!$B$2</f>
        <v>46114</v>
      </c>
      <c r="C714" s="8">
        <f>'ALL 2024 H2 D80'!$C$2</f>
        <v>46120</v>
      </c>
      <c r="D714" s="5">
        <v>3208</v>
      </c>
      <c r="E714" s="5">
        <v>320</v>
      </c>
      <c r="F714" s="5">
        <v>1</v>
      </c>
      <c r="G714" s="5">
        <v>7</v>
      </c>
      <c r="H714" s="5">
        <v>81495</v>
      </c>
      <c r="I714" s="5" t="s">
        <v>16</v>
      </c>
      <c r="J714" s="5">
        <v>21413061</v>
      </c>
      <c r="K714" s="5" t="s">
        <v>2756</v>
      </c>
      <c r="L714" s="5" t="s">
        <v>2757</v>
      </c>
      <c r="M714" s="6">
        <v>199900</v>
      </c>
      <c r="N714" s="7">
        <v>0.9</v>
      </c>
      <c r="O714" s="6">
        <f t="shared" si="24"/>
        <v>19990</v>
      </c>
      <c r="P714" s="5" t="s">
        <v>504</v>
      </c>
    </row>
    <row r="715" spans="1:16" x14ac:dyDescent="0.35">
      <c r="A715" s="5" t="str">
        <f t="shared" si="23"/>
        <v>2022 All Items D90</v>
      </c>
      <c r="B715" s="8">
        <f>'ALL 2024 H2 D80'!$B$2</f>
        <v>46114</v>
      </c>
      <c r="C715" s="8">
        <f>'ALL 2024 H2 D80'!$C$2</f>
        <v>46120</v>
      </c>
      <c r="D715" s="5">
        <v>3208</v>
      </c>
      <c r="E715" s="5">
        <v>320</v>
      </c>
      <c r="F715" s="5">
        <v>1</v>
      </c>
      <c r="G715" s="5">
        <v>7</v>
      </c>
      <c r="H715" s="5">
        <v>81495</v>
      </c>
      <c r="I715" s="5" t="s">
        <v>16</v>
      </c>
      <c r="J715" s="5">
        <v>21413070</v>
      </c>
      <c r="K715" s="5" t="s">
        <v>2756</v>
      </c>
      <c r="L715" s="5" t="s">
        <v>2758</v>
      </c>
      <c r="M715" s="6">
        <v>199900</v>
      </c>
      <c r="N715" s="7">
        <v>0.9</v>
      </c>
      <c r="O715" s="6">
        <f t="shared" si="24"/>
        <v>19990</v>
      </c>
      <c r="P715" s="5" t="s">
        <v>504</v>
      </c>
    </row>
    <row r="716" spans="1:16" x14ac:dyDescent="0.35">
      <c r="A716" s="5" t="str">
        <f t="shared" si="23"/>
        <v>2022 All Items D90</v>
      </c>
      <c r="B716" s="8">
        <f>'ALL 2024 H2 D80'!$B$2</f>
        <v>46114</v>
      </c>
      <c r="C716" s="8">
        <f>'ALL 2024 H2 D80'!$C$2</f>
        <v>46120</v>
      </c>
      <c r="D716" s="5">
        <v>3208</v>
      </c>
      <c r="E716" s="5">
        <v>320</v>
      </c>
      <c r="F716" s="5">
        <v>1</v>
      </c>
      <c r="G716" s="5">
        <v>7</v>
      </c>
      <c r="H716" s="5">
        <v>81495</v>
      </c>
      <c r="I716" s="5" t="s">
        <v>16</v>
      </c>
      <c r="J716" s="5">
        <v>21413089</v>
      </c>
      <c r="K716" s="5" t="s">
        <v>2756</v>
      </c>
      <c r="L716" s="5" t="s">
        <v>2759</v>
      </c>
      <c r="M716" s="6">
        <v>199900</v>
      </c>
      <c r="N716" s="7">
        <v>0.9</v>
      </c>
      <c r="O716" s="6">
        <f t="shared" si="24"/>
        <v>19990</v>
      </c>
      <c r="P716" s="5" t="s">
        <v>504</v>
      </c>
    </row>
    <row r="717" spans="1:16" x14ac:dyDescent="0.35">
      <c r="A717" s="5" t="str">
        <f t="shared" si="23"/>
        <v>2022 All Items D90</v>
      </c>
      <c r="B717" s="8">
        <f>'ALL 2024 H2 D80'!$B$2</f>
        <v>46114</v>
      </c>
      <c r="C717" s="8">
        <f>'ALL 2024 H2 D80'!$C$2</f>
        <v>46120</v>
      </c>
      <c r="D717" s="5">
        <v>3208</v>
      </c>
      <c r="E717" s="5">
        <v>320</v>
      </c>
      <c r="F717" s="5">
        <v>1</v>
      </c>
      <c r="G717" s="5">
        <v>7</v>
      </c>
      <c r="H717" s="5">
        <v>81495</v>
      </c>
      <c r="I717" s="5" t="s">
        <v>16</v>
      </c>
      <c r="J717" s="5">
        <v>21413098</v>
      </c>
      <c r="K717" s="5" t="s">
        <v>2756</v>
      </c>
      <c r="L717" s="5" t="s">
        <v>2760</v>
      </c>
      <c r="M717" s="6">
        <v>199900</v>
      </c>
      <c r="N717" s="7">
        <v>0.9</v>
      </c>
      <c r="O717" s="6">
        <f t="shared" si="24"/>
        <v>19990</v>
      </c>
      <c r="P717" s="5" t="s">
        <v>504</v>
      </c>
    </row>
    <row r="718" spans="1:16" x14ac:dyDescent="0.35">
      <c r="A718" s="5" t="str">
        <f t="shared" si="23"/>
        <v>2022 All Items D90</v>
      </c>
      <c r="B718" s="8">
        <f>'ALL 2024 H2 D80'!$B$2</f>
        <v>46114</v>
      </c>
      <c r="C718" s="8">
        <f>'ALL 2024 H2 D80'!$C$2</f>
        <v>46120</v>
      </c>
      <c r="D718" s="5">
        <v>3208</v>
      </c>
      <c r="E718" s="5">
        <v>320</v>
      </c>
      <c r="F718" s="5">
        <v>1</v>
      </c>
      <c r="G718" s="5">
        <v>10</v>
      </c>
      <c r="H718" s="5">
        <v>81406</v>
      </c>
      <c r="I718" s="5" t="s">
        <v>16</v>
      </c>
      <c r="J718" s="5">
        <v>62042260</v>
      </c>
      <c r="K718" s="5" t="s">
        <v>1941</v>
      </c>
      <c r="L718" s="5" t="s">
        <v>1942</v>
      </c>
      <c r="M718" s="6">
        <v>349900</v>
      </c>
      <c r="N718" s="7">
        <v>0.9</v>
      </c>
      <c r="O718" s="6">
        <f t="shared" si="24"/>
        <v>34990</v>
      </c>
      <c r="P718" s="5" t="s">
        <v>504</v>
      </c>
    </row>
    <row r="719" spans="1:16" x14ac:dyDescent="0.35">
      <c r="A719" s="5" t="str">
        <f t="shared" si="23"/>
        <v>2022 All Items D90</v>
      </c>
      <c r="B719" s="8">
        <f>'ALL 2024 H2 D80'!$B$2</f>
        <v>46114</v>
      </c>
      <c r="C719" s="8">
        <f>'ALL 2024 H2 D80'!$C$2</f>
        <v>46120</v>
      </c>
      <c r="D719" s="5">
        <v>3208</v>
      </c>
      <c r="E719" s="5">
        <v>320</v>
      </c>
      <c r="F719" s="5">
        <v>1</v>
      </c>
      <c r="G719" s="5">
        <v>10</v>
      </c>
      <c r="H719" s="5">
        <v>81406</v>
      </c>
      <c r="I719" s="5" t="s">
        <v>16</v>
      </c>
      <c r="J719" s="5">
        <v>62042279</v>
      </c>
      <c r="K719" s="5" t="s">
        <v>1941</v>
      </c>
      <c r="L719" s="5" t="s">
        <v>1943</v>
      </c>
      <c r="M719" s="6">
        <v>349900</v>
      </c>
      <c r="N719" s="7">
        <v>0.9</v>
      </c>
      <c r="O719" s="6">
        <f t="shared" si="24"/>
        <v>34990</v>
      </c>
      <c r="P719" s="5" t="s">
        <v>504</v>
      </c>
    </row>
    <row r="720" spans="1:16" x14ac:dyDescent="0.35">
      <c r="A720" s="5" t="str">
        <f t="shared" si="23"/>
        <v>2022 All Items D90</v>
      </c>
      <c r="B720" s="8">
        <f>'ALL 2024 H2 D80'!$B$2</f>
        <v>46114</v>
      </c>
      <c r="C720" s="8">
        <f>'ALL 2024 H2 D80'!$C$2</f>
        <v>46120</v>
      </c>
      <c r="D720" s="5">
        <v>3208</v>
      </c>
      <c r="E720" s="5">
        <v>320</v>
      </c>
      <c r="F720" s="5">
        <v>1</v>
      </c>
      <c r="G720" s="5">
        <v>10</v>
      </c>
      <c r="H720" s="5">
        <v>81406</v>
      </c>
      <c r="I720" s="5" t="s">
        <v>16</v>
      </c>
      <c r="J720" s="5">
        <v>62042297</v>
      </c>
      <c r="K720" s="5" t="s">
        <v>1941</v>
      </c>
      <c r="L720" s="5" t="s">
        <v>1944</v>
      </c>
      <c r="M720" s="6">
        <v>349900</v>
      </c>
      <c r="N720" s="7">
        <v>0.9</v>
      </c>
      <c r="O720" s="6">
        <f t="shared" si="24"/>
        <v>34990</v>
      </c>
      <c r="P720" s="5" t="s">
        <v>504</v>
      </c>
    </row>
    <row r="721" spans="1:16" x14ac:dyDescent="0.35">
      <c r="A721" s="5" t="str">
        <f t="shared" si="23"/>
        <v>2022 All Items D90</v>
      </c>
      <c r="B721" s="8">
        <f>'ALL 2024 H2 D80'!$B$2</f>
        <v>46114</v>
      </c>
      <c r="C721" s="8">
        <f>'ALL 2024 H2 D80'!$C$2</f>
        <v>46120</v>
      </c>
      <c r="D721" s="5">
        <v>3208</v>
      </c>
      <c r="E721" s="5">
        <v>320</v>
      </c>
      <c r="F721" s="5">
        <v>1</v>
      </c>
      <c r="G721" s="5">
        <v>10</v>
      </c>
      <c r="H721" s="5">
        <v>81406</v>
      </c>
      <c r="I721" s="5" t="s">
        <v>16</v>
      </c>
      <c r="J721" s="5">
        <v>62042304</v>
      </c>
      <c r="K721" s="5" t="s">
        <v>1941</v>
      </c>
      <c r="L721" s="5" t="s">
        <v>1945</v>
      </c>
      <c r="M721" s="6">
        <v>349900</v>
      </c>
      <c r="N721" s="7">
        <v>0.9</v>
      </c>
      <c r="O721" s="6">
        <f t="shared" si="24"/>
        <v>34990</v>
      </c>
      <c r="P721" s="5" t="s">
        <v>504</v>
      </c>
    </row>
    <row r="722" spans="1:16" x14ac:dyDescent="0.35">
      <c r="A722" s="5" t="str">
        <f t="shared" si="23"/>
        <v>2022 All Items D90</v>
      </c>
      <c r="B722" s="8">
        <f>'ALL 2024 H2 D80'!$B$2</f>
        <v>46114</v>
      </c>
      <c r="C722" s="8">
        <f>'ALL 2024 H2 D80'!$C$2</f>
        <v>46120</v>
      </c>
      <c r="D722" s="5">
        <v>3208</v>
      </c>
      <c r="E722" s="5">
        <v>320</v>
      </c>
      <c r="F722" s="5">
        <v>1</v>
      </c>
      <c r="G722" s="5">
        <v>10</v>
      </c>
      <c r="H722" s="5">
        <v>81406</v>
      </c>
      <c r="I722" s="5" t="s">
        <v>16</v>
      </c>
      <c r="J722" s="5">
        <v>62042313</v>
      </c>
      <c r="K722" s="5" t="s">
        <v>1941</v>
      </c>
      <c r="L722" s="5" t="s">
        <v>1946</v>
      </c>
      <c r="M722" s="6">
        <v>349900</v>
      </c>
      <c r="N722" s="7">
        <v>0.9</v>
      </c>
      <c r="O722" s="6">
        <f t="shared" si="24"/>
        <v>34990</v>
      </c>
      <c r="P722" s="5" t="s">
        <v>504</v>
      </c>
    </row>
    <row r="723" spans="1:16" x14ac:dyDescent="0.35">
      <c r="A723" s="5" t="str">
        <f t="shared" si="23"/>
        <v>2022 All Items D90</v>
      </c>
      <c r="B723" s="8">
        <f>'ALL 2024 H2 D80'!$B$2</f>
        <v>46114</v>
      </c>
      <c r="C723" s="8">
        <f>'ALL 2024 H2 D80'!$C$2</f>
        <v>46120</v>
      </c>
      <c r="D723" s="5">
        <v>3208</v>
      </c>
      <c r="E723" s="5">
        <v>320</v>
      </c>
      <c r="F723" s="5">
        <v>1</v>
      </c>
      <c r="G723" s="5">
        <v>10</v>
      </c>
      <c r="H723" s="5">
        <v>81406</v>
      </c>
      <c r="I723" s="5" t="s">
        <v>16</v>
      </c>
      <c r="J723" s="5">
        <v>66255523</v>
      </c>
      <c r="K723" s="5" t="s">
        <v>1947</v>
      </c>
      <c r="L723" s="5" t="s">
        <v>1948</v>
      </c>
      <c r="M723" s="6">
        <v>349900</v>
      </c>
      <c r="N723" s="7">
        <v>0.9</v>
      </c>
      <c r="O723" s="6">
        <f t="shared" si="24"/>
        <v>34990</v>
      </c>
      <c r="P723" s="5" t="s">
        <v>504</v>
      </c>
    </row>
    <row r="724" spans="1:16" x14ac:dyDescent="0.35">
      <c r="A724" s="5" t="str">
        <f t="shared" si="23"/>
        <v>2022 All Items D90</v>
      </c>
      <c r="B724" s="8">
        <f>'ALL 2024 H2 D80'!$B$2</f>
        <v>46114</v>
      </c>
      <c r="C724" s="8">
        <f>'ALL 2024 H2 D80'!$C$2</f>
        <v>46120</v>
      </c>
      <c r="D724" s="5">
        <v>3208</v>
      </c>
      <c r="E724" s="5">
        <v>320</v>
      </c>
      <c r="F724" s="5">
        <v>1</v>
      </c>
      <c r="G724" s="5">
        <v>10</v>
      </c>
      <c r="H724" s="5">
        <v>81406</v>
      </c>
      <c r="I724" s="5" t="s">
        <v>16</v>
      </c>
      <c r="J724" s="5">
        <v>66255532</v>
      </c>
      <c r="K724" s="5" t="s">
        <v>1947</v>
      </c>
      <c r="L724" s="5" t="s">
        <v>1949</v>
      </c>
      <c r="M724" s="6">
        <v>349900</v>
      </c>
      <c r="N724" s="7">
        <v>0.9</v>
      </c>
      <c r="O724" s="6">
        <f t="shared" si="24"/>
        <v>34990</v>
      </c>
      <c r="P724" s="5" t="s">
        <v>504</v>
      </c>
    </row>
    <row r="725" spans="1:16" x14ac:dyDescent="0.35">
      <c r="A725" s="5" t="str">
        <f t="shared" si="23"/>
        <v>2022 All Items D90</v>
      </c>
      <c r="B725" s="8">
        <f>'ALL 2024 H2 D80'!$B$2</f>
        <v>46114</v>
      </c>
      <c r="C725" s="8">
        <f>'ALL 2024 H2 D80'!$C$2</f>
        <v>46120</v>
      </c>
      <c r="D725" s="5">
        <v>3208</v>
      </c>
      <c r="E725" s="5">
        <v>320</v>
      </c>
      <c r="F725" s="5">
        <v>1</v>
      </c>
      <c r="G725" s="5">
        <v>10</v>
      </c>
      <c r="H725" s="5">
        <v>81406</v>
      </c>
      <c r="I725" s="5" t="s">
        <v>16</v>
      </c>
      <c r="J725" s="5">
        <v>66255541</v>
      </c>
      <c r="K725" s="5" t="s">
        <v>1947</v>
      </c>
      <c r="L725" s="5" t="s">
        <v>1950</v>
      </c>
      <c r="M725" s="6">
        <v>349900</v>
      </c>
      <c r="N725" s="7">
        <v>0.9</v>
      </c>
      <c r="O725" s="6">
        <f t="shared" si="24"/>
        <v>34990</v>
      </c>
      <c r="P725" s="5" t="s">
        <v>504</v>
      </c>
    </row>
    <row r="726" spans="1:16" x14ac:dyDescent="0.35">
      <c r="A726" s="5" t="str">
        <f t="shared" si="23"/>
        <v>2022 All Items D90</v>
      </c>
      <c r="B726" s="8">
        <f>'ALL 2024 H2 D80'!$B$2</f>
        <v>46114</v>
      </c>
      <c r="C726" s="8">
        <f>'ALL 2024 H2 D80'!$C$2</f>
        <v>46120</v>
      </c>
      <c r="D726" s="5">
        <v>3208</v>
      </c>
      <c r="E726" s="5">
        <v>320</v>
      </c>
      <c r="F726" s="5">
        <v>1</v>
      </c>
      <c r="G726" s="5">
        <v>10</v>
      </c>
      <c r="H726" s="5">
        <v>81406</v>
      </c>
      <c r="I726" s="5" t="s">
        <v>16</v>
      </c>
      <c r="J726" s="5">
        <v>66255550</v>
      </c>
      <c r="K726" s="5" t="s">
        <v>1947</v>
      </c>
      <c r="L726" s="5" t="s">
        <v>1951</v>
      </c>
      <c r="M726" s="6">
        <v>349900</v>
      </c>
      <c r="N726" s="7">
        <v>0.9</v>
      </c>
      <c r="O726" s="6">
        <f t="shared" si="24"/>
        <v>34990</v>
      </c>
      <c r="P726" s="5" t="s">
        <v>504</v>
      </c>
    </row>
    <row r="727" spans="1:16" x14ac:dyDescent="0.35">
      <c r="A727" s="5" t="str">
        <f t="shared" si="23"/>
        <v>2022 All Items D90</v>
      </c>
      <c r="B727" s="8">
        <f>'ALL 2024 H2 D80'!$B$2</f>
        <v>46114</v>
      </c>
      <c r="C727" s="8">
        <f>'ALL 2024 H2 D80'!$C$2</f>
        <v>46120</v>
      </c>
      <c r="D727" s="5">
        <v>3208</v>
      </c>
      <c r="E727" s="5">
        <v>320</v>
      </c>
      <c r="F727" s="5">
        <v>1</v>
      </c>
      <c r="G727" s="5">
        <v>10</v>
      </c>
      <c r="H727" s="5">
        <v>81406</v>
      </c>
      <c r="I727" s="5" t="s">
        <v>16</v>
      </c>
      <c r="J727" s="5">
        <v>66255569</v>
      </c>
      <c r="K727" s="5" t="s">
        <v>1947</v>
      </c>
      <c r="L727" s="5" t="s">
        <v>1952</v>
      </c>
      <c r="M727" s="6">
        <v>349900</v>
      </c>
      <c r="N727" s="7">
        <v>0.9</v>
      </c>
      <c r="O727" s="6">
        <f t="shared" si="24"/>
        <v>34990</v>
      </c>
      <c r="P727" s="5" t="s">
        <v>504</v>
      </c>
    </row>
    <row r="728" spans="1:16" x14ac:dyDescent="0.35">
      <c r="A728" s="5" t="str">
        <f t="shared" si="23"/>
        <v>2022 All Items D90</v>
      </c>
      <c r="B728" s="8">
        <f>'ALL 2024 H2 D80'!$B$2</f>
        <v>46114</v>
      </c>
      <c r="C728" s="8">
        <f>'ALL 2024 H2 D80'!$C$2</f>
        <v>46120</v>
      </c>
      <c r="D728" s="5">
        <v>3208</v>
      </c>
      <c r="E728" s="5">
        <v>320</v>
      </c>
      <c r="F728" s="5">
        <v>1</v>
      </c>
      <c r="G728" s="5">
        <v>10</v>
      </c>
      <c r="H728" s="5">
        <v>81406</v>
      </c>
      <c r="I728" s="5" t="s">
        <v>16</v>
      </c>
      <c r="J728" s="5">
        <v>66255578</v>
      </c>
      <c r="K728" s="5" t="s">
        <v>1947</v>
      </c>
      <c r="L728" s="5" t="s">
        <v>1953</v>
      </c>
      <c r="M728" s="6">
        <v>349900</v>
      </c>
      <c r="N728" s="7">
        <v>0.9</v>
      </c>
      <c r="O728" s="6">
        <f t="shared" si="24"/>
        <v>34990</v>
      </c>
      <c r="P728" s="5" t="s">
        <v>504</v>
      </c>
    </row>
    <row r="729" spans="1:16" x14ac:dyDescent="0.35">
      <c r="A729" s="5" t="str">
        <f t="shared" si="23"/>
        <v>2022 All Items D90</v>
      </c>
      <c r="B729" s="8">
        <f>'ALL 2024 H2 D80'!$B$2</f>
        <v>46114</v>
      </c>
      <c r="C729" s="8">
        <f>'ALL 2024 H2 D80'!$C$2</f>
        <v>46120</v>
      </c>
      <c r="D729" s="5">
        <v>3208</v>
      </c>
      <c r="E729" s="5">
        <v>320</v>
      </c>
      <c r="F729" s="5">
        <v>1</v>
      </c>
      <c r="G729" s="5">
        <v>10</v>
      </c>
      <c r="H729" s="5">
        <v>81406</v>
      </c>
      <c r="I729" s="5" t="s">
        <v>16</v>
      </c>
      <c r="J729" s="5">
        <v>66255587</v>
      </c>
      <c r="K729" s="5" t="s">
        <v>1947</v>
      </c>
      <c r="L729" s="5" t="s">
        <v>1954</v>
      </c>
      <c r="M729" s="6">
        <v>349900</v>
      </c>
      <c r="N729" s="7">
        <v>0.9</v>
      </c>
      <c r="O729" s="6">
        <f t="shared" si="24"/>
        <v>34990</v>
      </c>
      <c r="P729" s="5" t="s">
        <v>504</v>
      </c>
    </row>
    <row r="730" spans="1:16" x14ac:dyDescent="0.35">
      <c r="A730" s="5" t="str">
        <f t="shared" si="23"/>
        <v>2022 All Items D90</v>
      </c>
      <c r="B730" s="8">
        <f>'ALL 2024 H2 D80'!$B$2</f>
        <v>46114</v>
      </c>
      <c r="C730" s="8">
        <f>'ALL 2024 H2 D80'!$C$2</f>
        <v>46120</v>
      </c>
      <c r="D730" s="5">
        <v>3208</v>
      </c>
      <c r="E730" s="5">
        <v>320</v>
      </c>
      <c r="F730" s="5">
        <v>1</v>
      </c>
      <c r="G730" s="5">
        <v>10</v>
      </c>
      <c r="H730" s="5">
        <v>81406</v>
      </c>
      <c r="I730" s="5" t="s">
        <v>16</v>
      </c>
      <c r="J730" s="5">
        <v>66255934</v>
      </c>
      <c r="K730" s="5" t="s">
        <v>1955</v>
      </c>
      <c r="L730" s="5" t="s">
        <v>1956</v>
      </c>
      <c r="M730" s="6">
        <v>249900</v>
      </c>
      <c r="N730" s="7">
        <v>0.9</v>
      </c>
      <c r="O730" s="6">
        <f t="shared" si="24"/>
        <v>24990</v>
      </c>
      <c r="P730" s="5" t="s">
        <v>504</v>
      </c>
    </row>
    <row r="731" spans="1:16" x14ac:dyDescent="0.35">
      <c r="A731" s="5" t="str">
        <f t="shared" si="23"/>
        <v>2022 All Items D90</v>
      </c>
      <c r="B731" s="8">
        <f>'ALL 2024 H2 D80'!$B$2</f>
        <v>46114</v>
      </c>
      <c r="C731" s="8">
        <f>'ALL 2024 H2 D80'!$C$2</f>
        <v>46120</v>
      </c>
      <c r="D731" s="5">
        <v>3208</v>
      </c>
      <c r="E731" s="5">
        <v>320</v>
      </c>
      <c r="F731" s="5">
        <v>1</v>
      </c>
      <c r="G731" s="5">
        <v>10</v>
      </c>
      <c r="H731" s="5">
        <v>81406</v>
      </c>
      <c r="I731" s="5" t="s">
        <v>16</v>
      </c>
      <c r="J731" s="5">
        <v>66255952</v>
      </c>
      <c r="K731" s="5" t="s">
        <v>1955</v>
      </c>
      <c r="L731" s="5" t="s">
        <v>1957</v>
      </c>
      <c r="M731" s="6">
        <v>249900</v>
      </c>
      <c r="N731" s="7">
        <v>0.9</v>
      </c>
      <c r="O731" s="6">
        <f t="shared" si="24"/>
        <v>24990</v>
      </c>
      <c r="P731" s="5" t="s">
        <v>504</v>
      </c>
    </row>
    <row r="732" spans="1:16" x14ac:dyDescent="0.35">
      <c r="A732" s="5" t="str">
        <f t="shared" si="23"/>
        <v>2022 All Items D90</v>
      </c>
      <c r="B732" s="8">
        <f>'ALL 2024 H2 D80'!$B$2</f>
        <v>46114</v>
      </c>
      <c r="C732" s="8">
        <f>'ALL 2024 H2 D80'!$C$2</f>
        <v>46120</v>
      </c>
      <c r="D732" s="5">
        <v>3208</v>
      </c>
      <c r="E732" s="5">
        <v>320</v>
      </c>
      <c r="F732" s="5">
        <v>1</v>
      </c>
      <c r="G732" s="5">
        <v>10</v>
      </c>
      <c r="H732" s="5">
        <v>81406</v>
      </c>
      <c r="I732" s="5" t="s">
        <v>16</v>
      </c>
      <c r="J732" s="5">
        <v>73565596</v>
      </c>
      <c r="K732" s="5" t="s">
        <v>1374</v>
      </c>
      <c r="L732" s="5" t="s">
        <v>1375</v>
      </c>
      <c r="M732" s="6">
        <v>259900</v>
      </c>
      <c r="N732" s="7">
        <v>0.9</v>
      </c>
      <c r="O732" s="6">
        <f t="shared" si="24"/>
        <v>25990</v>
      </c>
      <c r="P732" s="5" t="s">
        <v>504</v>
      </c>
    </row>
    <row r="733" spans="1:16" x14ac:dyDescent="0.35">
      <c r="A733" s="5" t="str">
        <f t="shared" si="23"/>
        <v>2022 All Items D90</v>
      </c>
      <c r="B733" s="8">
        <f>'ALL 2024 H2 D80'!$B$2</f>
        <v>46114</v>
      </c>
      <c r="C733" s="8">
        <f>'ALL 2024 H2 D80'!$C$2</f>
        <v>46120</v>
      </c>
      <c r="D733" s="5">
        <v>3208</v>
      </c>
      <c r="E733" s="5">
        <v>320</v>
      </c>
      <c r="F733" s="5">
        <v>1</v>
      </c>
      <c r="G733" s="5">
        <v>10</v>
      </c>
      <c r="H733" s="5">
        <v>81406</v>
      </c>
      <c r="I733" s="5" t="s">
        <v>16</v>
      </c>
      <c r="J733" s="5">
        <v>73565603</v>
      </c>
      <c r="K733" s="5" t="s">
        <v>1374</v>
      </c>
      <c r="L733" s="5" t="s">
        <v>1376</v>
      </c>
      <c r="M733" s="6">
        <v>259900</v>
      </c>
      <c r="N733" s="7">
        <v>0.9</v>
      </c>
      <c r="O733" s="6">
        <f t="shared" si="24"/>
        <v>25990</v>
      </c>
      <c r="P733" s="5" t="s">
        <v>504</v>
      </c>
    </row>
    <row r="734" spans="1:16" x14ac:dyDescent="0.35">
      <c r="A734" s="5" t="str">
        <f t="shared" si="23"/>
        <v>2022 All Items D90</v>
      </c>
      <c r="B734" s="8">
        <f>'ALL 2024 H2 D80'!$B$2</f>
        <v>46114</v>
      </c>
      <c r="C734" s="8">
        <f>'ALL 2024 H2 D80'!$C$2</f>
        <v>46120</v>
      </c>
      <c r="D734" s="5">
        <v>3208</v>
      </c>
      <c r="E734" s="5">
        <v>320</v>
      </c>
      <c r="F734" s="5">
        <v>1</v>
      </c>
      <c r="G734" s="5">
        <v>10</v>
      </c>
      <c r="H734" s="5">
        <v>81406</v>
      </c>
      <c r="I734" s="5" t="s">
        <v>16</v>
      </c>
      <c r="J734" s="5">
        <v>73565612</v>
      </c>
      <c r="K734" s="5" t="s">
        <v>1374</v>
      </c>
      <c r="L734" s="5" t="s">
        <v>1377</v>
      </c>
      <c r="M734" s="6">
        <v>259900</v>
      </c>
      <c r="N734" s="7">
        <v>0.9</v>
      </c>
      <c r="O734" s="6">
        <f t="shared" si="24"/>
        <v>25990</v>
      </c>
      <c r="P734" s="5" t="s">
        <v>504</v>
      </c>
    </row>
    <row r="735" spans="1:16" x14ac:dyDescent="0.35">
      <c r="A735" s="5" t="str">
        <f t="shared" si="23"/>
        <v>2022 All Items D90</v>
      </c>
      <c r="B735" s="8">
        <f>'ALL 2024 H2 D80'!$B$2</f>
        <v>46114</v>
      </c>
      <c r="C735" s="8">
        <f>'ALL 2024 H2 D80'!$C$2</f>
        <v>46120</v>
      </c>
      <c r="D735" s="5">
        <v>3208</v>
      </c>
      <c r="E735" s="5">
        <v>320</v>
      </c>
      <c r="F735" s="5">
        <v>1</v>
      </c>
      <c r="G735" s="5">
        <v>10</v>
      </c>
      <c r="H735" s="5">
        <v>81406</v>
      </c>
      <c r="I735" s="5" t="s">
        <v>16</v>
      </c>
      <c r="J735" s="5">
        <v>73565621</v>
      </c>
      <c r="K735" s="5" t="s">
        <v>1374</v>
      </c>
      <c r="L735" s="5" t="s">
        <v>1378</v>
      </c>
      <c r="M735" s="6">
        <v>259900</v>
      </c>
      <c r="N735" s="7">
        <v>0.9</v>
      </c>
      <c r="O735" s="6">
        <f t="shared" si="24"/>
        <v>25990</v>
      </c>
      <c r="P735" s="5" t="s">
        <v>504</v>
      </c>
    </row>
    <row r="736" spans="1:16" x14ac:dyDescent="0.35">
      <c r="A736" s="5" t="str">
        <f t="shared" si="23"/>
        <v>2022 All Items D90</v>
      </c>
      <c r="B736" s="8">
        <f>'ALL 2024 H2 D80'!$B$2</f>
        <v>46114</v>
      </c>
      <c r="C736" s="8">
        <f>'ALL 2024 H2 D80'!$C$2</f>
        <v>46120</v>
      </c>
      <c r="D736" s="5">
        <v>3208</v>
      </c>
      <c r="E736" s="5">
        <v>320</v>
      </c>
      <c r="F736" s="5">
        <v>1</v>
      </c>
      <c r="G736" s="5">
        <v>10</v>
      </c>
      <c r="H736" s="5">
        <v>81406</v>
      </c>
      <c r="I736" s="5" t="s">
        <v>16</v>
      </c>
      <c r="J736" s="5">
        <v>73565630</v>
      </c>
      <c r="K736" s="5" t="s">
        <v>1374</v>
      </c>
      <c r="L736" s="5" t="s">
        <v>1958</v>
      </c>
      <c r="M736" s="6">
        <v>259900</v>
      </c>
      <c r="N736" s="7">
        <v>0.9</v>
      </c>
      <c r="O736" s="6">
        <f t="shared" si="24"/>
        <v>25990</v>
      </c>
      <c r="P736" s="5" t="s">
        <v>504</v>
      </c>
    </row>
    <row r="737" spans="1:16" x14ac:dyDescent="0.35">
      <c r="A737" s="5" t="str">
        <f t="shared" si="23"/>
        <v>2022 All Items D90</v>
      </c>
      <c r="B737" s="8">
        <f>'ALL 2024 H2 D80'!$B$2</f>
        <v>46114</v>
      </c>
      <c r="C737" s="8">
        <f>'ALL 2024 H2 D80'!$C$2</f>
        <v>46120</v>
      </c>
      <c r="D737" s="5">
        <v>3208</v>
      </c>
      <c r="E737" s="5">
        <v>320</v>
      </c>
      <c r="F737" s="5">
        <v>1</v>
      </c>
      <c r="G737" s="5">
        <v>10</v>
      </c>
      <c r="H737" s="5">
        <v>81406</v>
      </c>
      <c r="I737" s="5" t="s">
        <v>16</v>
      </c>
      <c r="J737" s="5">
        <v>73565658</v>
      </c>
      <c r="K737" s="5" t="s">
        <v>1374</v>
      </c>
      <c r="L737" s="5" t="s">
        <v>1959</v>
      </c>
      <c r="M737" s="6">
        <v>259900</v>
      </c>
      <c r="N737" s="7">
        <v>0.9</v>
      </c>
      <c r="O737" s="6">
        <f t="shared" si="24"/>
        <v>25990</v>
      </c>
      <c r="P737" s="5" t="s">
        <v>504</v>
      </c>
    </row>
    <row r="738" spans="1:16" x14ac:dyDescent="0.35">
      <c r="A738" s="5" t="str">
        <f t="shared" si="23"/>
        <v>2022 All Items D90</v>
      </c>
      <c r="B738" s="8">
        <f>'ALL 2024 H2 D80'!$B$2</f>
        <v>46114</v>
      </c>
      <c r="C738" s="8">
        <f>'ALL 2024 H2 D80'!$C$2</f>
        <v>46120</v>
      </c>
      <c r="D738" s="5">
        <v>3208</v>
      </c>
      <c r="E738" s="5">
        <v>320</v>
      </c>
      <c r="F738" s="5">
        <v>1</v>
      </c>
      <c r="G738" s="5">
        <v>10</v>
      </c>
      <c r="H738" s="5">
        <v>81406</v>
      </c>
      <c r="I738" s="5" t="s">
        <v>16</v>
      </c>
      <c r="J738" s="5">
        <v>73645133</v>
      </c>
      <c r="K738" s="5" t="s">
        <v>1379</v>
      </c>
      <c r="L738" s="5" t="s">
        <v>1380</v>
      </c>
      <c r="M738" s="6">
        <v>349900</v>
      </c>
      <c r="N738" s="7">
        <v>0.9</v>
      </c>
      <c r="O738" s="6">
        <f t="shared" si="24"/>
        <v>34990</v>
      </c>
      <c r="P738" s="5" t="s">
        <v>504</v>
      </c>
    </row>
    <row r="739" spans="1:16" x14ac:dyDescent="0.35">
      <c r="A739" s="5" t="str">
        <f t="shared" si="23"/>
        <v>2022 All Items D90</v>
      </c>
      <c r="B739" s="8">
        <f>'ALL 2024 H2 D80'!$B$2</f>
        <v>46114</v>
      </c>
      <c r="C739" s="8">
        <f>'ALL 2024 H2 D80'!$C$2</f>
        <v>46120</v>
      </c>
      <c r="D739" s="5">
        <v>3208</v>
      </c>
      <c r="E739" s="5">
        <v>320</v>
      </c>
      <c r="F739" s="5">
        <v>1</v>
      </c>
      <c r="G739" s="5">
        <v>10</v>
      </c>
      <c r="H739" s="5">
        <v>81406</v>
      </c>
      <c r="I739" s="5" t="s">
        <v>16</v>
      </c>
      <c r="J739" s="5">
        <v>73645142</v>
      </c>
      <c r="K739" s="5" t="s">
        <v>1379</v>
      </c>
      <c r="L739" s="5" t="s">
        <v>1381</v>
      </c>
      <c r="M739" s="6">
        <v>349900</v>
      </c>
      <c r="N739" s="7">
        <v>0.9</v>
      </c>
      <c r="O739" s="6">
        <f t="shared" si="24"/>
        <v>34990</v>
      </c>
      <c r="P739" s="5" t="s">
        <v>504</v>
      </c>
    </row>
    <row r="740" spans="1:16" x14ac:dyDescent="0.35">
      <c r="A740" s="5" t="str">
        <f t="shared" si="23"/>
        <v>2022 All Items D90</v>
      </c>
      <c r="B740" s="8">
        <f>'ALL 2024 H2 D80'!$B$2</f>
        <v>46114</v>
      </c>
      <c r="C740" s="8">
        <f>'ALL 2024 H2 D80'!$C$2</f>
        <v>46120</v>
      </c>
      <c r="D740" s="5">
        <v>3208</v>
      </c>
      <c r="E740" s="5">
        <v>320</v>
      </c>
      <c r="F740" s="5">
        <v>1</v>
      </c>
      <c r="G740" s="5">
        <v>10</v>
      </c>
      <c r="H740" s="5">
        <v>81406</v>
      </c>
      <c r="I740" s="5" t="s">
        <v>16</v>
      </c>
      <c r="J740" s="5">
        <v>73645151</v>
      </c>
      <c r="K740" s="5" t="s">
        <v>1379</v>
      </c>
      <c r="L740" s="5" t="s">
        <v>1382</v>
      </c>
      <c r="M740" s="6">
        <v>349900</v>
      </c>
      <c r="N740" s="7">
        <v>0.9</v>
      </c>
      <c r="O740" s="6">
        <f t="shared" si="24"/>
        <v>34990</v>
      </c>
      <c r="P740" s="5" t="s">
        <v>504</v>
      </c>
    </row>
    <row r="741" spans="1:16" x14ac:dyDescent="0.35">
      <c r="A741" s="5" t="str">
        <f t="shared" si="23"/>
        <v>2022 All Items D90</v>
      </c>
      <c r="B741" s="8">
        <f>'ALL 2024 H2 D80'!$B$2</f>
        <v>46114</v>
      </c>
      <c r="C741" s="8">
        <f>'ALL 2024 H2 D80'!$C$2</f>
        <v>46120</v>
      </c>
      <c r="D741" s="5">
        <v>3208</v>
      </c>
      <c r="E741" s="5">
        <v>320</v>
      </c>
      <c r="F741" s="5">
        <v>1</v>
      </c>
      <c r="G741" s="5">
        <v>10</v>
      </c>
      <c r="H741" s="5">
        <v>81406</v>
      </c>
      <c r="I741" s="5" t="s">
        <v>16</v>
      </c>
      <c r="J741" s="5">
        <v>73645160</v>
      </c>
      <c r="K741" s="5" t="s">
        <v>1379</v>
      </c>
      <c r="L741" s="5" t="s">
        <v>1383</v>
      </c>
      <c r="M741" s="6">
        <v>349900</v>
      </c>
      <c r="N741" s="7">
        <v>0.9</v>
      </c>
      <c r="O741" s="6">
        <f t="shared" si="24"/>
        <v>34990</v>
      </c>
      <c r="P741" s="5" t="s">
        <v>504</v>
      </c>
    </row>
    <row r="742" spans="1:16" x14ac:dyDescent="0.35">
      <c r="A742" s="5" t="str">
        <f t="shared" si="23"/>
        <v>2022 All Items D90</v>
      </c>
      <c r="B742" s="8">
        <f>'ALL 2024 H2 D80'!$B$2</f>
        <v>46114</v>
      </c>
      <c r="C742" s="8">
        <f>'ALL 2024 H2 D80'!$C$2</f>
        <v>46120</v>
      </c>
      <c r="D742" s="5">
        <v>3208</v>
      </c>
      <c r="E742" s="5">
        <v>320</v>
      </c>
      <c r="F742" s="5">
        <v>1</v>
      </c>
      <c r="G742" s="5">
        <v>10</v>
      </c>
      <c r="H742" s="5">
        <v>81406</v>
      </c>
      <c r="I742" s="5" t="s">
        <v>16</v>
      </c>
      <c r="J742" s="5">
        <v>73802169</v>
      </c>
      <c r="K742" s="5" t="s">
        <v>1384</v>
      </c>
      <c r="L742" s="5" t="s">
        <v>1385</v>
      </c>
      <c r="M742" s="6">
        <v>289900</v>
      </c>
      <c r="N742" s="7">
        <v>0.9</v>
      </c>
      <c r="O742" s="6">
        <f t="shared" si="24"/>
        <v>28990</v>
      </c>
      <c r="P742" s="5" t="s">
        <v>504</v>
      </c>
    </row>
    <row r="743" spans="1:16" x14ac:dyDescent="0.35">
      <c r="A743" s="5" t="str">
        <f t="shared" si="23"/>
        <v>2022 All Items D90</v>
      </c>
      <c r="B743" s="8">
        <f>'ALL 2024 H2 D80'!$B$2</f>
        <v>46114</v>
      </c>
      <c r="C743" s="8">
        <f>'ALL 2024 H2 D80'!$C$2</f>
        <v>46120</v>
      </c>
      <c r="D743" s="5">
        <v>3208</v>
      </c>
      <c r="E743" s="5">
        <v>320</v>
      </c>
      <c r="F743" s="5">
        <v>1</v>
      </c>
      <c r="G743" s="5">
        <v>10</v>
      </c>
      <c r="H743" s="5">
        <v>81406</v>
      </c>
      <c r="I743" s="5" t="s">
        <v>16</v>
      </c>
      <c r="J743" s="5">
        <v>73802178</v>
      </c>
      <c r="K743" s="5" t="s">
        <v>1384</v>
      </c>
      <c r="L743" s="5" t="s">
        <v>1386</v>
      </c>
      <c r="M743" s="6">
        <v>289900</v>
      </c>
      <c r="N743" s="7">
        <v>0.9</v>
      </c>
      <c r="O743" s="6">
        <f t="shared" si="24"/>
        <v>28990</v>
      </c>
      <c r="P743" s="5" t="s">
        <v>504</v>
      </c>
    </row>
    <row r="744" spans="1:16" x14ac:dyDescent="0.35">
      <c r="A744" s="5" t="str">
        <f t="shared" si="23"/>
        <v>2022 All Items D90</v>
      </c>
      <c r="B744" s="8">
        <f>'ALL 2024 H2 D80'!$B$2</f>
        <v>46114</v>
      </c>
      <c r="C744" s="8">
        <f>'ALL 2024 H2 D80'!$C$2</f>
        <v>46120</v>
      </c>
      <c r="D744" s="5">
        <v>3208</v>
      </c>
      <c r="E744" s="5">
        <v>320</v>
      </c>
      <c r="F744" s="5">
        <v>1</v>
      </c>
      <c r="G744" s="5">
        <v>10</v>
      </c>
      <c r="H744" s="5">
        <v>81406</v>
      </c>
      <c r="I744" s="5" t="s">
        <v>16</v>
      </c>
      <c r="J744" s="5">
        <v>73802187</v>
      </c>
      <c r="K744" s="5" t="s">
        <v>1384</v>
      </c>
      <c r="L744" s="5" t="s">
        <v>1387</v>
      </c>
      <c r="M744" s="6">
        <v>289900</v>
      </c>
      <c r="N744" s="7">
        <v>0.9</v>
      </c>
      <c r="O744" s="6">
        <f t="shared" si="24"/>
        <v>28990</v>
      </c>
      <c r="P744" s="5" t="s">
        <v>504</v>
      </c>
    </row>
    <row r="745" spans="1:16" x14ac:dyDescent="0.35">
      <c r="A745" s="5" t="str">
        <f t="shared" si="23"/>
        <v>2022 All Items D90</v>
      </c>
      <c r="B745" s="8">
        <f>'ALL 2024 H2 D80'!$B$2</f>
        <v>46114</v>
      </c>
      <c r="C745" s="8">
        <f>'ALL 2024 H2 D80'!$C$2</f>
        <v>46120</v>
      </c>
      <c r="D745" s="5">
        <v>3208</v>
      </c>
      <c r="E745" s="5">
        <v>320</v>
      </c>
      <c r="F745" s="5">
        <v>1</v>
      </c>
      <c r="G745" s="5">
        <v>10</v>
      </c>
      <c r="H745" s="5">
        <v>81406</v>
      </c>
      <c r="I745" s="5" t="s">
        <v>16</v>
      </c>
      <c r="J745" s="5">
        <v>73802196</v>
      </c>
      <c r="K745" s="5" t="s">
        <v>1384</v>
      </c>
      <c r="L745" s="5" t="s">
        <v>1388</v>
      </c>
      <c r="M745" s="6">
        <v>289900</v>
      </c>
      <c r="N745" s="7">
        <v>0.9</v>
      </c>
      <c r="O745" s="6">
        <f t="shared" si="24"/>
        <v>28990</v>
      </c>
      <c r="P745" s="5" t="s">
        <v>504</v>
      </c>
    </row>
    <row r="746" spans="1:16" x14ac:dyDescent="0.35">
      <c r="A746" s="5" t="str">
        <f t="shared" si="23"/>
        <v>2022 All Items D90</v>
      </c>
      <c r="B746" s="8">
        <f>'ALL 2024 H2 D80'!$B$2</f>
        <v>46114</v>
      </c>
      <c r="C746" s="8">
        <f>'ALL 2024 H2 D80'!$C$2</f>
        <v>46120</v>
      </c>
      <c r="D746" s="5">
        <v>3208</v>
      </c>
      <c r="E746" s="5">
        <v>320</v>
      </c>
      <c r="F746" s="5">
        <v>1</v>
      </c>
      <c r="G746" s="5">
        <v>10</v>
      </c>
      <c r="H746" s="5">
        <v>81406</v>
      </c>
      <c r="I746" s="5" t="s">
        <v>16</v>
      </c>
      <c r="J746" s="5">
        <v>73802203</v>
      </c>
      <c r="K746" s="5" t="s">
        <v>1384</v>
      </c>
      <c r="L746" s="5" t="s">
        <v>1389</v>
      </c>
      <c r="M746" s="6">
        <v>289900</v>
      </c>
      <c r="N746" s="7">
        <v>0.9</v>
      </c>
      <c r="O746" s="6">
        <f t="shared" si="24"/>
        <v>28990</v>
      </c>
      <c r="P746" s="5" t="s">
        <v>504</v>
      </c>
    </row>
    <row r="747" spans="1:16" x14ac:dyDescent="0.35">
      <c r="A747" s="5" t="str">
        <f t="shared" si="23"/>
        <v>2022 All Items D90</v>
      </c>
      <c r="B747" s="8">
        <f>'ALL 2024 H2 D80'!$B$2</f>
        <v>46114</v>
      </c>
      <c r="C747" s="8">
        <f>'ALL 2024 H2 D80'!$C$2</f>
        <v>46120</v>
      </c>
      <c r="D747" s="5">
        <v>3208</v>
      </c>
      <c r="E747" s="5">
        <v>320</v>
      </c>
      <c r="F747" s="5">
        <v>1</v>
      </c>
      <c r="G747" s="5">
        <v>10</v>
      </c>
      <c r="H747" s="5">
        <v>81406</v>
      </c>
      <c r="I747" s="5" t="s">
        <v>16</v>
      </c>
      <c r="J747" s="5">
        <v>73802212</v>
      </c>
      <c r="K747" s="5" t="s">
        <v>1384</v>
      </c>
      <c r="L747" s="5" t="s">
        <v>1390</v>
      </c>
      <c r="M747" s="6">
        <v>289900</v>
      </c>
      <c r="N747" s="7">
        <v>0.9</v>
      </c>
      <c r="O747" s="6">
        <f t="shared" si="24"/>
        <v>28990</v>
      </c>
      <c r="P747" s="5" t="s">
        <v>504</v>
      </c>
    </row>
    <row r="748" spans="1:16" x14ac:dyDescent="0.35">
      <c r="A748" s="5" t="str">
        <f t="shared" si="23"/>
        <v>2022 All Items D90</v>
      </c>
      <c r="B748" s="8">
        <f>'ALL 2024 H2 D80'!$B$2</f>
        <v>46114</v>
      </c>
      <c r="C748" s="8">
        <f>'ALL 2024 H2 D80'!$C$2</f>
        <v>46120</v>
      </c>
      <c r="D748" s="5">
        <v>3208</v>
      </c>
      <c r="E748" s="5">
        <v>320</v>
      </c>
      <c r="F748" s="5">
        <v>1</v>
      </c>
      <c r="G748" s="5">
        <v>10</v>
      </c>
      <c r="H748" s="5">
        <v>81406</v>
      </c>
      <c r="I748" s="5" t="s">
        <v>16</v>
      </c>
      <c r="J748" s="5">
        <v>73802221</v>
      </c>
      <c r="K748" s="5" t="s">
        <v>1384</v>
      </c>
      <c r="L748" s="5" t="s">
        <v>1391</v>
      </c>
      <c r="M748" s="6">
        <v>289900</v>
      </c>
      <c r="N748" s="7">
        <v>0.9</v>
      </c>
      <c r="O748" s="6">
        <f t="shared" si="24"/>
        <v>28990</v>
      </c>
      <c r="P748" s="5" t="s">
        <v>504</v>
      </c>
    </row>
    <row r="749" spans="1:16" x14ac:dyDescent="0.35">
      <c r="A749" s="5" t="str">
        <f t="shared" si="23"/>
        <v>2022 All Items D90</v>
      </c>
      <c r="B749" s="8">
        <f>'ALL 2024 H2 D80'!$B$2</f>
        <v>46114</v>
      </c>
      <c r="C749" s="8">
        <f>'ALL 2024 H2 D80'!$C$2</f>
        <v>46120</v>
      </c>
      <c r="D749" s="5">
        <v>3208</v>
      </c>
      <c r="E749" s="5">
        <v>320</v>
      </c>
      <c r="F749" s="5">
        <v>1</v>
      </c>
      <c r="G749" s="5">
        <v>10</v>
      </c>
      <c r="H749" s="5">
        <v>81406</v>
      </c>
      <c r="I749" s="5" t="s">
        <v>16</v>
      </c>
      <c r="J749" s="5">
        <v>73802230</v>
      </c>
      <c r="K749" s="5" t="s">
        <v>1384</v>
      </c>
      <c r="L749" s="5" t="s">
        <v>1392</v>
      </c>
      <c r="M749" s="6">
        <v>289900</v>
      </c>
      <c r="N749" s="7">
        <v>0.9</v>
      </c>
      <c r="O749" s="6">
        <f t="shared" si="24"/>
        <v>28990</v>
      </c>
      <c r="P749" s="5" t="s">
        <v>504</v>
      </c>
    </row>
    <row r="750" spans="1:16" x14ac:dyDescent="0.35">
      <c r="A750" s="5" t="str">
        <f t="shared" si="23"/>
        <v>2022 All Items D90</v>
      </c>
      <c r="B750" s="8">
        <f>'ALL 2024 H2 D80'!$B$2</f>
        <v>46114</v>
      </c>
      <c r="C750" s="8">
        <f>'ALL 2024 H2 D80'!$C$2</f>
        <v>46120</v>
      </c>
      <c r="D750" s="5">
        <v>3208</v>
      </c>
      <c r="E750" s="5">
        <v>320</v>
      </c>
      <c r="F750" s="5">
        <v>1</v>
      </c>
      <c r="G750" s="5">
        <v>10</v>
      </c>
      <c r="H750" s="5">
        <v>81406</v>
      </c>
      <c r="I750" s="5" t="s">
        <v>16</v>
      </c>
      <c r="J750" s="5">
        <v>75660176</v>
      </c>
      <c r="K750" s="5" t="s">
        <v>1393</v>
      </c>
      <c r="L750" s="5" t="s">
        <v>1394</v>
      </c>
      <c r="M750" s="6">
        <v>369900</v>
      </c>
      <c r="N750" s="7">
        <v>0.9</v>
      </c>
      <c r="O750" s="6">
        <f t="shared" si="24"/>
        <v>36990</v>
      </c>
      <c r="P750" s="5" t="s">
        <v>504</v>
      </c>
    </row>
    <row r="751" spans="1:16" x14ac:dyDescent="0.35">
      <c r="A751" s="5" t="str">
        <f t="shared" si="23"/>
        <v>2022 All Items D90</v>
      </c>
      <c r="B751" s="8">
        <f>'ALL 2024 H2 D80'!$B$2</f>
        <v>46114</v>
      </c>
      <c r="C751" s="8">
        <f>'ALL 2024 H2 D80'!$C$2</f>
        <v>46120</v>
      </c>
      <c r="D751" s="5">
        <v>3208</v>
      </c>
      <c r="E751" s="5">
        <v>320</v>
      </c>
      <c r="F751" s="5">
        <v>1</v>
      </c>
      <c r="G751" s="5">
        <v>10</v>
      </c>
      <c r="H751" s="5">
        <v>81406</v>
      </c>
      <c r="I751" s="5" t="s">
        <v>16</v>
      </c>
      <c r="J751" s="5">
        <v>75660185</v>
      </c>
      <c r="K751" s="5" t="s">
        <v>1393</v>
      </c>
      <c r="L751" s="5" t="s">
        <v>1395</v>
      </c>
      <c r="M751" s="6">
        <v>369900</v>
      </c>
      <c r="N751" s="7">
        <v>0.9</v>
      </c>
      <c r="O751" s="6">
        <f t="shared" si="24"/>
        <v>36990</v>
      </c>
      <c r="P751" s="5" t="s">
        <v>504</v>
      </c>
    </row>
    <row r="752" spans="1:16" x14ac:dyDescent="0.35">
      <c r="A752" s="5" t="str">
        <f t="shared" si="23"/>
        <v>2022 All Items D90</v>
      </c>
      <c r="B752" s="8">
        <f>'ALL 2024 H2 D80'!$B$2</f>
        <v>46114</v>
      </c>
      <c r="C752" s="8">
        <f>'ALL 2024 H2 D80'!$C$2</f>
        <v>46120</v>
      </c>
      <c r="D752" s="5">
        <v>3208</v>
      </c>
      <c r="E752" s="5">
        <v>320</v>
      </c>
      <c r="F752" s="5">
        <v>1</v>
      </c>
      <c r="G752" s="5">
        <v>10</v>
      </c>
      <c r="H752" s="5">
        <v>81406</v>
      </c>
      <c r="I752" s="5" t="s">
        <v>16</v>
      </c>
      <c r="J752" s="5">
        <v>75660194</v>
      </c>
      <c r="K752" s="5" t="s">
        <v>1393</v>
      </c>
      <c r="L752" s="5" t="s">
        <v>1396</v>
      </c>
      <c r="M752" s="6">
        <v>369900</v>
      </c>
      <c r="N752" s="7">
        <v>0.9</v>
      </c>
      <c r="O752" s="6">
        <f t="shared" si="24"/>
        <v>36990</v>
      </c>
      <c r="P752" s="5" t="s">
        <v>504</v>
      </c>
    </row>
    <row r="753" spans="1:16" x14ac:dyDescent="0.35">
      <c r="A753" s="5" t="str">
        <f t="shared" si="23"/>
        <v>2022 All Items D90</v>
      </c>
      <c r="B753" s="8">
        <f>'ALL 2024 H2 D80'!$B$2</f>
        <v>46114</v>
      </c>
      <c r="C753" s="8">
        <f>'ALL 2024 H2 D80'!$C$2</f>
        <v>46120</v>
      </c>
      <c r="D753" s="5">
        <v>3208</v>
      </c>
      <c r="E753" s="5">
        <v>320</v>
      </c>
      <c r="F753" s="5">
        <v>1</v>
      </c>
      <c r="G753" s="5">
        <v>10</v>
      </c>
      <c r="H753" s="5">
        <v>81406</v>
      </c>
      <c r="I753" s="5" t="s">
        <v>16</v>
      </c>
      <c r="J753" s="5">
        <v>75660201</v>
      </c>
      <c r="K753" s="5" t="s">
        <v>1393</v>
      </c>
      <c r="L753" s="5" t="s">
        <v>1397</v>
      </c>
      <c r="M753" s="6">
        <v>369900</v>
      </c>
      <c r="N753" s="7">
        <v>0.9</v>
      </c>
      <c r="O753" s="6">
        <f t="shared" si="24"/>
        <v>36990</v>
      </c>
      <c r="P753" s="5" t="s">
        <v>504</v>
      </c>
    </row>
    <row r="754" spans="1:16" x14ac:dyDescent="0.35">
      <c r="A754" s="5" t="str">
        <f t="shared" si="23"/>
        <v>2022 All Items D90</v>
      </c>
      <c r="B754" s="8">
        <f>'ALL 2024 H2 D80'!$B$2</f>
        <v>46114</v>
      </c>
      <c r="C754" s="8">
        <f>'ALL 2024 H2 D80'!$C$2</f>
        <v>46120</v>
      </c>
      <c r="D754" s="5">
        <v>3208</v>
      </c>
      <c r="E754" s="5">
        <v>320</v>
      </c>
      <c r="F754" s="5">
        <v>1</v>
      </c>
      <c r="G754" s="5">
        <v>10</v>
      </c>
      <c r="H754" s="5">
        <v>81406</v>
      </c>
      <c r="I754" s="5" t="s">
        <v>16</v>
      </c>
      <c r="J754" s="5">
        <v>75660318</v>
      </c>
      <c r="K754" s="5" t="s">
        <v>1398</v>
      </c>
      <c r="L754" s="5" t="s">
        <v>1399</v>
      </c>
      <c r="M754" s="6">
        <v>369900</v>
      </c>
      <c r="N754" s="7">
        <v>0.9</v>
      </c>
      <c r="O754" s="6">
        <f t="shared" si="24"/>
        <v>36990</v>
      </c>
      <c r="P754" s="5" t="s">
        <v>504</v>
      </c>
    </row>
    <row r="755" spans="1:16" x14ac:dyDescent="0.35">
      <c r="A755" s="5" t="str">
        <f t="shared" si="23"/>
        <v>2022 All Items D90</v>
      </c>
      <c r="B755" s="8">
        <f>'ALL 2024 H2 D80'!$B$2</f>
        <v>46114</v>
      </c>
      <c r="C755" s="8">
        <f>'ALL 2024 H2 D80'!$C$2</f>
        <v>46120</v>
      </c>
      <c r="D755" s="5">
        <v>3208</v>
      </c>
      <c r="E755" s="5">
        <v>320</v>
      </c>
      <c r="F755" s="5">
        <v>1</v>
      </c>
      <c r="G755" s="5">
        <v>10</v>
      </c>
      <c r="H755" s="5">
        <v>81406</v>
      </c>
      <c r="I755" s="5" t="s">
        <v>16</v>
      </c>
      <c r="J755" s="5">
        <v>75660327</v>
      </c>
      <c r="K755" s="5" t="s">
        <v>1398</v>
      </c>
      <c r="L755" s="5" t="s">
        <v>1400</v>
      </c>
      <c r="M755" s="6">
        <v>369900</v>
      </c>
      <c r="N755" s="7">
        <v>0.9</v>
      </c>
      <c r="O755" s="6">
        <f t="shared" si="24"/>
        <v>36990</v>
      </c>
      <c r="P755" s="5" t="s">
        <v>504</v>
      </c>
    </row>
    <row r="756" spans="1:16" x14ac:dyDescent="0.35">
      <c r="A756" s="5" t="str">
        <f t="shared" si="23"/>
        <v>2022 All Items D90</v>
      </c>
      <c r="B756" s="8">
        <f>'ALL 2024 H2 D80'!$B$2</f>
        <v>46114</v>
      </c>
      <c r="C756" s="8">
        <f>'ALL 2024 H2 D80'!$C$2</f>
        <v>46120</v>
      </c>
      <c r="D756" s="5">
        <v>3208</v>
      </c>
      <c r="E756" s="5">
        <v>320</v>
      </c>
      <c r="F756" s="5">
        <v>1</v>
      </c>
      <c r="G756" s="5">
        <v>10</v>
      </c>
      <c r="H756" s="5">
        <v>81406</v>
      </c>
      <c r="I756" s="5" t="s">
        <v>16</v>
      </c>
      <c r="J756" s="5">
        <v>75660336</v>
      </c>
      <c r="K756" s="5" t="s">
        <v>1398</v>
      </c>
      <c r="L756" s="5" t="s">
        <v>1401</v>
      </c>
      <c r="M756" s="6">
        <v>369900</v>
      </c>
      <c r="N756" s="7">
        <v>0.9</v>
      </c>
      <c r="O756" s="6">
        <f t="shared" si="24"/>
        <v>36990</v>
      </c>
      <c r="P756" s="5" t="s">
        <v>504</v>
      </c>
    </row>
    <row r="757" spans="1:16" x14ac:dyDescent="0.35">
      <c r="A757" s="5" t="str">
        <f t="shared" si="23"/>
        <v>2022 All Items D90</v>
      </c>
      <c r="B757" s="8">
        <f>'ALL 2024 H2 D80'!$B$2</f>
        <v>46114</v>
      </c>
      <c r="C757" s="8">
        <f>'ALL 2024 H2 D80'!$C$2</f>
        <v>46120</v>
      </c>
      <c r="D757" s="5">
        <v>3208</v>
      </c>
      <c r="E757" s="5">
        <v>320</v>
      </c>
      <c r="F757" s="5">
        <v>1</v>
      </c>
      <c r="G757" s="5">
        <v>10</v>
      </c>
      <c r="H757" s="5">
        <v>81406</v>
      </c>
      <c r="I757" s="5" t="s">
        <v>16</v>
      </c>
      <c r="J757" s="5">
        <v>75660345</v>
      </c>
      <c r="K757" s="5" t="s">
        <v>1398</v>
      </c>
      <c r="L757" s="5" t="s">
        <v>1402</v>
      </c>
      <c r="M757" s="6">
        <v>369900</v>
      </c>
      <c r="N757" s="7">
        <v>0.9</v>
      </c>
      <c r="O757" s="6">
        <f t="shared" si="24"/>
        <v>36990</v>
      </c>
      <c r="P757" s="5" t="s">
        <v>504</v>
      </c>
    </row>
    <row r="758" spans="1:16" x14ac:dyDescent="0.35">
      <c r="A758" s="5" t="str">
        <f t="shared" si="23"/>
        <v>2022 All Items D90</v>
      </c>
      <c r="B758" s="8">
        <f>'ALL 2024 H2 D80'!$B$2</f>
        <v>46114</v>
      </c>
      <c r="C758" s="8">
        <f>'ALL 2024 H2 D80'!$C$2</f>
        <v>46120</v>
      </c>
      <c r="D758" s="5">
        <v>3208</v>
      </c>
      <c r="E758" s="5">
        <v>320</v>
      </c>
      <c r="F758" s="5">
        <v>1</v>
      </c>
      <c r="G758" s="5">
        <v>10</v>
      </c>
      <c r="H758" s="5">
        <v>81406</v>
      </c>
      <c r="I758" s="5" t="s">
        <v>16</v>
      </c>
      <c r="J758" s="5">
        <v>75660354</v>
      </c>
      <c r="K758" s="5" t="s">
        <v>1403</v>
      </c>
      <c r="L758" s="5" t="s">
        <v>1404</v>
      </c>
      <c r="M758" s="6">
        <v>399900</v>
      </c>
      <c r="N758" s="7">
        <v>0.9</v>
      </c>
      <c r="O758" s="6">
        <f t="shared" si="24"/>
        <v>39990</v>
      </c>
      <c r="P758" s="5" t="s">
        <v>504</v>
      </c>
    </row>
    <row r="759" spans="1:16" x14ac:dyDescent="0.35">
      <c r="A759" s="5" t="str">
        <f t="shared" si="23"/>
        <v>2022 All Items D90</v>
      </c>
      <c r="B759" s="8">
        <f>'ALL 2024 H2 D80'!$B$2</f>
        <v>46114</v>
      </c>
      <c r="C759" s="8">
        <f>'ALL 2024 H2 D80'!$C$2</f>
        <v>46120</v>
      </c>
      <c r="D759" s="5">
        <v>3208</v>
      </c>
      <c r="E759" s="5">
        <v>320</v>
      </c>
      <c r="F759" s="5">
        <v>1</v>
      </c>
      <c r="G759" s="5">
        <v>10</v>
      </c>
      <c r="H759" s="5">
        <v>81406</v>
      </c>
      <c r="I759" s="5" t="s">
        <v>16</v>
      </c>
      <c r="J759" s="5">
        <v>75660363</v>
      </c>
      <c r="K759" s="5" t="s">
        <v>1403</v>
      </c>
      <c r="L759" s="5" t="s">
        <v>1405</v>
      </c>
      <c r="M759" s="6">
        <v>399900</v>
      </c>
      <c r="N759" s="7">
        <v>0.9</v>
      </c>
      <c r="O759" s="6">
        <f t="shared" si="24"/>
        <v>39990</v>
      </c>
      <c r="P759" s="5" t="s">
        <v>504</v>
      </c>
    </row>
    <row r="760" spans="1:16" x14ac:dyDescent="0.35">
      <c r="A760" s="5" t="str">
        <f t="shared" si="23"/>
        <v>2022 All Items D90</v>
      </c>
      <c r="B760" s="8">
        <f>'ALL 2024 H2 D80'!$B$2</f>
        <v>46114</v>
      </c>
      <c r="C760" s="8">
        <f>'ALL 2024 H2 D80'!$C$2</f>
        <v>46120</v>
      </c>
      <c r="D760" s="5">
        <v>3208</v>
      </c>
      <c r="E760" s="5">
        <v>320</v>
      </c>
      <c r="F760" s="5">
        <v>1</v>
      </c>
      <c r="G760" s="5">
        <v>10</v>
      </c>
      <c r="H760" s="5">
        <v>81406</v>
      </c>
      <c r="I760" s="5" t="s">
        <v>16</v>
      </c>
      <c r="J760" s="5">
        <v>75660372</v>
      </c>
      <c r="K760" s="5" t="s">
        <v>1403</v>
      </c>
      <c r="L760" s="5" t="s">
        <v>1406</v>
      </c>
      <c r="M760" s="6">
        <v>399900</v>
      </c>
      <c r="N760" s="7">
        <v>0.9</v>
      </c>
      <c r="O760" s="6">
        <f t="shared" si="24"/>
        <v>39990</v>
      </c>
      <c r="P760" s="5" t="s">
        <v>504</v>
      </c>
    </row>
    <row r="761" spans="1:16" x14ac:dyDescent="0.35">
      <c r="A761" s="5" t="str">
        <f t="shared" si="23"/>
        <v>2022 All Items D90</v>
      </c>
      <c r="B761" s="8">
        <f>'ALL 2024 H2 D80'!$B$2</f>
        <v>46114</v>
      </c>
      <c r="C761" s="8">
        <f>'ALL 2024 H2 D80'!$C$2</f>
        <v>46120</v>
      </c>
      <c r="D761" s="5">
        <v>3208</v>
      </c>
      <c r="E761" s="5">
        <v>320</v>
      </c>
      <c r="F761" s="5">
        <v>1</v>
      </c>
      <c r="G761" s="5">
        <v>10</v>
      </c>
      <c r="H761" s="5">
        <v>81406</v>
      </c>
      <c r="I761" s="5" t="s">
        <v>16</v>
      </c>
      <c r="J761" s="5">
        <v>75660381</v>
      </c>
      <c r="K761" s="5" t="s">
        <v>1403</v>
      </c>
      <c r="L761" s="5" t="s">
        <v>1407</v>
      </c>
      <c r="M761" s="6">
        <v>399900</v>
      </c>
      <c r="N761" s="7">
        <v>0.9</v>
      </c>
      <c r="O761" s="6">
        <f t="shared" si="24"/>
        <v>39990</v>
      </c>
      <c r="P761" s="5" t="s">
        <v>504</v>
      </c>
    </row>
    <row r="762" spans="1:16" x14ac:dyDescent="0.35">
      <c r="A762" s="5" t="str">
        <f t="shared" si="23"/>
        <v>2022 All Items D90</v>
      </c>
      <c r="B762" s="8">
        <f>'ALL 2024 H2 D80'!$B$2</f>
        <v>46114</v>
      </c>
      <c r="C762" s="8">
        <f>'ALL 2024 H2 D80'!$C$2</f>
        <v>46120</v>
      </c>
      <c r="D762" s="5">
        <v>3208</v>
      </c>
      <c r="E762" s="5">
        <v>320</v>
      </c>
      <c r="F762" s="5">
        <v>1</v>
      </c>
      <c r="G762" s="5">
        <v>10</v>
      </c>
      <c r="H762" s="5">
        <v>81406</v>
      </c>
      <c r="I762" s="5" t="s">
        <v>16</v>
      </c>
      <c r="J762" s="5">
        <v>79260654</v>
      </c>
      <c r="K762" s="5" t="s">
        <v>1408</v>
      </c>
      <c r="L762" s="5" t="s">
        <v>1409</v>
      </c>
      <c r="M762" s="6">
        <v>369900</v>
      </c>
      <c r="N762" s="7">
        <v>0.9</v>
      </c>
      <c r="O762" s="6">
        <f t="shared" si="24"/>
        <v>36990</v>
      </c>
      <c r="P762" s="5" t="s">
        <v>504</v>
      </c>
    </row>
    <row r="763" spans="1:16" x14ac:dyDescent="0.35">
      <c r="A763" s="5" t="str">
        <f t="shared" si="23"/>
        <v>2022 All Items D90</v>
      </c>
      <c r="B763" s="8">
        <f>'ALL 2024 H2 D80'!$B$2</f>
        <v>46114</v>
      </c>
      <c r="C763" s="8">
        <f>'ALL 2024 H2 D80'!$C$2</f>
        <v>46120</v>
      </c>
      <c r="D763" s="5">
        <v>3208</v>
      </c>
      <c r="E763" s="5">
        <v>320</v>
      </c>
      <c r="F763" s="5">
        <v>1</v>
      </c>
      <c r="G763" s="5">
        <v>10</v>
      </c>
      <c r="H763" s="5">
        <v>81406</v>
      </c>
      <c r="I763" s="5" t="s">
        <v>16</v>
      </c>
      <c r="J763" s="5">
        <v>79260663</v>
      </c>
      <c r="K763" s="5" t="s">
        <v>1408</v>
      </c>
      <c r="L763" s="5" t="s">
        <v>1410</v>
      </c>
      <c r="M763" s="6">
        <v>369900</v>
      </c>
      <c r="N763" s="7">
        <v>0.9</v>
      </c>
      <c r="O763" s="6">
        <f t="shared" si="24"/>
        <v>36990</v>
      </c>
      <c r="P763" s="5" t="s">
        <v>504</v>
      </c>
    </row>
    <row r="764" spans="1:16" x14ac:dyDescent="0.35">
      <c r="A764" s="5" t="str">
        <f t="shared" si="23"/>
        <v>2022 All Items D90</v>
      </c>
      <c r="B764" s="8">
        <f>'ALL 2024 H2 D80'!$B$2</f>
        <v>46114</v>
      </c>
      <c r="C764" s="8">
        <f>'ALL 2024 H2 D80'!$C$2</f>
        <v>46120</v>
      </c>
      <c r="D764" s="5">
        <v>3208</v>
      </c>
      <c r="E764" s="5">
        <v>320</v>
      </c>
      <c r="F764" s="5">
        <v>1</v>
      </c>
      <c r="G764" s="5">
        <v>10</v>
      </c>
      <c r="H764" s="5">
        <v>81406</v>
      </c>
      <c r="I764" s="5" t="s">
        <v>16</v>
      </c>
      <c r="J764" s="5">
        <v>79260672</v>
      </c>
      <c r="K764" s="5" t="s">
        <v>1408</v>
      </c>
      <c r="L764" s="5" t="s">
        <v>1411</v>
      </c>
      <c r="M764" s="6">
        <v>369900</v>
      </c>
      <c r="N764" s="7">
        <v>0.9</v>
      </c>
      <c r="O764" s="6">
        <f t="shared" si="24"/>
        <v>36990</v>
      </c>
      <c r="P764" s="5" t="s">
        <v>504</v>
      </c>
    </row>
    <row r="765" spans="1:16" x14ac:dyDescent="0.35">
      <c r="A765" s="5" t="str">
        <f t="shared" si="23"/>
        <v>2022 All Items D90</v>
      </c>
      <c r="B765" s="8">
        <f>'ALL 2024 H2 D80'!$B$2</f>
        <v>46114</v>
      </c>
      <c r="C765" s="8">
        <f>'ALL 2024 H2 D80'!$C$2</f>
        <v>46120</v>
      </c>
      <c r="D765" s="5">
        <v>3208</v>
      </c>
      <c r="E765" s="5">
        <v>320</v>
      </c>
      <c r="F765" s="5">
        <v>1</v>
      </c>
      <c r="G765" s="5">
        <v>10</v>
      </c>
      <c r="H765" s="5">
        <v>81406</v>
      </c>
      <c r="I765" s="5" t="s">
        <v>16</v>
      </c>
      <c r="J765" s="5">
        <v>79260681</v>
      </c>
      <c r="K765" s="5" t="s">
        <v>1408</v>
      </c>
      <c r="L765" s="5" t="s">
        <v>1412</v>
      </c>
      <c r="M765" s="6">
        <v>369900</v>
      </c>
      <c r="N765" s="7">
        <v>0.9</v>
      </c>
      <c r="O765" s="6">
        <f t="shared" si="24"/>
        <v>36990</v>
      </c>
      <c r="P765" s="5" t="s">
        <v>504</v>
      </c>
    </row>
    <row r="766" spans="1:16" x14ac:dyDescent="0.35">
      <c r="A766" s="5" t="str">
        <f t="shared" si="23"/>
        <v>2022 All Items D90</v>
      </c>
      <c r="B766" s="8">
        <f>'ALL 2024 H2 D80'!$B$2</f>
        <v>46114</v>
      </c>
      <c r="C766" s="8">
        <f>'ALL 2024 H2 D80'!$C$2</f>
        <v>46120</v>
      </c>
      <c r="D766" s="5">
        <v>3208</v>
      </c>
      <c r="E766" s="5">
        <v>320</v>
      </c>
      <c r="F766" s="5">
        <v>1</v>
      </c>
      <c r="G766" s="5">
        <v>11</v>
      </c>
      <c r="H766" s="5">
        <v>81427</v>
      </c>
      <c r="I766" s="5" t="s">
        <v>16</v>
      </c>
      <c r="J766" s="5">
        <v>75661193</v>
      </c>
      <c r="K766" s="5" t="s">
        <v>1413</v>
      </c>
      <c r="L766" s="5" t="s">
        <v>1414</v>
      </c>
      <c r="M766" s="6">
        <v>149900</v>
      </c>
      <c r="N766" s="7">
        <v>0.9</v>
      </c>
      <c r="O766" s="6">
        <f t="shared" si="24"/>
        <v>14990</v>
      </c>
      <c r="P766" s="5" t="s">
        <v>504</v>
      </c>
    </row>
    <row r="767" spans="1:16" x14ac:dyDescent="0.35">
      <c r="A767" s="5" t="str">
        <f t="shared" si="23"/>
        <v>2022 All Items D90</v>
      </c>
      <c r="B767" s="8">
        <f>'ALL 2024 H2 D80'!$B$2</f>
        <v>46114</v>
      </c>
      <c r="C767" s="8">
        <f>'ALL 2024 H2 D80'!$C$2</f>
        <v>46120</v>
      </c>
      <c r="D767" s="5">
        <v>3208</v>
      </c>
      <c r="E767" s="5">
        <v>320</v>
      </c>
      <c r="F767" s="5">
        <v>1</v>
      </c>
      <c r="G767" s="5">
        <v>11</v>
      </c>
      <c r="H767" s="5">
        <v>81427</v>
      </c>
      <c r="I767" s="5" t="s">
        <v>16</v>
      </c>
      <c r="J767" s="5">
        <v>75661219</v>
      </c>
      <c r="K767" s="5" t="s">
        <v>1413</v>
      </c>
      <c r="L767" s="5" t="s">
        <v>1415</v>
      </c>
      <c r="M767" s="6">
        <v>149900</v>
      </c>
      <c r="N767" s="7">
        <v>0.9</v>
      </c>
      <c r="O767" s="6">
        <f t="shared" si="24"/>
        <v>14990</v>
      </c>
      <c r="P767" s="5" t="s">
        <v>504</v>
      </c>
    </row>
    <row r="768" spans="1:16" x14ac:dyDescent="0.35">
      <c r="A768" s="5" t="str">
        <f t="shared" si="23"/>
        <v>2022 All Items D90</v>
      </c>
      <c r="B768" s="8">
        <f>'ALL 2024 H2 D80'!$B$2</f>
        <v>46114</v>
      </c>
      <c r="C768" s="8">
        <f>'ALL 2024 H2 D80'!$C$2</f>
        <v>46120</v>
      </c>
      <c r="D768" s="5">
        <v>3208</v>
      </c>
      <c r="E768" s="5">
        <v>320</v>
      </c>
      <c r="F768" s="5">
        <v>1</v>
      </c>
      <c r="G768" s="5">
        <v>11</v>
      </c>
      <c r="H768" s="5">
        <v>81427</v>
      </c>
      <c r="I768" s="5" t="s">
        <v>16</v>
      </c>
      <c r="J768" s="5">
        <v>75661228</v>
      </c>
      <c r="K768" s="5" t="s">
        <v>1413</v>
      </c>
      <c r="L768" s="5" t="s">
        <v>1416</v>
      </c>
      <c r="M768" s="6">
        <v>149900</v>
      </c>
      <c r="N768" s="7">
        <v>0.9</v>
      </c>
      <c r="O768" s="6">
        <f t="shared" si="24"/>
        <v>14990</v>
      </c>
      <c r="P768" s="5" t="s">
        <v>504</v>
      </c>
    </row>
    <row r="769" spans="1:16" x14ac:dyDescent="0.35">
      <c r="A769" s="5" t="str">
        <f t="shared" si="23"/>
        <v>2022 All Items D90</v>
      </c>
      <c r="B769" s="8">
        <f>'ALL 2024 H2 D80'!$B$2</f>
        <v>46114</v>
      </c>
      <c r="C769" s="8">
        <f>'ALL 2024 H2 D80'!$C$2</f>
        <v>46120</v>
      </c>
      <c r="D769" s="5">
        <v>3208</v>
      </c>
      <c r="E769" s="5">
        <v>320</v>
      </c>
      <c r="F769" s="5">
        <v>1</v>
      </c>
      <c r="G769" s="5">
        <v>11</v>
      </c>
      <c r="H769" s="5">
        <v>81427</v>
      </c>
      <c r="I769" s="5" t="s">
        <v>16</v>
      </c>
      <c r="J769" s="5">
        <v>75661264</v>
      </c>
      <c r="K769" s="5" t="s">
        <v>1417</v>
      </c>
      <c r="L769" s="5" t="s">
        <v>1418</v>
      </c>
      <c r="M769" s="6">
        <v>149900</v>
      </c>
      <c r="N769" s="7">
        <v>0.9</v>
      </c>
      <c r="O769" s="6">
        <f t="shared" si="24"/>
        <v>14990</v>
      </c>
      <c r="P769" s="5" t="s">
        <v>504</v>
      </c>
    </row>
    <row r="770" spans="1:16" x14ac:dyDescent="0.35">
      <c r="A770" s="5" t="str">
        <f t="shared" si="23"/>
        <v>2022 All Items D90</v>
      </c>
      <c r="B770" s="8">
        <f>'ALL 2024 H2 D80'!$B$2</f>
        <v>46114</v>
      </c>
      <c r="C770" s="8">
        <f>'ALL 2024 H2 D80'!$C$2</f>
        <v>46120</v>
      </c>
      <c r="D770" s="5">
        <v>3208</v>
      </c>
      <c r="E770" s="5">
        <v>320</v>
      </c>
      <c r="F770" s="5">
        <v>1</v>
      </c>
      <c r="G770" s="5">
        <v>11</v>
      </c>
      <c r="H770" s="5">
        <v>81427</v>
      </c>
      <c r="I770" s="5" t="s">
        <v>16</v>
      </c>
      <c r="J770" s="5">
        <v>75661273</v>
      </c>
      <c r="K770" s="5" t="s">
        <v>1419</v>
      </c>
      <c r="L770" s="5" t="s">
        <v>1420</v>
      </c>
      <c r="M770" s="6">
        <v>149900</v>
      </c>
      <c r="N770" s="7">
        <v>0.9</v>
      </c>
      <c r="O770" s="6">
        <f t="shared" si="24"/>
        <v>14990</v>
      </c>
      <c r="P770" s="5" t="s">
        <v>504</v>
      </c>
    </row>
    <row r="771" spans="1:16" x14ac:dyDescent="0.35">
      <c r="A771" s="5" t="str">
        <f t="shared" si="23"/>
        <v>2022 All Items D90</v>
      </c>
      <c r="B771" s="8">
        <f>'ALL 2024 H2 D80'!$B$2</f>
        <v>46114</v>
      </c>
      <c r="C771" s="8">
        <f>'ALL 2024 H2 D80'!$C$2</f>
        <v>46120</v>
      </c>
      <c r="D771" s="5">
        <v>3208</v>
      </c>
      <c r="E771" s="5">
        <v>320</v>
      </c>
      <c r="F771" s="5">
        <v>1</v>
      </c>
      <c r="G771" s="5">
        <v>11</v>
      </c>
      <c r="H771" s="5">
        <v>81427</v>
      </c>
      <c r="I771" s="5" t="s">
        <v>16</v>
      </c>
      <c r="J771" s="5">
        <v>75661282</v>
      </c>
      <c r="K771" s="5" t="s">
        <v>1419</v>
      </c>
      <c r="L771" s="5" t="s">
        <v>1421</v>
      </c>
      <c r="M771" s="6">
        <v>149900</v>
      </c>
      <c r="N771" s="7">
        <v>0.9</v>
      </c>
      <c r="O771" s="6">
        <f t="shared" si="24"/>
        <v>14990</v>
      </c>
      <c r="P771" s="5" t="s">
        <v>504</v>
      </c>
    </row>
    <row r="772" spans="1:16" x14ac:dyDescent="0.35">
      <c r="A772" s="5" t="str">
        <f t="shared" ref="A772:A777" si="25">$A$2</f>
        <v>2022 All Items D90</v>
      </c>
      <c r="B772" s="8">
        <f>'ALL 2024 H2 D80'!$B$2</f>
        <v>46114</v>
      </c>
      <c r="C772" s="8">
        <f>'ALL 2024 H2 D80'!$C$2</f>
        <v>46120</v>
      </c>
      <c r="D772" s="5">
        <v>3208</v>
      </c>
      <c r="E772" s="5">
        <v>320</v>
      </c>
      <c r="F772" s="5">
        <v>1</v>
      </c>
      <c r="G772" s="5">
        <v>11</v>
      </c>
      <c r="H772" s="5">
        <v>81427</v>
      </c>
      <c r="I772" s="5" t="s">
        <v>16</v>
      </c>
      <c r="J772" s="5">
        <v>75661291</v>
      </c>
      <c r="K772" s="5" t="s">
        <v>1419</v>
      </c>
      <c r="L772" s="5" t="s">
        <v>1422</v>
      </c>
      <c r="M772" s="6">
        <v>149900</v>
      </c>
      <c r="N772" s="7">
        <v>0.9</v>
      </c>
      <c r="O772" s="6">
        <f t="shared" si="24"/>
        <v>14990</v>
      </c>
      <c r="P772" s="5" t="s">
        <v>504</v>
      </c>
    </row>
    <row r="773" spans="1:16" x14ac:dyDescent="0.35">
      <c r="A773" s="5" t="str">
        <f t="shared" si="25"/>
        <v>2022 All Items D90</v>
      </c>
      <c r="B773" s="8">
        <f>'ALL 2024 H2 D80'!$B$2</f>
        <v>46114</v>
      </c>
      <c r="C773" s="8">
        <f>'ALL 2024 H2 D80'!$C$2</f>
        <v>46120</v>
      </c>
      <c r="D773" s="5">
        <v>3208</v>
      </c>
      <c r="E773" s="5">
        <v>320</v>
      </c>
      <c r="F773" s="5">
        <v>1</v>
      </c>
      <c r="G773" s="5">
        <v>11</v>
      </c>
      <c r="H773" s="5">
        <v>81427</v>
      </c>
      <c r="I773" s="5" t="s">
        <v>16</v>
      </c>
      <c r="J773" s="5">
        <v>75661308</v>
      </c>
      <c r="K773" s="5" t="s">
        <v>1419</v>
      </c>
      <c r="L773" s="5" t="s">
        <v>1423</v>
      </c>
      <c r="M773" s="6">
        <v>149900</v>
      </c>
      <c r="N773" s="7">
        <v>0.9</v>
      </c>
      <c r="O773" s="6">
        <f t="shared" si="24"/>
        <v>14990</v>
      </c>
      <c r="P773" s="5" t="s">
        <v>504</v>
      </c>
    </row>
    <row r="774" spans="1:16" x14ac:dyDescent="0.35">
      <c r="A774" s="5" t="str">
        <f t="shared" si="25"/>
        <v>2022 All Items D90</v>
      </c>
      <c r="B774" s="8">
        <f>'ALL 2024 H2 D80'!$B$2</f>
        <v>46114</v>
      </c>
      <c r="C774" s="8">
        <f>'ALL 2024 H2 D80'!$C$2</f>
        <v>46120</v>
      </c>
      <c r="D774" s="5">
        <v>3208</v>
      </c>
      <c r="E774" s="5">
        <v>320</v>
      </c>
      <c r="F774" s="5">
        <v>1</v>
      </c>
      <c r="G774" s="5">
        <v>11</v>
      </c>
      <c r="H774" s="5">
        <v>81736</v>
      </c>
      <c r="I774" s="5" t="s">
        <v>16</v>
      </c>
      <c r="J774" s="5">
        <v>75661157</v>
      </c>
      <c r="K774" s="5" t="s">
        <v>1424</v>
      </c>
      <c r="L774" s="5" t="s">
        <v>1425</v>
      </c>
      <c r="M774" s="6">
        <v>229900</v>
      </c>
      <c r="N774" s="7">
        <v>0.9</v>
      </c>
      <c r="O774" s="6">
        <f t="shared" ref="O774:O777" si="26">M774-(M774*N774)</f>
        <v>22990</v>
      </c>
      <c r="P774" s="5" t="s">
        <v>504</v>
      </c>
    </row>
    <row r="775" spans="1:16" x14ac:dyDescent="0.35">
      <c r="A775" s="5" t="str">
        <f t="shared" si="25"/>
        <v>2022 All Items D90</v>
      </c>
      <c r="B775" s="8">
        <f>'ALL 2024 H2 D80'!$B$2</f>
        <v>46114</v>
      </c>
      <c r="C775" s="8">
        <f>'ALL 2024 H2 D80'!$C$2</f>
        <v>46120</v>
      </c>
      <c r="D775" s="5">
        <v>3208</v>
      </c>
      <c r="E775" s="5">
        <v>320</v>
      </c>
      <c r="F775" s="5">
        <v>1</v>
      </c>
      <c r="G775" s="5">
        <v>11</v>
      </c>
      <c r="H775" s="5">
        <v>81736</v>
      </c>
      <c r="I775" s="5" t="s">
        <v>16</v>
      </c>
      <c r="J775" s="5">
        <v>75661166</v>
      </c>
      <c r="K775" s="5" t="s">
        <v>1424</v>
      </c>
      <c r="L775" s="5" t="s">
        <v>1426</v>
      </c>
      <c r="M775" s="6">
        <v>229900</v>
      </c>
      <c r="N775" s="7">
        <v>0.9</v>
      </c>
      <c r="O775" s="6">
        <f t="shared" si="26"/>
        <v>22990</v>
      </c>
      <c r="P775" s="5" t="s">
        <v>504</v>
      </c>
    </row>
    <row r="776" spans="1:16" x14ac:dyDescent="0.35">
      <c r="A776" s="5" t="str">
        <f t="shared" si="25"/>
        <v>2022 All Items D90</v>
      </c>
      <c r="B776" s="8">
        <f>'ALL 2024 H2 D80'!$B$2</f>
        <v>46114</v>
      </c>
      <c r="C776" s="8">
        <f>'ALL 2024 H2 D80'!$C$2</f>
        <v>46120</v>
      </c>
      <c r="D776" s="5">
        <v>3208</v>
      </c>
      <c r="E776" s="5">
        <v>320</v>
      </c>
      <c r="F776" s="5">
        <v>1</v>
      </c>
      <c r="G776" s="5">
        <v>11</v>
      </c>
      <c r="H776" s="5">
        <v>81736</v>
      </c>
      <c r="I776" s="5" t="s">
        <v>16</v>
      </c>
      <c r="J776" s="5">
        <v>75661175</v>
      </c>
      <c r="K776" s="5" t="s">
        <v>1424</v>
      </c>
      <c r="L776" s="5" t="s">
        <v>1427</v>
      </c>
      <c r="M776" s="6">
        <v>229900</v>
      </c>
      <c r="N776" s="7">
        <v>0.9</v>
      </c>
      <c r="O776" s="6">
        <f t="shared" si="26"/>
        <v>22990</v>
      </c>
      <c r="P776" s="5" t="s">
        <v>504</v>
      </c>
    </row>
    <row r="777" spans="1:16" x14ac:dyDescent="0.35">
      <c r="A777" s="5" t="str">
        <f t="shared" si="25"/>
        <v>2022 All Items D90</v>
      </c>
      <c r="B777" s="8">
        <f>'ALL 2024 H2 D80'!$B$2</f>
        <v>46114</v>
      </c>
      <c r="C777" s="8">
        <f>'ALL 2024 H2 D80'!$C$2</f>
        <v>46120</v>
      </c>
      <c r="D777" s="5">
        <v>3208</v>
      </c>
      <c r="E777" s="5">
        <v>320</v>
      </c>
      <c r="F777" s="5">
        <v>1</v>
      </c>
      <c r="G777" s="5">
        <v>11</v>
      </c>
      <c r="H777" s="5">
        <v>81736</v>
      </c>
      <c r="I777" s="5" t="s">
        <v>16</v>
      </c>
      <c r="J777" s="5">
        <v>75661184</v>
      </c>
      <c r="K777" s="5" t="s">
        <v>1424</v>
      </c>
      <c r="L777" s="5" t="s">
        <v>1428</v>
      </c>
      <c r="M777" s="6">
        <v>229900</v>
      </c>
      <c r="N777" s="7">
        <v>0.9</v>
      </c>
      <c r="O777" s="6">
        <f t="shared" si="26"/>
        <v>22990</v>
      </c>
      <c r="P777" s="5" t="s">
        <v>504</v>
      </c>
    </row>
  </sheetData>
  <conditionalFormatting sqref="J1:J1048576">
    <cfRule type="duplicateValues" dxfId="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P368"/>
  <sheetViews>
    <sheetView zoomScaleNormal="100" workbookViewId="0">
      <pane ySplit="1" topLeftCell="A2" activePane="bottomLeft" state="frozen"/>
      <selection activeCell="C11" sqref="C11"/>
      <selection pane="bottomLeft" activeCell="A3" sqref="A3"/>
    </sheetView>
  </sheetViews>
  <sheetFormatPr defaultColWidth="8.7265625" defaultRowHeight="14.5" x14ac:dyDescent="0.35"/>
  <cols>
    <col min="1" max="1" width="32" style="1" bestFit="1" customWidth="1"/>
    <col min="2" max="2" width="16.1796875" style="4" bestFit="1" customWidth="1"/>
    <col min="3" max="3" width="13.26953125" style="4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6.453125" style="1" bestFit="1" customWidth="1"/>
    <col min="10" max="10" width="9.453125" style="1" bestFit="1" customWidth="1"/>
    <col min="11" max="11" width="12.453125" style="1" bestFit="1" customWidth="1"/>
    <col min="12" max="12" width="64.54296875" style="1" customWidth="1"/>
    <col min="13" max="13" width="16" style="2" bestFit="1" customWidth="1"/>
    <col min="14" max="14" width="12.453125" style="3" bestFit="1" customWidth="1"/>
    <col min="15" max="15" width="15" style="2" bestFit="1" customWidth="1"/>
    <col min="16" max="16" width="19.81640625" style="1" bestFit="1" customWidth="1"/>
    <col min="17" max="16384" width="8.7265625" style="1"/>
  </cols>
  <sheetData>
    <row r="1" spans="1:16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9" t="s">
        <v>4</v>
      </c>
      <c r="M1" s="10" t="s">
        <v>3</v>
      </c>
      <c r="N1" s="11" t="s">
        <v>2</v>
      </c>
      <c r="O1" s="10" t="s">
        <v>1</v>
      </c>
      <c r="P1" s="9" t="s">
        <v>0</v>
      </c>
    </row>
    <row r="2" spans="1:16" x14ac:dyDescent="0.35">
      <c r="A2" s="5" t="s">
        <v>3666</v>
      </c>
      <c r="B2" s="8">
        <f>'ALL 2024 H2 D80'!$B$2</f>
        <v>46114</v>
      </c>
      <c r="C2" s="8">
        <f>'ALL 2024 H2 D80'!$C$2</f>
        <v>46120</v>
      </c>
      <c r="D2" s="5">
        <v>3208</v>
      </c>
      <c r="E2" s="5">
        <v>320</v>
      </c>
      <c r="F2" s="5">
        <v>1</v>
      </c>
      <c r="G2" s="5">
        <v>1</v>
      </c>
      <c r="H2" s="5">
        <v>81044</v>
      </c>
      <c r="I2" s="5" t="s">
        <v>16</v>
      </c>
      <c r="J2" s="5">
        <v>26321142</v>
      </c>
      <c r="K2" s="5" t="s">
        <v>1960</v>
      </c>
      <c r="L2" s="5" t="s">
        <v>3615</v>
      </c>
      <c r="M2" s="6">
        <v>219900</v>
      </c>
      <c r="N2" s="7">
        <v>0.9</v>
      </c>
      <c r="O2" s="6">
        <f>M2-(M2*N2)</f>
        <v>21990</v>
      </c>
      <c r="P2" s="5" t="s">
        <v>504</v>
      </c>
    </row>
    <row r="3" spans="1:16" x14ac:dyDescent="0.35">
      <c r="A3" s="5" t="str">
        <f>$A$2</f>
        <v>2021 ALL D90</v>
      </c>
      <c r="B3" s="8">
        <f>'ALL 2024 H2 D80'!$B$2</f>
        <v>46114</v>
      </c>
      <c r="C3" s="8">
        <f>'ALL 2024 H2 D80'!$C$2</f>
        <v>46120</v>
      </c>
      <c r="D3" s="5">
        <v>3208</v>
      </c>
      <c r="E3" s="5">
        <v>320</v>
      </c>
      <c r="F3" s="5">
        <v>1</v>
      </c>
      <c r="G3" s="5">
        <v>1</v>
      </c>
      <c r="H3" s="5">
        <v>81044</v>
      </c>
      <c r="I3" s="5" t="s">
        <v>16</v>
      </c>
      <c r="J3" s="5">
        <v>26321160</v>
      </c>
      <c r="K3" s="5" t="s">
        <v>1960</v>
      </c>
      <c r="L3" s="5" t="s">
        <v>3616</v>
      </c>
      <c r="M3" s="6">
        <v>219900</v>
      </c>
      <c r="N3" s="7">
        <v>0.9</v>
      </c>
      <c r="O3" s="6">
        <f t="shared" ref="O3:O66" si="0">M3-(M3*N3)</f>
        <v>21990</v>
      </c>
      <c r="P3" s="5" t="s">
        <v>504</v>
      </c>
    </row>
    <row r="4" spans="1:16" x14ac:dyDescent="0.35">
      <c r="A4" s="5" t="str">
        <f t="shared" ref="A4:A67" si="1">$A$2</f>
        <v>2021 ALL D90</v>
      </c>
      <c r="B4" s="8">
        <f>'ALL 2024 H2 D80'!$B$2</f>
        <v>46114</v>
      </c>
      <c r="C4" s="8">
        <f>'ALL 2024 H2 D80'!$C$2</f>
        <v>46120</v>
      </c>
      <c r="D4" s="5">
        <v>3208</v>
      </c>
      <c r="E4" s="5">
        <v>320</v>
      </c>
      <c r="F4" s="5">
        <v>1</v>
      </c>
      <c r="G4" s="5">
        <v>1</v>
      </c>
      <c r="H4" s="5">
        <v>81044</v>
      </c>
      <c r="I4" s="5" t="s">
        <v>16</v>
      </c>
      <c r="J4" s="5">
        <v>26488482</v>
      </c>
      <c r="K4" s="5" t="s">
        <v>1961</v>
      </c>
      <c r="L4" s="5" t="s">
        <v>1962</v>
      </c>
      <c r="M4" s="6">
        <v>259900</v>
      </c>
      <c r="N4" s="7">
        <v>0.9</v>
      </c>
      <c r="O4" s="6">
        <f t="shared" si="0"/>
        <v>25990</v>
      </c>
      <c r="P4" s="5" t="s">
        <v>504</v>
      </c>
    </row>
    <row r="5" spans="1:16" x14ac:dyDescent="0.35">
      <c r="A5" s="5" t="str">
        <f t="shared" si="1"/>
        <v>2021 ALL D90</v>
      </c>
      <c r="B5" s="8">
        <f>'ALL 2024 H2 D80'!$B$2</f>
        <v>46114</v>
      </c>
      <c r="C5" s="8">
        <f>'ALL 2024 H2 D80'!$C$2</f>
        <v>46120</v>
      </c>
      <c r="D5" s="5">
        <v>3208</v>
      </c>
      <c r="E5" s="5">
        <v>320</v>
      </c>
      <c r="F5" s="5">
        <v>1</v>
      </c>
      <c r="G5" s="5">
        <v>1</v>
      </c>
      <c r="H5" s="5">
        <v>81044</v>
      </c>
      <c r="I5" s="5" t="s">
        <v>16</v>
      </c>
      <c r="J5" s="5">
        <v>26488491</v>
      </c>
      <c r="K5" s="5" t="s">
        <v>1961</v>
      </c>
      <c r="L5" s="5" t="s">
        <v>1963</v>
      </c>
      <c r="M5" s="6">
        <v>259900</v>
      </c>
      <c r="N5" s="7">
        <v>0.9</v>
      </c>
      <c r="O5" s="6">
        <f t="shared" si="0"/>
        <v>25990</v>
      </c>
      <c r="P5" s="5" t="s">
        <v>504</v>
      </c>
    </row>
    <row r="6" spans="1:16" x14ac:dyDescent="0.35">
      <c r="A6" s="5" t="str">
        <f t="shared" si="1"/>
        <v>2021 ALL D90</v>
      </c>
      <c r="B6" s="8">
        <f>'ALL 2024 H2 D80'!$B$2</f>
        <v>46114</v>
      </c>
      <c r="C6" s="8">
        <f>'ALL 2024 H2 D80'!$C$2</f>
        <v>46120</v>
      </c>
      <c r="D6" s="5">
        <v>3208</v>
      </c>
      <c r="E6" s="5">
        <v>320</v>
      </c>
      <c r="F6" s="5">
        <v>1</v>
      </c>
      <c r="G6" s="5">
        <v>1</v>
      </c>
      <c r="H6" s="5">
        <v>81044</v>
      </c>
      <c r="I6" s="5" t="s">
        <v>16</v>
      </c>
      <c r="J6" s="5">
        <v>26488508</v>
      </c>
      <c r="K6" s="5" t="s">
        <v>1961</v>
      </c>
      <c r="L6" s="5" t="s">
        <v>1964</v>
      </c>
      <c r="M6" s="6">
        <v>259900</v>
      </c>
      <c r="N6" s="7">
        <v>0.9</v>
      </c>
      <c r="O6" s="6">
        <f t="shared" si="0"/>
        <v>25990</v>
      </c>
      <c r="P6" s="5" t="s">
        <v>504</v>
      </c>
    </row>
    <row r="7" spans="1:16" x14ac:dyDescent="0.35">
      <c r="A7" s="5" t="str">
        <f t="shared" si="1"/>
        <v>2021 ALL D90</v>
      </c>
      <c r="B7" s="8">
        <f>'ALL 2024 H2 D80'!$B$2</f>
        <v>46114</v>
      </c>
      <c r="C7" s="8">
        <f>'ALL 2024 H2 D80'!$C$2</f>
        <v>46120</v>
      </c>
      <c r="D7" s="5">
        <v>3208</v>
      </c>
      <c r="E7" s="5">
        <v>320</v>
      </c>
      <c r="F7" s="5">
        <v>1</v>
      </c>
      <c r="G7" s="5">
        <v>1</v>
      </c>
      <c r="H7" s="5">
        <v>81044</v>
      </c>
      <c r="I7" s="5" t="s">
        <v>16</v>
      </c>
      <c r="J7" s="5">
        <v>26488517</v>
      </c>
      <c r="K7" s="5" t="s">
        <v>1961</v>
      </c>
      <c r="L7" s="5" t="s">
        <v>1965</v>
      </c>
      <c r="M7" s="6">
        <v>259900</v>
      </c>
      <c r="N7" s="7">
        <v>0.9</v>
      </c>
      <c r="O7" s="6">
        <f t="shared" si="0"/>
        <v>25990</v>
      </c>
      <c r="P7" s="5" t="s">
        <v>504</v>
      </c>
    </row>
    <row r="8" spans="1:16" x14ac:dyDescent="0.35">
      <c r="A8" s="5" t="str">
        <f t="shared" si="1"/>
        <v>2021 ALL D90</v>
      </c>
      <c r="B8" s="8">
        <f>'ALL 2024 H2 D80'!$B$2</f>
        <v>46114</v>
      </c>
      <c r="C8" s="8">
        <f>'ALL 2024 H2 D80'!$C$2</f>
        <v>46120</v>
      </c>
      <c r="D8" s="5">
        <v>3208</v>
      </c>
      <c r="E8" s="5">
        <v>320</v>
      </c>
      <c r="F8" s="5">
        <v>1</v>
      </c>
      <c r="G8" s="5">
        <v>1</v>
      </c>
      <c r="H8" s="5">
        <v>81044</v>
      </c>
      <c r="I8" s="5" t="s">
        <v>16</v>
      </c>
      <c r="J8" s="5">
        <v>26670579</v>
      </c>
      <c r="K8" s="5" t="s">
        <v>1966</v>
      </c>
      <c r="L8" s="5" t="s">
        <v>1967</v>
      </c>
      <c r="M8" s="6">
        <v>219900</v>
      </c>
      <c r="N8" s="7">
        <v>0.9</v>
      </c>
      <c r="O8" s="6">
        <f t="shared" si="0"/>
        <v>21990</v>
      </c>
      <c r="P8" s="5" t="s">
        <v>504</v>
      </c>
    </row>
    <row r="9" spans="1:16" x14ac:dyDescent="0.35">
      <c r="A9" s="5" t="str">
        <f t="shared" si="1"/>
        <v>2021 ALL D90</v>
      </c>
      <c r="B9" s="8">
        <f>'ALL 2024 H2 D80'!$B$2</f>
        <v>46114</v>
      </c>
      <c r="C9" s="8">
        <f>'ALL 2024 H2 D80'!$C$2</f>
        <v>46120</v>
      </c>
      <c r="D9" s="5">
        <v>3208</v>
      </c>
      <c r="E9" s="5">
        <v>320</v>
      </c>
      <c r="F9" s="5">
        <v>1</v>
      </c>
      <c r="G9" s="5">
        <v>1</v>
      </c>
      <c r="H9" s="5">
        <v>81044</v>
      </c>
      <c r="I9" s="5" t="s">
        <v>16</v>
      </c>
      <c r="J9" s="5">
        <v>26941633</v>
      </c>
      <c r="K9" s="5" t="s">
        <v>1968</v>
      </c>
      <c r="L9" s="5" t="s">
        <v>1969</v>
      </c>
      <c r="M9" s="6">
        <v>249900</v>
      </c>
      <c r="N9" s="7">
        <v>0.9</v>
      </c>
      <c r="O9" s="6">
        <f t="shared" si="0"/>
        <v>24990</v>
      </c>
      <c r="P9" s="5" t="s">
        <v>504</v>
      </c>
    </row>
    <row r="10" spans="1:16" x14ac:dyDescent="0.35">
      <c r="A10" s="5" t="str">
        <f t="shared" si="1"/>
        <v>2021 ALL D90</v>
      </c>
      <c r="B10" s="8">
        <f>'ALL 2024 H2 D80'!$B$2</f>
        <v>46114</v>
      </c>
      <c r="C10" s="8">
        <f>'ALL 2024 H2 D80'!$C$2</f>
        <v>46120</v>
      </c>
      <c r="D10" s="5">
        <v>3208</v>
      </c>
      <c r="E10" s="5">
        <v>320</v>
      </c>
      <c r="F10" s="5">
        <v>1</v>
      </c>
      <c r="G10" s="5">
        <v>1</v>
      </c>
      <c r="H10" s="5">
        <v>81044</v>
      </c>
      <c r="I10" s="5" t="s">
        <v>16</v>
      </c>
      <c r="J10" s="5">
        <v>26941642</v>
      </c>
      <c r="K10" s="5" t="s">
        <v>1968</v>
      </c>
      <c r="L10" s="5" t="s">
        <v>1970</v>
      </c>
      <c r="M10" s="6">
        <v>249900</v>
      </c>
      <c r="N10" s="7">
        <v>0.9</v>
      </c>
      <c r="O10" s="6">
        <f t="shared" si="0"/>
        <v>24990</v>
      </c>
      <c r="P10" s="5" t="s">
        <v>504</v>
      </c>
    </row>
    <row r="11" spans="1:16" x14ac:dyDescent="0.35">
      <c r="A11" s="5" t="str">
        <f t="shared" si="1"/>
        <v>2021 ALL D90</v>
      </c>
      <c r="B11" s="8">
        <f>'ALL 2024 H2 D80'!$B$2</f>
        <v>46114</v>
      </c>
      <c r="C11" s="8">
        <f>'ALL 2024 H2 D80'!$C$2</f>
        <v>46120</v>
      </c>
      <c r="D11" s="5">
        <v>3208</v>
      </c>
      <c r="E11" s="5">
        <v>320</v>
      </c>
      <c r="F11" s="5">
        <v>1</v>
      </c>
      <c r="G11" s="5">
        <v>1</v>
      </c>
      <c r="H11" s="5">
        <v>81044</v>
      </c>
      <c r="I11" s="5" t="s">
        <v>16</v>
      </c>
      <c r="J11" s="5">
        <v>26941651</v>
      </c>
      <c r="K11" s="5" t="s">
        <v>1968</v>
      </c>
      <c r="L11" s="5" t="s">
        <v>1971</v>
      </c>
      <c r="M11" s="6">
        <v>249900</v>
      </c>
      <c r="N11" s="7">
        <v>0.9</v>
      </c>
      <c r="O11" s="6">
        <f t="shared" si="0"/>
        <v>24990</v>
      </c>
      <c r="P11" s="5" t="s">
        <v>504</v>
      </c>
    </row>
    <row r="12" spans="1:16" x14ac:dyDescent="0.35">
      <c r="A12" s="5" t="str">
        <f t="shared" si="1"/>
        <v>2021 ALL D90</v>
      </c>
      <c r="B12" s="8">
        <f>'ALL 2024 H2 D80'!$B$2</f>
        <v>46114</v>
      </c>
      <c r="C12" s="8">
        <f>'ALL 2024 H2 D80'!$C$2</f>
        <v>46120</v>
      </c>
      <c r="D12" s="5">
        <v>3208</v>
      </c>
      <c r="E12" s="5">
        <v>320</v>
      </c>
      <c r="F12" s="5">
        <v>1</v>
      </c>
      <c r="G12" s="5">
        <v>1</v>
      </c>
      <c r="H12" s="5">
        <v>81044</v>
      </c>
      <c r="I12" s="5" t="s">
        <v>16</v>
      </c>
      <c r="J12" s="5">
        <v>26941660</v>
      </c>
      <c r="K12" s="5" t="s">
        <v>1968</v>
      </c>
      <c r="L12" s="5" t="s">
        <v>1972</v>
      </c>
      <c r="M12" s="6">
        <v>249900</v>
      </c>
      <c r="N12" s="7">
        <v>0.9</v>
      </c>
      <c r="O12" s="6">
        <f t="shared" si="0"/>
        <v>24990</v>
      </c>
      <c r="P12" s="5" t="s">
        <v>504</v>
      </c>
    </row>
    <row r="13" spans="1:16" x14ac:dyDescent="0.35">
      <c r="A13" s="5" t="str">
        <f t="shared" si="1"/>
        <v>2021 ALL D90</v>
      </c>
      <c r="B13" s="8">
        <f>'ALL 2024 H2 D80'!$B$2</f>
        <v>46114</v>
      </c>
      <c r="C13" s="8">
        <f>'ALL 2024 H2 D80'!$C$2</f>
        <v>46120</v>
      </c>
      <c r="D13" s="5">
        <v>3208</v>
      </c>
      <c r="E13" s="5">
        <v>320</v>
      </c>
      <c r="F13" s="5">
        <v>1</v>
      </c>
      <c r="G13" s="5">
        <v>1</v>
      </c>
      <c r="H13" s="5">
        <v>81044</v>
      </c>
      <c r="I13" s="5" t="s">
        <v>16</v>
      </c>
      <c r="J13" s="5">
        <v>26948654</v>
      </c>
      <c r="K13" s="5" t="s">
        <v>1973</v>
      </c>
      <c r="L13" s="5" t="s">
        <v>1974</v>
      </c>
      <c r="M13" s="6">
        <v>189900</v>
      </c>
      <c r="N13" s="7">
        <v>0.9</v>
      </c>
      <c r="O13" s="6">
        <f t="shared" si="0"/>
        <v>18990</v>
      </c>
      <c r="P13" s="5" t="s">
        <v>504</v>
      </c>
    </row>
    <row r="14" spans="1:16" x14ac:dyDescent="0.35">
      <c r="A14" s="5" t="str">
        <f t="shared" si="1"/>
        <v>2021 ALL D90</v>
      </c>
      <c r="B14" s="8">
        <f>'ALL 2024 H2 D80'!$B$2</f>
        <v>46114</v>
      </c>
      <c r="C14" s="8">
        <f>'ALL 2024 H2 D80'!$C$2</f>
        <v>46120</v>
      </c>
      <c r="D14" s="5">
        <v>3208</v>
      </c>
      <c r="E14" s="5">
        <v>320</v>
      </c>
      <c r="F14" s="5">
        <v>1</v>
      </c>
      <c r="G14" s="5">
        <v>1</v>
      </c>
      <c r="H14" s="5">
        <v>81044</v>
      </c>
      <c r="I14" s="5" t="s">
        <v>16</v>
      </c>
      <c r="J14" s="5">
        <v>26948663</v>
      </c>
      <c r="K14" s="5" t="s">
        <v>1973</v>
      </c>
      <c r="L14" s="5" t="s">
        <v>1975</v>
      </c>
      <c r="M14" s="6">
        <v>189900</v>
      </c>
      <c r="N14" s="7">
        <v>0.9</v>
      </c>
      <c r="O14" s="6">
        <f t="shared" si="0"/>
        <v>18990</v>
      </c>
      <c r="P14" s="5" t="s">
        <v>504</v>
      </c>
    </row>
    <row r="15" spans="1:16" x14ac:dyDescent="0.35">
      <c r="A15" s="5" t="str">
        <f t="shared" si="1"/>
        <v>2021 ALL D90</v>
      </c>
      <c r="B15" s="8">
        <f>'ALL 2024 H2 D80'!$B$2</f>
        <v>46114</v>
      </c>
      <c r="C15" s="8">
        <f>'ALL 2024 H2 D80'!$C$2</f>
        <v>46120</v>
      </c>
      <c r="D15" s="5">
        <v>3208</v>
      </c>
      <c r="E15" s="5">
        <v>320</v>
      </c>
      <c r="F15" s="5">
        <v>1</v>
      </c>
      <c r="G15" s="5">
        <v>1</v>
      </c>
      <c r="H15" s="5">
        <v>81044</v>
      </c>
      <c r="I15" s="5" t="s">
        <v>16</v>
      </c>
      <c r="J15" s="5">
        <v>26948672</v>
      </c>
      <c r="K15" s="5" t="s">
        <v>1973</v>
      </c>
      <c r="L15" s="5" t="s">
        <v>1976</v>
      </c>
      <c r="M15" s="6">
        <v>189900</v>
      </c>
      <c r="N15" s="7">
        <v>0.9</v>
      </c>
      <c r="O15" s="6">
        <f t="shared" si="0"/>
        <v>18990</v>
      </c>
      <c r="P15" s="5" t="s">
        <v>504</v>
      </c>
    </row>
    <row r="16" spans="1:16" x14ac:dyDescent="0.35">
      <c r="A16" s="5" t="str">
        <f t="shared" si="1"/>
        <v>2021 ALL D90</v>
      </c>
      <c r="B16" s="8">
        <f>'ALL 2024 H2 D80'!$B$2</f>
        <v>46114</v>
      </c>
      <c r="C16" s="8">
        <f>'ALL 2024 H2 D80'!$C$2</f>
        <v>46120</v>
      </c>
      <c r="D16" s="5">
        <v>3208</v>
      </c>
      <c r="E16" s="5">
        <v>320</v>
      </c>
      <c r="F16" s="5">
        <v>1</v>
      </c>
      <c r="G16" s="5">
        <v>1</v>
      </c>
      <c r="H16" s="5">
        <v>81044</v>
      </c>
      <c r="I16" s="5" t="s">
        <v>16</v>
      </c>
      <c r="J16" s="5">
        <v>27024980</v>
      </c>
      <c r="K16" s="5" t="s">
        <v>1977</v>
      </c>
      <c r="L16" s="5" t="s">
        <v>1978</v>
      </c>
      <c r="M16" s="6">
        <v>219900</v>
      </c>
      <c r="N16" s="7">
        <v>0.9</v>
      </c>
      <c r="O16" s="6">
        <f t="shared" si="0"/>
        <v>21990</v>
      </c>
      <c r="P16" s="5" t="s">
        <v>504</v>
      </c>
    </row>
    <row r="17" spans="1:16" x14ac:dyDescent="0.35">
      <c r="A17" s="5" t="str">
        <f t="shared" si="1"/>
        <v>2021 ALL D90</v>
      </c>
      <c r="B17" s="8">
        <f>'ALL 2024 H2 D80'!$B$2</f>
        <v>46114</v>
      </c>
      <c r="C17" s="8">
        <f>'ALL 2024 H2 D80'!$C$2</f>
        <v>46120</v>
      </c>
      <c r="D17" s="5">
        <v>3208</v>
      </c>
      <c r="E17" s="5">
        <v>320</v>
      </c>
      <c r="F17" s="5">
        <v>1</v>
      </c>
      <c r="G17" s="5">
        <v>1</v>
      </c>
      <c r="H17" s="5">
        <v>81044</v>
      </c>
      <c r="I17" s="5" t="s">
        <v>16</v>
      </c>
      <c r="J17" s="5">
        <v>27024999</v>
      </c>
      <c r="K17" s="5" t="s">
        <v>1977</v>
      </c>
      <c r="L17" s="5" t="s">
        <v>1979</v>
      </c>
      <c r="M17" s="6">
        <v>219900</v>
      </c>
      <c r="N17" s="7">
        <v>0.9</v>
      </c>
      <c r="O17" s="6">
        <f t="shared" si="0"/>
        <v>21990</v>
      </c>
      <c r="P17" s="5" t="s">
        <v>504</v>
      </c>
    </row>
    <row r="18" spans="1:16" x14ac:dyDescent="0.35">
      <c r="A18" s="5" t="str">
        <f t="shared" si="1"/>
        <v>2021 ALL D90</v>
      </c>
      <c r="B18" s="8">
        <f>'ALL 2024 H2 D80'!$B$2</f>
        <v>46114</v>
      </c>
      <c r="C18" s="8">
        <f>'ALL 2024 H2 D80'!$C$2</f>
        <v>46120</v>
      </c>
      <c r="D18" s="5">
        <v>3208</v>
      </c>
      <c r="E18" s="5">
        <v>320</v>
      </c>
      <c r="F18" s="5">
        <v>1</v>
      </c>
      <c r="G18" s="5">
        <v>1</v>
      </c>
      <c r="H18" s="5">
        <v>81044</v>
      </c>
      <c r="I18" s="5" t="s">
        <v>16</v>
      </c>
      <c r="J18" s="5">
        <v>27025005</v>
      </c>
      <c r="K18" s="5" t="s">
        <v>1977</v>
      </c>
      <c r="L18" s="5" t="s">
        <v>1980</v>
      </c>
      <c r="M18" s="6">
        <v>219900</v>
      </c>
      <c r="N18" s="7">
        <v>0.9</v>
      </c>
      <c r="O18" s="6">
        <f t="shared" si="0"/>
        <v>21990</v>
      </c>
      <c r="P18" s="5" t="s">
        <v>504</v>
      </c>
    </row>
    <row r="19" spans="1:16" x14ac:dyDescent="0.35">
      <c r="A19" s="5" t="str">
        <f t="shared" si="1"/>
        <v>2021 ALL D90</v>
      </c>
      <c r="B19" s="8">
        <f>'ALL 2024 H2 D80'!$B$2</f>
        <v>46114</v>
      </c>
      <c r="C19" s="8">
        <f>'ALL 2024 H2 D80'!$C$2</f>
        <v>46120</v>
      </c>
      <c r="D19" s="5">
        <v>3208</v>
      </c>
      <c r="E19" s="5">
        <v>320</v>
      </c>
      <c r="F19" s="5">
        <v>1</v>
      </c>
      <c r="G19" s="5">
        <v>1</v>
      </c>
      <c r="H19" s="5">
        <v>81044</v>
      </c>
      <c r="I19" s="5" t="s">
        <v>16</v>
      </c>
      <c r="J19" s="5">
        <v>27025014</v>
      </c>
      <c r="K19" s="5" t="s">
        <v>1977</v>
      </c>
      <c r="L19" s="5" t="s">
        <v>1981</v>
      </c>
      <c r="M19" s="6">
        <v>219900</v>
      </c>
      <c r="N19" s="7">
        <v>0.9</v>
      </c>
      <c r="O19" s="6">
        <f t="shared" si="0"/>
        <v>21990</v>
      </c>
      <c r="P19" s="5" t="s">
        <v>504</v>
      </c>
    </row>
    <row r="20" spans="1:16" x14ac:dyDescent="0.35">
      <c r="A20" s="5" t="str">
        <f t="shared" si="1"/>
        <v>2021 ALL D90</v>
      </c>
      <c r="B20" s="8">
        <f>'ALL 2024 H2 D80'!$B$2</f>
        <v>46114</v>
      </c>
      <c r="C20" s="8">
        <f>'ALL 2024 H2 D80'!$C$2</f>
        <v>46120</v>
      </c>
      <c r="D20" s="5">
        <v>3208</v>
      </c>
      <c r="E20" s="5">
        <v>320</v>
      </c>
      <c r="F20" s="5">
        <v>1</v>
      </c>
      <c r="G20" s="5">
        <v>1</v>
      </c>
      <c r="H20" s="5">
        <v>81044</v>
      </c>
      <c r="I20" s="5" t="s">
        <v>16</v>
      </c>
      <c r="J20" s="5">
        <v>28093887</v>
      </c>
      <c r="K20" s="5" t="s">
        <v>1982</v>
      </c>
      <c r="L20" s="5" t="s">
        <v>1983</v>
      </c>
      <c r="M20" s="6">
        <v>259900</v>
      </c>
      <c r="N20" s="7">
        <v>0.9</v>
      </c>
      <c r="O20" s="6">
        <f t="shared" si="0"/>
        <v>25990</v>
      </c>
      <c r="P20" s="5" t="s">
        <v>504</v>
      </c>
    </row>
    <row r="21" spans="1:16" x14ac:dyDescent="0.35">
      <c r="A21" s="5" t="str">
        <f t="shared" si="1"/>
        <v>2021 ALL D90</v>
      </c>
      <c r="B21" s="8">
        <f>'ALL 2024 H2 D80'!$B$2</f>
        <v>46114</v>
      </c>
      <c r="C21" s="8">
        <f>'ALL 2024 H2 D80'!$C$2</f>
        <v>46120</v>
      </c>
      <c r="D21" s="5">
        <v>3208</v>
      </c>
      <c r="E21" s="5">
        <v>320</v>
      </c>
      <c r="F21" s="5">
        <v>1</v>
      </c>
      <c r="G21" s="5">
        <v>1</v>
      </c>
      <c r="H21" s="5">
        <v>81044</v>
      </c>
      <c r="I21" s="5" t="s">
        <v>16</v>
      </c>
      <c r="J21" s="5">
        <v>28093896</v>
      </c>
      <c r="K21" s="5" t="s">
        <v>1982</v>
      </c>
      <c r="L21" s="5" t="s">
        <v>1984</v>
      </c>
      <c r="M21" s="6">
        <v>259900</v>
      </c>
      <c r="N21" s="7">
        <v>0.9</v>
      </c>
      <c r="O21" s="6">
        <f t="shared" si="0"/>
        <v>25990</v>
      </c>
      <c r="P21" s="5" t="s">
        <v>504</v>
      </c>
    </row>
    <row r="22" spans="1:16" x14ac:dyDescent="0.35">
      <c r="A22" s="5" t="str">
        <f t="shared" si="1"/>
        <v>2021 ALL D90</v>
      </c>
      <c r="B22" s="8">
        <f>'ALL 2024 H2 D80'!$B$2</f>
        <v>46114</v>
      </c>
      <c r="C22" s="8">
        <f>'ALL 2024 H2 D80'!$C$2</f>
        <v>46120</v>
      </c>
      <c r="D22" s="5">
        <v>3208</v>
      </c>
      <c r="E22" s="5">
        <v>320</v>
      </c>
      <c r="F22" s="5">
        <v>1</v>
      </c>
      <c r="G22" s="5">
        <v>1</v>
      </c>
      <c r="H22" s="5">
        <v>81044</v>
      </c>
      <c r="I22" s="5" t="s">
        <v>16</v>
      </c>
      <c r="J22" s="5">
        <v>28093903</v>
      </c>
      <c r="K22" s="5" t="s">
        <v>1982</v>
      </c>
      <c r="L22" s="5" t="s">
        <v>1985</v>
      </c>
      <c r="M22" s="6">
        <v>259900</v>
      </c>
      <c r="N22" s="7">
        <v>0.9</v>
      </c>
      <c r="O22" s="6">
        <f t="shared" si="0"/>
        <v>25990</v>
      </c>
      <c r="P22" s="5" t="s">
        <v>504</v>
      </c>
    </row>
    <row r="23" spans="1:16" x14ac:dyDescent="0.35">
      <c r="A23" s="5" t="str">
        <f t="shared" si="1"/>
        <v>2021 ALL D90</v>
      </c>
      <c r="B23" s="8">
        <f>'ALL 2024 H2 D80'!$B$2</f>
        <v>46114</v>
      </c>
      <c r="C23" s="8">
        <f>'ALL 2024 H2 D80'!$C$2</f>
        <v>46120</v>
      </c>
      <c r="D23" s="5">
        <v>3208</v>
      </c>
      <c r="E23" s="5">
        <v>320</v>
      </c>
      <c r="F23" s="5">
        <v>1</v>
      </c>
      <c r="G23" s="5">
        <v>1</v>
      </c>
      <c r="H23" s="5">
        <v>81044</v>
      </c>
      <c r="I23" s="5" t="s">
        <v>16</v>
      </c>
      <c r="J23" s="5">
        <v>28093912</v>
      </c>
      <c r="K23" s="5" t="s">
        <v>1982</v>
      </c>
      <c r="L23" s="5" t="s">
        <v>1986</v>
      </c>
      <c r="M23" s="6">
        <v>259900</v>
      </c>
      <c r="N23" s="7">
        <v>0.9</v>
      </c>
      <c r="O23" s="6">
        <f t="shared" si="0"/>
        <v>25990</v>
      </c>
      <c r="P23" s="5" t="s">
        <v>504</v>
      </c>
    </row>
    <row r="24" spans="1:16" x14ac:dyDescent="0.35">
      <c r="A24" s="5" t="str">
        <f t="shared" si="1"/>
        <v>2021 ALL D90</v>
      </c>
      <c r="B24" s="8">
        <f>'ALL 2024 H2 D80'!$B$2</f>
        <v>46114</v>
      </c>
      <c r="C24" s="8">
        <f>'ALL 2024 H2 D80'!$C$2</f>
        <v>46120</v>
      </c>
      <c r="D24" s="5">
        <v>3208</v>
      </c>
      <c r="E24" s="5">
        <v>320</v>
      </c>
      <c r="F24" s="5">
        <v>1</v>
      </c>
      <c r="G24" s="5">
        <v>1</v>
      </c>
      <c r="H24" s="5">
        <v>81044</v>
      </c>
      <c r="I24" s="5" t="s">
        <v>16</v>
      </c>
      <c r="J24" s="5">
        <v>28539226</v>
      </c>
      <c r="K24" s="5" t="s">
        <v>1987</v>
      </c>
      <c r="L24" s="5" t="s">
        <v>1988</v>
      </c>
      <c r="M24" s="6">
        <v>229900</v>
      </c>
      <c r="N24" s="7">
        <v>0.9</v>
      </c>
      <c r="O24" s="6">
        <f t="shared" si="0"/>
        <v>22990</v>
      </c>
      <c r="P24" s="5" t="s">
        <v>504</v>
      </c>
    </row>
    <row r="25" spans="1:16" x14ac:dyDescent="0.35">
      <c r="A25" s="5" t="str">
        <f t="shared" si="1"/>
        <v>2021 ALL D90</v>
      </c>
      <c r="B25" s="8">
        <f>'ALL 2024 H2 D80'!$B$2</f>
        <v>46114</v>
      </c>
      <c r="C25" s="8">
        <f>'ALL 2024 H2 D80'!$C$2</f>
        <v>46120</v>
      </c>
      <c r="D25" s="5">
        <v>3208</v>
      </c>
      <c r="E25" s="5">
        <v>320</v>
      </c>
      <c r="F25" s="5">
        <v>1</v>
      </c>
      <c r="G25" s="5">
        <v>1</v>
      </c>
      <c r="H25" s="5">
        <v>81044</v>
      </c>
      <c r="I25" s="5" t="s">
        <v>16</v>
      </c>
      <c r="J25" s="5">
        <v>28539235</v>
      </c>
      <c r="K25" s="5" t="s">
        <v>1987</v>
      </c>
      <c r="L25" s="5" t="s">
        <v>1989</v>
      </c>
      <c r="M25" s="6">
        <v>229900</v>
      </c>
      <c r="N25" s="7">
        <v>0.9</v>
      </c>
      <c r="O25" s="6">
        <f t="shared" si="0"/>
        <v>22990</v>
      </c>
      <c r="P25" s="5" t="s">
        <v>504</v>
      </c>
    </row>
    <row r="26" spans="1:16" x14ac:dyDescent="0.35">
      <c r="A26" s="5" t="str">
        <f t="shared" si="1"/>
        <v>2021 ALL D90</v>
      </c>
      <c r="B26" s="8">
        <f>'ALL 2024 H2 D80'!$B$2</f>
        <v>46114</v>
      </c>
      <c r="C26" s="8">
        <f>'ALL 2024 H2 D80'!$C$2</f>
        <v>46120</v>
      </c>
      <c r="D26" s="5">
        <v>3208</v>
      </c>
      <c r="E26" s="5">
        <v>320</v>
      </c>
      <c r="F26" s="5">
        <v>1</v>
      </c>
      <c r="G26" s="5">
        <v>1</v>
      </c>
      <c r="H26" s="5">
        <v>81044</v>
      </c>
      <c r="I26" s="5" t="s">
        <v>16</v>
      </c>
      <c r="J26" s="5">
        <v>28539253</v>
      </c>
      <c r="K26" s="5" t="s">
        <v>1987</v>
      </c>
      <c r="L26" s="5" t="s">
        <v>1990</v>
      </c>
      <c r="M26" s="6">
        <v>229900</v>
      </c>
      <c r="N26" s="7">
        <v>0.9</v>
      </c>
      <c r="O26" s="6">
        <f t="shared" si="0"/>
        <v>22990</v>
      </c>
      <c r="P26" s="5" t="s">
        <v>504</v>
      </c>
    </row>
    <row r="27" spans="1:16" x14ac:dyDescent="0.35">
      <c r="A27" s="5" t="str">
        <f t="shared" si="1"/>
        <v>2021 ALL D90</v>
      </c>
      <c r="B27" s="8">
        <f>'ALL 2024 H2 D80'!$B$2</f>
        <v>46114</v>
      </c>
      <c r="C27" s="8">
        <f>'ALL 2024 H2 D80'!$C$2</f>
        <v>46120</v>
      </c>
      <c r="D27" s="5">
        <v>3208</v>
      </c>
      <c r="E27" s="5">
        <v>320</v>
      </c>
      <c r="F27" s="5">
        <v>1</v>
      </c>
      <c r="G27" s="5">
        <v>1</v>
      </c>
      <c r="H27" s="5">
        <v>81044</v>
      </c>
      <c r="I27" s="5" t="s">
        <v>16</v>
      </c>
      <c r="J27" s="5">
        <v>28539593</v>
      </c>
      <c r="K27" s="5" t="s">
        <v>1991</v>
      </c>
      <c r="L27" s="5" t="s">
        <v>1992</v>
      </c>
      <c r="M27" s="6">
        <v>299900</v>
      </c>
      <c r="N27" s="7">
        <v>0.9</v>
      </c>
      <c r="O27" s="6">
        <f t="shared" si="0"/>
        <v>29990</v>
      </c>
      <c r="P27" s="5" t="s">
        <v>504</v>
      </c>
    </row>
    <row r="28" spans="1:16" x14ac:dyDescent="0.35">
      <c r="A28" s="5" t="str">
        <f t="shared" si="1"/>
        <v>2021 ALL D90</v>
      </c>
      <c r="B28" s="8">
        <f>'ALL 2024 H2 D80'!$B$2</f>
        <v>46114</v>
      </c>
      <c r="C28" s="8">
        <f>'ALL 2024 H2 D80'!$C$2</f>
        <v>46120</v>
      </c>
      <c r="D28" s="5">
        <v>3208</v>
      </c>
      <c r="E28" s="5">
        <v>320</v>
      </c>
      <c r="F28" s="5">
        <v>1</v>
      </c>
      <c r="G28" s="5">
        <v>1</v>
      </c>
      <c r="H28" s="5">
        <v>81044</v>
      </c>
      <c r="I28" s="5" t="s">
        <v>16</v>
      </c>
      <c r="J28" s="5">
        <v>28539619</v>
      </c>
      <c r="K28" s="5" t="s">
        <v>1991</v>
      </c>
      <c r="L28" s="5" t="s">
        <v>1993</v>
      </c>
      <c r="M28" s="6">
        <v>299900</v>
      </c>
      <c r="N28" s="7">
        <v>0.9</v>
      </c>
      <c r="O28" s="6">
        <f t="shared" si="0"/>
        <v>29990</v>
      </c>
      <c r="P28" s="5" t="s">
        <v>504</v>
      </c>
    </row>
    <row r="29" spans="1:16" x14ac:dyDescent="0.35">
      <c r="A29" s="5" t="str">
        <f t="shared" si="1"/>
        <v>2021 ALL D90</v>
      </c>
      <c r="B29" s="8">
        <f>'ALL 2024 H2 D80'!$B$2</f>
        <v>46114</v>
      </c>
      <c r="C29" s="8">
        <f>'ALL 2024 H2 D80'!$C$2</f>
        <v>46120</v>
      </c>
      <c r="D29" s="5">
        <v>3208</v>
      </c>
      <c r="E29" s="5">
        <v>320</v>
      </c>
      <c r="F29" s="5">
        <v>1</v>
      </c>
      <c r="G29" s="5">
        <v>1</v>
      </c>
      <c r="H29" s="5">
        <v>81044</v>
      </c>
      <c r="I29" s="5" t="s">
        <v>16</v>
      </c>
      <c r="J29" s="5">
        <v>28539726</v>
      </c>
      <c r="K29" s="5" t="s">
        <v>1994</v>
      </c>
      <c r="L29" s="5" t="s">
        <v>1995</v>
      </c>
      <c r="M29" s="6">
        <v>229900</v>
      </c>
      <c r="N29" s="7">
        <v>0.9</v>
      </c>
      <c r="O29" s="6">
        <f t="shared" si="0"/>
        <v>22990</v>
      </c>
      <c r="P29" s="5" t="s">
        <v>504</v>
      </c>
    </row>
    <row r="30" spans="1:16" x14ac:dyDescent="0.35">
      <c r="A30" s="5" t="str">
        <f t="shared" si="1"/>
        <v>2021 ALL D90</v>
      </c>
      <c r="B30" s="8">
        <f>'ALL 2024 H2 D80'!$B$2</f>
        <v>46114</v>
      </c>
      <c r="C30" s="8">
        <f>'ALL 2024 H2 D80'!$C$2</f>
        <v>46120</v>
      </c>
      <c r="D30" s="5">
        <v>3208</v>
      </c>
      <c r="E30" s="5">
        <v>320</v>
      </c>
      <c r="F30" s="5">
        <v>1</v>
      </c>
      <c r="G30" s="5">
        <v>1</v>
      </c>
      <c r="H30" s="5">
        <v>81044</v>
      </c>
      <c r="I30" s="5" t="s">
        <v>16</v>
      </c>
      <c r="J30" s="5">
        <v>28539735</v>
      </c>
      <c r="K30" s="5" t="s">
        <v>1994</v>
      </c>
      <c r="L30" s="5" t="s">
        <v>1996</v>
      </c>
      <c r="M30" s="6">
        <v>229900</v>
      </c>
      <c r="N30" s="7">
        <v>0.9</v>
      </c>
      <c r="O30" s="6">
        <f t="shared" si="0"/>
        <v>22990</v>
      </c>
      <c r="P30" s="5" t="s">
        <v>504</v>
      </c>
    </row>
    <row r="31" spans="1:16" x14ac:dyDescent="0.35">
      <c r="A31" s="5" t="str">
        <f t="shared" si="1"/>
        <v>2021 ALL D90</v>
      </c>
      <c r="B31" s="8">
        <f>'ALL 2024 H2 D80'!$B$2</f>
        <v>46114</v>
      </c>
      <c r="C31" s="8">
        <f>'ALL 2024 H2 D80'!$C$2</f>
        <v>46120</v>
      </c>
      <c r="D31" s="5">
        <v>3208</v>
      </c>
      <c r="E31" s="5">
        <v>320</v>
      </c>
      <c r="F31" s="5">
        <v>1</v>
      </c>
      <c r="G31" s="5">
        <v>1</v>
      </c>
      <c r="H31" s="5">
        <v>81044</v>
      </c>
      <c r="I31" s="5" t="s">
        <v>16</v>
      </c>
      <c r="J31" s="5">
        <v>28539744</v>
      </c>
      <c r="K31" s="5" t="s">
        <v>1994</v>
      </c>
      <c r="L31" s="5" t="s">
        <v>1997</v>
      </c>
      <c r="M31" s="6">
        <v>229900</v>
      </c>
      <c r="N31" s="7">
        <v>0.9</v>
      </c>
      <c r="O31" s="6">
        <f t="shared" si="0"/>
        <v>22990</v>
      </c>
      <c r="P31" s="5" t="s">
        <v>504</v>
      </c>
    </row>
    <row r="32" spans="1:16" x14ac:dyDescent="0.35">
      <c r="A32" s="5" t="str">
        <f t="shared" si="1"/>
        <v>2021 ALL D90</v>
      </c>
      <c r="B32" s="8">
        <f>'ALL 2024 H2 D80'!$B$2</f>
        <v>46114</v>
      </c>
      <c r="C32" s="8">
        <f>'ALL 2024 H2 D80'!$C$2</f>
        <v>46120</v>
      </c>
      <c r="D32" s="5">
        <v>3208</v>
      </c>
      <c r="E32" s="5">
        <v>320</v>
      </c>
      <c r="F32" s="5">
        <v>1</v>
      </c>
      <c r="G32" s="5">
        <v>1</v>
      </c>
      <c r="H32" s="5">
        <v>81044</v>
      </c>
      <c r="I32" s="5" t="s">
        <v>16</v>
      </c>
      <c r="J32" s="5">
        <v>28539753</v>
      </c>
      <c r="K32" s="5" t="s">
        <v>1994</v>
      </c>
      <c r="L32" s="5" t="s">
        <v>1998</v>
      </c>
      <c r="M32" s="6">
        <v>229900</v>
      </c>
      <c r="N32" s="7">
        <v>0.9</v>
      </c>
      <c r="O32" s="6">
        <f t="shared" si="0"/>
        <v>22990</v>
      </c>
      <c r="P32" s="5" t="s">
        <v>504</v>
      </c>
    </row>
    <row r="33" spans="1:16" x14ac:dyDescent="0.35">
      <c r="A33" s="5" t="str">
        <f t="shared" si="1"/>
        <v>2021 ALL D90</v>
      </c>
      <c r="B33" s="8">
        <f>'ALL 2024 H2 D80'!$B$2</f>
        <v>46114</v>
      </c>
      <c r="C33" s="8">
        <f>'ALL 2024 H2 D80'!$C$2</f>
        <v>46120</v>
      </c>
      <c r="D33" s="5">
        <v>3208</v>
      </c>
      <c r="E33" s="5">
        <v>320</v>
      </c>
      <c r="F33" s="5">
        <v>1</v>
      </c>
      <c r="G33" s="5">
        <v>1</v>
      </c>
      <c r="H33" s="5">
        <v>81044</v>
      </c>
      <c r="I33" s="5" t="s">
        <v>16</v>
      </c>
      <c r="J33" s="5">
        <v>28696548</v>
      </c>
      <c r="K33" s="5" t="s">
        <v>1999</v>
      </c>
      <c r="L33" s="5" t="s">
        <v>2000</v>
      </c>
      <c r="M33" s="6">
        <v>219900</v>
      </c>
      <c r="N33" s="7">
        <v>0.9</v>
      </c>
      <c r="O33" s="6">
        <f t="shared" si="0"/>
        <v>21990</v>
      </c>
      <c r="P33" s="5" t="s">
        <v>504</v>
      </c>
    </row>
    <row r="34" spans="1:16" x14ac:dyDescent="0.35">
      <c r="A34" s="5" t="str">
        <f t="shared" si="1"/>
        <v>2021 ALL D90</v>
      </c>
      <c r="B34" s="8">
        <f>'ALL 2024 H2 D80'!$B$2</f>
        <v>46114</v>
      </c>
      <c r="C34" s="8">
        <f>'ALL 2024 H2 D80'!$C$2</f>
        <v>46120</v>
      </c>
      <c r="D34" s="5">
        <v>3208</v>
      </c>
      <c r="E34" s="5">
        <v>320</v>
      </c>
      <c r="F34" s="5">
        <v>1</v>
      </c>
      <c r="G34" s="5">
        <v>1</v>
      </c>
      <c r="H34" s="5">
        <v>81044</v>
      </c>
      <c r="I34" s="5" t="s">
        <v>16</v>
      </c>
      <c r="J34" s="5">
        <v>28696557</v>
      </c>
      <c r="K34" s="5" t="s">
        <v>1999</v>
      </c>
      <c r="L34" s="5" t="s">
        <v>2001</v>
      </c>
      <c r="M34" s="6">
        <v>219900</v>
      </c>
      <c r="N34" s="7">
        <v>0.9</v>
      </c>
      <c r="O34" s="6">
        <f t="shared" si="0"/>
        <v>21990</v>
      </c>
      <c r="P34" s="5" t="s">
        <v>504</v>
      </c>
    </row>
    <row r="35" spans="1:16" x14ac:dyDescent="0.35">
      <c r="A35" s="5" t="str">
        <f t="shared" si="1"/>
        <v>2021 ALL D90</v>
      </c>
      <c r="B35" s="8">
        <f>'ALL 2024 H2 D80'!$B$2</f>
        <v>46114</v>
      </c>
      <c r="C35" s="8">
        <f>'ALL 2024 H2 D80'!$C$2</f>
        <v>46120</v>
      </c>
      <c r="D35" s="5">
        <v>3208</v>
      </c>
      <c r="E35" s="5">
        <v>320</v>
      </c>
      <c r="F35" s="5">
        <v>1</v>
      </c>
      <c r="G35" s="5">
        <v>1</v>
      </c>
      <c r="H35" s="5">
        <v>81044</v>
      </c>
      <c r="I35" s="5" t="s">
        <v>16</v>
      </c>
      <c r="J35" s="5">
        <v>28696566</v>
      </c>
      <c r="K35" s="5" t="s">
        <v>1999</v>
      </c>
      <c r="L35" s="5" t="s">
        <v>2002</v>
      </c>
      <c r="M35" s="6">
        <v>219900</v>
      </c>
      <c r="N35" s="7">
        <v>0.9</v>
      </c>
      <c r="O35" s="6">
        <f t="shared" si="0"/>
        <v>21990</v>
      </c>
      <c r="P35" s="5" t="s">
        <v>504</v>
      </c>
    </row>
    <row r="36" spans="1:16" x14ac:dyDescent="0.35">
      <c r="A36" s="5" t="str">
        <f t="shared" si="1"/>
        <v>2021 ALL D90</v>
      </c>
      <c r="B36" s="8">
        <f>'ALL 2024 H2 D80'!$B$2</f>
        <v>46114</v>
      </c>
      <c r="C36" s="8">
        <f>'ALL 2024 H2 D80'!$C$2</f>
        <v>46120</v>
      </c>
      <c r="D36" s="5">
        <v>3208</v>
      </c>
      <c r="E36" s="5">
        <v>320</v>
      </c>
      <c r="F36" s="5">
        <v>1</v>
      </c>
      <c r="G36" s="5">
        <v>1</v>
      </c>
      <c r="H36" s="5">
        <v>81044</v>
      </c>
      <c r="I36" s="5" t="s">
        <v>16</v>
      </c>
      <c r="J36" s="5">
        <v>29057085</v>
      </c>
      <c r="K36" s="5" t="s">
        <v>2003</v>
      </c>
      <c r="L36" s="5" t="s">
        <v>2004</v>
      </c>
      <c r="M36" s="6">
        <v>259900</v>
      </c>
      <c r="N36" s="7">
        <v>0.9</v>
      </c>
      <c r="O36" s="6">
        <f t="shared" si="0"/>
        <v>25990</v>
      </c>
      <c r="P36" s="5" t="s">
        <v>504</v>
      </c>
    </row>
    <row r="37" spans="1:16" x14ac:dyDescent="0.35">
      <c r="A37" s="5" t="str">
        <f t="shared" si="1"/>
        <v>2021 ALL D90</v>
      </c>
      <c r="B37" s="8">
        <f>'ALL 2024 H2 D80'!$B$2</f>
        <v>46114</v>
      </c>
      <c r="C37" s="8">
        <f>'ALL 2024 H2 D80'!$C$2</f>
        <v>46120</v>
      </c>
      <c r="D37" s="5">
        <v>3208</v>
      </c>
      <c r="E37" s="5">
        <v>320</v>
      </c>
      <c r="F37" s="5">
        <v>1</v>
      </c>
      <c r="G37" s="5">
        <v>1</v>
      </c>
      <c r="H37" s="5">
        <v>81044</v>
      </c>
      <c r="I37" s="5" t="s">
        <v>16</v>
      </c>
      <c r="J37" s="5">
        <v>29057101</v>
      </c>
      <c r="K37" s="5" t="s">
        <v>2003</v>
      </c>
      <c r="L37" s="5" t="s">
        <v>2005</v>
      </c>
      <c r="M37" s="6">
        <v>259900</v>
      </c>
      <c r="N37" s="7">
        <v>0.9</v>
      </c>
      <c r="O37" s="6">
        <f t="shared" si="0"/>
        <v>25990</v>
      </c>
      <c r="P37" s="5" t="s">
        <v>504</v>
      </c>
    </row>
    <row r="38" spans="1:16" x14ac:dyDescent="0.35">
      <c r="A38" s="5" t="str">
        <f t="shared" si="1"/>
        <v>2021 ALL D90</v>
      </c>
      <c r="B38" s="8">
        <f>'ALL 2024 H2 D80'!$B$2</f>
        <v>46114</v>
      </c>
      <c r="C38" s="8">
        <f>'ALL 2024 H2 D80'!$C$2</f>
        <v>46120</v>
      </c>
      <c r="D38" s="5">
        <v>3208</v>
      </c>
      <c r="E38" s="5">
        <v>320</v>
      </c>
      <c r="F38" s="5">
        <v>1</v>
      </c>
      <c r="G38" s="5">
        <v>1</v>
      </c>
      <c r="H38" s="5">
        <v>81044</v>
      </c>
      <c r="I38" s="5" t="s">
        <v>16</v>
      </c>
      <c r="J38" s="5">
        <v>31529310</v>
      </c>
      <c r="K38" s="5" t="s">
        <v>2006</v>
      </c>
      <c r="L38" s="5" t="s">
        <v>2007</v>
      </c>
      <c r="M38" s="6">
        <v>229900</v>
      </c>
      <c r="N38" s="7">
        <v>0.9</v>
      </c>
      <c r="O38" s="6">
        <f t="shared" si="0"/>
        <v>22990</v>
      </c>
      <c r="P38" s="5" t="s">
        <v>504</v>
      </c>
    </row>
    <row r="39" spans="1:16" x14ac:dyDescent="0.35">
      <c r="A39" s="5" t="str">
        <f t="shared" si="1"/>
        <v>2021 ALL D90</v>
      </c>
      <c r="B39" s="8">
        <f>'ALL 2024 H2 D80'!$B$2</f>
        <v>46114</v>
      </c>
      <c r="C39" s="8">
        <f>'ALL 2024 H2 D80'!$C$2</f>
        <v>46120</v>
      </c>
      <c r="D39" s="5">
        <v>3208</v>
      </c>
      <c r="E39" s="5">
        <v>320</v>
      </c>
      <c r="F39" s="5">
        <v>1</v>
      </c>
      <c r="G39" s="5">
        <v>1</v>
      </c>
      <c r="H39" s="5">
        <v>81044</v>
      </c>
      <c r="I39" s="5" t="s">
        <v>16</v>
      </c>
      <c r="J39" s="5">
        <v>31529338</v>
      </c>
      <c r="K39" s="5" t="s">
        <v>2006</v>
      </c>
      <c r="L39" s="5" t="s">
        <v>2008</v>
      </c>
      <c r="M39" s="6">
        <v>229900</v>
      </c>
      <c r="N39" s="7">
        <v>0.9</v>
      </c>
      <c r="O39" s="6">
        <f t="shared" si="0"/>
        <v>22990</v>
      </c>
      <c r="P39" s="5" t="s">
        <v>504</v>
      </c>
    </row>
    <row r="40" spans="1:16" x14ac:dyDescent="0.35">
      <c r="A40" s="5" t="str">
        <f t="shared" si="1"/>
        <v>2021 ALL D90</v>
      </c>
      <c r="B40" s="8">
        <f>'ALL 2024 H2 D80'!$B$2</f>
        <v>46114</v>
      </c>
      <c r="C40" s="8">
        <f>'ALL 2024 H2 D80'!$C$2</f>
        <v>46120</v>
      </c>
      <c r="D40" s="5">
        <v>3208</v>
      </c>
      <c r="E40" s="5">
        <v>320</v>
      </c>
      <c r="F40" s="5">
        <v>1</v>
      </c>
      <c r="G40" s="5">
        <v>1</v>
      </c>
      <c r="H40" s="5">
        <v>81044</v>
      </c>
      <c r="I40" s="5" t="s">
        <v>16</v>
      </c>
      <c r="J40" s="5">
        <v>31529365</v>
      </c>
      <c r="K40" s="5" t="s">
        <v>2006</v>
      </c>
      <c r="L40" s="5" t="s">
        <v>2009</v>
      </c>
      <c r="M40" s="6">
        <v>229900</v>
      </c>
      <c r="N40" s="7">
        <v>0.9</v>
      </c>
      <c r="O40" s="6">
        <f t="shared" si="0"/>
        <v>22990</v>
      </c>
      <c r="P40" s="5" t="s">
        <v>504</v>
      </c>
    </row>
    <row r="41" spans="1:16" x14ac:dyDescent="0.35">
      <c r="A41" s="5" t="str">
        <f t="shared" si="1"/>
        <v>2021 ALL D90</v>
      </c>
      <c r="B41" s="8">
        <f>'ALL 2024 H2 D80'!$B$2</f>
        <v>46114</v>
      </c>
      <c r="C41" s="8">
        <f>'ALL 2024 H2 D80'!$C$2</f>
        <v>46120</v>
      </c>
      <c r="D41" s="5">
        <v>3208</v>
      </c>
      <c r="E41" s="5">
        <v>320</v>
      </c>
      <c r="F41" s="5">
        <v>1</v>
      </c>
      <c r="G41" s="5">
        <v>1</v>
      </c>
      <c r="H41" s="5">
        <v>81044</v>
      </c>
      <c r="I41" s="5" t="s">
        <v>16</v>
      </c>
      <c r="J41" s="5">
        <v>31660945</v>
      </c>
      <c r="K41" s="5" t="s">
        <v>2010</v>
      </c>
      <c r="L41" s="5" t="s">
        <v>2011</v>
      </c>
      <c r="M41" s="6">
        <v>189900</v>
      </c>
      <c r="N41" s="7">
        <v>0.9</v>
      </c>
      <c r="O41" s="6">
        <f t="shared" si="0"/>
        <v>18990</v>
      </c>
      <c r="P41" s="5" t="s">
        <v>504</v>
      </c>
    </row>
    <row r="42" spans="1:16" x14ac:dyDescent="0.35">
      <c r="A42" s="5" t="str">
        <f t="shared" si="1"/>
        <v>2021 ALL D90</v>
      </c>
      <c r="B42" s="8">
        <f>'ALL 2024 H2 D80'!$B$2</f>
        <v>46114</v>
      </c>
      <c r="C42" s="8">
        <f>'ALL 2024 H2 D80'!$C$2</f>
        <v>46120</v>
      </c>
      <c r="D42" s="5">
        <v>3208</v>
      </c>
      <c r="E42" s="5">
        <v>320</v>
      </c>
      <c r="F42" s="5">
        <v>1</v>
      </c>
      <c r="G42" s="5">
        <v>1</v>
      </c>
      <c r="H42" s="5">
        <v>81044</v>
      </c>
      <c r="I42" s="5" t="s">
        <v>16</v>
      </c>
      <c r="J42" s="5">
        <v>31660954</v>
      </c>
      <c r="K42" s="5" t="s">
        <v>2010</v>
      </c>
      <c r="L42" s="5" t="s">
        <v>2012</v>
      </c>
      <c r="M42" s="6">
        <v>189900</v>
      </c>
      <c r="N42" s="7">
        <v>0.9</v>
      </c>
      <c r="O42" s="6">
        <f t="shared" si="0"/>
        <v>18990</v>
      </c>
      <c r="P42" s="5" t="s">
        <v>504</v>
      </c>
    </row>
    <row r="43" spans="1:16" x14ac:dyDescent="0.35">
      <c r="A43" s="5" t="str">
        <f t="shared" si="1"/>
        <v>2021 ALL D90</v>
      </c>
      <c r="B43" s="8">
        <f>'ALL 2024 H2 D80'!$B$2</f>
        <v>46114</v>
      </c>
      <c r="C43" s="8">
        <f>'ALL 2024 H2 D80'!$C$2</f>
        <v>46120</v>
      </c>
      <c r="D43" s="5">
        <v>3208</v>
      </c>
      <c r="E43" s="5">
        <v>320</v>
      </c>
      <c r="F43" s="5">
        <v>1</v>
      </c>
      <c r="G43" s="5">
        <v>1</v>
      </c>
      <c r="H43" s="5">
        <v>81044</v>
      </c>
      <c r="I43" s="5" t="s">
        <v>16</v>
      </c>
      <c r="J43" s="5">
        <v>32371854</v>
      </c>
      <c r="K43" s="5" t="s">
        <v>1559</v>
      </c>
      <c r="L43" s="5" t="s">
        <v>2013</v>
      </c>
      <c r="M43" s="6">
        <v>249900</v>
      </c>
      <c r="N43" s="7">
        <v>0.9</v>
      </c>
      <c r="O43" s="6">
        <f t="shared" si="0"/>
        <v>24990</v>
      </c>
      <c r="P43" s="5" t="s">
        <v>504</v>
      </c>
    </row>
    <row r="44" spans="1:16" x14ac:dyDescent="0.35">
      <c r="A44" s="5" t="str">
        <f t="shared" si="1"/>
        <v>2021 ALL D90</v>
      </c>
      <c r="B44" s="8">
        <f>'ALL 2024 H2 D80'!$B$2</f>
        <v>46114</v>
      </c>
      <c r="C44" s="8">
        <f>'ALL 2024 H2 D80'!$C$2</f>
        <v>46120</v>
      </c>
      <c r="D44" s="5">
        <v>3208</v>
      </c>
      <c r="E44" s="5">
        <v>320</v>
      </c>
      <c r="F44" s="5">
        <v>1</v>
      </c>
      <c r="G44" s="5">
        <v>1</v>
      </c>
      <c r="H44" s="5">
        <v>81044</v>
      </c>
      <c r="I44" s="5" t="s">
        <v>16</v>
      </c>
      <c r="J44" s="5">
        <v>32371872</v>
      </c>
      <c r="K44" s="5" t="s">
        <v>1559</v>
      </c>
      <c r="L44" s="5" t="s">
        <v>3617</v>
      </c>
      <c r="M44" s="6">
        <v>249900</v>
      </c>
      <c r="N44" s="7">
        <v>0.9</v>
      </c>
      <c r="O44" s="6">
        <f t="shared" si="0"/>
        <v>24990</v>
      </c>
      <c r="P44" s="5" t="s">
        <v>504</v>
      </c>
    </row>
    <row r="45" spans="1:16" x14ac:dyDescent="0.35">
      <c r="A45" s="5" t="str">
        <f t="shared" si="1"/>
        <v>2021 ALL D90</v>
      </c>
      <c r="B45" s="8">
        <f>'ALL 2024 H2 D80'!$B$2</f>
        <v>46114</v>
      </c>
      <c r="C45" s="8">
        <f>'ALL 2024 H2 D80'!$C$2</f>
        <v>46120</v>
      </c>
      <c r="D45" s="5">
        <v>3208</v>
      </c>
      <c r="E45" s="5">
        <v>320</v>
      </c>
      <c r="F45" s="5">
        <v>1</v>
      </c>
      <c r="G45" s="5">
        <v>1</v>
      </c>
      <c r="H45" s="5">
        <v>81044</v>
      </c>
      <c r="I45" s="5" t="s">
        <v>16</v>
      </c>
      <c r="J45" s="5">
        <v>32372577</v>
      </c>
      <c r="K45" s="5" t="s">
        <v>2014</v>
      </c>
      <c r="L45" s="5" t="s">
        <v>2015</v>
      </c>
      <c r="M45" s="6">
        <v>249900</v>
      </c>
      <c r="N45" s="7">
        <v>0.9</v>
      </c>
      <c r="O45" s="6">
        <f t="shared" si="0"/>
        <v>24990</v>
      </c>
      <c r="P45" s="5" t="s">
        <v>504</v>
      </c>
    </row>
    <row r="46" spans="1:16" x14ac:dyDescent="0.35">
      <c r="A46" s="5" t="str">
        <f t="shared" si="1"/>
        <v>2021 ALL D90</v>
      </c>
      <c r="B46" s="8">
        <f>'ALL 2024 H2 D80'!$B$2</f>
        <v>46114</v>
      </c>
      <c r="C46" s="8">
        <f>'ALL 2024 H2 D80'!$C$2</f>
        <v>46120</v>
      </c>
      <c r="D46" s="5">
        <v>3208</v>
      </c>
      <c r="E46" s="5">
        <v>320</v>
      </c>
      <c r="F46" s="5">
        <v>1</v>
      </c>
      <c r="G46" s="5">
        <v>1</v>
      </c>
      <c r="H46" s="5">
        <v>81044</v>
      </c>
      <c r="I46" s="5" t="s">
        <v>16</v>
      </c>
      <c r="J46" s="5">
        <v>32372586</v>
      </c>
      <c r="K46" s="5" t="s">
        <v>2014</v>
      </c>
      <c r="L46" s="5" t="s">
        <v>2016</v>
      </c>
      <c r="M46" s="6">
        <v>249900</v>
      </c>
      <c r="N46" s="7">
        <v>0.9</v>
      </c>
      <c r="O46" s="6">
        <f t="shared" si="0"/>
        <v>24990</v>
      </c>
      <c r="P46" s="5" t="s">
        <v>504</v>
      </c>
    </row>
    <row r="47" spans="1:16" x14ac:dyDescent="0.35">
      <c r="A47" s="5" t="str">
        <f t="shared" si="1"/>
        <v>2021 ALL D90</v>
      </c>
      <c r="B47" s="8">
        <f>'ALL 2024 H2 D80'!$B$2</f>
        <v>46114</v>
      </c>
      <c r="C47" s="8">
        <f>'ALL 2024 H2 D80'!$C$2</f>
        <v>46120</v>
      </c>
      <c r="D47" s="5">
        <v>3208</v>
      </c>
      <c r="E47" s="5">
        <v>320</v>
      </c>
      <c r="F47" s="5">
        <v>1</v>
      </c>
      <c r="G47" s="5">
        <v>1</v>
      </c>
      <c r="H47" s="5">
        <v>81044</v>
      </c>
      <c r="I47" s="5" t="s">
        <v>16</v>
      </c>
      <c r="J47" s="5">
        <v>32375243</v>
      </c>
      <c r="K47" s="5" t="s">
        <v>2017</v>
      </c>
      <c r="L47" s="5" t="s">
        <v>2018</v>
      </c>
      <c r="M47" s="6">
        <v>219900</v>
      </c>
      <c r="N47" s="7">
        <v>0.9</v>
      </c>
      <c r="O47" s="6">
        <f t="shared" si="0"/>
        <v>21990</v>
      </c>
      <c r="P47" s="5" t="s">
        <v>504</v>
      </c>
    </row>
    <row r="48" spans="1:16" x14ac:dyDescent="0.35">
      <c r="A48" s="5" t="str">
        <f t="shared" si="1"/>
        <v>2021 ALL D90</v>
      </c>
      <c r="B48" s="8">
        <f>'ALL 2024 H2 D80'!$B$2</f>
        <v>46114</v>
      </c>
      <c r="C48" s="8">
        <f>'ALL 2024 H2 D80'!$C$2</f>
        <v>46120</v>
      </c>
      <c r="D48" s="5">
        <v>3208</v>
      </c>
      <c r="E48" s="5">
        <v>320</v>
      </c>
      <c r="F48" s="5">
        <v>1</v>
      </c>
      <c r="G48" s="5">
        <v>1</v>
      </c>
      <c r="H48" s="5">
        <v>81044</v>
      </c>
      <c r="I48" s="5" t="s">
        <v>16</v>
      </c>
      <c r="J48" s="5">
        <v>32375252</v>
      </c>
      <c r="K48" s="5" t="s">
        <v>2017</v>
      </c>
      <c r="L48" s="5" t="s">
        <v>2019</v>
      </c>
      <c r="M48" s="6">
        <v>219900</v>
      </c>
      <c r="N48" s="7">
        <v>0.9</v>
      </c>
      <c r="O48" s="6">
        <f t="shared" si="0"/>
        <v>21990</v>
      </c>
      <c r="P48" s="5" t="s">
        <v>504</v>
      </c>
    </row>
    <row r="49" spans="1:16" x14ac:dyDescent="0.35">
      <c r="A49" s="5" t="str">
        <f t="shared" si="1"/>
        <v>2021 ALL D90</v>
      </c>
      <c r="B49" s="8">
        <f>'ALL 2024 H2 D80'!$B$2</f>
        <v>46114</v>
      </c>
      <c r="C49" s="8">
        <f>'ALL 2024 H2 D80'!$C$2</f>
        <v>46120</v>
      </c>
      <c r="D49" s="5">
        <v>3208</v>
      </c>
      <c r="E49" s="5">
        <v>320</v>
      </c>
      <c r="F49" s="5">
        <v>1</v>
      </c>
      <c r="G49" s="5">
        <v>1</v>
      </c>
      <c r="H49" s="5">
        <v>81044</v>
      </c>
      <c r="I49" s="5" t="s">
        <v>16</v>
      </c>
      <c r="J49" s="5">
        <v>32375261</v>
      </c>
      <c r="K49" s="5" t="s">
        <v>2017</v>
      </c>
      <c r="L49" s="5" t="s">
        <v>2020</v>
      </c>
      <c r="M49" s="6">
        <v>219900</v>
      </c>
      <c r="N49" s="7">
        <v>0.9</v>
      </c>
      <c r="O49" s="6">
        <f t="shared" si="0"/>
        <v>21990</v>
      </c>
      <c r="P49" s="5" t="s">
        <v>504</v>
      </c>
    </row>
    <row r="50" spans="1:16" x14ac:dyDescent="0.35">
      <c r="A50" s="5" t="str">
        <f t="shared" si="1"/>
        <v>2021 ALL D90</v>
      </c>
      <c r="B50" s="8">
        <f>'ALL 2024 H2 D80'!$B$2</f>
        <v>46114</v>
      </c>
      <c r="C50" s="8">
        <f>'ALL 2024 H2 D80'!$C$2</f>
        <v>46120</v>
      </c>
      <c r="D50" s="5">
        <v>3208</v>
      </c>
      <c r="E50" s="5">
        <v>320</v>
      </c>
      <c r="F50" s="5">
        <v>1</v>
      </c>
      <c r="G50" s="5">
        <v>1</v>
      </c>
      <c r="H50" s="5">
        <v>81044</v>
      </c>
      <c r="I50" s="5" t="s">
        <v>16</v>
      </c>
      <c r="J50" s="5">
        <v>32375270</v>
      </c>
      <c r="K50" s="5" t="s">
        <v>2017</v>
      </c>
      <c r="L50" s="5" t="s">
        <v>2021</v>
      </c>
      <c r="M50" s="6">
        <v>219900</v>
      </c>
      <c r="N50" s="7">
        <v>0.9</v>
      </c>
      <c r="O50" s="6">
        <f t="shared" si="0"/>
        <v>21990</v>
      </c>
      <c r="P50" s="5" t="s">
        <v>504</v>
      </c>
    </row>
    <row r="51" spans="1:16" x14ac:dyDescent="0.35">
      <c r="A51" s="5" t="str">
        <f t="shared" si="1"/>
        <v>2021 ALL D90</v>
      </c>
      <c r="B51" s="8">
        <f>'ALL 2024 H2 D80'!$B$2</f>
        <v>46114</v>
      </c>
      <c r="C51" s="8">
        <f>'ALL 2024 H2 D80'!$C$2</f>
        <v>46120</v>
      </c>
      <c r="D51" s="5">
        <v>3208</v>
      </c>
      <c r="E51" s="5">
        <v>320</v>
      </c>
      <c r="F51" s="5">
        <v>1</v>
      </c>
      <c r="G51" s="5">
        <v>1</v>
      </c>
      <c r="H51" s="5">
        <v>81044</v>
      </c>
      <c r="I51" s="5" t="s">
        <v>16</v>
      </c>
      <c r="J51" s="5">
        <v>32379730</v>
      </c>
      <c r="K51" s="5" t="s">
        <v>2022</v>
      </c>
      <c r="L51" s="5" t="s">
        <v>2023</v>
      </c>
      <c r="M51" s="6">
        <v>229900</v>
      </c>
      <c r="N51" s="7">
        <v>0.9</v>
      </c>
      <c r="O51" s="6">
        <f t="shared" si="0"/>
        <v>22990</v>
      </c>
      <c r="P51" s="5" t="s">
        <v>504</v>
      </c>
    </row>
    <row r="52" spans="1:16" x14ac:dyDescent="0.35">
      <c r="A52" s="5" t="str">
        <f t="shared" si="1"/>
        <v>2021 ALL D90</v>
      </c>
      <c r="B52" s="8">
        <f>'ALL 2024 H2 D80'!$B$2</f>
        <v>46114</v>
      </c>
      <c r="C52" s="8">
        <f>'ALL 2024 H2 D80'!$C$2</f>
        <v>46120</v>
      </c>
      <c r="D52" s="5">
        <v>3208</v>
      </c>
      <c r="E52" s="5">
        <v>320</v>
      </c>
      <c r="F52" s="5">
        <v>1</v>
      </c>
      <c r="G52" s="5">
        <v>1</v>
      </c>
      <c r="H52" s="5">
        <v>81044</v>
      </c>
      <c r="I52" s="5" t="s">
        <v>16</v>
      </c>
      <c r="J52" s="5">
        <v>32379749</v>
      </c>
      <c r="K52" s="5" t="s">
        <v>2022</v>
      </c>
      <c r="L52" s="5" t="s">
        <v>2024</v>
      </c>
      <c r="M52" s="6">
        <v>229900</v>
      </c>
      <c r="N52" s="7">
        <v>0.9</v>
      </c>
      <c r="O52" s="6">
        <f t="shared" si="0"/>
        <v>22990</v>
      </c>
      <c r="P52" s="5" t="s">
        <v>504</v>
      </c>
    </row>
    <row r="53" spans="1:16" x14ac:dyDescent="0.35">
      <c r="A53" s="5" t="str">
        <f t="shared" si="1"/>
        <v>2021 ALL D90</v>
      </c>
      <c r="B53" s="8">
        <f>'ALL 2024 H2 D80'!$B$2</f>
        <v>46114</v>
      </c>
      <c r="C53" s="8">
        <f>'ALL 2024 H2 D80'!$C$2</f>
        <v>46120</v>
      </c>
      <c r="D53" s="5">
        <v>3208</v>
      </c>
      <c r="E53" s="5">
        <v>320</v>
      </c>
      <c r="F53" s="5">
        <v>1</v>
      </c>
      <c r="G53" s="5">
        <v>1</v>
      </c>
      <c r="H53" s="5">
        <v>81044</v>
      </c>
      <c r="I53" s="5" t="s">
        <v>16</v>
      </c>
      <c r="J53" s="5">
        <v>32379758</v>
      </c>
      <c r="K53" s="5" t="s">
        <v>2022</v>
      </c>
      <c r="L53" s="5" t="s">
        <v>2025</v>
      </c>
      <c r="M53" s="6">
        <v>229900</v>
      </c>
      <c r="N53" s="7">
        <v>0.9</v>
      </c>
      <c r="O53" s="6">
        <f t="shared" si="0"/>
        <v>22990</v>
      </c>
      <c r="P53" s="5" t="s">
        <v>504</v>
      </c>
    </row>
    <row r="54" spans="1:16" x14ac:dyDescent="0.35">
      <c r="A54" s="5" t="str">
        <f t="shared" si="1"/>
        <v>2021 ALL D90</v>
      </c>
      <c r="B54" s="8">
        <f>'ALL 2024 H2 D80'!$B$2</f>
        <v>46114</v>
      </c>
      <c r="C54" s="8">
        <f>'ALL 2024 H2 D80'!$C$2</f>
        <v>46120</v>
      </c>
      <c r="D54" s="5">
        <v>3208</v>
      </c>
      <c r="E54" s="5">
        <v>320</v>
      </c>
      <c r="F54" s="5">
        <v>1</v>
      </c>
      <c r="G54" s="5">
        <v>1</v>
      </c>
      <c r="H54" s="5">
        <v>81044</v>
      </c>
      <c r="I54" s="5" t="s">
        <v>16</v>
      </c>
      <c r="J54" s="5">
        <v>33365010</v>
      </c>
      <c r="K54" s="5" t="s">
        <v>2026</v>
      </c>
      <c r="L54" s="5" t="s">
        <v>2027</v>
      </c>
      <c r="M54" s="6">
        <v>249900</v>
      </c>
      <c r="N54" s="7">
        <v>0.9</v>
      </c>
      <c r="O54" s="6">
        <f t="shared" si="0"/>
        <v>24990</v>
      </c>
      <c r="P54" s="5" t="s">
        <v>504</v>
      </c>
    </row>
    <row r="55" spans="1:16" x14ac:dyDescent="0.35">
      <c r="A55" s="5" t="str">
        <f t="shared" si="1"/>
        <v>2021 ALL D90</v>
      </c>
      <c r="B55" s="8">
        <f>'ALL 2024 H2 D80'!$B$2</f>
        <v>46114</v>
      </c>
      <c r="C55" s="8">
        <f>'ALL 2024 H2 D80'!$C$2</f>
        <v>46120</v>
      </c>
      <c r="D55" s="5">
        <v>3208</v>
      </c>
      <c r="E55" s="5">
        <v>320</v>
      </c>
      <c r="F55" s="5">
        <v>1</v>
      </c>
      <c r="G55" s="5">
        <v>1</v>
      </c>
      <c r="H55" s="5">
        <v>81044</v>
      </c>
      <c r="I55" s="5" t="s">
        <v>16</v>
      </c>
      <c r="J55" s="5">
        <v>33365038</v>
      </c>
      <c r="K55" s="5" t="s">
        <v>2026</v>
      </c>
      <c r="L55" s="5" t="s">
        <v>2028</v>
      </c>
      <c r="M55" s="6">
        <v>249900</v>
      </c>
      <c r="N55" s="7">
        <v>0.9</v>
      </c>
      <c r="O55" s="6">
        <f t="shared" si="0"/>
        <v>24990</v>
      </c>
      <c r="P55" s="5" t="s">
        <v>504</v>
      </c>
    </row>
    <row r="56" spans="1:16" x14ac:dyDescent="0.35">
      <c r="A56" s="5" t="str">
        <f t="shared" si="1"/>
        <v>2021 ALL D90</v>
      </c>
      <c r="B56" s="8">
        <f>'ALL 2024 H2 D80'!$B$2</f>
        <v>46114</v>
      </c>
      <c r="C56" s="8">
        <f>'ALL 2024 H2 D80'!$C$2</f>
        <v>46120</v>
      </c>
      <c r="D56" s="5">
        <v>3208</v>
      </c>
      <c r="E56" s="5">
        <v>320</v>
      </c>
      <c r="F56" s="5">
        <v>1</v>
      </c>
      <c r="G56" s="5">
        <v>1</v>
      </c>
      <c r="H56" s="5">
        <v>81044</v>
      </c>
      <c r="I56" s="5" t="s">
        <v>16</v>
      </c>
      <c r="J56" s="5">
        <v>33473984</v>
      </c>
      <c r="K56" s="5" t="s">
        <v>2029</v>
      </c>
      <c r="L56" s="5" t="s">
        <v>2030</v>
      </c>
      <c r="M56" s="6">
        <v>249900</v>
      </c>
      <c r="N56" s="7">
        <v>0.9</v>
      </c>
      <c r="O56" s="6">
        <f t="shared" si="0"/>
        <v>24990</v>
      </c>
      <c r="P56" s="5" t="s">
        <v>504</v>
      </c>
    </row>
    <row r="57" spans="1:16" x14ac:dyDescent="0.35">
      <c r="A57" s="5" t="str">
        <f t="shared" si="1"/>
        <v>2021 ALL D90</v>
      </c>
      <c r="B57" s="8">
        <f>'ALL 2024 H2 D80'!$B$2</f>
        <v>46114</v>
      </c>
      <c r="C57" s="8">
        <f>'ALL 2024 H2 D80'!$C$2</f>
        <v>46120</v>
      </c>
      <c r="D57" s="5">
        <v>3208</v>
      </c>
      <c r="E57" s="5">
        <v>320</v>
      </c>
      <c r="F57" s="5">
        <v>1</v>
      </c>
      <c r="G57" s="5">
        <v>1</v>
      </c>
      <c r="H57" s="5">
        <v>81044</v>
      </c>
      <c r="I57" s="5" t="s">
        <v>16</v>
      </c>
      <c r="J57" s="5">
        <v>33473993</v>
      </c>
      <c r="K57" s="5" t="s">
        <v>2029</v>
      </c>
      <c r="L57" s="5" t="s">
        <v>2031</v>
      </c>
      <c r="M57" s="6">
        <v>249900</v>
      </c>
      <c r="N57" s="7">
        <v>0.9</v>
      </c>
      <c r="O57" s="6">
        <f t="shared" si="0"/>
        <v>24990</v>
      </c>
      <c r="P57" s="5" t="s">
        <v>504</v>
      </c>
    </row>
    <row r="58" spans="1:16" x14ac:dyDescent="0.35">
      <c r="A58" s="5" t="str">
        <f t="shared" si="1"/>
        <v>2021 ALL D90</v>
      </c>
      <c r="B58" s="8">
        <f>'ALL 2024 H2 D80'!$B$2</f>
        <v>46114</v>
      </c>
      <c r="C58" s="8">
        <f>'ALL 2024 H2 D80'!$C$2</f>
        <v>46120</v>
      </c>
      <c r="D58" s="5">
        <v>3208</v>
      </c>
      <c r="E58" s="5">
        <v>320</v>
      </c>
      <c r="F58" s="5">
        <v>1</v>
      </c>
      <c r="G58" s="5">
        <v>1</v>
      </c>
      <c r="H58" s="5">
        <v>81495</v>
      </c>
      <c r="I58" s="5" t="s">
        <v>16</v>
      </c>
      <c r="J58" s="5">
        <v>28539048</v>
      </c>
      <c r="K58" s="5" t="s">
        <v>2032</v>
      </c>
      <c r="L58" s="5" t="s">
        <v>2033</v>
      </c>
      <c r="M58" s="6">
        <v>199900</v>
      </c>
      <c r="N58" s="7">
        <v>0.9</v>
      </c>
      <c r="O58" s="6">
        <f t="shared" si="0"/>
        <v>19990</v>
      </c>
      <c r="P58" s="5" t="s">
        <v>504</v>
      </c>
    </row>
    <row r="59" spans="1:16" x14ac:dyDescent="0.35">
      <c r="A59" s="5" t="str">
        <f t="shared" si="1"/>
        <v>2021 ALL D90</v>
      </c>
      <c r="B59" s="8">
        <f>'ALL 2024 H2 D80'!$B$2</f>
        <v>46114</v>
      </c>
      <c r="C59" s="8">
        <f>'ALL 2024 H2 D80'!$C$2</f>
        <v>46120</v>
      </c>
      <c r="D59" s="5">
        <v>3208</v>
      </c>
      <c r="E59" s="5">
        <v>320</v>
      </c>
      <c r="F59" s="5">
        <v>1</v>
      </c>
      <c r="G59" s="5">
        <v>1</v>
      </c>
      <c r="H59" s="5">
        <v>81495</v>
      </c>
      <c r="I59" s="5" t="s">
        <v>16</v>
      </c>
      <c r="J59" s="5">
        <v>28539057</v>
      </c>
      <c r="K59" s="5" t="s">
        <v>2032</v>
      </c>
      <c r="L59" s="5" t="s">
        <v>2034</v>
      </c>
      <c r="M59" s="6">
        <v>199900</v>
      </c>
      <c r="N59" s="7">
        <v>0.9</v>
      </c>
      <c r="O59" s="6">
        <f t="shared" si="0"/>
        <v>19990</v>
      </c>
      <c r="P59" s="5" t="s">
        <v>504</v>
      </c>
    </row>
    <row r="60" spans="1:16" x14ac:dyDescent="0.35">
      <c r="A60" s="5" t="str">
        <f t="shared" si="1"/>
        <v>2021 ALL D90</v>
      </c>
      <c r="B60" s="8">
        <f>'ALL 2024 H2 D80'!$B$2</f>
        <v>46114</v>
      </c>
      <c r="C60" s="8">
        <f>'ALL 2024 H2 D80'!$C$2</f>
        <v>46120</v>
      </c>
      <c r="D60" s="5">
        <v>3208</v>
      </c>
      <c r="E60" s="5">
        <v>320</v>
      </c>
      <c r="F60" s="5">
        <v>1</v>
      </c>
      <c r="G60" s="5">
        <v>1</v>
      </c>
      <c r="H60" s="5">
        <v>81495</v>
      </c>
      <c r="I60" s="5" t="s">
        <v>16</v>
      </c>
      <c r="J60" s="5">
        <v>28539066</v>
      </c>
      <c r="K60" s="5" t="s">
        <v>2032</v>
      </c>
      <c r="L60" s="5" t="s">
        <v>2035</v>
      </c>
      <c r="M60" s="6">
        <v>199900</v>
      </c>
      <c r="N60" s="7">
        <v>0.9</v>
      </c>
      <c r="O60" s="6">
        <f t="shared" si="0"/>
        <v>19990</v>
      </c>
      <c r="P60" s="5" t="s">
        <v>504</v>
      </c>
    </row>
    <row r="61" spans="1:16" x14ac:dyDescent="0.35">
      <c r="A61" s="5" t="str">
        <f t="shared" si="1"/>
        <v>2021 ALL D90</v>
      </c>
      <c r="B61" s="8">
        <f>'ALL 2024 H2 D80'!$B$2</f>
        <v>46114</v>
      </c>
      <c r="C61" s="8">
        <f>'ALL 2024 H2 D80'!$C$2</f>
        <v>46120</v>
      </c>
      <c r="D61" s="5">
        <v>3208</v>
      </c>
      <c r="E61" s="5">
        <v>320</v>
      </c>
      <c r="F61" s="5">
        <v>1</v>
      </c>
      <c r="G61" s="5">
        <v>1</v>
      </c>
      <c r="H61" s="5">
        <v>81495</v>
      </c>
      <c r="I61" s="5" t="s">
        <v>16</v>
      </c>
      <c r="J61" s="5">
        <v>28539075</v>
      </c>
      <c r="K61" s="5" t="s">
        <v>2032</v>
      </c>
      <c r="L61" s="5" t="s">
        <v>2036</v>
      </c>
      <c r="M61" s="6">
        <v>199900</v>
      </c>
      <c r="N61" s="7">
        <v>0.9</v>
      </c>
      <c r="O61" s="6">
        <f t="shared" si="0"/>
        <v>19990</v>
      </c>
      <c r="P61" s="5" t="s">
        <v>504</v>
      </c>
    </row>
    <row r="62" spans="1:16" x14ac:dyDescent="0.35">
      <c r="A62" s="5" t="str">
        <f t="shared" si="1"/>
        <v>2021 ALL D90</v>
      </c>
      <c r="B62" s="8">
        <f>'ALL 2024 H2 D80'!$B$2</f>
        <v>46114</v>
      </c>
      <c r="C62" s="8">
        <f>'ALL 2024 H2 D80'!$C$2</f>
        <v>46120</v>
      </c>
      <c r="D62" s="5">
        <v>3208</v>
      </c>
      <c r="E62" s="5">
        <v>320</v>
      </c>
      <c r="F62" s="5">
        <v>1</v>
      </c>
      <c r="G62" s="5">
        <v>1</v>
      </c>
      <c r="H62" s="5">
        <v>81495</v>
      </c>
      <c r="I62" s="5" t="s">
        <v>16</v>
      </c>
      <c r="J62" s="5">
        <v>28540634</v>
      </c>
      <c r="K62" s="5" t="s">
        <v>2037</v>
      </c>
      <c r="L62" s="5" t="s">
        <v>2038</v>
      </c>
      <c r="M62" s="6">
        <v>279900</v>
      </c>
      <c r="N62" s="7">
        <v>0.9</v>
      </c>
      <c r="O62" s="6">
        <f t="shared" si="0"/>
        <v>27990</v>
      </c>
      <c r="P62" s="5" t="s">
        <v>504</v>
      </c>
    </row>
    <row r="63" spans="1:16" x14ac:dyDescent="0.35">
      <c r="A63" s="5" t="str">
        <f t="shared" si="1"/>
        <v>2021 ALL D90</v>
      </c>
      <c r="B63" s="8">
        <f>'ALL 2024 H2 D80'!$B$2</f>
        <v>46114</v>
      </c>
      <c r="C63" s="8">
        <f>'ALL 2024 H2 D80'!$C$2</f>
        <v>46120</v>
      </c>
      <c r="D63" s="5">
        <v>3208</v>
      </c>
      <c r="E63" s="5">
        <v>320</v>
      </c>
      <c r="F63" s="5">
        <v>1</v>
      </c>
      <c r="G63" s="5">
        <v>1</v>
      </c>
      <c r="H63" s="5">
        <v>81495</v>
      </c>
      <c r="I63" s="5" t="s">
        <v>16</v>
      </c>
      <c r="J63" s="5">
        <v>28540670</v>
      </c>
      <c r="K63" s="5" t="s">
        <v>2037</v>
      </c>
      <c r="L63" s="5" t="s">
        <v>2039</v>
      </c>
      <c r="M63" s="6">
        <v>279900</v>
      </c>
      <c r="N63" s="7">
        <v>0.9</v>
      </c>
      <c r="O63" s="6">
        <f t="shared" si="0"/>
        <v>27990</v>
      </c>
      <c r="P63" s="5" t="s">
        <v>504</v>
      </c>
    </row>
    <row r="64" spans="1:16" x14ac:dyDescent="0.35">
      <c r="A64" s="5" t="str">
        <f t="shared" si="1"/>
        <v>2021 ALL D90</v>
      </c>
      <c r="B64" s="8">
        <f>'ALL 2024 H2 D80'!$B$2</f>
        <v>46114</v>
      </c>
      <c r="C64" s="8">
        <f>'ALL 2024 H2 D80'!$C$2</f>
        <v>46120</v>
      </c>
      <c r="D64" s="5">
        <v>3208</v>
      </c>
      <c r="E64" s="5">
        <v>320</v>
      </c>
      <c r="F64" s="5">
        <v>1</v>
      </c>
      <c r="G64" s="5">
        <v>1</v>
      </c>
      <c r="H64" s="5">
        <v>81495</v>
      </c>
      <c r="I64" s="5" t="s">
        <v>16</v>
      </c>
      <c r="J64" s="5">
        <v>28540689</v>
      </c>
      <c r="K64" s="5" t="s">
        <v>2037</v>
      </c>
      <c r="L64" s="5" t="s">
        <v>2040</v>
      </c>
      <c r="M64" s="6">
        <v>279900</v>
      </c>
      <c r="N64" s="7">
        <v>0.9</v>
      </c>
      <c r="O64" s="6">
        <f t="shared" si="0"/>
        <v>27990</v>
      </c>
      <c r="P64" s="5" t="s">
        <v>504</v>
      </c>
    </row>
    <row r="65" spans="1:16" x14ac:dyDescent="0.35">
      <c r="A65" s="5" t="str">
        <f t="shared" si="1"/>
        <v>2021 ALL D90</v>
      </c>
      <c r="B65" s="8">
        <f>'ALL 2024 H2 D80'!$B$2</f>
        <v>46114</v>
      </c>
      <c r="C65" s="8">
        <f>'ALL 2024 H2 D80'!$C$2</f>
        <v>46120</v>
      </c>
      <c r="D65" s="5">
        <v>3208</v>
      </c>
      <c r="E65" s="5">
        <v>320</v>
      </c>
      <c r="F65" s="5">
        <v>1</v>
      </c>
      <c r="G65" s="5">
        <v>1</v>
      </c>
      <c r="H65" s="5">
        <v>81495</v>
      </c>
      <c r="I65" s="5" t="s">
        <v>16</v>
      </c>
      <c r="J65" s="5">
        <v>32059960</v>
      </c>
      <c r="K65" s="5" t="s">
        <v>2041</v>
      </c>
      <c r="L65" s="5" t="s">
        <v>2042</v>
      </c>
      <c r="M65" s="6">
        <v>179900</v>
      </c>
      <c r="N65" s="7">
        <v>0.9</v>
      </c>
      <c r="O65" s="6">
        <f t="shared" si="0"/>
        <v>17990</v>
      </c>
      <c r="P65" s="5" t="s">
        <v>504</v>
      </c>
    </row>
    <row r="66" spans="1:16" x14ac:dyDescent="0.35">
      <c r="A66" s="5" t="str">
        <f t="shared" si="1"/>
        <v>2021 ALL D90</v>
      </c>
      <c r="B66" s="8">
        <f>'ALL 2024 H2 D80'!$B$2</f>
        <v>46114</v>
      </c>
      <c r="C66" s="8">
        <f>'ALL 2024 H2 D80'!$C$2</f>
        <v>46120</v>
      </c>
      <c r="D66" s="5">
        <v>3208</v>
      </c>
      <c r="E66" s="5">
        <v>320</v>
      </c>
      <c r="F66" s="5">
        <v>1</v>
      </c>
      <c r="G66" s="5">
        <v>1</v>
      </c>
      <c r="H66" s="5">
        <v>81495</v>
      </c>
      <c r="I66" s="5" t="s">
        <v>16</v>
      </c>
      <c r="J66" s="5">
        <v>32059979</v>
      </c>
      <c r="K66" s="5" t="s">
        <v>2041</v>
      </c>
      <c r="L66" s="5" t="s">
        <v>2043</v>
      </c>
      <c r="M66" s="6">
        <v>179900</v>
      </c>
      <c r="N66" s="7">
        <v>0.9</v>
      </c>
      <c r="O66" s="6">
        <f t="shared" si="0"/>
        <v>17990</v>
      </c>
      <c r="P66" s="5" t="s">
        <v>504</v>
      </c>
    </row>
    <row r="67" spans="1:16" x14ac:dyDescent="0.35">
      <c r="A67" s="5" t="str">
        <f t="shared" si="1"/>
        <v>2021 ALL D90</v>
      </c>
      <c r="B67" s="8">
        <f>'ALL 2024 H2 D80'!$B$2</f>
        <v>46114</v>
      </c>
      <c r="C67" s="8">
        <f>'ALL 2024 H2 D80'!$C$2</f>
        <v>46120</v>
      </c>
      <c r="D67" s="5">
        <v>3208</v>
      </c>
      <c r="E67" s="5">
        <v>320</v>
      </c>
      <c r="F67" s="5">
        <v>1</v>
      </c>
      <c r="G67" s="5">
        <v>1</v>
      </c>
      <c r="H67" s="5">
        <v>81495</v>
      </c>
      <c r="I67" s="5" t="s">
        <v>16</v>
      </c>
      <c r="J67" s="5">
        <v>32059988</v>
      </c>
      <c r="K67" s="5" t="s">
        <v>2041</v>
      </c>
      <c r="L67" s="5" t="s">
        <v>2044</v>
      </c>
      <c r="M67" s="6">
        <v>179900</v>
      </c>
      <c r="N67" s="7">
        <v>0.9</v>
      </c>
      <c r="O67" s="6">
        <f t="shared" ref="O67:O130" si="2">M67-(M67*N67)</f>
        <v>17990</v>
      </c>
      <c r="P67" s="5" t="s">
        <v>504</v>
      </c>
    </row>
    <row r="68" spans="1:16" x14ac:dyDescent="0.35">
      <c r="A68" s="5" t="str">
        <f t="shared" ref="A68:A131" si="3">$A$2</f>
        <v>2021 ALL D90</v>
      </c>
      <c r="B68" s="8">
        <f>'ALL 2024 H2 D80'!$B$2</f>
        <v>46114</v>
      </c>
      <c r="C68" s="8">
        <f>'ALL 2024 H2 D80'!$C$2</f>
        <v>46120</v>
      </c>
      <c r="D68" s="5">
        <v>3208</v>
      </c>
      <c r="E68" s="5">
        <v>320</v>
      </c>
      <c r="F68" s="5">
        <v>1</v>
      </c>
      <c r="G68" s="5">
        <v>1</v>
      </c>
      <c r="H68" s="5">
        <v>81495</v>
      </c>
      <c r="I68" s="5" t="s">
        <v>16</v>
      </c>
      <c r="J68" s="5">
        <v>32059997</v>
      </c>
      <c r="K68" s="5" t="s">
        <v>2041</v>
      </c>
      <c r="L68" s="5" t="s">
        <v>2045</v>
      </c>
      <c r="M68" s="6">
        <v>179900</v>
      </c>
      <c r="N68" s="7">
        <v>0.9</v>
      </c>
      <c r="O68" s="6">
        <f t="shared" si="2"/>
        <v>17990</v>
      </c>
      <c r="P68" s="5" t="s">
        <v>504</v>
      </c>
    </row>
    <row r="69" spans="1:16" x14ac:dyDescent="0.35">
      <c r="A69" s="5" t="str">
        <f t="shared" si="3"/>
        <v>2021 ALL D90</v>
      </c>
      <c r="B69" s="8">
        <f>'ALL 2024 H2 D80'!$B$2</f>
        <v>46114</v>
      </c>
      <c r="C69" s="8">
        <f>'ALL 2024 H2 D80'!$C$2</f>
        <v>46120</v>
      </c>
      <c r="D69" s="5">
        <v>3208</v>
      </c>
      <c r="E69" s="5">
        <v>320</v>
      </c>
      <c r="F69" s="5">
        <v>1</v>
      </c>
      <c r="G69" s="5">
        <v>1</v>
      </c>
      <c r="H69" s="5">
        <v>81495</v>
      </c>
      <c r="I69" s="5" t="s">
        <v>16</v>
      </c>
      <c r="J69" s="5">
        <v>32375163</v>
      </c>
      <c r="K69" s="5" t="s">
        <v>2046</v>
      </c>
      <c r="L69" s="5" t="s">
        <v>2047</v>
      </c>
      <c r="M69" s="6">
        <v>229900</v>
      </c>
      <c r="N69" s="7">
        <v>0.9</v>
      </c>
      <c r="O69" s="6">
        <f t="shared" si="2"/>
        <v>22990</v>
      </c>
      <c r="P69" s="5" t="s">
        <v>504</v>
      </c>
    </row>
    <row r="70" spans="1:16" x14ac:dyDescent="0.35">
      <c r="A70" s="5" t="str">
        <f t="shared" si="3"/>
        <v>2021 ALL D90</v>
      </c>
      <c r="B70" s="8">
        <f>'ALL 2024 H2 D80'!$B$2</f>
        <v>46114</v>
      </c>
      <c r="C70" s="8">
        <f>'ALL 2024 H2 D80'!$C$2</f>
        <v>46120</v>
      </c>
      <c r="D70" s="5">
        <v>3208</v>
      </c>
      <c r="E70" s="5">
        <v>320</v>
      </c>
      <c r="F70" s="5">
        <v>1</v>
      </c>
      <c r="G70" s="5">
        <v>1</v>
      </c>
      <c r="H70" s="5">
        <v>81495</v>
      </c>
      <c r="I70" s="5" t="s">
        <v>16</v>
      </c>
      <c r="J70" s="5">
        <v>32375172</v>
      </c>
      <c r="K70" s="5" t="s">
        <v>2046</v>
      </c>
      <c r="L70" s="5" t="s">
        <v>2048</v>
      </c>
      <c r="M70" s="6">
        <v>229900</v>
      </c>
      <c r="N70" s="7">
        <v>0.9</v>
      </c>
      <c r="O70" s="6">
        <f t="shared" si="2"/>
        <v>22990</v>
      </c>
      <c r="P70" s="5" t="s">
        <v>504</v>
      </c>
    </row>
    <row r="71" spans="1:16" x14ac:dyDescent="0.35">
      <c r="A71" s="5" t="str">
        <f t="shared" si="3"/>
        <v>2021 ALL D90</v>
      </c>
      <c r="B71" s="8">
        <f>'ALL 2024 H2 D80'!$B$2</f>
        <v>46114</v>
      </c>
      <c r="C71" s="8">
        <f>'ALL 2024 H2 D80'!$C$2</f>
        <v>46120</v>
      </c>
      <c r="D71" s="5">
        <v>3208</v>
      </c>
      <c r="E71" s="5">
        <v>320</v>
      </c>
      <c r="F71" s="5">
        <v>1</v>
      </c>
      <c r="G71" s="5">
        <v>1</v>
      </c>
      <c r="H71" s="5">
        <v>81495</v>
      </c>
      <c r="I71" s="5" t="s">
        <v>16</v>
      </c>
      <c r="J71" s="5">
        <v>32375181</v>
      </c>
      <c r="K71" s="5" t="s">
        <v>2046</v>
      </c>
      <c r="L71" s="5" t="s">
        <v>2049</v>
      </c>
      <c r="M71" s="6">
        <v>229900</v>
      </c>
      <c r="N71" s="7">
        <v>0.9</v>
      </c>
      <c r="O71" s="6">
        <f t="shared" si="2"/>
        <v>22990</v>
      </c>
      <c r="P71" s="5" t="s">
        <v>504</v>
      </c>
    </row>
    <row r="72" spans="1:16" x14ac:dyDescent="0.35">
      <c r="A72" s="5" t="str">
        <f t="shared" si="3"/>
        <v>2021 ALL D90</v>
      </c>
      <c r="B72" s="8">
        <f>'ALL 2024 H2 D80'!$B$2</f>
        <v>46114</v>
      </c>
      <c r="C72" s="8">
        <f>'ALL 2024 H2 D80'!$C$2</f>
        <v>46120</v>
      </c>
      <c r="D72" s="5">
        <v>3208</v>
      </c>
      <c r="E72" s="5">
        <v>320</v>
      </c>
      <c r="F72" s="5">
        <v>1</v>
      </c>
      <c r="G72" s="5">
        <v>1</v>
      </c>
      <c r="H72" s="5">
        <v>81495</v>
      </c>
      <c r="I72" s="5" t="s">
        <v>16</v>
      </c>
      <c r="J72" s="5">
        <v>32375190</v>
      </c>
      <c r="K72" s="5" t="s">
        <v>2046</v>
      </c>
      <c r="L72" s="5" t="s">
        <v>2050</v>
      </c>
      <c r="M72" s="6">
        <v>229900</v>
      </c>
      <c r="N72" s="7">
        <v>0.9</v>
      </c>
      <c r="O72" s="6">
        <f t="shared" si="2"/>
        <v>22990</v>
      </c>
      <c r="P72" s="5" t="s">
        <v>504</v>
      </c>
    </row>
    <row r="73" spans="1:16" x14ac:dyDescent="0.35">
      <c r="A73" s="5" t="str">
        <f t="shared" si="3"/>
        <v>2021 ALL D90</v>
      </c>
      <c r="B73" s="8">
        <f>'ALL 2024 H2 D80'!$B$2</f>
        <v>46114</v>
      </c>
      <c r="C73" s="8">
        <f>'ALL 2024 H2 D80'!$C$2</f>
        <v>46120</v>
      </c>
      <c r="D73" s="5">
        <v>3208</v>
      </c>
      <c r="E73" s="5">
        <v>320</v>
      </c>
      <c r="F73" s="5">
        <v>1</v>
      </c>
      <c r="G73" s="5">
        <v>1</v>
      </c>
      <c r="H73" s="5">
        <v>81495</v>
      </c>
      <c r="I73" s="5" t="s">
        <v>16</v>
      </c>
      <c r="J73" s="5">
        <v>32375636</v>
      </c>
      <c r="K73" s="5" t="s">
        <v>2051</v>
      </c>
      <c r="L73" s="5" t="s">
        <v>2052</v>
      </c>
      <c r="M73" s="6">
        <v>199900</v>
      </c>
      <c r="N73" s="7">
        <v>0.9</v>
      </c>
      <c r="O73" s="6">
        <f t="shared" si="2"/>
        <v>19990</v>
      </c>
      <c r="P73" s="5" t="s">
        <v>504</v>
      </c>
    </row>
    <row r="74" spans="1:16" x14ac:dyDescent="0.35">
      <c r="A74" s="5" t="str">
        <f t="shared" si="3"/>
        <v>2021 ALL D90</v>
      </c>
      <c r="B74" s="8">
        <f>'ALL 2024 H2 D80'!$B$2</f>
        <v>46114</v>
      </c>
      <c r="C74" s="8">
        <f>'ALL 2024 H2 D80'!$C$2</f>
        <v>46120</v>
      </c>
      <c r="D74" s="5">
        <v>3208</v>
      </c>
      <c r="E74" s="5">
        <v>320</v>
      </c>
      <c r="F74" s="5">
        <v>1</v>
      </c>
      <c r="G74" s="5">
        <v>1</v>
      </c>
      <c r="H74" s="5">
        <v>80903</v>
      </c>
      <c r="I74" s="5" t="s">
        <v>16</v>
      </c>
      <c r="J74" s="5">
        <v>29056764</v>
      </c>
      <c r="K74" s="5" t="s">
        <v>2053</v>
      </c>
      <c r="L74" s="5" t="s">
        <v>2054</v>
      </c>
      <c r="M74" s="6">
        <v>249900</v>
      </c>
      <c r="N74" s="7">
        <v>0.9</v>
      </c>
      <c r="O74" s="6">
        <f t="shared" si="2"/>
        <v>24990</v>
      </c>
      <c r="P74" s="5" t="s">
        <v>504</v>
      </c>
    </row>
    <row r="75" spans="1:16" x14ac:dyDescent="0.35">
      <c r="A75" s="5" t="str">
        <f t="shared" si="3"/>
        <v>2021 ALL D90</v>
      </c>
      <c r="B75" s="8">
        <f>'ALL 2024 H2 D80'!$B$2</f>
        <v>46114</v>
      </c>
      <c r="C75" s="8">
        <f>'ALL 2024 H2 D80'!$C$2</f>
        <v>46120</v>
      </c>
      <c r="D75" s="5">
        <v>3208</v>
      </c>
      <c r="E75" s="5">
        <v>320</v>
      </c>
      <c r="F75" s="5">
        <v>1</v>
      </c>
      <c r="G75" s="5">
        <v>1</v>
      </c>
      <c r="H75" s="5">
        <v>80903</v>
      </c>
      <c r="I75" s="5" t="s">
        <v>16</v>
      </c>
      <c r="J75" s="5">
        <v>29056773</v>
      </c>
      <c r="K75" s="5" t="s">
        <v>2053</v>
      </c>
      <c r="L75" s="5" t="s">
        <v>2055</v>
      </c>
      <c r="M75" s="6">
        <v>249900</v>
      </c>
      <c r="N75" s="7">
        <v>0.9</v>
      </c>
      <c r="O75" s="6">
        <f t="shared" si="2"/>
        <v>24990</v>
      </c>
      <c r="P75" s="5" t="s">
        <v>504</v>
      </c>
    </row>
    <row r="76" spans="1:16" x14ac:dyDescent="0.35">
      <c r="A76" s="5" t="str">
        <f t="shared" si="3"/>
        <v>2021 ALL D90</v>
      </c>
      <c r="B76" s="8">
        <f>'ALL 2024 H2 D80'!$B$2</f>
        <v>46114</v>
      </c>
      <c r="C76" s="8">
        <f>'ALL 2024 H2 D80'!$C$2</f>
        <v>46120</v>
      </c>
      <c r="D76" s="5">
        <v>3208</v>
      </c>
      <c r="E76" s="5">
        <v>320</v>
      </c>
      <c r="F76" s="5">
        <v>1</v>
      </c>
      <c r="G76" s="5">
        <v>1</v>
      </c>
      <c r="H76" s="5">
        <v>80903</v>
      </c>
      <c r="I76" s="5" t="s">
        <v>16</v>
      </c>
      <c r="J76" s="5">
        <v>29056782</v>
      </c>
      <c r="K76" s="5" t="s">
        <v>2053</v>
      </c>
      <c r="L76" s="5" t="s">
        <v>2056</v>
      </c>
      <c r="M76" s="6">
        <v>249900</v>
      </c>
      <c r="N76" s="7">
        <v>0.9</v>
      </c>
      <c r="O76" s="6">
        <f t="shared" si="2"/>
        <v>24990</v>
      </c>
      <c r="P76" s="5" t="s">
        <v>504</v>
      </c>
    </row>
    <row r="77" spans="1:16" x14ac:dyDescent="0.35">
      <c r="A77" s="5" t="str">
        <f t="shared" si="3"/>
        <v>2021 ALL D90</v>
      </c>
      <c r="B77" s="8">
        <f>'ALL 2024 H2 D80'!$B$2</f>
        <v>46114</v>
      </c>
      <c r="C77" s="8">
        <f>'ALL 2024 H2 D80'!$C$2</f>
        <v>46120</v>
      </c>
      <c r="D77" s="5">
        <v>3208</v>
      </c>
      <c r="E77" s="5">
        <v>320</v>
      </c>
      <c r="F77" s="5">
        <v>1</v>
      </c>
      <c r="G77" s="5">
        <v>1</v>
      </c>
      <c r="H77" s="5">
        <v>80903</v>
      </c>
      <c r="I77" s="5" t="s">
        <v>16</v>
      </c>
      <c r="J77" s="5">
        <v>29056791</v>
      </c>
      <c r="K77" s="5" t="s">
        <v>2053</v>
      </c>
      <c r="L77" s="5" t="s">
        <v>2057</v>
      </c>
      <c r="M77" s="6">
        <v>249900</v>
      </c>
      <c r="N77" s="7">
        <v>0.9</v>
      </c>
      <c r="O77" s="6">
        <f t="shared" si="2"/>
        <v>24990</v>
      </c>
      <c r="P77" s="5" t="s">
        <v>504</v>
      </c>
    </row>
    <row r="78" spans="1:16" x14ac:dyDescent="0.35">
      <c r="A78" s="5" t="str">
        <f t="shared" si="3"/>
        <v>2021 ALL D90</v>
      </c>
      <c r="B78" s="8">
        <f>'ALL 2024 H2 D80'!$B$2</f>
        <v>46114</v>
      </c>
      <c r="C78" s="8">
        <f>'ALL 2024 H2 D80'!$C$2</f>
        <v>46120</v>
      </c>
      <c r="D78" s="5">
        <v>3208</v>
      </c>
      <c r="E78" s="5">
        <v>320</v>
      </c>
      <c r="F78" s="5">
        <v>1</v>
      </c>
      <c r="G78" s="5">
        <v>1</v>
      </c>
      <c r="H78" s="5">
        <v>80903</v>
      </c>
      <c r="I78" s="5" t="s">
        <v>16</v>
      </c>
      <c r="J78" s="5">
        <v>33218947</v>
      </c>
      <c r="K78" s="5" t="s">
        <v>1693</v>
      </c>
      <c r="L78" s="5" t="s">
        <v>2058</v>
      </c>
      <c r="M78" s="6">
        <v>229900</v>
      </c>
      <c r="N78" s="7">
        <v>0.9</v>
      </c>
      <c r="O78" s="6">
        <f t="shared" si="2"/>
        <v>22990</v>
      </c>
      <c r="P78" s="5" t="s">
        <v>504</v>
      </c>
    </row>
    <row r="79" spans="1:16" x14ac:dyDescent="0.35">
      <c r="A79" s="5" t="str">
        <f t="shared" si="3"/>
        <v>2021 ALL D90</v>
      </c>
      <c r="B79" s="8">
        <f>'ALL 2024 H2 D80'!$B$2</f>
        <v>46114</v>
      </c>
      <c r="C79" s="8">
        <f>'ALL 2024 H2 D80'!$C$2</f>
        <v>46120</v>
      </c>
      <c r="D79" s="5">
        <v>3208</v>
      </c>
      <c r="E79" s="5">
        <v>320</v>
      </c>
      <c r="F79" s="5">
        <v>1</v>
      </c>
      <c r="G79" s="5">
        <v>1</v>
      </c>
      <c r="H79" s="5">
        <v>80903</v>
      </c>
      <c r="I79" s="5" t="s">
        <v>16</v>
      </c>
      <c r="J79" s="5">
        <v>33218956</v>
      </c>
      <c r="K79" s="5" t="s">
        <v>1693</v>
      </c>
      <c r="L79" s="5" t="s">
        <v>2059</v>
      </c>
      <c r="M79" s="6">
        <v>229900</v>
      </c>
      <c r="N79" s="7">
        <v>0.9</v>
      </c>
      <c r="O79" s="6">
        <f t="shared" si="2"/>
        <v>22990</v>
      </c>
      <c r="P79" s="5" t="s">
        <v>504</v>
      </c>
    </row>
    <row r="80" spans="1:16" x14ac:dyDescent="0.35">
      <c r="A80" s="5" t="str">
        <f t="shared" si="3"/>
        <v>2021 ALL D90</v>
      </c>
      <c r="B80" s="8">
        <f>'ALL 2024 H2 D80'!$B$2</f>
        <v>46114</v>
      </c>
      <c r="C80" s="8">
        <f>'ALL 2024 H2 D80'!$C$2</f>
        <v>46120</v>
      </c>
      <c r="D80" s="5">
        <v>3208</v>
      </c>
      <c r="E80" s="5">
        <v>320</v>
      </c>
      <c r="F80" s="5">
        <v>1</v>
      </c>
      <c r="G80" s="5">
        <v>1</v>
      </c>
      <c r="H80" s="5">
        <v>80903</v>
      </c>
      <c r="I80" s="5" t="s">
        <v>16</v>
      </c>
      <c r="J80" s="5">
        <v>33218965</v>
      </c>
      <c r="K80" s="5" t="s">
        <v>1693</v>
      </c>
      <c r="L80" s="5" t="s">
        <v>2060</v>
      </c>
      <c r="M80" s="6">
        <v>229900</v>
      </c>
      <c r="N80" s="7">
        <v>0.9</v>
      </c>
      <c r="O80" s="6">
        <f t="shared" si="2"/>
        <v>22990</v>
      </c>
      <c r="P80" s="5" t="s">
        <v>504</v>
      </c>
    </row>
    <row r="81" spans="1:16" x14ac:dyDescent="0.35">
      <c r="A81" s="5" t="str">
        <f t="shared" si="3"/>
        <v>2021 ALL D90</v>
      </c>
      <c r="B81" s="8">
        <f>'ALL 2024 H2 D80'!$B$2</f>
        <v>46114</v>
      </c>
      <c r="C81" s="8">
        <f>'ALL 2024 H2 D80'!$C$2</f>
        <v>46120</v>
      </c>
      <c r="D81" s="5">
        <v>3208</v>
      </c>
      <c r="E81" s="5">
        <v>320</v>
      </c>
      <c r="F81" s="5">
        <v>1</v>
      </c>
      <c r="G81" s="5">
        <v>1</v>
      </c>
      <c r="H81" s="5">
        <v>80903</v>
      </c>
      <c r="I81" s="5" t="s">
        <v>16</v>
      </c>
      <c r="J81" s="5">
        <v>33218974</v>
      </c>
      <c r="K81" s="5" t="s">
        <v>1693</v>
      </c>
      <c r="L81" s="5" t="s">
        <v>2061</v>
      </c>
      <c r="M81" s="6">
        <v>229900</v>
      </c>
      <c r="N81" s="7">
        <v>0.9</v>
      </c>
      <c r="O81" s="6">
        <f t="shared" si="2"/>
        <v>22990</v>
      </c>
      <c r="P81" s="5" t="s">
        <v>504</v>
      </c>
    </row>
    <row r="82" spans="1:16" x14ac:dyDescent="0.35">
      <c r="A82" s="5" t="str">
        <f t="shared" si="3"/>
        <v>2021 ALL D90</v>
      </c>
      <c r="B82" s="8">
        <f>'ALL 2024 H2 D80'!$B$2</f>
        <v>46114</v>
      </c>
      <c r="C82" s="8">
        <f>'ALL 2024 H2 D80'!$C$2</f>
        <v>46120</v>
      </c>
      <c r="D82" s="5">
        <v>3208</v>
      </c>
      <c r="E82" s="5">
        <v>320</v>
      </c>
      <c r="F82" s="5">
        <v>1</v>
      </c>
      <c r="G82" s="5">
        <v>1</v>
      </c>
      <c r="H82" s="5">
        <v>80300</v>
      </c>
      <c r="I82" s="5" t="s">
        <v>16</v>
      </c>
      <c r="J82" s="5">
        <v>32660827</v>
      </c>
      <c r="K82" s="5" t="s">
        <v>2062</v>
      </c>
      <c r="L82" s="5" t="s">
        <v>2063</v>
      </c>
      <c r="M82" s="6">
        <v>229900</v>
      </c>
      <c r="N82" s="7">
        <v>0.9</v>
      </c>
      <c r="O82" s="6">
        <f t="shared" si="2"/>
        <v>22990</v>
      </c>
      <c r="P82" s="5" t="s">
        <v>504</v>
      </c>
    </row>
    <row r="83" spans="1:16" x14ac:dyDescent="0.35">
      <c r="A83" s="5" t="str">
        <f t="shared" si="3"/>
        <v>2021 ALL D90</v>
      </c>
      <c r="B83" s="8">
        <f>'ALL 2024 H2 D80'!$B$2</f>
        <v>46114</v>
      </c>
      <c r="C83" s="8">
        <f>'ALL 2024 H2 D80'!$C$2</f>
        <v>46120</v>
      </c>
      <c r="D83" s="5">
        <v>3208</v>
      </c>
      <c r="E83" s="5">
        <v>320</v>
      </c>
      <c r="F83" s="5">
        <v>1</v>
      </c>
      <c r="G83" s="5">
        <v>1</v>
      </c>
      <c r="H83" s="5">
        <v>80300</v>
      </c>
      <c r="I83" s="5" t="s">
        <v>16</v>
      </c>
      <c r="J83" s="5">
        <v>32660845</v>
      </c>
      <c r="K83" s="5" t="s">
        <v>2062</v>
      </c>
      <c r="L83" s="5" t="s">
        <v>3618</v>
      </c>
      <c r="M83" s="6">
        <v>229900</v>
      </c>
      <c r="N83" s="7">
        <v>0.9</v>
      </c>
      <c r="O83" s="6">
        <f t="shared" si="2"/>
        <v>22990</v>
      </c>
      <c r="P83" s="5" t="s">
        <v>504</v>
      </c>
    </row>
    <row r="84" spans="1:16" x14ac:dyDescent="0.35">
      <c r="A84" s="5" t="str">
        <f t="shared" si="3"/>
        <v>2021 ALL D90</v>
      </c>
      <c r="B84" s="8">
        <f>'ALL 2024 H2 D80'!$B$2</f>
        <v>46114</v>
      </c>
      <c r="C84" s="8">
        <f>'ALL 2024 H2 D80'!$C$2</f>
        <v>46120</v>
      </c>
      <c r="D84" s="5">
        <v>3208</v>
      </c>
      <c r="E84" s="5">
        <v>320</v>
      </c>
      <c r="F84" s="5">
        <v>1</v>
      </c>
      <c r="G84" s="5">
        <v>1</v>
      </c>
      <c r="H84" s="5">
        <v>80300</v>
      </c>
      <c r="I84" s="5" t="s">
        <v>16</v>
      </c>
      <c r="J84" s="5">
        <v>32660863</v>
      </c>
      <c r="K84" s="5" t="s">
        <v>2064</v>
      </c>
      <c r="L84" s="5" t="s">
        <v>2065</v>
      </c>
      <c r="M84" s="6">
        <v>219900</v>
      </c>
      <c r="N84" s="7">
        <v>0.9</v>
      </c>
      <c r="O84" s="6">
        <f t="shared" si="2"/>
        <v>21990</v>
      </c>
      <c r="P84" s="5" t="s">
        <v>504</v>
      </c>
    </row>
    <row r="85" spans="1:16" x14ac:dyDescent="0.35">
      <c r="A85" s="5" t="str">
        <f t="shared" si="3"/>
        <v>2021 ALL D90</v>
      </c>
      <c r="B85" s="8">
        <f>'ALL 2024 H2 D80'!$B$2</f>
        <v>46114</v>
      </c>
      <c r="C85" s="8">
        <f>'ALL 2024 H2 D80'!$C$2</f>
        <v>46120</v>
      </c>
      <c r="D85" s="5">
        <v>3208</v>
      </c>
      <c r="E85" s="5">
        <v>320</v>
      </c>
      <c r="F85" s="5">
        <v>1</v>
      </c>
      <c r="G85" s="5">
        <v>2</v>
      </c>
      <c r="H85" s="5">
        <v>81736</v>
      </c>
      <c r="I85" s="5" t="s">
        <v>16</v>
      </c>
      <c r="J85" s="5">
        <v>26658208</v>
      </c>
      <c r="K85" s="5" t="s">
        <v>2066</v>
      </c>
      <c r="L85" s="5" t="s">
        <v>2067</v>
      </c>
      <c r="M85" s="6">
        <v>199900</v>
      </c>
      <c r="N85" s="7">
        <v>0.9</v>
      </c>
      <c r="O85" s="6">
        <f t="shared" si="2"/>
        <v>19990</v>
      </c>
      <c r="P85" s="5" t="s">
        <v>504</v>
      </c>
    </row>
    <row r="86" spans="1:16" x14ac:dyDescent="0.35">
      <c r="A86" s="5" t="str">
        <f t="shared" si="3"/>
        <v>2021 ALL D90</v>
      </c>
      <c r="B86" s="8">
        <f>'ALL 2024 H2 D80'!$B$2</f>
        <v>46114</v>
      </c>
      <c r="C86" s="8">
        <f>'ALL 2024 H2 D80'!$C$2</f>
        <v>46120</v>
      </c>
      <c r="D86" s="5">
        <v>3208</v>
      </c>
      <c r="E86" s="5">
        <v>320</v>
      </c>
      <c r="F86" s="5">
        <v>1</v>
      </c>
      <c r="G86" s="5">
        <v>2</v>
      </c>
      <c r="H86" s="5">
        <v>81736</v>
      </c>
      <c r="I86" s="5" t="s">
        <v>16</v>
      </c>
      <c r="J86" s="5">
        <v>26658217</v>
      </c>
      <c r="K86" s="5" t="s">
        <v>2066</v>
      </c>
      <c r="L86" s="5" t="s">
        <v>2068</v>
      </c>
      <c r="M86" s="6">
        <v>199900</v>
      </c>
      <c r="N86" s="7">
        <v>0.9</v>
      </c>
      <c r="O86" s="6">
        <f t="shared" si="2"/>
        <v>19990</v>
      </c>
      <c r="P86" s="5" t="s">
        <v>504</v>
      </c>
    </row>
    <row r="87" spans="1:16" x14ac:dyDescent="0.35">
      <c r="A87" s="5" t="str">
        <f t="shared" si="3"/>
        <v>2021 ALL D90</v>
      </c>
      <c r="B87" s="8">
        <f>'ALL 2024 H2 D80'!$B$2</f>
        <v>46114</v>
      </c>
      <c r="C87" s="8">
        <f>'ALL 2024 H2 D80'!$C$2</f>
        <v>46120</v>
      </c>
      <c r="D87" s="5">
        <v>3208</v>
      </c>
      <c r="E87" s="5">
        <v>320</v>
      </c>
      <c r="F87" s="5">
        <v>1</v>
      </c>
      <c r="G87" s="5">
        <v>2</v>
      </c>
      <c r="H87" s="5">
        <v>81736</v>
      </c>
      <c r="I87" s="5" t="s">
        <v>16</v>
      </c>
      <c r="J87" s="5">
        <v>26658226</v>
      </c>
      <c r="K87" s="5" t="s">
        <v>2066</v>
      </c>
      <c r="L87" s="5" t="s">
        <v>2069</v>
      </c>
      <c r="M87" s="6">
        <v>199900</v>
      </c>
      <c r="N87" s="7">
        <v>0.9</v>
      </c>
      <c r="O87" s="6">
        <f t="shared" si="2"/>
        <v>19990</v>
      </c>
      <c r="P87" s="5" t="s">
        <v>504</v>
      </c>
    </row>
    <row r="88" spans="1:16" x14ac:dyDescent="0.35">
      <c r="A88" s="5" t="str">
        <f t="shared" si="3"/>
        <v>2021 ALL D90</v>
      </c>
      <c r="B88" s="8">
        <f>'ALL 2024 H2 D80'!$B$2</f>
        <v>46114</v>
      </c>
      <c r="C88" s="8">
        <f>'ALL 2024 H2 D80'!$C$2</f>
        <v>46120</v>
      </c>
      <c r="D88" s="5">
        <v>3208</v>
      </c>
      <c r="E88" s="5">
        <v>320</v>
      </c>
      <c r="F88" s="5">
        <v>1</v>
      </c>
      <c r="G88" s="5">
        <v>2</v>
      </c>
      <c r="H88" s="5">
        <v>81736</v>
      </c>
      <c r="I88" s="5" t="s">
        <v>16</v>
      </c>
      <c r="J88" s="5">
        <v>26658235</v>
      </c>
      <c r="K88" s="5" t="s">
        <v>2066</v>
      </c>
      <c r="L88" s="5" t="s">
        <v>2070</v>
      </c>
      <c r="M88" s="6">
        <v>199900</v>
      </c>
      <c r="N88" s="7">
        <v>0.9</v>
      </c>
      <c r="O88" s="6">
        <f t="shared" si="2"/>
        <v>19990</v>
      </c>
      <c r="P88" s="5" t="s">
        <v>504</v>
      </c>
    </row>
    <row r="89" spans="1:16" x14ac:dyDescent="0.35">
      <c r="A89" s="5" t="str">
        <f t="shared" si="3"/>
        <v>2021 ALL D90</v>
      </c>
      <c r="B89" s="8">
        <f>'ALL 2024 H2 D80'!$B$2</f>
        <v>46114</v>
      </c>
      <c r="C89" s="8">
        <f>'ALL 2024 H2 D80'!$C$2</f>
        <v>46120</v>
      </c>
      <c r="D89" s="5">
        <v>3208</v>
      </c>
      <c r="E89" s="5">
        <v>320</v>
      </c>
      <c r="F89" s="5">
        <v>1</v>
      </c>
      <c r="G89" s="5">
        <v>2</v>
      </c>
      <c r="H89" s="5">
        <v>81736</v>
      </c>
      <c r="I89" s="5" t="s">
        <v>16</v>
      </c>
      <c r="J89" s="5">
        <v>26670640</v>
      </c>
      <c r="K89" s="5" t="s">
        <v>3619</v>
      </c>
      <c r="L89" s="5" t="s">
        <v>3620</v>
      </c>
      <c r="M89" s="6">
        <v>189900</v>
      </c>
      <c r="N89" s="7">
        <v>0.9</v>
      </c>
      <c r="O89" s="6">
        <f t="shared" si="2"/>
        <v>18990</v>
      </c>
      <c r="P89" s="5" t="s">
        <v>504</v>
      </c>
    </row>
    <row r="90" spans="1:16" x14ac:dyDescent="0.35">
      <c r="A90" s="5" t="str">
        <f t="shared" si="3"/>
        <v>2021 ALL D90</v>
      </c>
      <c r="B90" s="8">
        <f>'ALL 2024 H2 D80'!$B$2</f>
        <v>46114</v>
      </c>
      <c r="C90" s="8">
        <f>'ALL 2024 H2 D80'!$C$2</f>
        <v>46120</v>
      </c>
      <c r="D90" s="5">
        <v>3208</v>
      </c>
      <c r="E90" s="5">
        <v>320</v>
      </c>
      <c r="F90" s="5">
        <v>1</v>
      </c>
      <c r="G90" s="5">
        <v>2</v>
      </c>
      <c r="H90" s="5">
        <v>81736</v>
      </c>
      <c r="I90" s="5" t="s">
        <v>16</v>
      </c>
      <c r="J90" s="5">
        <v>26689809</v>
      </c>
      <c r="K90" s="5" t="s">
        <v>2071</v>
      </c>
      <c r="L90" s="5" t="s">
        <v>2072</v>
      </c>
      <c r="M90" s="6">
        <v>189900</v>
      </c>
      <c r="N90" s="7">
        <v>0.9</v>
      </c>
      <c r="O90" s="6">
        <f t="shared" si="2"/>
        <v>18990</v>
      </c>
      <c r="P90" s="5" t="s">
        <v>504</v>
      </c>
    </row>
    <row r="91" spans="1:16" x14ac:dyDescent="0.35">
      <c r="A91" s="5" t="str">
        <f t="shared" si="3"/>
        <v>2021 ALL D90</v>
      </c>
      <c r="B91" s="8">
        <f>'ALL 2024 H2 D80'!$B$2</f>
        <v>46114</v>
      </c>
      <c r="C91" s="8">
        <f>'ALL 2024 H2 D80'!$C$2</f>
        <v>46120</v>
      </c>
      <c r="D91" s="5">
        <v>3208</v>
      </c>
      <c r="E91" s="5">
        <v>320</v>
      </c>
      <c r="F91" s="5">
        <v>1</v>
      </c>
      <c r="G91" s="5">
        <v>2</v>
      </c>
      <c r="H91" s="5">
        <v>81736</v>
      </c>
      <c r="I91" s="5" t="s">
        <v>16</v>
      </c>
      <c r="J91" s="5">
        <v>26689818</v>
      </c>
      <c r="K91" s="5" t="s">
        <v>2071</v>
      </c>
      <c r="L91" s="5" t="s">
        <v>2073</v>
      </c>
      <c r="M91" s="6">
        <v>189900</v>
      </c>
      <c r="N91" s="7">
        <v>0.9</v>
      </c>
      <c r="O91" s="6">
        <f t="shared" si="2"/>
        <v>18990</v>
      </c>
      <c r="P91" s="5" t="s">
        <v>504</v>
      </c>
    </row>
    <row r="92" spans="1:16" x14ac:dyDescent="0.35">
      <c r="A92" s="5" t="str">
        <f t="shared" si="3"/>
        <v>2021 ALL D90</v>
      </c>
      <c r="B92" s="8">
        <f>'ALL 2024 H2 D80'!$B$2</f>
        <v>46114</v>
      </c>
      <c r="C92" s="8">
        <f>'ALL 2024 H2 D80'!$C$2</f>
        <v>46120</v>
      </c>
      <c r="D92" s="5">
        <v>3208</v>
      </c>
      <c r="E92" s="5">
        <v>320</v>
      </c>
      <c r="F92" s="5">
        <v>1</v>
      </c>
      <c r="G92" s="5">
        <v>2</v>
      </c>
      <c r="H92" s="5">
        <v>81736</v>
      </c>
      <c r="I92" s="5" t="s">
        <v>16</v>
      </c>
      <c r="J92" s="5">
        <v>26689827</v>
      </c>
      <c r="K92" s="5" t="s">
        <v>2071</v>
      </c>
      <c r="L92" s="5" t="s">
        <v>2074</v>
      </c>
      <c r="M92" s="6">
        <v>189900</v>
      </c>
      <c r="N92" s="7">
        <v>0.9</v>
      </c>
      <c r="O92" s="6">
        <f t="shared" si="2"/>
        <v>18990</v>
      </c>
      <c r="P92" s="5" t="s">
        <v>504</v>
      </c>
    </row>
    <row r="93" spans="1:16" x14ac:dyDescent="0.35">
      <c r="A93" s="5" t="str">
        <f t="shared" si="3"/>
        <v>2021 ALL D90</v>
      </c>
      <c r="B93" s="8">
        <f>'ALL 2024 H2 D80'!$B$2</f>
        <v>46114</v>
      </c>
      <c r="C93" s="8">
        <f>'ALL 2024 H2 D80'!$C$2</f>
        <v>46120</v>
      </c>
      <c r="D93" s="5">
        <v>3208</v>
      </c>
      <c r="E93" s="5">
        <v>320</v>
      </c>
      <c r="F93" s="5">
        <v>1</v>
      </c>
      <c r="G93" s="5">
        <v>2</v>
      </c>
      <c r="H93" s="5">
        <v>81736</v>
      </c>
      <c r="I93" s="5" t="s">
        <v>16</v>
      </c>
      <c r="J93" s="5">
        <v>26689836</v>
      </c>
      <c r="K93" s="5" t="s">
        <v>2071</v>
      </c>
      <c r="L93" s="5" t="s">
        <v>2075</v>
      </c>
      <c r="M93" s="6">
        <v>189900</v>
      </c>
      <c r="N93" s="7">
        <v>0.9</v>
      </c>
      <c r="O93" s="6">
        <f t="shared" si="2"/>
        <v>18990</v>
      </c>
      <c r="P93" s="5" t="s">
        <v>504</v>
      </c>
    </row>
    <row r="94" spans="1:16" x14ac:dyDescent="0.35">
      <c r="A94" s="5" t="str">
        <f t="shared" si="3"/>
        <v>2021 ALL D90</v>
      </c>
      <c r="B94" s="8">
        <f>'ALL 2024 H2 D80'!$B$2</f>
        <v>46114</v>
      </c>
      <c r="C94" s="8">
        <f>'ALL 2024 H2 D80'!$C$2</f>
        <v>46120</v>
      </c>
      <c r="D94" s="5">
        <v>3208</v>
      </c>
      <c r="E94" s="5">
        <v>320</v>
      </c>
      <c r="F94" s="5">
        <v>1</v>
      </c>
      <c r="G94" s="5">
        <v>2</v>
      </c>
      <c r="H94" s="5">
        <v>81736</v>
      </c>
      <c r="I94" s="5" t="s">
        <v>16</v>
      </c>
      <c r="J94" s="5">
        <v>26783680</v>
      </c>
      <c r="K94" s="5" t="s">
        <v>2076</v>
      </c>
      <c r="L94" s="5" t="s">
        <v>2077</v>
      </c>
      <c r="M94" s="6">
        <v>199900</v>
      </c>
      <c r="N94" s="7">
        <v>0.9</v>
      </c>
      <c r="O94" s="6">
        <f t="shared" si="2"/>
        <v>19990</v>
      </c>
      <c r="P94" s="5" t="s">
        <v>504</v>
      </c>
    </row>
    <row r="95" spans="1:16" x14ac:dyDescent="0.35">
      <c r="A95" s="5" t="str">
        <f t="shared" si="3"/>
        <v>2021 ALL D90</v>
      </c>
      <c r="B95" s="8">
        <f>'ALL 2024 H2 D80'!$B$2</f>
        <v>46114</v>
      </c>
      <c r="C95" s="8">
        <f>'ALL 2024 H2 D80'!$C$2</f>
        <v>46120</v>
      </c>
      <c r="D95" s="5">
        <v>3208</v>
      </c>
      <c r="E95" s="5">
        <v>320</v>
      </c>
      <c r="F95" s="5">
        <v>1</v>
      </c>
      <c r="G95" s="5">
        <v>2</v>
      </c>
      <c r="H95" s="5">
        <v>81736</v>
      </c>
      <c r="I95" s="5" t="s">
        <v>16</v>
      </c>
      <c r="J95" s="5">
        <v>26783699</v>
      </c>
      <c r="K95" s="5" t="s">
        <v>2076</v>
      </c>
      <c r="L95" s="5" t="s">
        <v>2078</v>
      </c>
      <c r="M95" s="6">
        <v>199900</v>
      </c>
      <c r="N95" s="7">
        <v>0.9</v>
      </c>
      <c r="O95" s="6">
        <f t="shared" si="2"/>
        <v>19990</v>
      </c>
      <c r="P95" s="5" t="s">
        <v>504</v>
      </c>
    </row>
    <row r="96" spans="1:16" x14ac:dyDescent="0.35">
      <c r="A96" s="5" t="str">
        <f t="shared" si="3"/>
        <v>2021 ALL D90</v>
      </c>
      <c r="B96" s="8">
        <f>'ALL 2024 H2 D80'!$B$2</f>
        <v>46114</v>
      </c>
      <c r="C96" s="8">
        <f>'ALL 2024 H2 D80'!$C$2</f>
        <v>46120</v>
      </c>
      <c r="D96" s="5">
        <v>3208</v>
      </c>
      <c r="E96" s="5">
        <v>320</v>
      </c>
      <c r="F96" s="5">
        <v>1</v>
      </c>
      <c r="G96" s="5">
        <v>2</v>
      </c>
      <c r="H96" s="5">
        <v>81736</v>
      </c>
      <c r="I96" s="5" t="s">
        <v>16</v>
      </c>
      <c r="J96" s="5">
        <v>26783715</v>
      </c>
      <c r="K96" s="5" t="s">
        <v>2079</v>
      </c>
      <c r="L96" s="5" t="s">
        <v>2080</v>
      </c>
      <c r="M96" s="6">
        <v>189900</v>
      </c>
      <c r="N96" s="7">
        <v>0.9</v>
      </c>
      <c r="O96" s="6">
        <f t="shared" si="2"/>
        <v>18990</v>
      </c>
      <c r="P96" s="5" t="s">
        <v>504</v>
      </c>
    </row>
    <row r="97" spans="1:16" x14ac:dyDescent="0.35">
      <c r="A97" s="5" t="str">
        <f t="shared" si="3"/>
        <v>2021 ALL D90</v>
      </c>
      <c r="B97" s="8">
        <f>'ALL 2024 H2 D80'!$B$2</f>
        <v>46114</v>
      </c>
      <c r="C97" s="8">
        <f>'ALL 2024 H2 D80'!$C$2</f>
        <v>46120</v>
      </c>
      <c r="D97" s="5">
        <v>3208</v>
      </c>
      <c r="E97" s="5">
        <v>320</v>
      </c>
      <c r="F97" s="5">
        <v>1</v>
      </c>
      <c r="G97" s="5">
        <v>2</v>
      </c>
      <c r="H97" s="5">
        <v>81736</v>
      </c>
      <c r="I97" s="5" t="s">
        <v>16</v>
      </c>
      <c r="J97" s="5">
        <v>26783724</v>
      </c>
      <c r="K97" s="5" t="s">
        <v>2079</v>
      </c>
      <c r="L97" s="5" t="s">
        <v>2081</v>
      </c>
      <c r="M97" s="6">
        <v>189900</v>
      </c>
      <c r="N97" s="7">
        <v>0.9</v>
      </c>
      <c r="O97" s="6">
        <f t="shared" si="2"/>
        <v>18990</v>
      </c>
      <c r="P97" s="5" t="s">
        <v>504</v>
      </c>
    </row>
    <row r="98" spans="1:16" x14ac:dyDescent="0.35">
      <c r="A98" s="5" t="str">
        <f t="shared" si="3"/>
        <v>2021 ALL D90</v>
      </c>
      <c r="B98" s="8">
        <f>'ALL 2024 H2 D80'!$B$2</f>
        <v>46114</v>
      </c>
      <c r="C98" s="8">
        <f>'ALL 2024 H2 D80'!$C$2</f>
        <v>46120</v>
      </c>
      <c r="D98" s="5">
        <v>3208</v>
      </c>
      <c r="E98" s="5">
        <v>320</v>
      </c>
      <c r="F98" s="5">
        <v>1</v>
      </c>
      <c r="G98" s="5">
        <v>2</v>
      </c>
      <c r="H98" s="5">
        <v>81736</v>
      </c>
      <c r="I98" s="5" t="s">
        <v>16</v>
      </c>
      <c r="J98" s="5">
        <v>26783733</v>
      </c>
      <c r="K98" s="5" t="s">
        <v>2079</v>
      </c>
      <c r="L98" s="5" t="s">
        <v>2082</v>
      </c>
      <c r="M98" s="6">
        <v>189900</v>
      </c>
      <c r="N98" s="7">
        <v>0.9</v>
      </c>
      <c r="O98" s="6">
        <f t="shared" si="2"/>
        <v>18990</v>
      </c>
      <c r="P98" s="5" t="s">
        <v>504</v>
      </c>
    </row>
    <row r="99" spans="1:16" x14ac:dyDescent="0.35">
      <c r="A99" s="5" t="str">
        <f t="shared" si="3"/>
        <v>2021 ALL D90</v>
      </c>
      <c r="B99" s="8">
        <f>'ALL 2024 H2 D80'!$B$2</f>
        <v>46114</v>
      </c>
      <c r="C99" s="8">
        <f>'ALL 2024 H2 D80'!$C$2</f>
        <v>46120</v>
      </c>
      <c r="D99" s="5">
        <v>3208</v>
      </c>
      <c r="E99" s="5">
        <v>320</v>
      </c>
      <c r="F99" s="5">
        <v>1</v>
      </c>
      <c r="G99" s="5">
        <v>2</v>
      </c>
      <c r="H99" s="5">
        <v>81736</v>
      </c>
      <c r="I99" s="5" t="s">
        <v>16</v>
      </c>
      <c r="J99" s="5">
        <v>26783742</v>
      </c>
      <c r="K99" s="5" t="s">
        <v>2079</v>
      </c>
      <c r="L99" s="5" t="s">
        <v>2083</v>
      </c>
      <c r="M99" s="6">
        <v>189900</v>
      </c>
      <c r="N99" s="7">
        <v>0.9</v>
      </c>
      <c r="O99" s="6">
        <f t="shared" si="2"/>
        <v>18990</v>
      </c>
      <c r="P99" s="5" t="s">
        <v>504</v>
      </c>
    </row>
    <row r="100" spans="1:16" x14ac:dyDescent="0.35">
      <c r="A100" s="5" t="str">
        <f t="shared" si="3"/>
        <v>2021 ALL D90</v>
      </c>
      <c r="B100" s="8">
        <f>'ALL 2024 H2 D80'!$B$2</f>
        <v>46114</v>
      </c>
      <c r="C100" s="8">
        <f>'ALL 2024 H2 D80'!$C$2</f>
        <v>46120</v>
      </c>
      <c r="D100" s="5">
        <v>3208</v>
      </c>
      <c r="E100" s="5">
        <v>320</v>
      </c>
      <c r="F100" s="5">
        <v>1</v>
      </c>
      <c r="G100" s="5">
        <v>2</v>
      </c>
      <c r="H100" s="5">
        <v>81736</v>
      </c>
      <c r="I100" s="5" t="s">
        <v>16</v>
      </c>
      <c r="J100" s="5">
        <v>26941722</v>
      </c>
      <c r="K100" s="5" t="s">
        <v>2084</v>
      </c>
      <c r="L100" s="5" t="s">
        <v>2085</v>
      </c>
      <c r="M100" s="6">
        <v>169900</v>
      </c>
      <c r="N100" s="7">
        <v>0.9</v>
      </c>
      <c r="O100" s="6">
        <f t="shared" si="2"/>
        <v>16990</v>
      </c>
      <c r="P100" s="5" t="s">
        <v>504</v>
      </c>
    </row>
    <row r="101" spans="1:16" x14ac:dyDescent="0.35">
      <c r="A101" s="5" t="str">
        <f t="shared" si="3"/>
        <v>2021 ALL D90</v>
      </c>
      <c r="B101" s="8">
        <f>'ALL 2024 H2 D80'!$B$2</f>
        <v>46114</v>
      </c>
      <c r="C101" s="8">
        <f>'ALL 2024 H2 D80'!$C$2</f>
        <v>46120</v>
      </c>
      <c r="D101" s="5">
        <v>3208</v>
      </c>
      <c r="E101" s="5">
        <v>320</v>
      </c>
      <c r="F101" s="5">
        <v>1</v>
      </c>
      <c r="G101" s="5">
        <v>2</v>
      </c>
      <c r="H101" s="5">
        <v>81736</v>
      </c>
      <c r="I101" s="5" t="s">
        <v>16</v>
      </c>
      <c r="J101" s="5">
        <v>26941731</v>
      </c>
      <c r="K101" s="5" t="s">
        <v>2084</v>
      </c>
      <c r="L101" s="5" t="s">
        <v>2086</v>
      </c>
      <c r="M101" s="6">
        <v>169900</v>
      </c>
      <c r="N101" s="7">
        <v>0.9</v>
      </c>
      <c r="O101" s="6">
        <f t="shared" si="2"/>
        <v>16990</v>
      </c>
      <c r="P101" s="5" t="s">
        <v>504</v>
      </c>
    </row>
    <row r="102" spans="1:16" x14ac:dyDescent="0.35">
      <c r="A102" s="5" t="str">
        <f t="shared" si="3"/>
        <v>2021 ALL D90</v>
      </c>
      <c r="B102" s="8">
        <f>'ALL 2024 H2 D80'!$B$2</f>
        <v>46114</v>
      </c>
      <c r="C102" s="8">
        <f>'ALL 2024 H2 D80'!$C$2</f>
        <v>46120</v>
      </c>
      <c r="D102" s="5">
        <v>3208</v>
      </c>
      <c r="E102" s="5">
        <v>320</v>
      </c>
      <c r="F102" s="5">
        <v>1</v>
      </c>
      <c r="G102" s="5">
        <v>2</v>
      </c>
      <c r="H102" s="5">
        <v>81736</v>
      </c>
      <c r="I102" s="5" t="s">
        <v>16</v>
      </c>
      <c r="J102" s="5">
        <v>26942285</v>
      </c>
      <c r="K102" s="5" t="s">
        <v>2087</v>
      </c>
      <c r="L102" s="5" t="s">
        <v>2088</v>
      </c>
      <c r="M102" s="6">
        <v>169900</v>
      </c>
      <c r="N102" s="7">
        <v>0.9</v>
      </c>
      <c r="O102" s="6">
        <f t="shared" si="2"/>
        <v>16990</v>
      </c>
      <c r="P102" s="5" t="s">
        <v>504</v>
      </c>
    </row>
    <row r="103" spans="1:16" x14ac:dyDescent="0.35">
      <c r="A103" s="5" t="str">
        <f t="shared" si="3"/>
        <v>2021 ALL D90</v>
      </c>
      <c r="B103" s="8">
        <f>'ALL 2024 H2 D80'!$B$2</f>
        <v>46114</v>
      </c>
      <c r="C103" s="8">
        <f>'ALL 2024 H2 D80'!$C$2</f>
        <v>46120</v>
      </c>
      <c r="D103" s="5">
        <v>3208</v>
      </c>
      <c r="E103" s="5">
        <v>320</v>
      </c>
      <c r="F103" s="5">
        <v>1</v>
      </c>
      <c r="G103" s="5">
        <v>2</v>
      </c>
      <c r="H103" s="5">
        <v>81736</v>
      </c>
      <c r="I103" s="5" t="s">
        <v>16</v>
      </c>
      <c r="J103" s="5">
        <v>26942310</v>
      </c>
      <c r="K103" s="5" t="s">
        <v>2087</v>
      </c>
      <c r="L103" s="5" t="s">
        <v>2089</v>
      </c>
      <c r="M103" s="6">
        <v>169900</v>
      </c>
      <c r="N103" s="7">
        <v>0.9</v>
      </c>
      <c r="O103" s="6">
        <f t="shared" si="2"/>
        <v>16990</v>
      </c>
      <c r="P103" s="5" t="s">
        <v>504</v>
      </c>
    </row>
    <row r="104" spans="1:16" x14ac:dyDescent="0.35">
      <c r="A104" s="5" t="str">
        <f t="shared" si="3"/>
        <v>2021 ALL D90</v>
      </c>
      <c r="B104" s="8">
        <f>'ALL 2024 H2 D80'!$B$2</f>
        <v>46114</v>
      </c>
      <c r="C104" s="8">
        <f>'ALL 2024 H2 D80'!$C$2</f>
        <v>46120</v>
      </c>
      <c r="D104" s="5">
        <v>3208</v>
      </c>
      <c r="E104" s="5">
        <v>320</v>
      </c>
      <c r="F104" s="5">
        <v>1</v>
      </c>
      <c r="G104" s="5">
        <v>2</v>
      </c>
      <c r="H104" s="5">
        <v>81736</v>
      </c>
      <c r="I104" s="5" t="s">
        <v>16</v>
      </c>
      <c r="J104" s="5">
        <v>26952345</v>
      </c>
      <c r="K104" s="5" t="s">
        <v>2090</v>
      </c>
      <c r="L104" s="5" t="s">
        <v>2091</v>
      </c>
      <c r="M104" s="6">
        <v>169900</v>
      </c>
      <c r="N104" s="7">
        <v>0.9</v>
      </c>
      <c r="O104" s="6">
        <f t="shared" si="2"/>
        <v>16990</v>
      </c>
      <c r="P104" s="5" t="s">
        <v>504</v>
      </c>
    </row>
    <row r="105" spans="1:16" x14ac:dyDescent="0.35">
      <c r="A105" s="5" t="str">
        <f t="shared" si="3"/>
        <v>2021 ALL D90</v>
      </c>
      <c r="B105" s="8">
        <f>'ALL 2024 H2 D80'!$B$2</f>
        <v>46114</v>
      </c>
      <c r="C105" s="8">
        <f>'ALL 2024 H2 D80'!$C$2</f>
        <v>46120</v>
      </c>
      <c r="D105" s="5">
        <v>3208</v>
      </c>
      <c r="E105" s="5">
        <v>320</v>
      </c>
      <c r="F105" s="5">
        <v>1</v>
      </c>
      <c r="G105" s="5">
        <v>2</v>
      </c>
      <c r="H105" s="5">
        <v>81736</v>
      </c>
      <c r="I105" s="5" t="s">
        <v>16</v>
      </c>
      <c r="J105" s="5">
        <v>26952354</v>
      </c>
      <c r="K105" s="5" t="s">
        <v>2090</v>
      </c>
      <c r="L105" s="5" t="s">
        <v>2092</v>
      </c>
      <c r="M105" s="6">
        <v>169900</v>
      </c>
      <c r="N105" s="7">
        <v>0.9</v>
      </c>
      <c r="O105" s="6">
        <f t="shared" si="2"/>
        <v>16990</v>
      </c>
      <c r="P105" s="5" t="s">
        <v>504</v>
      </c>
    </row>
    <row r="106" spans="1:16" x14ac:dyDescent="0.35">
      <c r="A106" s="5" t="str">
        <f t="shared" si="3"/>
        <v>2021 ALL D90</v>
      </c>
      <c r="B106" s="8">
        <f>'ALL 2024 H2 D80'!$B$2</f>
        <v>46114</v>
      </c>
      <c r="C106" s="8">
        <f>'ALL 2024 H2 D80'!$C$2</f>
        <v>46120</v>
      </c>
      <c r="D106" s="5">
        <v>3208</v>
      </c>
      <c r="E106" s="5">
        <v>320</v>
      </c>
      <c r="F106" s="5">
        <v>1</v>
      </c>
      <c r="G106" s="5">
        <v>2</v>
      </c>
      <c r="H106" s="5">
        <v>81736</v>
      </c>
      <c r="I106" s="5" t="s">
        <v>16</v>
      </c>
      <c r="J106" s="5">
        <v>27026291</v>
      </c>
      <c r="K106" s="5" t="s">
        <v>2093</v>
      </c>
      <c r="L106" s="5" t="s">
        <v>2094</v>
      </c>
      <c r="M106" s="6">
        <v>189900</v>
      </c>
      <c r="N106" s="7">
        <v>0.9</v>
      </c>
      <c r="O106" s="6">
        <f t="shared" si="2"/>
        <v>18990</v>
      </c>
      <c r="P106" s="5" t="s">
        <v>504</v>
      </c>
    </row>
    <row r="107" spans="1:16" x14ac:dyDescent="0.35">
      <c r="A107" s="5" t="str">
        <f t="shared" si="3"/>
        <v>2021 ALL D90</v>
      </c>
      <c r="B107" s="8">
        <f>'ALL 2024 H2 D80'!$B$2</f>
        <v>46114</v>
      </c>
      <c r="C107" s="8">
        <f>'ALL 2024 H2 D80'!$C$2</f>
        <v>46120</v>
      </c>
      <c r="D107" s="5">
        <v>3208</v>
      </c>
      <c r="E107" s="5">
        <v>320</v>
      </c>
      <c r="F107" s="5">
        <v>1</v>
      </c>
      <c r="G107" s="5">
        <v>2</v>
      </c>
      <c r="H107" s="5">
        <v>81736</v>
      </c>
      <c r="I107" s="5" t="s">
        <v>16</v>
      </c>
      <c r="J107" s="5">
        <v>27061752</v>
      </c>
      <c r="K107" s="5" t="s">
        <v>2095</v>
      </c>
      <c r="L107" s="5" t="s">
        <v>2096</v>
      </c>
      <c r="M107" s="6">
        <v>199900</v>
      </c>
      <c r="N107" s="7">
        <v>0.9</v>
      </c>
      <c r="O107" s="6">
        <f t="shared" si="2"/>
        <v>19990</v>
      </c>
      <c r="P107" s="5" t="s">
        <v>504</v>
      </c>
    </row>
    <row r="108" spans="1:16" x14ac:dyDescent="0.35">
      <c r="A108" s="5" t="str">
        <f t="shared" si="3"/>
        <v>2021 ALL D90</v>
      </c>
      <c r="B108" s="8">
        <f>'ALL 2024 H2 D80'!$B$2</f>
        <v>46114</v>
      </c>
      <c r="C108" s="8">
        <f>'ALL 2024 H2 D80'!$C$2</f>
        <v>46120</v>
      </c>
      <c r="D108" s="5">
        <v>3208</v>
      </c>
      <c r="E108" s="5">
        <v>320</v>
      </c>
      <c r="F108" s="5">
        <v>1</v>
      </c>
      <c r="G108" s="5">
        <v>2</v>
      </c>
      <c r="H108" s="5">
        <v>81736</v>
      </c>
      <c r="I108" s="5" t="s">
        <v>16</v>
      </c>
      <c r="J108" s="5">
        <v>27061770</v>
      </c>
      <c r="K108" s="5" t="s">
        <v>2095</v>
      </c>
      <c r="L108" s="5" t="s">
        <v>2097</v>
      </c>
      <c r="M108" s="6">
        <v>199900</v>
      </c>
      <c r="N108" s="7">
        <v>0.9</v>
      </c>
      <c r="O108" s="6">
        <f t="shared" si="2"/>
        <v>19990</v>
      </c>
      <c r="P108" s="5" t="s">
        <v>504</v>
      </c>
    </row>
    <row r="109" spans="1:16" x14ac:dyDescent="0.35">
      <c r="A109" s="5" t="str">
        <f t="shared" si="3"/>
        <v>2021 ALL D90</v>
      </c>
      <c r="B109" s="8">
        <f>'ALL 2024 H2 D80'!$B$2</f>
        <v>46114</v>
      </c>
      <c r="C109" s="8">
        <f>'ALL 2024 H2 D80'!$C$2</f>
        <v>46120</v>
      </c>
      <c r="D109" s="5">
        <v>3208</v>
      </c>
      <c r="E109" s="5">
        <v>320</v>
      </c>
      <c r="F109" s="5">
        <v>1</v>
      </c>
      <c r="G109" s="5">
        <v>2</v>
      </c>
      <c r="H109" s="5">
        <v>81736</v>
      </c>
      <c r="I109" s="5" t="s">
        <v>16</v>
      </c>
      <c r="J109" s="5">
        <v>27866811</v>
      </c>
      <c r="K109" s="5" t="s">
        <v>2098</v>
      </c>
      <c r="L109" s="5" t="s">
        <v>2099</v>
      </c>
      <c r="M109" s="6">
        <v>169900</v>
      </c>
      <c r="N109" s="7">
        <v>0.9</v>
      </c>
      <c r="O109" s="6">
        <f t="shared" si="2"/>
        <v>16990</v>
      </c>
      <c r="P109" s="5" t="s">
        <v>504</v>
      </c>
    </row>
    <row r="110" spans="1:16" x14ac:dyDescent="0.35">
      <c r="A110" s="5" t="str">
        <f t="shared" si="3"/>
        <v>2021 ALL D90</v>
      </c>
      <c r="B110" s="8">
        <f>'ALL 2024 H2 D80'!$B$2</f>
        <v>46114</v>
      </c>
      <c r="C110" s="8">
        <f>'ALL 2024 H2 D80'!$C$2</f>
        <v>46120</v>
      </c>
      <c r="D110" s="5">
        <v>3208</v>
      </c>
      <c r="E110" s="5">
        <v>320</v>
      </c>
      <c r="F110" s="5">
        <v>1</v>
      </c>
      <c r="G110" s="5">
        <v>2</v>
      </c>
      <c r="H110" s="5">
        <v>81736</v>
      </c>
      <c r="I110" s="5" t="s">
        <v>16</v>
      </c>
      <c r="J110" s="5">
        <v>27866820</v>
      </c>
      <c r="K110" s="5" t="s">
        <v>2098</v>
      </c>
      <c r="L110" s="5" t="s">
        <v>2100</v>
      </c>
      <c r="M110" s="6">
        <v>169900</v>
      </c>
      <c r="N110" s="7">
        <v>0.9</v>
      </c>
      <c r="O110" s="6">
        <f t="shared" si="2"/>
        <v>16990</v>
      </c>
      <c r="P110" s="5" t="s">
        <v>504</v>
      </c>
    </row>
    <row r="111" spans="1:16" x14ac:dyDescent="0.35">
      <c r="A111" s="5" t="str">
        <f t="shared" si="3"/>
        <v>2021 ALL D90</v>
      </c>
      <c r="B111" s="8">
        <f>'ALL 2024 H2 D80'!$B$2</f>
        <v>46114</v>
      </c>
      <c r="C111" s="8">
        <f>'ALL 2024 H2 D80'!$C$2</f>
        <v>46120</v>
      </c>
      <c r="D111" s="5">
        <v>3208</v>
      </c>
      <c r="E111" s="5">
        <v>320</v>
      </c>
      <c r="F111" s="5">
        <v>1</v>
      </c>
      <c r="G111" s="5">
        <v>2</v>
      </c>
      <c r="H111" s="5">
        <v>81736</v>
      </c>
      <c r="I111" s="5" t="s">
        <v>16</v>
      </c>
      <c r="J111" s="5">
        <v>27866839</v>
      </c>
      <c r="K111" s="5" t="s">
        <v>2098</v>
      </c>
      <c r="L111" s="5" t="s">
        <v>2101</v>
      </c>
      <c r="M111" s="6">
        <v>169900</v>
      </c>
      <c r="N111" s="7">
        <v>0.9</v>
      </c>
      <c r="O111" s="6">
        <f t="shared" si="2"/>
        <v>16990</v>
      </c>
      <c r="P111" s="5" t="s">
        <v>504</v>
      </c>
    </row>
    <row r="112" spans="1:16" x14ac:dyDescent="0.35">
      <c r="A112" s="5" t="str">
        <f t="shared" si="3"/>
        <v>2021 ALL D90</v>
      </c>
      <c r="B112" s="8">
        <f>'ALL 2024 H2 D80'!$B$2</f>
        <v>46114</v>
      </c>
      <c r="C112" s="8">
        <f>'ALL 2024 H2 D80'!$C$2</f>
        <v>46120</v>
      </c>
      <c r="D112" s="5">
        <v>3208</v>
      </c>
      <c r="E112" s="5">
        <v>320</v>
      </c>
      <c r="F112" s="5">
        <v>1</v>
      </c>
      <c r="G112" s="5">
        <v>2</v>
      </c>
      <c r="H112" s="5">
        <v>81736</v>
      </c>
      <c r="I112" s="5" t="s">
        <v>16</v>
      </c>
      <c r="J112" s="5">
        <v>27866848</v>
      </c>
      <c r="K112" s="5" t="s">
        <v>2098</v>
      </c>
      <c r="L112" s="5" t="s">
        <v>2102</v>
      </c>
      <c r="M112" s="6">
        <v>169900</v>
      </c>
      <c r="N112" s="7">
        <v>0.9</v>
      </c>
      <c r="O112" s="6">
        <f t="shared" si="2"/>
        <v>16990</v>
      </c>
      <c r="P112" s="5" t="s">
        <v>504</v>
      </c>
    </row>
    <row r="113" spans="1:16" x14ac:dyDescent="0.35">
      <c r="A113" s="5" t="str">
        <f t="shared" si="3"/>
        <v>2021 ALL D90</v>
      </c>
      <c r="B113" s="8">
        <f>'ALL 2024 H2 D80'!$B$2</f>
        <v>46114</v>
      </c>
      <c r="C113" s="8">
        <f>'ALL 2024 H2 D80'!$C$2</f>
        <v>46120</v>
      </c>
      <c r="D113" s="5">
        <v>3208</v>
      </c>
      <c r="E113" s="5">
        <v>320</v>
      </c>
      <c r="F113" s="5">
        <v>1</v>
      </c>
      <c r="G113" s="5">
        <v>2</v>
      </c>
      <c r="H113" s="5">
        <v>81736</v>
      </c>
      <c r="I113" s="5" t="s">
        <v>16</v>
      </c>
      <c r="J113" s="5">
        <v>27866857</v>
      </c>
      <c r="K113" s="5" t="s">
        <v>2098</v>
      </c>
      <c r="L113" s="5" t="s">
        <v>2103</v>
      </c>
      <c r="M113" s="6">
        <v>169900</v>
      </c>
      <c r="N113" s="7">
        <v>0.9</v>
      </c>
      <c r="O113" s="6">
        <f t="shared" si="2"/>
        <v>16990</v>
      </c>
      <c r="P113" s="5" t="s">
        <v>504</v>
      </c>
    </row>
    <row r="114" spans="1:16" x14ac:dyDescent="0.35">
      <c r="A114" s="5" t="str">
        <f t="shared" si="3"/>
        <v>2021 ALL D90</v>
      </c>
      <c r="B114" s="8">
        <f>'ALL 2024 H2 D80'!$B$2</f>
        <v>46114</v>
      </c>
      <c r="C114" s="8">
        <f>'ALL 2024 H2 D80'!$C$2</f>
        <v>46120</v>
      </c>
      <c r="D114" s="5">
        <v>3208</v>
      </c>
      <c r="E114" s="5">
        <v>320</v>
      </c>
      <c r="F114" s="5">
        <v>1</v>
      </c>
      <c r="G114" s="5">
        <v>2</v>
      </c>
      <c r="H114" s="5">
        <v>81736</v>
      </c>
      <c r="I114" s="5" t="s">
        <v>16</v>
      </c>
      <c r="J114" s="5">
        <v>27866866</v>
      </c>
      <c r="K114" s="5" t="s">
        <v>2098</v>
      </c>
      <c r="L114" s="5" t="s">
        <v>2104</v>
      </c>
      <c r="M114" s="6">
        <v>169900</v>
      </c>
      <c r="N114" s="7">
        <v>0.9</v>
      </c>
      <c r="O114" s="6">
        <f t="shared" si="2"/>
        <v>16990</v>
      </c>
      <c r="P114" s="5" t="s">
        <v>504</v>
      </c>
    </row>
    <row r="115" spans="1:16" x14ac:dyDescent="0.35">
      <c r="A115" s="5" t="str">
        <f t="shared" si="3"/>
        <v>2021 ALL D90</v>
      </c>
      <c r="B115" s="8">
        <f>'ALL 2024 H2 D80'!$B$2</f>
        <v>46114</v>
      </c>
      <c r="C115" s="8">
        <f>'ALL 2024 H2 D80'!$C$2</f>
        <v>46120</v>
      </c>
      <c r="D115" s="5">
        <v>3208</v>
      </c>
      <c r="E115" s="5">
        <v>320</v>
      </c>
      <c r="F115" s="5">
        <v>1</v>
      </c>
      <c r="G115" s="5">
        <v>2</v>
      </c>
      <c r="H115" s="5">
        <v>81736</v>
      </c>
      <c r="I115" s="5" t="s">
        <v>16</v>
      </c>
      <c r="J115" s="5">
        <v>27866875</v>
      </c>
      <c r="K115" s="5" t="s">
        <v>2098</v>
      </c>
      <c r="L115" s="5" t="s">
        <v>2105</v>
      </c>
      <c r="M115" s="6">
        <v>169900</v>
      </c>
      <c r="N115" s="7">
        <v>0.9</v>
      </c>
      <c r="O115" s="6">
        <f t="shared" si="2"/>
        <v>16990</v>
      </c>
      <c r="P115" s="5" t="s">
        <v>504</v>
      </c>
    </row>
    <row r="116" spans="1:16" x14ac:dyDescent="0.35">
      <c r="A116" s="5" t="str">
        <f t="shared" si="3"/>
        <v>2021 ALL D90</v>
      </c>
      <c r="B116" s="8">
        <f>'ALL 2024 H2 D80'!$B$2</f>
        <v>46114</v>
      </c>
      <c r="C116" s="8">
        <f>'ALL 2024 H2 D80'!$C$2</f>
        <v>46120</v>
      </c>
      <c r="D116" s="5">
        <v>3208</v>
      </c>
      <c r="E116" s="5">
        <v>320</v>
      </c>
      <c r="F116" s="5">
        <v>1</v>
      </c>
      <c r="G116" s="5">
        <v>2</v>
      </c>
      <c r="H116" s="5">
        <v>81736</v>
      </c>
      <c r="I116" s="5" t="s">
        <v>16</v>
      </c>
      <c r="J116" s="5">
        <v>27866884</v>
      </c>
      <c r="K116" s="5" t="s">
        <v>2098</v>
      </c>
      <c r="L116" s="5" t="s">
        <v>2106</v>
      </c>
      <c r="M116" s="6">
        <v>169900</v>
      </c>
      <c r="N116" s="7">
        <v>0.9</v>
      </c>
      <c r="O116" s="6">
        <f t="shared" si="2"/>
        <v>16990</v>
      </c>
      <c r="P116" s="5" t="s">
        <v>504</v>
      </c>
    </row>
    <row r="117" spans="1:16" x14ac:dyDescent="0.35">
      <c r="A117" s="5" t="str">
        <f t="shared" si="3"/>
        <v>2021 ALL D90</v>
      </c>
      <c r="B117" s="8">
        <f>'ALL 2024 H2 D80'!$B$2</f>
        <v>46114</v>
      </c>
      <c r="C117" s="8">
        <f>'ALL 2024 H2 D80'!$C$2</f>
        <v>46120</v>
      </c>
      <c r="D117" s="5">
        <v>3208</v>
      </c>
      <c r="E117" s="5">
        <v>320</v>
      </c>
      <c r="F117" s="5">
        <v>1</v>
      </c>
      <c r="G117" s="5">
        <v>2</v>
      </c>
      <c r="H117" s="5">
        <v>81736</v>
      </c>
      <c r="I117" s="5" t="s">
        <v>16</v>
      </c>
      <c r="J117" s="5">
        <v>28091281</v>
      </c>
      <c r="K117" s="5" t="s">
        <v>2107</v>
      </c>
      <c r="L117" s="5" t="s">
        <v>2108</v>
      </c>
      <c r="M117" s="6">
        <v>169900</v>
      </c>
      <c r="N117" s="7">
        <v>0.9</v>
      </c>
      <c r="O117" s="6">
        <f t="shared" si="2"/>
        <v>16990</v>
      </c>
      <c r="P117" s="5" t="s">
        <v>504</v>
      </c>
    </row>
    <row r="118" spans="1:16" x14ac:dyDescent="0.35">
      <c r="A118" s="5" t="str">
        <f t="shared" si="3"/>
        <v>2021 ALL D90</v>
      </c>
      <c r="B118" s="8">
        <f>'ALL 2024 H2 D80'!$B$2</f>
        <v>46114</v>
      </c>
      <c r="C118" s="8">
        <f>'ALL 2024 H2 D80'!$C$2</f>
        <v>46120</v>
      </c>
      <c r="D118" s="5">
        <v>3208</v>
      </c>
      <c r="E118" s="5">
        <v>320</v>
      </c>
      <c r="F118" s="5">
        <v>1</v>
      </c>
      <c r="G118" s="5">
        <v>2</v>
      </c>
      <c r="H118" s="5">
        <v>81736</v>
      </c>
      <c r="I118" s="5" t="s">
        <v>16</v>
      </c>
      <c r="J118" s="5">
        <v>28091290</v>
      </c>
      <c r="K118" s="5" t="s">
        <v>2107</v>
      </c>
      <c r="L118" s="5" t="s">
        <v>2109</v>
      </c>
      <c r="M118" s="6">
        <v>169900</v>
      </c>
      <c r="N118" s="7">
        <v>0.9</v>
      </c>
      <c r="O118" s="6">
        <f t="shared" si="2"/>
        <v>16990</v>
      </c>
      <c r="P118" s="5" t="s">
        <v>504</v>
      </c>
    </row>
    <row r="119" spans="1:16" x14ac:dyDescent="0.35">
      <c r="A119" s="5" t="str">
        <f t="shared" si="3"/>
        <v>2021 ALL D90</v>
      </c>
      <c r="B119" s="8">
        <f>'ALL 2024 H2 D80'!$B$2</f>
        <v>46114</v>
      </c>
      <c r="C119" s="8">
        <f>'ALL 2024 H2 D80'!$C$2</f>
        <v>46120</v>
      </c>
      <c r="D119" s="5">
        <v>3208</v>
      </c>
      <c r="E119" s="5">
        <v>320</v>
      </c>
      <c r="F119" s="5">
        <v>1</v>
      </c>
      <c r="G119" s="5">
        <v>2</v>
      </c>
      <c r="H119" s="5">
        <v>81736</v>
      </c>
      <c r="I119" s="5" t="s">
        <v>16</v>
      </c>
      <c r="J119" s="5">
        <v>28091307</v>
      </c>
      <c r="K119" s="5" t="s">
        <v>2107</v>
      </c>
      <c r="L119" s="5" t="s">
        <v>2110</v>
      </c>
      <c r="M119" s="6">
        <v>169900</v>
      </c>
      <c r="N119" s="7">
        <v>0.9</v>
      </c>
      <c r="O119" s="6">
        <f t="shared" si="2"/>
        <v>16990</v>
      </c>
      <c r="P119" s="5" t="s">
        <v>504</v>
      </c>
    </row>
    <row r="120" spans="1:16" x14ac:dyDescent="0.35">
      <c r="A120" s="5" t="str">
        <f t="shared" si="3"/>
        <v>2021 ALL D90</v>
      </c>
      <c r="B120" s="8">
        <f>'ALL 2024 H2 D80'!$B$2</f>
        <v>46114</v>
      </c>
      <c r="C120" s="8">
        <f>'ALL 2024 H2 D80'!$C$2</f>
        <v>46120</v>
      </c>
      <c r="D120" s="5">
        <v>3208</v>
      </c>
      <c r="E120" s="5">
        <v>320</v>
      </c>
      <c r="F120" s="5">
        <v>1</v>
      </c>
      <c r="G120" s="5">
        <v>2</v>
      </c>
      <c r="H120" s="5">
        <v>81736</v>
      </c>
      <c r="I120" s="5" t="s">
        <v>16</v>
      </c>
      <c r="J120" s="5">
        <v>28091316</v>
      </c>
      <c r="K120" s="5" t="s">
        <v>2107</v>
      </c>
      <c r="L120" s="5" t="s">
        <v>2111</v>
      </c>
      <c r="M120" s="6">
        <v>169900</v>
      </c>
      <c r="N120" s="7">
        <v>0.9</v>
      </c>
      <c r="O120" s="6">
        <f t="shared" si="2"/>
        <v>16990</v>
      </c>
      <c r="P120" s="5" t="s">
        <v>504</v>
      </c>
    </row>
    <row r="121" spans="1:16" x14ac:dyDescent="0.35">
      <c r="A121" s="5" t="str">
        <f t="shared" si="3"/>
        <v>2021 ALL D90</v>
      </c>
      <c r="B121" s="8">
        <f>'ALL 2024 H2 D80'!$B$2</f>
        <v>46114</v>
      </c>
      <c r="C121" s="8">
        <f>'ALL 2024 H2 D80'!$C$2</f>
        <v>46120</v>
      </c>
      <c r="D121" s="5">
        <v>3208</v>
      </c>
      <c r="E121" s="5">
        <v>320</v>
      </c>
      <c r="F121" s="5">
        <v>1</v>
      </c>
      <c r="G121" s="5">
        <v>2</v>
      </c>
      <c r="H121" s="5">
        <v>81736</v>
      </c>
      <c r="I121" s="5" t="s">
        <v>16</v>
      </c>
      <c r="J121" s="5">
        <v>28091325</v>
      </c>
      <c r="K121" s="5" t="s">
        <v>2112</v>
      </c>
      <c r="L121" s="5" t="s">
        <v>2113</v>
      </c>
      <c r="M121" s="6">
        <v>169900</v>
      </c>
      <c r="N121" s="7">
        <v>0.9</v>
      </c>
      <c r="O121" s="6">
        <f t="shared" si="2"/>
        <v>16990</v>
      </c>
      <c r="P121" s="5" t="s">
        <v>504</v>
      </c>
    </row>
    <row r="122" spans="1:16" x14ac:dyDescent="0.35">
      <c r="A122" s="5" t="str">
        <f t="shared" si="3"/>
        <v>2021 ALL D90</v>
      </c>
      <c r="B122" s="8">
        <f>'ALL 2024 H2 D80'!$B$2</f>
        <v>46114</v>
      </c>
      <c r="C122" s="8">
        <f>'ALL 2024 H2 D80'!$C$2</f>
        <v>46120</v>
      </c>
      <c r="D122" s="5">
        <v>3208</v>
      </c>
      <c r="E122" s="5">
        <v>320</v>
      </c>
      <c r="F122" s="5">
        <v>1</v>
      </c>
      <c r="G122" s="5">
        <v>2</v>
      </c>
      <c r="H122" s="5">
        <v>81736</v>
      </c>
      <c r="I122" s="5" t="s">
        <v>16</v>
      </c>
      <c r="J122" s="5">
        <v>28091343</v>
      </c>
      <c r="K122" s="5" t="s">
        <v>2112</v>
      </c>
      <c r="L122" s="5" t="s">
        <v>2114</v>
      </c>
      <c r="M122" s="6">
        <v>169900</v>
      </c>
      <c r="N122" s="7">
        <v>0.9</v>
      </c>
      <c r="O122" s="6">
        <f t="shared" si="2"/>
        <v>16990</v>
      </c>
      <c r="P122" s="5" t="s">
        <v>504</v>
      </c>
    </row>
    <row r="123" spans="1:16" x14ac:dyDescent="0.35">
      <c r="A123" s="5" t="str">
        <f t="shared" si="3"/>
        <v>2021 ALL D90</v>
      </c>
      <c r="B123" s="8">
        <f>'ALL 2024 H2 D80'!$B$2</f>
        <v>46114</v>
      </c>
      <c r="C123" s="8">
        <f>'ALL 2024 H2 D80'!$C$2</f>
        <v>46120</v>
      </c>
      <c r="D123" s="5">
        <v>3208</v>
      </c>
      <c r="E123" s="5">
        <v>320</v>
      </c>
      <c r="F123" s="5">
        <v>1</v>
      </c>
      <c r="G123" s="5">
        <v>2</v>
      </c>
      <c r="H123" s="5">
        <v>81736</v>
      </c>
      <c r="I123" s="5" t="s">
        <v>16</v>
      </c>
      <c r="J123" s="5">
        <v>28091352</v>
      </c>
      <c r="K123" s="5" t="s">
        <v>2112</v>
      </c>
      <c r="L123" s="5" t="s">
        <v>2115</v>
      </c>
      <c r="M123" s="6">
        <v>169900</v>
      </c>
      <c r="N123" s="7">
        <v>0.9</v>
      </c>
      <c r="O123" s="6">
        <f t="shared" si="2"/>
        <v>16990</v>
      </c>
      <c r="P123" s="5" t="s">
        <v>504</v>
      </c>
    </row>
    <row r="124" spans="1:16" x14ac:dyDescent="0.35">
      <c r="A124" s="5" t="str">
        <f t="shared" si="3"/>
        <v>2021 ALL D90</v>
      </c>
      <c r="B124" s="8">
        <f>'ALL 2024 H2 D80'!$B$2</f>
        <v>46114</v>
      </c>
      <c r="C124" s="8">
        <f>'ALL 2024 H2 D80'!$C$2</f>
        <v>46120</v>
      </c>
      <c r="D124" s="5">
        <v>3208</v>
      </c>
      <c r="E124" s="5">
        <v>320</v>
      </c>
      <c r="F124" s="5">
        <v>1</v>
      </c>
      <c r="G124" s="5">
        <v>2</v>
      </c>
      <c r="H124" s="5">
        <v>81736</v>
      </c>
      <c r="I124" s="5" t="s">
        <v>16</v>
      </c>
      <c r="J124" s="5">
        <v>28125075</v>
      </c>
      <c r="K124" s="5" t="s">
        <v>2116</v>
      </c>
      <c r="L124" s="5" t="s">
        <v>2117</v>
      </c>
      <c r="M124" s="6">
        <v>179900</v>
      </c>
      <c r="N124" s="7">
        <v>0.9</v>
      </c>
      <c r="O124" s="6">
        <f t="shared" si="2"/>
        <v>17990</v>
      </c>
      <c r="P124" s="5" t="s">
        <v>504</v>
      </c>
    </row>
    <row r="125" spans="1:16" x14ac:dyDescent="0.35">
      <c r="A125" s="5" t="str">
        <f t="shared" si="3"/>
        <v>2021 ALL D90</v>
      </c>
      <c r="B125" s="8">
        <f>'ALL 2024 H2 D80'!$B$2</f>
        <v>46114</v>
      </c>
      <c r="C125" s="8">
        <f>'ALL 2024 H2 D80'!$C$2</f>
        <v>46120</v>
      </c>
      <c r="D125" s="5">
        <v>3208</v>
      </c>
      <c r="E125" s="5">
        <v>320</v>
      </c>
      <c r="F125" s="5">
        <v>1</v>
      </c>
      <c r="G125" s="5">
        <v>2</v>
      </c>
      <c r="H125" s="5">
        <v>81736</v>
      </c>
      <c r="I125" s="5" t="s">
        <v>16</v>
      </c>
      <c r="J125" s="5">
        <v>28125093</v>
      </c>
      <c r="K125" s="5" t="s">
        <v>2116</v>
      </c>
      <c r="L125" s="5" t="s">
        <v>2118</v>
      </c>
      <c r="M125" s="6">
        <v>179900</v>
      </c>
      <c r="N125" s="7">
        <v>0.9</v>
      </c>
      <c r="O125" s="6">
        <f t="shared" si="2"/>
        <v>17990</v>
      </c>
      <c r="P125" s="5" t="s">
        <v>504</v>
      </c>
    </row>
    <row r="126" spans="1:16" x14ac:dyDescent="0.35">
      <c r="A126" s="5" t="str">
        <f t="shared" si="3"/>
        <v>2021 ALL D90</v>
      </c>
      <c r="B126" s="8">
        <f>'ALL 2024 H2 D80'!$B$2</f>
        <v>46114</v>
      </c>
      <c r="C126" s="8">
        <f>'ALL 2024 H2 D80'!$C$2</f>
        <v>46120</v>
      </c>
      <c r="D126" s="5">
        <v>3208</v>
      </c>
      <c r="E126" s="5">
        <v>320</v>
      </c>
      <c r="F126" s="5">
        <v>1</v>
      </c>
      <c r="G126" s="5">
        <v>2</v>
      </c>
      <c r="H126" s="5">
        <v>81736</v>
      </c>
      <c r="I126" s="5" t="s">
        <v>16</v>
      </c>
      <c r="J126" s="5">
        <v>28354756</v>
      </c>
      <c r="K126" s="5" t="s">
        <v>2119</v>
      </c>
      <c r="L126" s="5" t="s">
        <v>2120</v>
      </c>
      <c r="M126" s="6">
        <v>189900</v>
      </c>
      <c r="N126" s="7">
        <v>0.9</v>
      </c>
      <c r="O126" s="6">
        <f t="shared" si="2"/>
        <v>18990</v>
      </c>
      <c r="P126" s="5" t="s">
        <v>504</v>
      </c>
    </row>
    <row r="127" spans="1:16" x14ac:dyDescent="0.35">
      <c r="A127" s="5" t="str">
        <f t="shared" si="3"/>
        <v>2021 ALL D90</v>
      </c>
      <c r="B127" s="8">
        <f>'ALL 2024 H2 D80'!$B$2</f>
        <v>46114</v>
      </c>
      <c r="C127" s="8">
        <f>'ALL 2024 H2 D80'!$C$2</f>
        <v>46120</v>
      </c>
      <c r="D127" s="5">
        <v>3208</v>
      </c>
      <c r="E127" s="5">
        <v>320</v>
      </c>
      <c r="F127" s="5">
        <v>1</v>
      </c>
      <c r="G127" s="5">
        <v>2</v>
      </c>
      <c r="H127" s="5">
        <v>81736</v>
      </c>
      <c r="I127" s="5" t="s">
        <v>16</v>
      </c>
      <c r="J127" s="5">
        <v>28354765</v>
      </c>
      <c r="K127" s="5" t="s">
        <v>2119</v>
      </c>
      <c r="L127" s="5" t="s">
        <v>2121</v>
      </c>
      <c r="M127" s="6">
        <v>189900</v>
      </c>
      <c r="N127" s="7">
        <v>0.9</v>
      </c>
      <c r="O127" s="6">
        <f t="shared" si="2"/>
        <v>18990</v>
      </c>
      <c r="P127" s="5" t="s">
        <v>504</v>
      </c>
    </row>
    <row r="128" spans="1:16" x14ac:dyDescent="0.35">
      <c r="A128" s="5" t="str">
        <f t="shared" si="3"/>
        <v>2021 ALL D90</v>
      </c>
      <c r="B128" s="8">
        <f>'ALL 2024 H2 D80'!$B$2</f>
        <v>46114</v>
      </c>
      <c r="C128" s="8">
        <f>'ALL 2024 H2 D80'!$C$2</f>
        <v>46120</v>
      </c>
      <c r="D128" s="5">
        <v>3208</v>
      </c>
      <c r="E128" s="5">
        <v>320</v>
      </c>
      <c r="F128" s="5">
        <v>1</v>
      </c>
      <c r="G128" s="5">
        <v>2</v>
      </c>
      <c r="H128" s="5">
        <v>81736</v>
      </c>
      <c r="I128" s="5" t="s">
        <v>16</v>
      </c>
      <c r="J128" s="5">
        <v>31620836</v>
      </c>
      <c r="K128" s="5" t="s">
        <v>2122</v>
      </c>
      <c r="L128" s="5" t="s">
        <v>2123</v>
      </c>
      <c r="M128" s="6">
        <v>189900</v>
      </c>
      <c r="N128" s="7">
        <v>0.9</v>
      </c>
      <c r="O128" s="6">
        <f t="shared" si="2"/>
        <v>18990</v>
      </c>
      <c r="P128" s="5" t="s">
        <v>504</v>
      </c>
    </row>
    <row r="129" spans="1:16" x14ac:dyDescent="0.35">
      <c r="A129" s="5" t="str">
        <f t="shared" si="3"/>
        <v>2021 ALL D90</v>
      </c>
      <c r="B129" s="8">
        <f>'ALL 2024 H2 D80'!$B$2</f>
        <v>46114</v>
      </c>
      <c r="C129" s="8">
        <f>'ALL 2024 H2 D80'!$C$2</f>
        <v>46120</v>
      </c>
      <c r="D129" s="5">
        <v>3208</v>
      </c>
      <c r="E129" s="5">
        <v>320</v>
      </c>
      <c r="F129" s="5">
        <v>1</v>
      </c>
      <c r="G129" s="5">
        <v>2</v>
      </c>
      <c r="H129" s="5">
        <v>81736</v>
      </c>
      <c r="I129" s="5" t="s">
        <v>16</v>
      </c>
      <c r="J129" s="5">
        <v>31620845</v>
      </c>
      <c r="K129" s="5" t="s">
        <v>2122</v>
      </c>
      <c r="L129" s="5" t="s">
        <v>2124</v>
      </c>
      <c r="M129" s="6">
        <v>189900</v>
      </c>
      <c r="N129" s="7">
        <v>0.9</v>
      </c>
      <c r="O129" s="6">
        <f t="shared" si="2"/>
        <v>18990</v>
      </c>
      <c r="P129" s="5" t="s">
        <v>504</v>
      </c>
    </row>
    <row r="130" spans="1:16" x14ac:dyDescent="0.35">
      <c r="A130" s="5" t="str">
        <f t="shared" si="3"/>
        <v>2021 ALL D90</v>
      </c>
      <c r="B130" s="8">
        <f>'ALL 2024 H2 D80'!$B$2</f>
        <v>46114</v>
      </c>
      <c r="C130" s="8">
        <f>'ALL 2024 H2 D80'!$C$2</f>
        <v>46120</v>
      </c>
      <c r="D130" s="5">
        <v>3208</v>
      </c>
      <c r="E130" s="5">
        <v>320</v>
      </c>
      <c r="F130" s="5">
        <v>1</v>
      </c>
      <c r="G130" s="5">
        <v>2</v>
      </c>
      <c r="H130" s="5">
        <v>81736</v>
      </c>
      <c r="I130" s="5" t="s">
        <v>16</v>
      </c>
      <c r="J130" s="5">
        <v>31624921</v>
      </c>
      <c r="K130" s="5" t="s">
        <v>2125</v>
      </c>
      <c r="L130" s="5" t="s">
        <v>2126</v>
      </c>
      <c r="M130" s="6">
        <v>189900</v>
      </c>
      <c r="N130" s="7">
        <v>0.9</v>
      </c>
      <c r="O130" s="6">
        <f t="shared" si="2"/>
        <v>18990</v>
      </c>
      <c r="P130" s="5" t="s">
        <v>504</v>
      </c>
    </row>
    <row r="131" spans="1:16" x14ac:dyDescent="0.35">
      <c r="A131" s="5" t="str">
        <f t="shared" si="3"/>
        <v>2021 ALL D90</v>
      </c>
      <c r="B131" s="8">
        <f>'ALL 2024 H2 D80'!$B$2</f>
        <v>46114</v>
      </c>
      <c r="C131" s="8">
        <f>'ALL 2024 H2 D80'!$C$2</f>
        <v>46120</v>
      </c>
      <c r="D131" s="5">
        <v>3208</v>
      </c>
      <c r="E131" s="5">
        <v>320</v>
      </c>
      <c r="F131" s="5">
        <v>1</v>
      </c>
      <c r="G131" s="5">
        <v>2</v>
      </c>
      <c r="H131" s="5">
        <v>81736</v>
      </c>
      <c r="I131" s="5" t="s">
        <v>16</v>
      </c>
      <c r="J131" s="5">
        <v>31624949</v>
      </c>
      <c r="K131" s="5" t="s">
        <v>2125</v>
      </c>
      <c r="L131" s="5" t="s">
        <v>2127</v>
      </c>
      <c r="M131" s="6">
        <v>189900</v>
      </c>
      <c r="N131" s="7">
        <v>0.9</v>
      </c>
      <c r="O131" s="6">
        <f t="shared" ref="O131:O194" si="4">M131-(M131*N131)</f>
        <v>18990</v>
      </c>
      <c r="P131" s="5" t="s">
        <v>504</v>
      </c>
    </row>
    <row r="132" spans="1:16" x14ac:dyDescent="0.35">
      <c r="A132" s="5" t="str">
        <f t="shared" ref="A132:A195" si="5">$A$2</f>
        <v>2021 ALL D90</v>
      </c>
      <c r="B132" s="8">
        <f>'ALL 2024 H2 D80'!$B$2</f>
        <v>46114</v>
      </c>
      <c r="C132" s="8">
        <f>'ALL 2024 H2 D80'!$C$2</f>
        <v>46120</v>
      </c>
      <c r="D132" s="5">
        <v>3208</v>
      </c>
      <c r="E132" s="5">
        <v>320</v>
      </c>
      <c r="F132" s="5">
        <v>1</v>
      </c>
      <c r="G132" s="5">
        <v>2</v>
      </c>
      <c r="H132" s="5">
        <v>81736</v>
      </c>
      <c r="I132" s="5" t="s">
        <v>16</v>
      </c>
      <c r="J132" s="5">
        <v>31624958</v>
      </c>
      <c r="K132" s="5" t="s">
        <v>2125</v>
      </c>
      <c r="L132" s="5" t="s">
        <v>2128</v>
      </c>
      <c r="M132" s="6">
        <v>189900</v>
      </c>
      <c r="N132" s="7">
        <v>0.9</v>
      </c>
      <c r="O132" s="6">
        <f t="shared" si="4"/>
        <v>18990</v>
      </c>
      <c r="P132" s="5" t="s">
        <v>504</v>
      </c>
    </row>
    <row r="133" spans="1:16" x14ac:dyDescent="0.35">
      <c r="A133" s="5" t="str">
        <f t="shared" si="5"/>
        <v>2021 ALL D90</v>
      </c>
      <c r="B133" s="8">
        <f>'ALL 2024 H2 D80'!$B$2</f>
        <v>46114</v>
      </c>
      <c r="C133" s="8">
        <f>'ALL 2024 H2 D80'!$C$2</f>
        <v>46120</v>
      </c>
      <c r="D133" s="5">
        <v>3208</v>
      </c>
      <c r="E133" s="5">
        <v>320</v>
      </c>
      <c r="F133" s="5">
        <v>1</v>
      </c>
      <c r="G133" s="5">
        <v>2</v>
      </c>
      <c r="H133" s="5">
        <v>81736</v>
      </c>
      <c r="I133" s="5" t="s">
        <v>16</v>
      </c>
      <c r="J133" s="5">
        <v>31657084</v>
      </c>
      <c r="K133" s="5" t="s">
        <v>2129</v>
      </c>
      <c r="L133" s="5" t="s">
        <v>2130</v>
      </c>
      <c r="M133" s="6">
        <v>249900</v>
      </c>
      <c r="N133" s="7">
        <v>0.9</v>
      </c>
      <c r="O133" s="6">
        <f t="shared" si="4"/>
        <v>24990</v>
      </c>
      <c r="P133" s="5" t="s">
        <v>504</v>
      </c>
    </row>
    <row r="134" spans="1:16" x14ac:dyDescent="0.35">
      <c r="A134" s="5" t="str">
        <f t="shared" si="5"/>
        <v>2021 ALL D90</v>
      </c>
      <c r="B134" s="8">
        <f>'ALL 2024 H2 D80'!$B$2</f>
        <v>46114</v>
      </c>
      <c r="C134" s="8">
        <f>'ALL 2024 H2 D80'!$C$2</f>
        <v>46120</v>
      </c>
      <c r="D134" s="5">
        <v>3208</v>
      </c>
      <c r="E134" s="5">
        <v>320</v>
      </c>
      <c r="F134" s="5">
        <v>1</v>
      </c>
      <c r="G134" s="5">
        <v>2</v>
      </c>
      <c r="H134" s="5">
        <v>81736</v>
      </c>
      <c r="I134" s="5" t="s">
        <v>16</v>
      </c>
      <c r="J134" s="5">
        <v>31657093</v>
      </c>
      <c r="K134" s="5" t="s">
        <v>2129</v>
      </c>
      <c r="L134" s="5" t="s">
        <v>2131</v>
      </c>
      <c r="M134" s="6">
        <v>249900</v>
      </c>
      <c r="N134" s="7">
        <v>0.9</v>
      </c>
      <c r="O134" s="6">
        <f t="shared" si="4"/>
        <v>24990</v>
      </c>
      <c r="P134" s="5" t="s">
        <v>504</v>
      </c>
    </row>
    <row r="135" spans="1:16" x14ac:dyDescent="0.35">
      <c r="A135" s="5" t="str">
        <f t="shared" si="5"/>
        <v>2021 ALL D90</v>
      </c>
      <c r="B135" s="8">
        <f>'ALL 2024 H2 D80'!$B$2</f>
        <v>46114</v>
      </c>
      <c r="C135" s="8">
        <f>'ALL 2024 H2 D80'!$C$2</f>
        <v>46120</v>
      </c>
      <c r="D135" s="5">
        <v>3208</v>
      </c>
      <c r="E135" s="5">
        <v>320</v>
      </c>
      <c r="F135" s="5">
        <v>1</v>
      </c>
      <c r="G135" s="5">
        <v>2</v>
      </c>
      <c r="H135" s="5">
        <v>81736</v>
      </c>
      <c r="I135" s="5" t="s">
        <v>16</v>
      </c>
      <c r="J135" s="5">
        <v>31657100</v>
      </c>
      <c r="K135" s="5" t="s">
        <v>2129</v>
      </c>
      <c r="L135" s="5" t="s">
        <v>2132</v>
      </c>
      <c r="M135" s="6">
        <v>249900</v>
      </c>
      <c r="N135" s="7">
        <v>0.9</v>
      </c>
      <c r="O135" s="6">
        <f t="shared" si="4"/>
        <v>24990</v>
      </c>
      <c r="P135" s="5" t="s">
        <v>504</v>
      </c>
    </row>
    <row r="136" spans="1:16" x14ac:dyDescent="0.35">
      <c r="A136" s="5" t="str">
        <f t="shared" si="5"/>
        <v>2021 ALL D90</v>
      </c>
      <c r="B136" s="8">
        <f>'ALL 2024 H2 D80'!$B$2</f>
        <v>46114</v>
      </c>
      <c r="C136" s="8">
        <f>'ALL 2024 H2 D80'!$C$2</f>
        <v>46120</v>
      </c>
      <c r="D136" s="5">
        <v>3208</v>
      </c>
      <c r="E136" s="5">
        <v>320</v>
      </c>
      <c r="F136" s="5">
        <v>1</v>
      </c>
      <c r="G136" s="5">
        <v>2</v>
      </c>
      <c r="H136" s="5">
        <v>81736</v>
      </c>
      <c r="I136" s="5" t="s">
        <v>16</v>
      </c>
      <c r="J136" s="5">
        <v>31657119</v>
      </c>
      <c r="K136" s="5" t="s">
        <v>2129</v>
      </c>
      <c r="L136" s="5" t="s">
        <v>2133</v>
      </c>
      <c r="M136" s="6">
        <v>249900</v>
      </c>
      <c r="N136" s="7">
        <v>0.9</v>
      </c>
      <c r="O136" s="6">
        <f t="shared" si="4"/>
        <v>24990</v>
      </c>
      <c r="P136" s="5" t="s">
        <v>504</v>
      </c>
    </row>
    <row r="137" spans="1:16" x14ac:dyDescent="0.35">
      <c r="A137" s="5" t="str">
        <f t="shared" si="5"/>
        <v>2021 ALL D90</v>
      </c>
      <c r="B137" s="8">
        <f>'ALL 2024 H2 D80'!$B$2</f>
        <v>46114</v>
      </c>
      <c r="C137" s="8">
        <f>'ALL 2024 H2 D80'!$C$2</f>
        <v>46120</v>
      </c>
      <c r="D137" s="5">
        <v>3208</v>
      </c>
      <c r="E137" s="5">
        <v>320</v>
      </c>
      <c r="F137" s="5">
        <v>1</v>
      </c>
      <c r="G137" s="5">
        <v>2</v>
      </c>
      <c r="H137" s="5">
        <v>81736</v>
      </c>
      <c r="I137" s="5" t="s">
        <v>16</v>
      </c>
      <c r="J137" s="5">
        <v>32375672</v>
      </c>
      <c r="K137" s="5" t="s">
        <v>2134</v>
      </c>
      <c r="L137" s="5" t="s">
        <v>2135</v>
      </c>
      <c r="M137" s="6">
        <v>169900</v>
      </c>
      <c r="N137" s="7">
        <v>0.9</v>
      </c>
      <c r="O137" s="6">
        <f t="shared" si="4"/>
        <v>16990</v>
      </c>
      <c r="P137" s="5" t="s">
        <v>504</v>
      </c>
    </row>
    <row r="138" spans="1:16" x14ac:dyDescent="0.35">
      <c r="A138" s="5" t="str">
        <f t="shared" si="5"/>
        <v>2021 ALL D90</v>
      </c>
      <c r="B138" s="8">
        <f>'ALL 2024 H2 D80'!$B$2</f>
        <v>46114</v>
      </c>
      <c r="C138" s="8">
        <f>'ALL 2024 H2 D80'!$C$2</f>
        <v>46120</v>
      </c>
      <c r="D138" s="5">
        <v>3208</v>
      </c>
      <c r="E138" s="5">
        <v>320</v>
      </c>
      <c r="F138" s="5">
        <v>1</v>
      </c>
      <c r="G138" s="5">
        <v>2</v>
      </c>
      <c r="H138" s="5">
        <v>81736</v>
      </c>
      <c r="I138" s="5" t="s">
        <v>16</v>
      </c>
      <c r="J138" s="5">
        <v>32375681</v>
      </c>
      <c r="K138" s="5" t="s">
        <v>2134</v>
      </c>
      <c r="L138" s="5" t="s">
        <v>2136</v>
      </c>
      <c r="M138" s="6">
        <v>169900</v>
      </c>
      <c r="N138" s="7">
        <v>0.9</v>
      </c>
      <c r="O138" s="6">
        <f t="shared" si="4"/>
        <v>16990</v>
      </c>
      <c r="P138" s="5" t="s">
        <v>504</v>
      </c>
    </row>
    <row r="139" spans="1:16" x14ac:dyDescent="0.35">
      <c r="A139" s="5" t="str">
        <f t="shared" si="5"/>
        <v>2021 ALL D90</v>
      </c>
      <c r="B139" s="8">
        <f>'ALL 2024 H2 D80'!$B$2</f>
        <v>46114</v>
      </c>
      <c r="C139" s="8">
        <f>'ALL 2024 H2 D80'!$C$2</f>
        <v>46120</v>
      </c>
      <c r="D139" s="5">
        <v>3208</v>
      </c>
      <c r="E139" s="5">
        <v>320</v>
      </c>
      <c r="F139" s="5">
        <v>1</v>
      </c>
      <c r="G139" s="5">
        <v>2</v>
      </c>
      <c r="H139" s="5">
        <v>81736</v>
      </c>
      <c r="I139" s="5" t="s">
        <v>16</v>
      </c>
      <c r="J139" s="5">
        <v>32375690</v>
      </c>
      <c r="K139" s="5" t="s">
        <v>2134</v>
      </c>
      <c r="L139" s="5" t="s">
        <v>2137</v>
      </c>
      <c r="M139" s="6">
        <v>169900</v>
      </c>
      <c r="N139" s="7">
        <v>0.9</v>
      </c>
      <c r="O139" s="6">
        <f t="shared" si="4"/>
        <v>16990</v>
      </c>
      <c r="P139" s="5" t="s">
        <v>504</v>
      </c>
    </row>
    <row r="140" spans="1:16" x14ac:dyDescent="0.35">
      <c r="A140" s="5" t="str">
        <f t="shared" si="5"/>
        <v>2021 ALL D90</v>
      </c>
      <c r="B140" s="8">
        <f>'ALL 2024 H2 D80'!$B$2</f>
        <v>46114</v>
      </c>
      <c r="C140" s="8">
        <f>'ALL 2024 H2 D80'!$C$2</f>
        <v>46120</v>
      </c>
      <c r="D140" s="5">
        <v>3208</v>
      </c>
      <c r="E140" s="5">
        <v>320</v>
      </c>
      <c r="F140" s="5">
        <v>1</v>
      </c>
      <c r="G140" s="5">
        <v>2</v>
      </c>
      <c r="H140" s="5">
        <v>81736</v>
      </c>
      <c r="I140" s="5" t="s">
        <v>16</v>
      </c>
      <c r="J140" s="5">
        <v>32375707</v>
      </c>
      <c r="K140" s="5" t="s">
        <v>2134</v>
      </c>
      <c r="L140" s="5" t="s">
        <v>2138</v>
      </c>
      <c r="M140" s="6">
        <v>169900</v>
      </c>
      <c r="N140" s="7">
        <v>0.9</v>
      </c>
      <c r="O140" s="6">
        <f t="shared" si="4"/>
        <v>16990</v>
      </c>
      <c r="P140" s="5" t="s">
        <v>504</v>
      </c>
    </row>
    <row r="141" spans="1:16" x14ac:dyDescent="0.35">
      <c r="A141" s="5" t="str">
        <f t="shared" si="5"/>
        <v>2021 ALL D90</v>
      </c>
      <c r="B141" s="8">
        <f>'ALL 2024 H2 D80'!$B$2</f>
        <v>46114</v>
      </c>
      <c r="C141" s="8">
        <f>'ALL 2024 H2 D80'!$C$2</f>
        <v>46120</v>
      </c>
      <c r="D141" s="5">
        <v>3208</v>
      </c>
      <c r="E141" s="5">
        <v>320</v>
      </c>
      <c r="F141" s="5">
        <v>1</v>
      </c>
      <c r="G141" s="5">
        <v>2</v>
      </c>
      <c r="H141" s="5">
        <v>81736</v>
      </c>
      <c r="I141" s="5" t="s">
        <v>16</v>
      </c>
      <c r="J141" s="5">
        <v>32375725</v>
      </c>
      <c r="K141" s="5" t="s">
        <v>2139</v>
      </c>
      <c r="L141" s="5" t="s">
        <v>2140</v>
      </c>
      <c r="M141" s="6">
        <v>179900</v>
      </c>
      <c r="N141" s="7">
        <v>0.9</v>
      </c>
      <c r="O141" s="6">
        <f t="shared" si="4"/>
        <v>17990</v>
      </c>
      <c r="P141" s="5" t="s">
        <v>504</v>
      </c>
    </row>
    <row r="142" spans="1:16" x14ac:dyDescent="0.35">
      <c r="A142" s="5" t="str">
        <f t="shared" si="5"/>
        <v>2021 ALL D90</v>
      </c>
      <c r="B142" s="8">
        <f>'ALL 2024 H2 D80'!$B$2</f>
        <v>46114</v>
      </c>
      <c r="C142" s="8">
        <f>'ALL 2024 H2 D80'!$C$2</f>
        <v>46120</v>
      </c>
      <c r="D142" s="5">
        <v>3208</v>
      </c>
      <c r="E142" s="5">
        <v>320</v>
      </c>
      <c r="F142" s="5">
        <v>1</v>
      </c>
      <c r="G142" s="5">
        <v>2</v>
      </c>
      <c r="H142" s="5">
        <v>81736</v>
      </c>
      <c r="I142" s="5" t="s">
        <v>16</v>
      </c>
      <c r="J142" s="5">
        <v>32375805</v>
      </c>
      <c r="K142" s="5" t="s">
        <v>2141</v>
      </c>
      <c r="L142" s="5" t="s">
        <v>2142</v>
      </c>
      <c r="M142" s="6">
        <v>189900</v>
      </c>
      <c r="N142" s="7">
        <v>0.9</v>
      </c>
      <c r="O142" s="6">
        <f t="shared" si="4"/>
        <v>18990</v>
      </c>
      <c r="P142" s="5" t="s">
        <v>504</v>
      </c>
    </row>
    <row r="143" spans="1:16" x14ac:dyDescent="0.35">
      <c r="A143" s="5" t="str">
        <f t="shared" si="5"/>
        <v>2021 ALL D90</v>
      </c>
      <c r="B143" s="8">
        <f>'ALL 2024 H2 D80'!$B$2</f>
        <v>46114</v>
      </c>
      <c r="C143" s="8">
        <f>'ALL 2024 H2 D80'!$C$2</f>
        <v>46120</v>
      </c>
      <c r="D143" s="5">
        <v>3208</v>
      </c>
      <c r="E143" s="5">
        <v>320</v>
      </c>
      <c r="F143" s="5">
        <v>1</v>
      </c>
      <c r="G143" s="5">
        <v>2</v>
      </c>
      <c r="H143" s="5">
        <v>81736</v>
      </c>
      <c r="I143" s="5" t="s">
        <v>16</v>
      </c>
      <c r="J143" s="5">
        <v>32375814</v>
      </c>
      <c r="K143" s="5" t="s">
        <v>2141</v>
      </c>
      <c r="L143" s="5" t="s">
        <v>2143</v>
      </c>
      <c r="M143" s="6">
        <v>189900</v>
      </c>
      <c r="N143" s="7">
        <v>0.9</v>
      </c>
      <c r="O143" s="6">
        <f t="shared" si="4"/>
        <v>18990</v>
      </c>
      <c r="P143" s="5" t="s">
        <v>504</v>
      </c>
    </row>
    <row r="144" spans="1:16" x14ac:dyDescent="0.35">
      <c r="A144" s="5" t="str">
        <f t="shared" si="5"/>
        <v>2021 ALL D90</v>
      </c>
      <c r="B144" s="8">
        <f>'ALL 2024 H2 D80'!$B$2</f>
        <v>46114</v>
      </c>
      <c r="C144" s="8">
        <f>'ALL 2024 H2 D80'!$C$2</f>
        <v>46120</v>
      </c>
      <c r="D144" s="5">
        <v>3208</v>
      </c>
      <c r="E144" s="5">
        <v>320</v>
      </c>
      <c r="F144" s="5">
        <v>1</v>
      </c>
      <c r="G144" s="5">
        <v>2</v>
      </c>
      <c r="H144" s="5">
        <v>81736</v>
      </c>
      <c r="I144" s="5" t="s">
        <v>16</v>
      </c>
      <c r="J144" s="5">
        <v>32375823</v>
      </c>
      <c r="K144" s="5" t="s">
        <v>2141</v>
      </c>
      <c r="L144" s="5" t="s">
        <v>2144</v>
      </c>
      <c r="M144" s="6">
        <v>189900</v>
      </c>
      <c r="N144" s="7">
        <v>0.9</v>
      </c>
      <c r="O144" s="6">
        <f t="shared" si="4"/>
        <v>18990</v>
      </c>
      <c r="P144" s="5" t="s">
        <v>504</v>
      </c>
    </row>
    <row r="145" spans="1:16" x14ac:dyDescent="0.35">
      <c r="A145" s="5" t="str">
        <f t="shared" si="5"/>
        <v>2021 ALL D90</v>
      </c>
      <c r="B145" s="8">
        <f>'ALL 2024 H2 D80'!$B$2</f>
        <v>46114</v>
      </c>
      <c r="C145" s="8">
        <f>'ALL 2024 H2 D80'!$C$2</f>
        <v>46120</v>
      </c>
      <c r="D145" s="5">
        <v>3208</v>
      </c>
      <c r="E145" s="5">
        <v>320</v>
      </c>
      <c r="F145" s="5">
        <v>1</v>
      </c>
      <c r="G145" s="5">
        <v>2</v>
      </c>
      <c r="H145" s="5">
        <v>81736</v>
      </c>
      <c r="I145" s="5" t="s">
        <v>16</v>
      </c>
      <c r="J145" s="5">
        <v>32379043</v>
      </c>
      <c r="K145" s="5" t="s">
        <v>2145</v>
      </c>
      <c r="L145" s="5" t="s">
        <v>2146</v>
      </c>
      <c r="M145" s="6">
        <v>189900</v>
      </c>
      <c r="N145" s="7">
        <v>0.9</v>
      </c>
      <c r="O145" s="6">
        <f t="shared" si="4"/>
        <v>18990</v>
      </c>
      <c r="P145" s="5" t="s">
        <v>504</v>
      </c>
    </row>
    <row r="146" spans="1:16" x14ac:dyDescent="0.35">
      <c r="A146" s="5" t="str">
        <f t="shared" si="5"/>
        <v>2021 ALL D90</v>
      </c>
      <c r="B146" s="8">
        <f>'ALL 2024 H2 D80'!$B$2</f>
        <v>46114</v>
      </c>
      <c r="C146" s="8">
        <f>'ALL 2024 H2 D80'!$C$2</f>
        <v>46120</v>
      </c>
      <c r="D146" s="5">
        <v>3208</v>
      </c>
      <c r="E146" s="5">
        <v>320</v>
      </c>
      <c r="F146" s="5">
        <v>1</v>
      </c>
      <c r="G146" s="5">
        <v>2</v>
      </c>
      <c r="H146" s="5">
        <v>81736</v>
      </c>
      <c r="I146" s="5" t="s">
        <v>16</v>
      </c>
      <c r="J146" s="5">
        <v>32379052</v>
      </c>
      <c r="K146" s="5" t="s">
        <v>2145</v>
      </c>
      <c r="L146" s="5" t="s">
        <v>2147</v>
      </c>
      <c r="M146" s="6">
        <v>189900</v>
      </c>
      <c r="N146" s="7">
        <v>0.9</v>
      </c>
      <c r="O146" s="6">
        <f t="shared" si="4"/>
        <v>18990</v>
      </c>
      <c r="P146" s="5" t="s">
        <v>504</v>
      </c>
    </row>
    <row r="147" spans="1:16" x14ac:dyDescent="0.35">
      <c r="A147" s="5" t="str">
        <f t="shared" si="5"/>
        <v>2021 ALL D90</v>
      </c>
      <c r="B147" s="8">
        <f>'ALL 2024 H2 D80'!$B$2</f>
        <v>46114</v>
      </c>
      <c r="C147" s="8">
        <f>'ALL 2024 H2 D80'!$C$2</f>
        <v>46120</v>
      </c>
      <c r="D147" s="5">
        <v>3208</v>
      </c>
      <c r="E147" s="5">
        <v>320</v>
      </c>
      <c r="F147" s="5">
        <v>1</v>
      </c>
      <c r="G147" s="5">
        <v>2</v>
      </c>
      <c r="H147" s="5">
        <v>81736</v>
      </c>
      <c r="I147" s="5" t="s">
        <v>16</v>
      </c>
      <c r="J147" s="5">
        <v>32379061</v>
      </c>
      <c r="K147" s="5" t="s">
        <v>2145</v>
      </c>
      <c r="L147" s="5" t="s">
        <v>2148</v>
      </c>
      <c r="M147" s="6">
        <v>189900</v>
      </c>
      <c r="N147" s="7">
        <v>0.9</v>
      </c>
      <c r="O147" s="6">
        <f t="shared" si="4"/>
        <v>18990</v>
      </c>
      <c r="P147" s="5" t="s">
        <v>504</v>
      </c>
    </row>
    <row r="148" spans="1:16" x14ac:dyDescent="0.35">
      <c r="A148" s="5" t="str">
        <f t="shared" si="5"/>
        <v>2021 ALL D90</v>
      </c>
      <c r="B148" s="8">
        <f>'ALL 2024 H2 D80'!$B$2</f>
        <v>46114</v>
      </c>
      <c r="C148" s="8">
        <f>'ALL 2024 H2 D80'!$C$2</f>
        <v>46120</v>
      </c>
      <c r="D148" s="5">
        <v>3208</v>
      </c>
      <c r="E148" s="5">
        <v>320</v>
      </c>
      <c r="F148" s="5">
        <v>1</v>
      </c>
      <c r="G148" s="5">
        <v>2</v>
      </c>
      <c r="H148" s="5">
        <v>81736</v>
      </c>
      <c r="I148" s="5" t="s">
        <v>16</v>
      </c>
      <c r="J148" s="5">
        <v>32379070</v>
      </c>
      <c r="K148" s="5" t="s">
        <v>2145</v>
      </c>
      <c r="L148" s="5" t="s">
        <v>2149</v>
      </c>
      <c r="M148" s="6">
        <v>189900</v>
      </c>
      <c r="N148" s="7">
        <v>0.9</v>
      </c>
      <c r="O148" s="6">
        <f t="shared" si="4"/>
        <v>18990</v>
      </c>
      <c r="P148" s="5" t="s">
        <v>504</v>
      </c>
    </row>
    <row r="149" spans="1:16" x14ac:dyDescent="0.35">
      <c r="A149" s="5" t="str">
        <f t="shared" si="5"/>
        <v>2021 ALL D90</v>
      </c>
      <c r="B149" s="8">
        <f>'ALL 2024 H2 D80'!$B$2</f>
        <v>46114</v>
      </c>
      <c r="C149" s="8">
        <f>'ALL 2024 H2 D80'!$C$2</f>
        <v>46120</v>
      </c>
      <c r="D149" s="5">
        <v>3208</v>
      </c>
      <c r="E149" s="5">
        <v>320</v>
      </c>
      <c r="F149" s="5">
        <v>1</v>
      </c>
      <c r="G149" s="5">
        <v>2</v>
      </c>
      <c r="H149" s="5">
        <v>81736</v>
      </c>
      <c r="I149" s="5" t="s">
        <v>16</v>
      </c>
      <c r="J149" s="5">
        <v>32660970</v>
      </c>
      <c r="K149" s="5" t="s">
        <v>2150</v>
      </c>
      <c r="L149" s="5" t="s">
        <v>2151</v>
      </c>
      <c r="M149" s="6">
        <v>179900</v>
      </c>
      <c r="N149" s="7">
        <v>0.9</v>
      </c>
      <c r="O149" s="6">
        <f t="shared" si="4"/>
        <v>17990</v>
      </c>
      <c r="P149" s="5" t="s">
        <v>504</v>
      </c>
    </row>
    <row r="150" spans="1:16" x14ac:dyDescent="0.35">
      <c r="A150" s="5" t="str">
        <f t="shared" si="5"/>
        <v>2021 ALL D90</v>
      </c>
      <c r="B150" s="8">
        <f>'ALL 2024 H2 D80'!$B$2</f>
        <v>46114</v>
      </c>
      <c r="C150" s="8">
        <f>'ALL 2024 H2 D80'!$C$2</f>
        <v>46120</v>
      </c>
      <c r="D150" s="5">
        <v>3208</v>
      </c>
      <c r="E150" s="5">
        <v>320</v>
      </c>
      <c r="F150" s="5">
        <v>1</v>
      </c>
      <c r="G150" s="5">
        <v>2</v>
      </c>
      <c r="H150" s="5">
        <v>81736</v>
      </c>
      <c r="I150" s="5" t="s">
        <v>16</v>
      </c>
      <c r="J150" s="5">
        <v>32660989</v>
      </c>
      <c r="K150" s="5" t="s">
        <v>2150</v>
      </c>
      <c r="L150" s="5" t="s">
        <v>2152</v>
      </c>
      <c r="M150" s="6">
        <v>179900</v>
      </c>
      <c r="N150" s="7">
        <v>0.9</v>
      </c>
      <c r="O150" s="6">
        <f t="shared" si="4"/>
        <v>17990</v>
      </c>
      <c r="P150" s="5" t="s">
        <v>504</v>
      </c>
    </row>
    <row r="151" spans="1:16" x14ac:dyDescent="0.35">
      <c r="A151" s="5" t="str">
        <f t="shared" si="5"/>
        <v>2021 ALL D90</v>
      </c>
      <c r="B151" s="8">
        <f>'ALL 2024 H2 D80'!$B$2</f>
        <v>46114</v>
      </c>
      <c r="C151" s="8">
        <f>'ALL 2024 H2 D80'!$C$2</f>
        <v>46120</v>
      </c>
      <c r="D151" s="5">
        <v>3208</v>
      </c>
      <c r="E151" s="5">
        <v>320</v>
      </c>
      <c r="F151" s="5">
        <v>1</v>
      </c>
      <c r="G151" s="5">
        <v>2</v>
      </c>
      <c r="H151" s="5">
        <v>81736</v>
      </c>
      <c r="I151" s="5" t="s">
        <v>16</v>
      </c>
      <c r="J151" s="5">
        <v>32660998</v>
      </c>
      <c r="K151" s="5" t="s">
        <v>2150</v>
      </c>
      <c r="L151" s="5" t="s">
        <v>2153</v>
      </c>
      <c r="M151" s="6">
        <v>179900</v>
      </c>
      <c r="N151" s="7">
        <v>0.9</v>
      </c>
      <c r="O151" s="6">
        <f t="shared" si="4"/>
        <v>17990</v>
      </c>
      <c r="P151" s="5" t="s">
        <v>504</v>
      </c>
    </row>
    <row r="152" spans="1:16" x14ac:dyDescent="0.35">
      <c r="A152" s="5" t="str">
        <f t="shared" si="5"/>
        <v>2021 ALL D90</v>
      </c>
      <c r="B152" s="8">
        <f>'ALL 2024 H2 D80'!$B$2</f>
        <v>46114</v>
      </c>
      <c r="C152" s="8">
        <f>'ALL 2024 H2 D80'!$C$2</f>
        <v>46120</v>
      </c>
      <c r="D152" s="5">
        <v>3208</v>
      </c>
      <c r="E152" s="5">
        <v>320</v>
      </c>
      <c r="F152" s="5">
        <v>1</v>
      </c>
      <c r="G152" s="5">
        <v>2</v>
      </c>
      <c r="H152" s="5">
        <v>81736</v>
      </c>
      <c r="I152" s="5" t="s">
        <v>16</v>
      </c>
      <c r="J152" s="5">
        <v>32661004</v>
      </c>
      <c r="K152" s="5" t="s">
        <v>2150</v>
      </c>
      <c r="L152" s="5" t="s">
        <v>2154</v>
      </c>
      <c r="M152" s="6">
        <v>179900</v>
      </c>
      <c r="N152" s="7">
        <v>0.9</v>
      </c>
      <c r="O152" s="6">
        <f t="shared" si="4"/>
        <v>17990</v>
      </c>
      <c r="P152" s="5" t="s">
        <v>504</v>
      </c>
    </row>
    <row r="153" spans="1:16" x14ac:dyDescent="0.35">
      <c r="A153" s="5" t="str">
        <f t="shared" si="5"/>
        <v>2021 ALL D90</v>
      </c>
      <c r="B153" s="8">
        <f>'ALL 2024 H2 D80'!$B$2</f>
        <v>46114</v>
      </c>
      <c r="C153" s="8">
        <f>'ALL 2024 H2 D80'!$C$2</f>
        <v>46120</v>
      </c>
      <c r="D153" s="5">
        <v>3208</v>
      </c>
      <c r="E153" s="5">
        <v>320</v>
      </c>
      <c r="F153" s="5">
        <v>1</v>
      </c>
      <c r="G153" s="5">
        <v>2</v>
      </c>
      <c r="H153" s="5">
        <v>81736</v>
      </c>
      <c r="I153" s="5" t="s">
        <v>16</v>
      </c>
      <c r="J153" s="5">
        <v>33030943</v>
      </c>
      <c r="K153" s="5" t="s">
        <v>2155</v>
      </c>
      <c r="L153" s="5" t="s">
        <v>2156</v>
      </c>
      <c r="M153" s="6">
        <v>199900</v>
      </c>
      <c r="N153" s="7">
        <v>0.9</v>
      </c>
      <c r="O153" s="6">
        <f t="shared" si="4"/>
        <v>19990</v>
      </c>
      <c r="P153" s="5" t="s">
        <v>504</v>
      </c>
    </row>
    <row r="154" spans="1:16" x14ac:dyDescent="0.35">
      <c r="A154" s="5" t="str">
        <f t="shared" si="5"/>
        <v>2021 ALL D90</v>
      </c>
      <c r="B154" s="8">
        <f>'ALL 2024 H2 D80'!$B$2</f>
        <v>46114</v>
      </c>
      <c r="C154" s="8">
        <f>'ALL 2024 H2 D80'!$C$2</f>
        <v>46120</v>
      </c>
      <c r="D154" s="5">
        <v>3208</v>
      </c>
      <c r="E154" s="5">
        <v>320</v>
      </c>
      <c r="F154" s="5">
        <v>1</v>
      </c>
      <c r="G154" s="5">
        <v>2</v>
      </c>
      <c r="H154" s="5">
        <v>81736</v>
      </c>
      <c r="I154" s="5" t="s">
        <v>16</v>
      </c>
      <c r="J154" s="5">
        <v>33030952</v>
      </c>
      <c r="K154" s="5" t="s">
        <v>2155</v>
      </c>
      <c r="L154" s="5" t="s">
        <v>2157</v>
      </c>
      <c r="M154" s="6">
        <v>199900</v>
      </c>
      <c r="N154" s="7">
        <v>0.9</v>
      </c>
      <c r="O154" s="6">
        <f t="shared" si="4"/>
        <v>19990</v>
      </c>
      <c r="P154" s="5" t="s">
        <v>504</v>
      </c>
    </row>
    <row r="155" spans="1:16" x14ac:dyDescent="0.35">
      <c r="A155" s="5" t="str">
        <f t="shared" si="5"/>
        <v>2021 ALL D90</v>
      </c>
      <c r="B155" s="8">
        <f>'ALL 2024 H2 D80'!$B$2</f>
        <v>46114</v>
      </c>
      <c r="C155" s="8">
        <f>'ALL 2024 H2 D80'!$C$2</f>
        <v>46120</v>
      </c>
      <c r="D155" s="5">
        <v>3208</v>
      </c>
      <c r="E155" s="5">
        <v>320</v>
      </c>
      <c r="F155" s="5">
        <v>1</v>
      </c>
      <c r="G155" s="5">
        <v>2</v>
      </c>
      <c r="H155" s="5">
        <v>81736</v>
      </c>
      <c r="I155" s="5" t="s">
        <v>16</v>
      </c>
      <c r="J155" s="5">
        <v>33030961</v>
      </c>
      <c r="K155" s="5" t="s">
        <v>2155</v>
      </c>
      <c r="L155" s="5" t="s">
        <v>2158</v>
      </c>
      <c r="M155" s="6">
        <v>199900</v>
      </c>
      <c r="N155" s="7">
        <v>0.9</v>
      </c>
      <c r="O155" s="6">
        <f t="shared" si="4"/>
        <v>19990</v>
      </c>
      <c r="P155" s="5" t="s">
        <v>504</v>
      </c>
    </row>
    <row r="156" spans="1:16" x14ac:dyDescent="0.35">
      <c r="A156" s="5" t="str">
        <f t="shared" si="5"/>
        <v>2021 ALL D90</v>
      </c>
      <c r="B156" s="8">
        <f>'ALL 2024 H2 D80'!$B$2</f>
        <v>46114</v>
      </c>
      <c r="C156" s="8">
        <f>'ALL 2024 H2 D80'!$C$2</f>
        <v>46120</v>
      </c>
      <c r="D156" s="5">
        <v>3208</v>
      </c>
      <c r="E156" s="5">
        <v>320</v>
      </c>
      <c r="F156" s="5">
        <v>1</v>
      </c>
      <c r="G156" s="5">
        <v>2</v>
      </c>
      <c r="H156" s="5">
        <v>81736</v>
      </c>
      <c r="I156" s="5" t="s">
        <v>16</v>
      </c>
      <c r="J156" s="5">
        <v>33030970</v>
      </c>
      <c r="K156" s="5" t="s">
        <v>2155</v>
      </c>
      <c r="L156" s="5" t="s">
        <v>2159</v>
      </c>
      <c r="M156" s="6">
        <v>199900</v>
      </c>
      <c r="N156" s="7">
        <v>0.9</v>
      </c>
      <c r="O156" s="6">
        <f t="shared" si="4"/>
        <v>19990</v>
      </c>
      <c r="P156" s="5" t="s">
        <v>504</v>
      </c>
    </row>
    <row r="157" spans="1:16" x14ac:dyDescent="0.35">
      <c r="A157" s="5" t="str">
        <f t="shared" si="5"/>
        <v>2021 ALL D90</v>
      </c>
      <c r="B157" s="8">
        <f>'ALL 2024 H2 D80'!$B$2</f>
        <v>46114</v>
      </c>
      <c r="C157" s="8">
        <f>'ALL 2024 H2 D80'!$C$2</f>
        <v>46120</v>
      </c>
      <c r="D157" s="5">
        <v>3208</v>
      </c>
      <c r="E157" s="5">
        <v>320</v>
      </c>
      <c r="F157" s="5">
        <v>1</v>
      </c>
      <c r="G157" s="5">
        <v>2</v>
      </c>
      <c r="H157" s="5">
        <v>81736</v>
      </c>
      <c r="I157" s="5" t="s">
        <v>16</v>
      </c>
      <c r="J157" s="5">
        <v>33030989</v>
      </c>
      <c r="K157" s="5" t="s">
        <v>2155</v>
      </c>
      <c r="L157" s="5" t="s">
        <v>2160</v>
      </c>
      <c r="M157" s="6">
        <v>199900</v>
      </c>
      <c r="N157" s="7">
        <v>0.9</v>
      </c>
      <c r="O157" s="6">
        <f t="shared" si="4"/>
        <v>19990</v>
      </c>
      <c r="P157" s="5" t="s">
        <v>504</v>
      </c>
    </row>
    <row r="158" spans="1:16" x14ac:dyDescent="0.35">
      <c r="A158" s="5" t="str">
        <f t="shared" si="5"/>
        <v>2021 ALL D90</v>
      </c>
      <c r="B158" s="8">
        <f>'ALL 2024 H2 D80'!$B$2</f>
        <v>46114</v>
      </c>
      <c r="C158" s="8">
        <f>'ALL 2024 H2 D80'!$C$2</f>
        <v>46120</v>
      </c>
      <c r="D158" s="5">
        <v>3208</v>
      </c>
      <c r="E158" s="5">
        <v>320</v>
      </c>
      <c r="F158" s="5">
        <v>1</v>
      </c>
      <c r="G158" s="5">
        <v>2</v>
      </c>
      <c r="H158" s="5">
        <v>81736</v>
      </c>
      <c r="I158" s="5" t="s">
        <v>16</v>
      </c>
      <c r="J158" s="5">
        <v>33030998</v>
      </c>
      <c r="K158" s="5" t="s">
        <v>2155</v>
      </c>
      <c r="L158" s="5" t="s">
        <v>2161</v>
      </c>
      <c r="M158" s="6">
        <v>199900</v>
      </c>
      <c r="N158" s="7">
        <v>0.9</v>
      </c>
      <c r="O158" s="6">
        <f t="shared" si="4"/>
        <v>19990</v>
      </c>
      <c r="P158" s="5" t="s">
        <v>504</v>
      </c>
    </row>
    <row r="159" spans="1:16" x14ac:dyDescent="0.35">
      <c r="A159" s="5" t="str">
        <f t="shared" si="5"/>
        <v>2021 ALL D90</v>
      </c>
      <c r="B159" s="8">
        <f>'ALL 2024 H2 D80'!$B$2</f>
        <v>46114</v>
      </c>
      <c r="C159" s="8">
        <f>'ALL 2024 H2 D80'!$C$2</f>
        <v>46120</v>
      </c>
      <c r="D159" s="5">
        <v>3208</v>
      </c>
      <c r="E159" s="5">
        <v>320</v>
      </c>
      <c r="F159" s="5">
        <v>1</v>
      </c>
      <c r="G159" s="5">
        <v>2</v>
      </c>
      <c r="H159" s="5">
        <v>81736</v>
      </c>
      <c r="I159" s="5" t="s">
        <v>16</v>
      </c>
      <c r="J159" s="5">
        <v>33031004</v>
      </c>
      <c r="K159" s="5" t="s">
        <v>2155</v>
      </c>
      <c r="L159" s="5" t="s">
        <v>2162</v>
      </c>
      <c r="M159" s="6">
        <v>199900</v>
      </c>
      <c r="N159" s="7">
        <v>0.9</v>
      </c>
      <c r="O159" s="6">
        <f t="shared" si="4"/>
        <v>19990</v>
      </c>
      <c r="P159" s="5" t="s">
        <v>504</v>
      </c>
    </row>
    <row r="160" spans="1:16" x14ac:dyDescent="0.35">
      <c r="A160" s="5" t="str">
        <f t="shared" si="5"/>
        <v>2021 ALL D90</v>
      </c>
      <c r="B160" s="8">
        <f>'ALL 2024 H2 D80'!$B$2</f>
        <v>46114</v>
      </c>
      <c r="C160" s="8">
        <f>'ALL 2024 H2 D80'!$C$2</f>
        <v>46120</v>
      </c>
      <c r="D160" s="5">
        <v>3208</v>
      </c>
      <c r="E160" s="5">
        <v>320</v>
      </c>
      <c r="F160" s="5">
        <v>1</v>
      </c>
      <c r="G160" s="5">
        <v>2</v>
      </c>
      <c r="H160" s="5">
        <v>81736</v>
      </c>
      <c r="I160" s="5" t="s">
        <v>16</v>
      </c>
      <c r="J160" s="5">
        <v>33031013</v>
      </c>
      <c r="K160" s="5" t="s">
        <v>2155</v>
      </c>
      <c r="L160" s="5" t="s">
        <v>2163</v>
      </c>
      <c r="M160" s="6">
        <v>199900</v>
      </c>
      <c r="N160" s="7">
        <v>0.9</v>
      </c>
      <c r="O160" s="6">
        <f t="shared" si="4"/>
        <v>19990</v>
      </c>
      <c r="P160" s="5" t="s">
        <v>504</v>
      </c>
    </row>
    <row r="161" spans="1:16" x14ac:dyDescent="0.35">
      <c r="A161" s="5" t="str">
        <f t="shared" si="5"/>
        <v>2021 ALL D90</v>
      </c>
      <c r="B161" s="8">
        <f>'ALL 2024 H2 D80'!$B$2</f>
        <v>46114</v>
      </c>
      <c r="C161" s="8">
        <f>'ALL 2024 H2 D80'!$C$2</f>
        <v>46120</v>
      </c>
      <c r="D161" s="5">
        <v>3208</v>
      </c>
      <c r="E161" s="5">
        <v>320</v>
      </c>
      <c r="F161" s="5">
        <v>1</v>
      </c>
      <c r="G161" s="5">
        <v>2</v>
      </c>
      <c r="H161" s="5">
        <v>81736</v>
      </c>
      <c r="I161" s="5" t="s">
        <v>16</v>
      </c>
      <c r="J161" s="5">
        <v>33031157</v>
      </c>
      <c r="K161" s="5" t="s">
        <v>2164</v>
      </c>
      <c r="L161" s="5" t="s">
        <v>2165</v>
      </c>
      <c r="M161" s="6">
        <v>189900</v>
      </c>
      <c r="N161" s="7">
        <v>0.9</v>
      </c>
      <c r="O161" s="6">
        <f t="shared" si="4"/>
        <v>18990</v>
      </c>
      <c r="P161" s="5" t="s">
        <v>504</v>
      </c>
    </row>
    <row r="162" spans="1:16" x14ac:dyDescent="0.35">
      <c r="A162" s="5" t="str">
        <f t="shared" si="5"/>
        <v>2021 ALL D90</v>
      </c>
      <c r="B162" s="8">
        <f>'ALL 2024 H2 D80'!$B$2</f>
        <v>46114</v>
      </c>
      <c r="C162" s="8">
        <f>'ALL 2024 H2 D80'!$C$2</f>
        <v>46120</v>
      </c>
      <c r="D162" s="5">
        <v>3208</v>
      </c>
      <c r="E162" s="5">
        <v>320</v>
      </c>
      <c r="F162" s="5">
        <v>1</v>
      </c>
      <c r="G162" s="5">
        <v>2</v>
      </c>
      <c r="H162" s="5">
        <v>81736</v>
      </c>
      <c r="I162" s="5" t="s">
        <v>16</v>
      </c>
      <c r="J162" s="5">
        <v>33031166</v>
      </c>
      <c r="K162" s="5" t="s">
        <v>2164</v>
      </c>
      <c r="L162" s="5" t="s">
        <v>2166</v>
      </c>
      <c r="M162" s="6">
        <v>189900</v>
      </c>
      <c r="N162" s="7">
        <v>0.9</v>
      </c>
      <c r="O162" s="6">
        <f t="shared" si="4"/>
        <v>18990</v>
      </c>
      <c r="P162" s="5" t="s">
        <v>504</v>
      </c>
    </row>
    <row r="163" spans="1:16" x14ac:dyDescent="0.35">
      <c r="A163" s="5" t="str">
        <f t="shared" si="5"/>
        <v>2021 ALL D90</v>
      </c>
      <c r="B163" s="8">
        <f>'ALL 2024 H2 D80'!$B$2</f>
        <v>46114</v>
      </c>
      <c r="C163" s="8">
        <f>'ALL 2024 H2 D80'!$C$2</f>
        <v>46120</v>
      </c>
      <c r="D163" s="5">
        <v>3208</v>
      </c>
      <c r="E163" s="5">
        <v>320</v>
      </c>
      <c r="F163" s="5">
        <v>1</v>
      </c>
      <c r="G163" s="5">
        <v>2</v>
      </c>
      <c r="H163" s="5">
        <v>81736</v>
      </c>
      <c r="I163" s="5" t="s">
        <v>16</v>
      </c>
      <c r="J163" s="5">
        <v>33031175</v>
      </c>
      <c r="K163" s="5" t="s">
        <v>2164</v>
      </c>
      <c r="L163" s="5" t="s">
        <v>2167</v>
      </c>
      <c r="M163" s="6">
        <v>189900</v>
      </c>
      <c r="N163" s="7">
        <v>0.9</v>
      </c>
      <c r="O163" s="6">
        <f t="shared" si="4"/>
        <v>18990</v>
      </c>
      <c r="P163" s="5" t="s">
        <v>504</v>
      </c>
    </row>
    <row r="164" spans="1:16" x14ac:dyDescent="0.35">
      <c r="A164" s="5" t="str">
        <f t="shared" si="5"/>
        <v>2021 ALL D90</v>
      </c>
      <c r="B164" s="8">
        <f>'ALL 2024 H2 D80'!$B$2</f>
        <v>46114</v>
      </c>
      <c r="C164" s="8">
        <f>'ALL 2024 H2 D80'!$C$2</f>
        <v>46120</v>
      </c>
      <c r="D164" s="5">
        <v>3208</v>
      </c>
      <c r="E164" s="5">
        <v>320</v>
      </c>
      <c r="F164" s="5">
        <v>1</v>
      </c>
      <c r="G164" s="5">
        <v>2</v>
      </c>
      <c r="H164" s="5">
        <v>81736</v>
      </c>
      <c r="I164" s="5" t="s">
        <v>16</v>
      </c>
      <c r="J164" s="5">
        <v>33031184</v>
      </c>
      <c r="K164" s="5" t="s">
        <v>2164</v>
      </c>
      <c r="L164" s="5" t="s">
        <v>2168</v>
      </c>
      <c r="M164" s="6">
        <v>189900</v>
      </c>
      <c r="N164" s="7">
        <v>0.9</v>
      </c>
      <c r="O164" s="6">
        <f t="shared" si="4"/>
        <v>18990</v>
      </c>
      <c r="P164" s="5" t="s">
        <v>504</v>
      </c>
    </row>
    <row r="165" spans="1:16" x14ac:dyDescent="0.35">
      <c r="A165" s="5" t="str">
        <f t="shared" si="5"/>
        <v>2021 ALL D90</v>
      </c>
      <c r="B165" s="8">
        <f>'ALL 2024 H2 D80'!$B$2</f>
        <v>46114</v>
      </c>
      <c r="C165" s="8">
        <f>'ALL 2024 H2 D80'!$C$2</f>
        <v>46120</v>
      </c>
      <c r="D165" s="5">
        <v>3208</v>
      </c>
      <c r="E165" s="5">
        <v>320</v>
      </c>
      <c r="F165" s="5">
        <v>1</v>
      </c>
      <c r="G165" s="5">
        <v>2</v>
      </c>
      <c r="H165" s="5">
        <v>81736</v>
      </c>
      <c r="I165" s="5" t="s">
        <v>16</v>
      </c>
      <c r="J165" s="5">
        <v>33031193</v>
      </c>
      <c r="K165" s="5" t="s">
        <v>2164</v>
      </c>
      <c r="L165" s="5" t="s">
        <v>2169</v>
      </c>
      <c r="M165" s="6">
        <v>189900</v>
      </c>
      <c r="N165" s="7">
        <v>0.9</v>
      </c>
      <c r="O165" s="6">
        <f t="shared" si="4"/>
        <v>18990</v>
      </c>
      <c r="P165" s="5" t="s">
        <v>504</v>
      </c>
    </row>
    <row r="166" spans="1:16" x14ac:dyDescent="0.35">
      <c r="A166" s="5" t="str">
        <f t="shared" si="5"/>
        <v>2021 ALL D90</v>
      </c>
      <c r="B166" s="8">
        <f>'ALL 2024 H2 D80'!$B$2</f>
        <v>46114</v>
      </c>
      <c r="C166" s="8">
        <f>'ALL 2024 H2 D80'!$C$2</f>
        <v>46120</v>
      </c>
      <c r="D166" s="5">
        <v>3208</v>
      </c>
      <c r="E166" s="5">
        <v>320</v>
      </c>
      <c r="F166" s="5">
        <v>1</v>
      </c>
      <c r="G166" s="5">
        <v>2</v>
      </c>
      <c r="H166" s="5">
        <v>81736</v>
      </c>
      <c r="I166" s="5" t="s">
        <v>16</v>
      </c>
      <c r="J166" s="5">
        <v>33031200</v>
      </c>
      <c r="K166" s="5" t="s">
        <v>2164</v>
      </c>
      <c r="L166" s="5" t="s">
        <v>2170</v>
      </c>
      <c r="M166" s="6">
        <v>189900</v>
      </c>
      <c r="N166" s="7">
        <v>0.9</v>
      </c>
      <c r="O166" s="6">
        <f t="shared" si="4"/>
        <v>18990</v>
      </c>
      <c r="P166" s="5" t="s">
        <v>504</v>
      </c>
    </row>
    <row r="167" spans="1:16" x14ac:dyDescent="0.35">
      <c r="A167" s="5" t="str">
        <f t="shared" si="5"/>
        <v>2021 ALL D90</v>
      </c>
      <c r="B167" s="8">
        <f>'ALL 2024 H2 D80'!$B$2</f>
        <v>46114</v>
      </c>
      <c r="C167" s="8">
        <f>'ALL 2024 H2 D80'!$C$2</f>
        <v>46120</v>
      </c>
      <c r="D167" s="5">
        <v>3208</v>
      </c>
      <c r="E167" s="5">
        <v>320</v>
      </c>
      <c r="F167" s="5">
        <v>1</v>
      </c>
      <c r="G167" s="5">
        <v>2</v>
      </c>
      <c r="H167" s="5">
        <v>81736</v>
      </c>
      <c r="I167" s="5" t="s">
        <v>16</v>
      </c>
      <c r="J167" s="5">
        <v>33031219</v>
      </c>
      <c r="K167" s="5" t="s">
        <v>2164</v>
      </c>
      <c r="L167" s="5" t="s">
        <v>2171</v>
      </c>
      <c r="M167" s="6">
        <v>189900</v>
      </c>
      <c r="N167" s="7">
        <v>0.9</v>
      </c>
      <c r="O167" s="6">
        <f t="shared" si="4"/>
        <v>18990</v>
      </c>
      <c r="P167" s="5" t="s">
        <v>504</v>
      </c>
    </row>
    <row r="168" spans="1:16" x14ac:dyDescent="0.35">
      <c r="A168" s="5" t="str">
        <f t="shared" si="5"/>
        <v>2021 ALL D90</v>
      </c>
      <c r="B168" s="8">
        <f>'ALL 2024 H2 D80'!$B$2</f>
        <v>46114</v>
      </c>
      <c r="C168" s="8">
        <f>'ALL 2024 H2 D80'!$C$2</f>
        <v>46120</v>
      </c>
      <c r="D168" s="5">
        <v>3208</v>
      </c>
      <c r="E168" s="5">
        <v>320</v>
      </c>
      <c r="F168" s="5">
        <v>1</v>
      </c>
      <c r="G168" s="5">
        <v>2</v>
      </c>
      <c r="H168" s="5">
        <v>81736</v>
      </c>
      <c r="I168" s="5" t="s">
        <v>16</v>
      </c>
      <c r="J168" s="5">
        <v>33031228</v>
      </c>
      <c r="K168" s="5" t="s">
        <v>2164</v>
      </c>
      <c r="L168" s="5" t="s">
        <v>2172</v>
      </c>
      <c r="M168" s="6">
        <v>189900</v>
      </c>
      <c r="N168" s="7">
        <v>0.9</v>
      </c>
      <c r="O168" s="6">
        <f t="shared" si="4"/>
        <v>18990</v>
      </c>
      <c r="P168" s="5" t="s">
        <v>504</v>
      </c>
    </row>
    <row r="169" spans="1:16" x14ac:dyDescent="0.35">
      <c r="A169" s="5" t="str">
        <f t="shared" si="5"/>
        <v>2021 ALL D90</v>
      </c>
      <c r="B169" s="8">
        <f>'ALL 2024 H2 D80'!$B$2</f>
        <v>46114</v>
      </c>
      <c r="C169" s="8">
        <f>'ALL 2024 H2 D80'!$C$2</f>
        <v>46120</v>
      </c>
      <c r="D169" s="5">
        <v>3208</v>
      </c>
      <c r="E169" s="5">
        <v>320</v>
      </c>
      <c r="F169" s="5">
        <v>1</v>
      </c>
      <c r="G169" s="5">
        <v>2</v>
      </c>
      <c r="H169" s="5">
        <v>81736</v>
      </c>
      <c r="I169" s="5" t="s">
        <v>16</v>
      </c>
      <c r="J169" s="5">
        <v>33031497</v>
      </c>
      <c r="K169" s="5" t="s">
        <v>2173</v>
      </c>
      <c r="L169" s="5" t="s">
        <v>2174</v>
      </c>
      <c r="M169" s="6">
        <v>189900</v>
      </c>
      <c r="N169" s="7">
        <v>0.9</v>
      </c>
      <c r="O169" s="6">
        <f t="shared" si="4"/>
        <v>18990</v>
      </c>
      <c r="P169" s="5" t="s">
        <v>504</v>
      </c>
    </row>
    <row r="170" spans="1:16" x14ac:dyDescent="0.35">
      <c r="A170" s="5" t="str">
        <f t="shared" si="5"/>
        <v>2021 ALL D90</v>
      </c>
      <c r="B170" s="8">
        <f>'ALL 2024 H2 D80'!$B$2</f>
        <v>46114</v>
      </c>
      <c r="C170" s="8">
        <f>'ALL 2024 H2 D80'!$C$2</f>
        <v>46120</v>
      </c>
      <c r="D170" s="5">
        <v>3208</v>
      </c>
      <c r="E170" s="5">
        <v>320</v>
      </c>
      <c r="F170" s="5">
        <v>1</v>
      </c>
      <c r="G170" s="5">
        <v>2</v>
      </c>
      <c r="H170" s="5">
        <v>81736</v>
      </c>
      <c r="I170" s="5" t="s">
        <v>16</v>
      </c>
      <c r="J170" s="5">
        <v>33031504</v>
      </c>
      <c r="K170" s="5" t="s">
        <v>2173</v>
      </c>
      <c r="L170" s="5" t="s">
        <v>2175</v>
      </c>
      <c r="M170" s="6">
        <v>189900</v>
      </c>
      <c r="N170" s="7">
        <v>0.9</v>
      </c>
      <c r="O170" s="6">
        <f t="shared" si="4"/>
        <v>18990</v>
      </c>
      <c r="P170" s="5" t="s">
        <v>504</v>
      </c>
    </row>
    <row r="171" spans="1:16" x14ac:dyDescent="0.35">
      <c r="A171" s="5" t="str">
        <f t="shared" si="5"/>
        <v>2021 ALL D90</v>
      </c>
      <c r="B171" s="8">
        <f>'ALL 2024 H2 D80'!$B$2</f>
        <v>46114</v>
      </c>
      <c r="C171" s="8">
        <f>'ALL 2024 H2 D80'!$C$2</f>
        <v>46120</v>
      </c>
      <c r="D171" s="5">
        <v>3208</v>
      </c>
      <c r="E171" s="5">
        <v>320</v>
      </c>
      <c r="F171" s="5">
        <v>1</v>
      </c>
      <c r="G171" s="5">
        <v>2</v>
      </c>
      <c r="H171" s="5">
        <v>81736</v>
      </c>
      <c r="I171" s="5" t="s">
        <v>16</v>
      </c>
      <c r="J171" s="5">
        <v>33031513</v>
      </c>
      <c r="K171" s="5" t="s">
        <v>2173</v>
      </c>
      <c r="L171" s="5" t="s">
        <v>2176</v>
      </c>
      <c r="M171" s="6">
        <v>189900</v>
      </c>
      <c r="N171" s="7">
        <v>0.9</v>
      </c>
      <c r="O171" s="6">
        <f t="shared" si="4"/>
        <v>18990</v>
      </c>
      <c r="P171" s="5" t="s">
        <v>504</v>
      </c>
    </row>
    <row r="172" spans="1:16" x14ac:dyDescent="0.35">
      <c r="A172" s="5" t="str">
        <f t="shared" si="5"/>
        <v>2021 ALL D90</v>
      </c>
      <c r="B172" s="8">
        <f>'ALL 2024 H2 D80'!$B$2</f>
        <v>46114</v>
      </c>
      <c r="C172" s="8">
        <f>'ALL 2024 H2 D80'!$C$2</f>
        <v>46120</v>
      </c>
      <c r="D172" s="5">
        <v>3208</v>
      </c>
      <c r="E172" s="5">
        <v>320</v>
      </c>
      <c r="F172" s="5">
        <v>1</v>
      </c>
      <c r="G172" s="5">
        <v>2</v>
      </c>
      <c r="H172" s="5">
        <v>81736</v>
      </c>
      <c r="I172" s="5" t="s">
        <v>16</v>
      </c>
      <c r="J172" s="5">
        <v>33031522</v>
      </c>
      <c r="K172" s="5" t="s">
        <v>2173</v>
      </c>
      <c r="L172" s="5" t="s">
        <v>2177</v>
      </c>
      <c r="M172" s="6">
        <v>189900</v>
      </c>
      <c r="N172" s="7">
        <v>0.9</v>
      </c>
      <c r="O172" s="6">
        <f t="shared" si="4"/>
        <v>18990</v>
      </c>
      <c r="P172" s="5" t="s">
        <v>504</v>
      </c>
    </row>
    <row r="173" spans="1:16" x14ac:dyDescent="0.35">
      <c r="A173" s="5" t="str">
        <f t="shared" si="5"/>
        <v>2021 ALL D90</v>
      </c>
      <c r="B173" s="8">
        <f>'ALL 2024 H2 D80'!$B$2</f>
        <v>46114</v>
      </c>
      <c r="C173" s="8">
        <f>'ALL 2024 H2 D80'!$C$2</f>
        <v>46120</v>
      </c>
      <c r="D173" s="5">
        <v>3208</v>
      </c>
      <c r="E173" s="5">
        <v>320</v>
      </c>
      <c r="F173" s="5">
        <v>1</v>
      </c>
      <c r="G173" s="5">
        <v>2</v>
      </c>
      <c r="H173" s="5">
        <v>81736</v>
      </c>
      <c r="I173" s="5" t="s">
        <v>16</v>
      </c>
      <c r="J173" s="5">
        <v>33375134</v>
      </c>
      <c r="K173" s="5" t="s">
        <v>2178</v>
      </c>
      <c r="L173" s="5" t="s">
        <v>2179</v>
      </c>
      <c r="M173" s="6">
        <v>199900</v>
      </c>
      <c r="N173" s="7">
        <v>0.9</v>
      </c>
      <c r="O173" s="6">
        <f t="shared" si="4"/>
        <v>19990</v>
      </c>
      <c r="P173" s="5" t="s">
        <v>504</v>
      </c>
    </row>
    <row r="174" spans="1:16" x14ac:dyDescent="0.35">
      <c r="A174" s="5" t="str">
        <f t="shared" si="5"/>
        <v>2021 ALL D90</v>
      </c>
      <c r="B174" s="8">
        <f>'ALL 2024 H2 D80'!$B$2</f>
        <v>46114</v>
      </c>
      <c r="C174" s="8">
        <f>'ALL 2024 H2 D80'!$C$2</f>
        <v>46120</v>
      </c>
      <c r="D174" s="5">
        <v>3208</v>
      </c>
      <c r="E174" s="5">
        <v>320</v>
      </c>
      <c r="F174" s="5">
        <v>1</v>
      </c>
      <c r="G174" s="5">
        <v>2</v>
      </c>
      <c r="H174" s="5">
        <v>81736</v>
      </c>
      <c r="I174" s="5" t="s">
        <v>16</v>
      </c>
      <c r="J174" s="5">
        <v>33375143</v>
      </c>
      <c r="K174" s="5" t="s">
        <v>2178</v>
      </c>
      <c r="L174" s="5" t="s">
        <v>2180</v>
      </c>
      <c r="M174" s="6">
        <v>199900</v>
      </c>
      <c r="N174" s="7">
        <v>0.9</v>
      </c>
      <c r="O174" s="6">
        <f t="shared" si="4"/>
        <v>19990</v>
      </c>
      <c r="P174" s="5" t="s">
        <v>504</v>
      </c>
    </row>
    <row r="175" spans="1:16" x14ac:dyDescent="0.35">
      <c r="A175" s="5" t="str">
        <f t="shared" si="5"/>
        <v>2021 ALL D90</v>
      </c>
      <c r="B175" s="8">
        <f>'ALL 2024 H2 D80'!$B$2</f>
        <v>46114</v>
      </c>
      <c r="C175" s="8">
        <f>'ALL 2024 H2 D80'!$C$2</f>
        <v>46120</v>
      </c>
      <c r="D175" s="5">
        <v>3208</v>
      </c>
      <c r="E175" s="5">
        <v>320</v>
      </c>
      <c r="F175" s="5">
        <v>1</v>
      </c>
      <c r="G175" s="5">
        <v>2</v>
      </c>
      <c r="H175" s="5">
        <v>81736</v>
      </c>
      <c r="I175" s="5" t="s">
        <v>16</v>
      </c>
      <c r="J175" s="5">
        <v>33375152</v>
      </c>
      <c r="K175" s="5" t="s">
        <v>2178</v>
      </c>
      <c r="L175" s="5" t="s">
        <v>2181</v>
      </c>
      <c r="M175" s="6">
        <v>199900</v>
      </c>
      <c r="N175" s="7">
        <v>0.9</v>
      </c>
      <c r="O175" s="6">
        <f t="shared" si="4"/>
        <v>19990</v>
      </c>
      <c r="P175" s="5" t="s">
        <v>504</v>
      </c>
    </row>
    <row r="176" spans="1:16" x14ac:dyDescent="0.35">
      <c r="A176" s="5" t="str">
        <f t="shared" si="5"/>
        <v>2021 ALL D90</v>
      </c>
      <c r="B176" s="8">
        <f>'ALL 2024 H2 D80'!$B$2</f>
        <v>46114</v>
      </c>
      <c r="C176" s="8">
        <f>'ALL 2024 H2 D80'!$C$2</f>
        <v>46120</v>
      </c>
      <c r="D176" s="5">
        <v>3208</v>
      </c>
      <c r="E176" s="5">
        <v>320</v>
      </c>
      <c r="F176" s="5">
        <v>1</v>
      </c>
      <c r="G176" s="5">
        <v>2</v>
      </c>
      <c r="H176" s="5">
        <v>81736</v>
      </c>
      <c r="I176" s="5" t="s">
        <v>16</v>
      </c>
      <c r="J176" s="5">
        <v>33375161</v>
      </c>
      <c r="K176" s="5" t="s">
        <v>2178</v>
      </c>
      <c r="L176" s="5" t="s">
        <v>2182</v>
      </c>
      <c r="M176" s="6">
        <v>199900</v>
      </c>
      <c r="N176" s="7">
        <v>0.9</v>
      </c>
      <c r="O176" s="6">
        <f t="shared" si="4"/>
        <v>19990</v>
      </c>
      <c r="P176" s="5" t="s">
        <v>504</v>
      </c>
    </row>
    <row r="177" spans="1:16" x14ac:dyDescent="0.35">
      <c r="A177" s="5" t="str">
        <f t="shared" si="5"/>
        <v>2021 ALL D90</v>
      </c>
      <c r="B177" s="8">
        <f>'ALL 2024 H2 D80'!$B$2</f>
        <v>46114</v>
      </c>
      <c r="C177" s="8">
        <f>'ALL 2024 H2 D80'!$C$2</f>
        <v>46120</v>
      </c>
      <c r="D177" s="5">
        <v>3208</v>
      </c>
      <c r="E177" s="5">
        <v>320</v>
      </c>
      <c r="F177" s="5">
        <v>1</v>
      </c>
      <c r="G177" s="5">
        <v>2</v>
      </c>
      <c r="H177" s="5">
        <v>81736</v>
      </c>
      <c r="I177" s="5" t="s">
        <v>16</v>
      </c>
      <c r="J177" s="5">
        <v>33380762</v>
      </c>
      <c r="K177" s="5" t="s">
        <v>2183</v>
      </c>
      <c r="L177" s="5" t="s">
        <v>2184</v>
      </c>
      <c r="M177" s="6">
        <v>199900</v>
      </c>
      <c r="N177" s="7">
        <v>0.9</v>
      </c>
      <c r="O177" s="6">
        <f t="shared" si="4"/>
        <v>19990</v>
      </c>
      <c r="P177" s="5" t="s">
        <v>504</v>
      </c>
    </row>
    <row r="178" spans="1:16" x14ac:dyDescent="0.35">
      <c r="A178" s="5" t="str">
        <f t="shared" si="5"/>
        <v>2021 ALL D90</v>
      </c>
      <c r="B178" s="8">
        <f>'ALL 2024 H2 D80'!$B$2</f>
        <v>46114</v>
      </c>
      <c r="C178" s="8">
        <f>'ALL 2024 H2 D80'!$C$2</f>
        <v>46120</v>
      </c>
      <c r="D178" s="5">
        <v>3208</v>
      </c>
      <c r="E178" s="5">
        <v>320</v>
      </c>
      <c r="F178" s="5">
        <v>1</v>
      </c>
      <c r="G178" s="5">
        <v>2</v>
      </c>
      <c r="H178" s="5">
        <v>81736</v>
      </c>
      <c r="I178" s="5" t="s">
        <v>16</v>
      </c>
      <c r="J178" s="5">
        <v>33380771</v>
      </c>
      <c r="K178" s="5" t="s">
        <v>2183</v>
      </c>
      <c r="L178" s="5" t="s">
        <v>2185</v>
      </c>
      <c r="M178" s="6">
        <v>199900</v>
      </c>
      <c r="N178" s="7">
        <v>0.9</v>
      </c>
      <c r="O178" s="6">
        <f t="shared" si="4"/>
        <v>19990</v>
      </c>
      <c r="P178" s="5" t="s">
        <v>504</v>
      </c>
    </row>
    <row r="179" spans="1:16" x14ac:dyDescent="0.35">
      <c r="A179" s="5" t="str">
        <f t="shared" si="5"/>
        <v>2021 ALL D90</v>
      </c>
      <c r="B179" s="8">
        <f>'ALL 2024 H2 D80'!$B$2</f>
        <v>46114</v>
      </c>
      <c r="C179" s="8">
        <f>'ALL 2024 H2 D80'!$C$2</f>
        <v>46120</v>
      </c>
      <c r="D179" s="5">
        <v>3208</v>
      </c>
      <c r="E179" s="5">
        <v>320</v>
      </c>
      <c r="F179" s="5">
        <v>1</v>
      </c>
      <c r="G179" s="5">
        <v>2</v>
      </c>
      <c r="H179" s="5">
        <v>81736</v>
      </c>
      <c r="I179" s="5" t="s">
        <v>16</v>
      </c>
      <c r="J179" s="5">
        <v>33380780</v>
      </c>
      <c r="K179" s="5" t="s">
        <v>2183</v>
      </c>
      <c r="L179" s="5" t="s">
        <v>2186</v>
      </c>
      <c r="M179" s="6">
        <v>199900</v>
      </c>
      <c r="N179" s="7">
        <v>0.9</v>
      </c>
      <c r="O179" s="6">
        <f t="shared" si="4"/>
        <v>19990</v>
      </c>
      <c r="P179" s="5" t="s">
        <v>504</v>
      </c>
    </row>
    <row r="180" spans="1:16" x14ac:dyDescent="0.35">
      <c r="A180" s="5" t="str">
        <f t="shared" si="5"/>
        <v>2021 ALL D90</v>
      </c>
      <c r="B180" s="8">
        <f>'ALL 2024 H2 D80'!$B$2</f>
        <v>46114</v>
      </c>
      <c r="C180" s="8">
        <f>'ALL 2024 H2 D80'!$C$2</f>
        <v>46120</v>
      </c>
      <c r="D180" s="5">
        <v>3208</v>
      </c>
      <c r="E180" s="5">
        <v>320</v>
      </c>
      <c r="F180" s="5">
        <v>1</v>
      </c>
      <c r="G180" s="5">
        <v>2</v>
      </c>
      <c r="H180" s="5">
        <v>81736</v>
      </c>
      <c r="I180" s="5" t="s">
        <v>16</v>
      </c>
      <c r="J180" s="5">
        <v>33380799</v>
      </c>
      <c r="K180" s="5" t="s">
        <v>2183</v>
      </c>
      <c r="L180" s="5" t="s">
        <v>2187</v>
      </c>
      <c r="M180" s="6">
        <v>199900</v>
      </c>
      <c r="N180" s="7">
        <v>0.9</v>
      </c>
      <c r="O180" s="6">
        <f t="shared" si="4"/>
        <v>19990</v>
      </c>
      <c r="P180" s="5" t="s">
        <v>504</v>
      </c>
    </row>
    <row r="181" spans="1:16" x14ac:dyDescent="0.35">
      <c r="A181" s="5" t="str">
        <f t="shared" si="5"/>
        <v>2021 ALL D90</v>
      </c>
      <c r="B181" s="8">
        <f>'ALL 2024 H2 D80'!$B$2</f>
        <v>46114</v>
      </c>
      <c r="C181" s="8">
        <f>'ALL 2024 H2 D80'!$C$2</f>
        <v>46120</v>
      </c>
      <c r="D181" s="5">
        <v>3208</v>
      </c>
      <c r="E181" s="5">
        <v>320</v>
      </c>
      <c r="F181" s="5">
        <v>1</v>
      </c>
      <c r="G181" s="5">
        <v>2</v>
      </c>
      <c r="H181" s="5">
        <v>81736</v>
      </c>
      <c r="I181" s="5" t="s">
        <v>16</v>
      </c>
      <c r="J181" s="5">
        <v>33474027</v>
      </c>
      <c r="K181" s="5" t="s">
        <v>2188</v>
      </c>
      <c r="L181" s="5" t="s">
        <v>2189</v>
      </c>
      <c r="M181" s="6">
        <v>219900</v>
      </c>
      <c r="N181" s="7">
        <v>0.9</v>
      </c>
      <c r="O181" s="6">
        <f t="shared" si="4"/>
        <v>21990</v>
      </c>
      <c r="P181" s="5" t="s">
        <v>504</v>
      </c>
    </row>
    <row r="182" spans="1:16" x14ac:dyDescent="0.35">
      <c r="A182" s="5" t="str">
        <f t="shared" si="5"/>
        <v>2021 ALL D90</v>
      </c>
      <c r="B182" s="8">
        <f>'ALL 2024 H2 D80'!$B$2</f>
        <v>46114</v>
      </c>
      <c r="C182" s="8">
        <f>'ALL 2024 H2 D80'!$C$2</f>
        <v>46120</v>
      </c>
      <c r="D182" s="5">
        <v>3208</v>
      </c>
      <c r="E182" s="5">
        <v>320</v>
      </c>
      <c r="F182" s="5">
        <v>1</v>
      </c>
      <c r="G182" s="5">
        <v>2</v>
      </c>
      <c r="H182" s="5">
        <v>81736</v>
      </c>
      <c r="I182" s="5" t="s">
        <v>16</v>
      </c>
      <c r="J182" s="5">
        <v>33474036</v>
      </c>
      <c r="K182" s="5" t="s">
        <v>2188</v>
      </c>
      <c r="L182" s="5" t="s">
        <v>2190</v>
      </c>
      <c r="M182" s="6">
        <v>219900</v>
      </c>
      <c r="N182" s="7">
        <v>0.9</v>
      </c>
      <c r="O182" s="6">
        <f t="shared" si="4"/>
        <v>21990</v>
      </c>
      <c r="P182" s="5" t="s">
        <v>504</v>
      </c>
    </row>
    <row r="183" spans="1:16" x14ac:dyDescent="0.35">
      <c r="A183" s="5" t="str">
        <f t="shared" si="5"/>
        <v>2021 ALL D90</v>
      </c>
      <c r="B183" s="8">
        <f>'ALL 2024 H2 D80'!$B$2</f>
        <v>46114</v>
      </c>
      <c r="C183" s="8">
        <f>'ALL 2024 H2 D80'!$C$2</f>
        <v>46120</v>
      </c>
      <c r="D183" s="5">
        <v>3208</v>
      </c>
      <c r="E183" s="5">
        <v>320</v>
      </c>
      <c r="F183" s="5">
        <v>1</v>
      </c>
      <c r="G183" s="5">
        <v>2</v>
      </c>
      <c r="H183" s="5">
        <v>81736</v>
      </c>
      <c r="I183" s="5" t="s">
        <v>16</v>
      </c>
      <c r="J183" s="5">
        <v>33474045</v>
      </c>
      <c r="K183" s="5" t="s">
        <v>2188</v>
      </c>
      <c r="L183" s="5" t="s">
        <v>2191</v>
      </c>
      <c r="M183" s="6">
        <v>219900</v>
      </c>
      <c r="N183" s="7">
        <v>0.9</v>
      </c>
      <c r="O183" s="6">
        <f t="shared" si="4"/>
        <v>21990</v>
      </c>
      <c r="P183" s="5" t="s">
        <v>504</v>
      </c>
    </row>
    <row r="184" spans="1:16" x14ac:dyDescent="0.35">
      <c r="A184" s="5" t="str">
        <f t="shared" si="5"/>
        <v>2021 ALL D90</v>
      </c>
      <c r="B184" s="8">
        <f>'ALL 2024 H2 D80'!$B$2</f>
        <v>46114</v>
      </c>
      <c r="C184" s="8">
        <f>'ALL 2024 H2 D80'!$C$2</f>
        <v>46120</v>
      </c>
      <c r="D184" s="5">
        <v>3208</v>
      </c>
      <c r="E184" s="5">
        <v>320</v>
      </c>
      <c r="F184" s="5">
        <v>1</v>
      </c>
      <c r="G184" s="5">
        <v>2</v>
      </c>
      <c r="H184" s="5">
        <v>81736</v>
      </c>
      <c r="I184" s="5" t="s">
        <v>16</v>
      </c>
      <c r="J184" s="5">
        <v>33474054</v>
      </c>
      <c r="K184" s="5" t="s">
        <v>2188</v>
      </c>
      <c r="L184" s="5" t="s">
        <v>2192</v>
      </c>
      <c r="M184" s="6">
        <v>219900</v>
      </c>
      <c r="N184" s="7">
        <v>0.9</v>
      </c>
      <c r="O184" s="6">
        <f t="shared" si="4"/>
        <v>21990</v>
      </c>
      <c r="P184" s="5" t="s">
        <v>504</v>
      </c>
    </row>
    <row r="185" spans="1:16" x14ac:dyDescent="0.35">
      <c r="A185" s="5" t="str">
        <f t="shared" si="5"/>
        <v>2021 ALL D90</v>
      </c>
      <c r="B185" s="8">
        <f>'ALL 2024 H2 D80'!$B$2</f>
        <v>46114</v>
      </c>
      <c r="C185" s="8">
        <f>'ALL 2024 H2 D80'!$C$2</f>
        <v>46120</v>
      </c>
      <c r="D185" s="5">
        <v>3208</v>
      </c>
      <c r="E185" s="5">
        <v>320</v>
      </c>
      <c r="F185" s="5">
        <v>1</v>
      </c>
      <c r="G185" s="5">
        <v>2</v>
      </c>
      <c r="H185" s="5">
        <v>81602</v>
      </c>
      <c r="I185" s="5" t="s">
        <v>16</v>
      </c>
      <c r="J185" s="5">
        <v>32370944</v>
      </c>
      <c r="K185" s="5" t="s">
        <v>2193</v>
      </c>
      <c r="L185" s="5" t="s">
        <v>2194</v>
      </c>
      <c r="M185" s="6">
        <v>69900</v>
      </c>
      <c r="N185" s="7">
        <v>0.9</v>
      </c>
      <c r="O185" s="6">
        <f t="shared" si="4"/>
        <v>6990</v>
      </c>
      <c r="P185" s="5" t="s">
        <v>504</v>
      </c>
    </row>
    <row r="186" spans="1:16" x14ac:dyDescent="0.35">
      <c r="A186" s="5" t="str">
        <f t="shared" si="5"/>
        <v>2021 ALL D90</v>
      </c>
      <c r="B186" s="8">
        <f>'ALL 2024 H2 D80'!$B$2</f>
        <v>46114</v>
      </c>
      <c r="C186" s="8">
        <f>'ALL 2024 H2 D80'!$C$2</f>
        <v>46120</v>
      </c>
      <c r="D186" s="5">
        <v>3208</v>
      </c>
      <c r="E186" s="5">
        <v>320</v>
      </c>
      <c r="F186" s="5">
        <v>1</v>
      </c>
      <c r="G186" s="5">
        <v>2</v>
      </c>
      <c r="H186" s="5">
        <v>81602</v>
      </c>
      <c r="I186" s="5" t="s">
        <v>16</v>
      </c>
      <c r="J186" s="5">
        <v>32370962</v>
      </c>
      <c r="K186" s="5" t="s">
        <v>2193</v>
      </c>
      <c r="L186" s="5" t="s">
        <v>2195</v>
      </c>
      <c r="M186" s="6">
        <v>69900</v>
      </c>
      <c r="N186" s="7">
        <v>0.9</v>
      </c>
      <c r="O186" s="6">
        <f t="shared" si="4"/>
        <v>6990</v>
      </c>
      <c r="P186" s="5" t="s">
        <v>504</v>
      </c>
    </row>
    <row r="187" spans="1:16" x14ac:dyDescent="0.35">
      <c r="A187" s="5" t="str">
        <f t="shared" si="5"/>
        <v>2021 ALL D90</v>
      </c>
      <c r="B187" s="8">
        <f>'ALL 2024 H2 D80'!$B$2</f>
        <v>46114</v>
      </c>
      <c r="C187" s="8">
        <f>'ALL 2024 H2 D80'!$C$2</f>
        <v>46120</v>
      </c>
      <c r="D187" s="5">
        <v>3208</v>
      </c>
      <c r="E187" s="5">
        <v>320</v>
      </c>
      <c r="F187" s="5">
        <v>1</v>
      </c>
      <c r="G187" s="5">
        <v>2</v>
      </c>
      <c r="H187" s="5">
        <v>81602</v>
      </c>
      <c r="I187" s="5" t="s">
        <v>16</v>
      </c>
      <c r="J187" s="5">
        <v>32370971</v>
      </c>
      <c r="K187" s="5" t="s">
        <v>2196</v>
      </c>
      <c r="L187" s="5" t="s">
        <v>2197</v>
      </c>
      <c r="M187" s="6">
        <v>69900</v>
      </c>
      <c r="N187" s="7">
        <v>0.9</v>
      </c>
      <c r="O187" s="6">
        <f t="shared" si="4"/>
        <v>6990</v>
      </c>
      <c r="P187" s="5" t="s">
        <v>504</v>
      </c>
    </row>
    <row r="188" spans="1:16" x14ac:dyDescent="0.35">
      <c r="A188" s="5" t="str">
        <f t="shared" si="5"/>
        <v>2021 ALL D90</v>
      </c>
      <c r="B188" s="8">
        <f>'ALL 2024 H2 D80'!$B$2</f>
        <v>46114</v>
      </c>
      <c r="C188" s="8">
        <f>'ALL 2024 H2 D80'!$C$2</f>
        <v>46120</v>
      </c>
      <c r="D188" s="5">
        <v>3208</v>
      </c>
      <c r="E188" s="5">
        <v>320</v>
      </c>
      <c r="F188" s="5">
        <v>1</v>
      </c>
      <c r="G188" s="5">
        <v>2</v>
      </c>
      <c r="H188" s="5">
        <v>81602</v>
      </c>
      <c r="I188" s="5" t="s">
        <v>16</v>
      </c>
      <c r="J188" s="5">
        <v>32370980</v>
      </c>
      <c r="K188" s="5" t="s">
        <v>2196</v>
      </c>
      <c r="L188" s="5" t="s">
        <v>2198</v>
      </c>
      <c r="M188" s="6">
        <v>69900</v>
      </c>
      <c r="N188" s="7">
        <v>0.9</v>
      </c>
      <c r="O188" s="6">
        <f t="shared" si="4"/>
        <v>6990</v>
      </c>
      <c r="P188" s="5" t="s">
        <v>504</v>
      </c>
    </row>
    <row r="189" spans="1:16" x14ac:dyDescent="0.35">
      <c r="A189" s="5" t="str">
        <f t="shared" si="5"/>
        <v>2021 ALL D90</v>
      </c>
      <c r="B189" s="8">
        <f>'ALL 2024 H2 D80'!$B$2</f>
        <v>46114</v>
      </c>
      <c r="C189" s="8">
        <f>'ALL 2024 H2 D80'!$C$2</f>
        <v>46120</v>
      </c>
      <c r="D189" s="5">
        <v>3208</v>
      </c>
      <c r="E189" s="5">
        <v>320</v>
      </c>
      <c r="F189" s="5">
        <v>1</v>
      </c>
      <c r="G189" s="5">
        <v>2</v>
      </c>
      <c r="H189" s="5">
        <v>81602</v>
      </c>
      <c r="I189" s="5" t="s">
        <v>16</v>
      </c>
      <c r="J189" s="5">
        <v>32371005</v>
      </c>
      <c r="K189" s="5" t="s">
        <v>2196</v>
      </c>
      <c r="L189" s="5" t="s">
        <v>2199</v>
      </c>
      <c r="M189" s="6">
        <v>69900</v>
      </c>
      <c r="N189" s="7">
        <v>0.9</v>
      </c>
      <c r="O189" s="6">
        <f t="shared" si="4"/>
        <v>6990</v>
      </c>
      <c r="P189" s="5" t="s">
        <v>504</v>
      </c>
    </row>
    <row r="190" spans="1:16" x14ac:dyDescent="0.35">
      <c r="A190" s="5" t="str">
        <f t="shared" si="5"/>
        <v>2021 ALL D90</v>
      </c>
      <c r="B190" s="8">
        <f>'ALL 2024 H2 D80'!$B$2</f>
        <v>46114</v>
      </c>
      <c r="C190" s="8">
        <f>'ALL 2024 H2 D80'!$C$2</f>
        <v>46120</v>
      </c>
      <c r="D190" s="5">
        <v>3208</v>
      </c>
      <c r="E190" s="5">
        <v>320</v>
      </c>
      <c r="F190" s="5">
        <v>1</v>
      </c>
      <c r="G190" s="5">
        <v>2</v>
      </c>
      <c r="H190" s="5">
        <v>81602</v>
      </c>
      <c r="I190" s="5" t="s">
        <v>16</v>
      </c>
      <c r="J190" s="5">
        <v>32628247</v>
      </c>
      <c r="K190" s="5" t="s">
        <v>2200</v>
      </c>
      <c r="L190" s="5" t="s">
        <v>2201</v>
      </c>
      <c r="M190" s="6">
        <v>69900</v>
      </c>
      <c r="N190" s="7">
        <v>0.9</v>
      </c>
      <c r="O190" s="6">
        <f t="shared" si="4"/>
        <v>6990</v>
      </c>
      <c r="P190" s="5" t="s">
        <v>504</v>
      </c>
    </row>
    <row r="191" spans="1:16" x14ac:dyDescent="0.35">
      <c r="A191" s="5" t="str">
        <f t="shared" si="5"/>
        <v>2021 ALL D90</v>
      </c>
      <c r="B191" s="8">
        <f>'ALL 2024 H2 D80'!$B$2</f>
        <v>46114</v>
      </c>
      <c r="C191" s="8">
        <f>'ALL 2024 H2 D80'!$C$2</f>
        <v>46120</v>
      </c>
      <c r="D191" s="5">
        <v>3208</v>
      </c>
      <c r="E191" s="5">
        <v>320</v>
      </c>
      <c r="F191" s="5">
        <v>1</v>
      </c>
      <c r="G191" s="5">
        <v>2</v>
      </c>
      <c r="H191" s="5">
        <v>81602</v>
      </c>
      <c r="I191" s="5" t="s">
        <v>16</v>
      </c>
      <c r="J191" s="5">
        <v>32628256</v>
      </c>
      <c r="K191" s="5" t="s">
        <v>2200</v>
      </c>
      <c r="L191" s="5" t="s">
        <v>2202</v>
      </c>
      <c r="M191" s="6">
        <v>69900</v>
      </c>
      <c r="N191" s="7">
        <v>0.9</v>
      </c>
      <c r="O191" s="6">
        <f t="shared" si="4"/>
        <v>6990</v>
      </c>
      <c r="P191" s="5" t="s">
        <v>504</v>
      </c>
    </row>
    <row r="192" spans="1:16" x14ac:dyDescent="0.35">
      <c r="A192" s="5" t="str">
        <f t="shared" si="5"/>
        <v>2021 ALL D90</v>
      </c>
      <c r="B192" s="8">
        <f>'ALL 2024 H2 D80'!$B$2</f>
        <v>46114</v>
      </c>
      <c r="C192" s="8">
        <f>'ALL 2024 H2 D80'!$C$2</f>
        <v>46120</v>
      </c>
      <c r="D192" s="5">
        <v>3208</v>
      </c>
      <c r="E192" s="5">
        <v>320</v>
      </c>
      <c r="F192" s="5">
        <v>1</v>
      </c>
      <c r="G192" s="5">
        <v>2</v>
      </c>
      <c r="H192" s="5">
        <v>81602</v>
      </c>
      <c r="I192" s="5" t="s">
        <v>16</v>
      </c>
      <c r="J192" s="5">
        <v>32628274</v>
      </c>
      <c r="K192" s="5" t="s">
        <v>2200</v>
      </c>
      <c r="L192" s="5" t="s">
        <v>2203</v>
      </c>
      <c r="M192" s="6">
        <v>69900</v>
      </c>
      <c r="N192" s="7">
        <v>0.9</v>
      </c>
      <c r="O192" s="6">
        <f t="shared" si="4"/>
        <v>6990</v>
      </c>
      <c r="P192" s="5" t="s">
        <v>504</v>
      </c>
    </row>
    <row r="193" spans="1:16" x14ac:dyDescent="0.35">
      <c r="A193" s="5" t="str">
        <f t="shared" si="5"/>
        <v>2021 ALL D90</v>
      </c>
      <c r="B193" s="8">
        <f>'ALL 2024 H2 D80'!$B$2</f>
        <v>46114</v>
      </c>
      <c r="C193" s="8">
        <f>'ALL 2024 H2 D80'!$C$2</f>
        <v>46120</v>
      </c>
      <c r="D193" s="5">
        <v>3208</v>
      </c>
      <c r="E193" s="5">
        <v>320</v>
      </c>
      <c r="F193" s="5">
        <v>1</v>
      </c>
      <c r="G193" s="5">
        <v>2</v>
      </c>
      <c r="H193" s="5">
        <v>81602</v>
      </c>
      <c r="I193" s="5" t="s">
        <v>16</v>
      </c>
      <c r="J193" s="5">
        <v>32628292</v>
      </c>
      <c r="K193" s="5" t="s">
        <v>2200</v>
      </c>
      <c r="L193" s="5" t="s">
        <v>2204</v>
      </c>
      <c r="M193" s="6">
        <v>69900</v>
      </c>
      <c r="N193" s="7">
        <v>0.9</v>
      </c>
      <c r="O193" s="6">
        <f t="shared" si="4"/>
        <v>6990</v>
      </c>
      <c r="P193" s="5" t="s">
        <v>504</v>
      </c>
    </row>
    <row r="194" spans="1:16" x14ac:dyDescent="0.35">
      <c r="A194" s="5" t="str">
        <f t="shared" si="5"/>
        <v>2021 ALL D90</v>
      </c>
      <c r="B194" s="8">
        <f>'ALL 2024 H2 D80'!$B$2</f>
        <v>46114</v>
      </c>
      <c r="C194" s="8">
        <f>'ALL 2024 H2 D80'!$C$2</f>
        <v>46120</v>
      </c>
      <c r="D194" s="5">
        <v>3208</v>
      </c>
      <c r="E194" s="5">
        <v>320</v>
      </c>
      <c r="F194" s="5">
        <v>1</v>
      </c>
      <c r="G194" s="5">
        <v>2</v>
      </c>
      <c r="H194" s="5">
        <v>81602</v>
      </c>
      <c r="I194" s="5" t="s">
        <v>16</v>
      </c>
      <c r="J194" s="5">
        <v>32628363</v>
      </c>
      <c r="K194" s="5" t="s">
        <v>2205</v>
      </c>
      <c r="L194" s="5" t="s">
        <v>3621</v>
      </c>
      <c r="M194" s="6">
        <v>69900</v>
      </c>
      <c r="N194" s="7">
        <v>0.9</v>
      </c>
      <c r="O194" s="6">
        <f t="shared" si="4"/>
        <v>6990</v>
      </c>
      <c r="P194" s="5" t="s">
        <v>504</v>
      </c>
    </row>
    <row r="195" spans="1:16" x14ac:dyDescent="0.35">
      <c r="A195" s="5" t="str">
        <f t="shared" si="5"/>
        <v>2021 ALL D90</v>
      </c>
      <c r="B195" s="8">
        <f>'ALL 2024 H2 D80'!$B$2</f>
        <v>46114</v>
      </c>
      <c r="C195" s="8">
        <f>'ALL 2024 H2 D80'!$C$2</f>
        <v>46120</v>
      </c>
      <c r="D195" s="5">
        <v>3208</v>
      </c>
      <c r="E195" s="5">
        <v>320</v>
      </c>
      <c r="F195" s="5">
        <v>1</v>
      </c>
      <c r="G195" s="5">
        <v>2</v>
      </c>
      <c r="H195" s="5">
        <v>81602</v>
      </c>
      <c r="I195" s="5" t="s">
        <v>16</v>
      </c>
      <c r="J195" s="5">
        <v>32628372</v>
      </c>
      <c r="K195" s="5" t="s">
        <v>2205</v>
      </c>
      <c r="L195" s="5" t="s">
        <v>3622</v>
      </c>
      <c r="M195" s="6">
        <v>69900</v>
      </c>
      <c r="N195" s="7">
        <v>0.9</v>
      </c>
      <c r="O195" s="6">
        <f t="shared" ref="O195:O258" si="6">M195-(M195*N195)</f>
        <v>6990</v>
      </c>
      <c r="P195" s="5" t="s">
        <v>504</v>
      </c>
    </row>
    <row r="196" spans="1:16" x14ac:dyDescent="0.35">
      <c r="A196" s="5" t="str">
        <f t="shared" ref="A196:A259" si="7">$A$2</f>
        <v>2021 ALL D90</v>
      </c>
      <c r="B196" s="8">
        <f>'ALL 2024 H2 D80'!$B$2</f>
        <v>46114</v>
      </c>
      <c r="C196" s="8">
        <f>'ALL 2024 H2 D80'!$C$2</f>
        <v>46120</v>
      </c>
      <c r="D196" s="5">
        <v>3208</v>
      </c>
      <c r="E196" s="5">
        <v>320</v>
      </c>
      <c r="F196" s="5">
        <v>1</v>
      </c>
      <c r="G196" s="5">
        <v>2</v>
      </c>
      <c r="H196" s="5">
        <v>81602</v>
      </c>
      <c r="I196" s="5" t="s">
        <v>16</v>
      </c>
      <c r="J196" s="5">
        <v>32628390</v>
      </c>
      <c r="K196" s="5" t="s">
        <v>2205</v>
      </c>
      <c r="L196" s="5" t="s">
        <v>2206</v>
      </c>
      <c r="M196" s="6">
        <v>69900</v>
      </c>
      <c r="N196" s="7">
        <v>0.9</v>
      </c>
      <c r="O196" s="6">
        <f t="shared" si="6"/>
        <v>6990</v>
      </c>
      <c r="P196" s="5" t="s">
        <v>504</v>
      </c>
    </row>
    <row r="197" spans="1:16" x14ac:dyDescent="0.35">
      <c r="A197" s="5" t="str">
        <f t="shared" si="7"/>
        <v>2021 ALL D90</v>
      </c>
      <c r="B197" s="8">
        <f>'ALL 2024 H2 D80'!$B$2</f>
        <v>46114</v>
      </c>
      <c r="C197" s="8">
        <f>'ALL 2024 H2 D80'!$C$2</f>
        <v>46120</v>
      </c>
      <c r="D197" s="5">
        <v>3208</v>
      </c>
      <c r="E197" s="5">
        <v>320</v>
      </c>
      <c r="F197" s="5">
        <v>1</v>
      </c>
      <c r="G197" s="5">
        <v>2</v>
      </c>
      <c r="H197" s="5">
        <v>81602</v>
      </c>
      <c r="I197" s="5" t="s">
        <v>16</v>
      </c>
      <c r="J197" s="5">
        <v>32628407</v>
      </c>
      <c r="K197" s="5" t="s">
        <v>2205</v>
      </c>
      <c r="L197" s="5" t="s">
        <v>2207</v>
      </c>
      <c r="M197" s="6">
        <v>69900</v>
      </c>
      <c r="N197" s="7">
        <v>0.9</v>
      </c>
      <c r="O197" s="6">
        <f t="shared" si="6"/>
        <v>6990</v>
      </c>
      <c r="P197" s="5" t="s">
        <v>504</v>
      </c>
    </row>
    <row r="198" spans="1:16" x14ac:dyDescent="0.35">
      <c r="A198" s="5" t="str">
        <f t="shared" si="7"/>
        <v>2021 ALL D90</v>
      </c>
      <c r="B198" s="8">
        <f>'ALL 2024 H2 D80'!$B$2</f>
        <v>46114</v>
      </c>
      <c r="C198" s="8">
        <f>'ALL 2024 H2 D80'!$C$2</f>
        <v>46120</v>
      </c>
      <c r="D198" s="5">
        <v>3208</v>
      </c>
      <c r="E198" s="5">
        <v>320</v>
      </c>
      <c r="F198" s="5">
        <v>1</v>
      </c>
      <c r="G198" s="5">
        <v>2</v>
      </c>
      <c r="H198" s="5">
        <v>81602</v>
      </c>
      <c r="I198" s="5" t="s">
        <v>16</v>
      </c>
      <c r="J198" s="5">
        <v>32628416</v>
      </c>
      <c r="K198" s="5" t="s">
        <v>2205</v>
      </c>
      <c r="L198" s="5" t="s">
        <v>2208</v>
      </c>
      <c r="M198" s="6">
        <v>69900</v>
      </c>
      <c r="N198" s="7">
        <v>0.9</v>
      </c>
      <c r="O198" s="6">
        <f t="shared" si="6"/>
        <v>6990</v>
      </c>
      <c r="P198" s="5" t="s">
        <v>504</v>
      </c>
    </row>
    <row r="199" spans="1:16" x14ac:dyDescent="0.35">
      <c r="A199" s="5" t="str">
        <f t="shared" si="7"/>
        <v>2021 ALL D90</v>
      </c>
      <c r="B199" s="8">
        <f>'ALL 2024 H2 D80'!$B$2</f>
        <v>46114</v>
      </c>
      <c r="C199" s="8">
        <f>'ALL 2024 H2 D80'!$C$2</f>
        <v>46120</v>
      </c>
      <c r="D199" s="5">
        <v>3208</v>
      </c>
      <c r="E199" s="5">
        <v>320</v>
      </c>
      <c r="F199" s="5">
        <v>1</v>
      </c>
      <c r="G199" s="5">
        <v>2</v>
      </c>
      <c r="H199" s="5">
        <v>81602</v>
      </c>
      <c r="I199" s="5" t="s">
        <v>16</v>
      </c>
      <c r="J199" s="5">
        <v>32628532</v>
      </c>
      <c r="K199" s="5" t="s">
        <v>2209</v>
      </c>
      <c r="L199" s="5" t="s">
        <v>2210</v>
      </c>
      <c r="M199" s="6">
        <v>69900</v>
      </c>
      <c r="N199" s="7">
        <v>0.9</v>
      </c>
      <c r="O199" s="6">
        <f t="shared" si="6"/>
        <v>6990</v>
      </c>
      <c r="P199" s="5" t="s">
        <v>504</v>
      </c>
    </row>
    <row r="200" spans="1:16" x14ac:dyDescent="0.35">
      <c r="A200" s="5" t="str">
        <f t="shared" si="7"/>
        <v>2021 ALL D90</v>
      </c>
      <c r="B200" s="8">
        <f>'ALL 2024 H2 D80'!$B$2</f>
        <v>46114</v>
      </c>
      <c r="C200" s="8">
        <f>'ALL 2024 H2 D80'!$C$2</f>
        <v>46120</v>
      </c>
      <c r="D200" s="5">
        <v>3208</v>
      </c>
      <c r="E200" s="5">
        <v>320</v>
      </c>
      <c r="F200" s="5">
        <v>1</v>
      </c>
      <c r="G200" s="5">
        <v>2</v>
      </c>
      <c r="H200" s="5">
        <v>81602</v>
      </c>
      <c r="I200" s="5" t="s">
        <v>16</v>
      </c>
      <c r="J200" s="5">
        <v>32628541</v>
      </c>
      <c r="K200" s="5" t="s">
        <v>2209</v>
      </c>
      <c r="L200" s="5" t="s">
        <v>2211</v>
      </c>
      <c r="M200" s="6">
        <v>69900</v>
      </c>
      <c r="N200" s="7">
        <v>0.9</v>
      </c>
      <c r="O200" s="6">
        <f t="shared" si="6"/>
        <v>6990</v>
      </c>
      <c r="P200" s="5" t="s">
        <v>504</v>
      </c>
    </row>
    <row r="201" spans="1:16" x14ac:dyDescent="0.35">
      <c r="A201" s="5" t="str">
        <f t="shared" si="7"/>
        <v>2021 ALL D90</v>
      </c>
      <c r="B201" s="8">
        <f>'ALL 2024 H2 D80'!$B$2</f>
        <v>46114</v>
      </c>
      <c r="C201" s="8">
        <f>'ALL 2024 H2 D80'!$C$2</f>
        <v>46120</v>
      </c>
      <c r="D201" s="5">
        <v>3208</v>
      </c>
      <c r="E201" s="5">
        <v>320</v>
      </c>
      <c r="F201" s="5">
        <v>1</v>
      </c>
      <c r="G201" s="5">
        <v>2</v>
      </c>
      <c r="H201" s="5">
        <v>81602</v>
      </c>
      <c r="I201" s="5" t="s">
        <v>16</v>
      </c>
      <c r="J201" s="5">
        <v>32628550</v>
      </c>
      <c r="K201" s="5" t="s">
        <v>2209</v>
      </c>
      <c r="L201" s="5" t="s">
        <v>2212</v>
      </c>
      <c r="M201" s="6">
        <v>69900</v>
      </c>
      <c r="N201" s="7">
        <v>0.9</v>
      </c>
      <c r="O201" s="6">
        <f t="shared" si="6"/>
        <v>6990</v>
      </c>
      <c r="P201" s="5" t="s">
        <v>504</v>
      </c>
    </row>
    <row r="202" spans="1:16" x14ac:dyDescent="0.35">
      <c r="A202" s="5" t="str">
        <f t="shared" si="7"/>
        <v>2021 ALL D90</v>
      </c>
      <c r="B202" s="8">
        <f>'ALL 2024 H2 D80'!$B$2</f>
        <v>46114</v>
      </c>
      <c r="C202" s="8">
        <f>'ALL 2024 H2 D80'!$C$2</f>
        <v>46120</v>
      </c>
      <c r="D202" s="5">
        <v>3208</v>
      </c>
      <c r="E202" s="5">
        <v>320</v>
      </c>
      <c r="F202" s="5">
        <v>1</v>
      </c>
      <c r="G202" s="5">
        <v>2</v>
      </c>
      <c r="H202" s="5">
        <v>81602</v>
      </c>
      <c r="I202" s="5" t="s">
        <v>16</v>
      </c>
      <c r="J202" s="5">
        <v>32628578</v>
      </c>
      <c r="K202" s="5" t="s">
        <v>2213</v>
      </c>
      <c r="L202" s="5" t="s">
        <v>3623</v>
      </c>
      <c r="M202" s="6">
        <v>69900</v>
      </c>
      <c r="N202" s="7">
        <v>0.9</v>
      </c>
      <c r="O202" s="6">
        <f t="shared" si="6"/>
        <v>6990</v>
      </c>
      <c r="P202" s="5" t="s">
        <v>504</v>
      </c>
    </row>
    <row r="203" spans="1:16" x14ac:dyDescent="0.35">
      <c r="A203" s="5" t="str">
        <f t="shared" si="7"/>
        <v>2021 ALL D90</v>
      </c>
      <c r="B203" s="8">
        <f>'ALL 2024 H2 D80'!$B$2</f>
        <v>46114</v>
      </c>
      <c r="C203" s="8">
        <f>'ALL 2024 H2 D80'!$C$2</f>
        <v>46120</v>
      </c>
      <c r="D203" s="5">
        <v>3208</v>
      </c>
      <c r="E203" s="5">
        <v>320</v>
      </c>
      <c r="F203" s="5">
        <v>1</v>
      </c>
      <c r="G203" s="5">
        <v>2</v>
      </c>
      <c r="H203" s="5">
        <v>81602</v>
      </c>
      <c r="I203" s="5" t="s">
        <v>16</v>
      </c>
      <c r="J203" s="5">
        <v>32628587</v>
      </c>
      <c r="K203" s="5" t="s">
        <v>2213</v>
      </c>
      <c r="L203" s="5" t="s">
        <v>2214</v>
      </c>
      <c r="M203" s="6">
        <v>69900</v>
      </c>
      <c r="N203" s="7">
        <v>0.9</v>
      </c>
      <c r="O203" s="6">
        <f t="shared" si="6"/>
        <v>6990</v>
      </c>
      <c r="P203" s="5" t="s">
        <v>504</v>
      </c>
    </row>
    <row r="204" spans="1:16" x14ac:dyDescent="0.35">
      <c r="A204" s="5" t="str">
        <f t="shared" si="7"/>
        <v>2021 ALL D90</v>
      </c>
      <c r="B204" s="8">
        <f>'ALL 2024 H2 D80'!$B$2</f>
        <v>46114</v>
      </c>
      <c r="C204" s="8">
        <f>'ALL 2024 H2 D80'!$C$2</f>
        <v>46120</v>
      </c>
      <c r="D204" s="5">
        <v>3208</v>
      </c>
      <c r="E204" s="5">
        <v>320</v>
      </c>
      <c r="F204" s="5">
        <v>1</v>
      </c>
      <c r="G204" s="5">
        <v>2</v>
      </c>
      <c r="H204" s="5">
        <v>81602</v>
      </c>
      <c r="I204" s="5" t="s">
        <v>16</v>
      </c>
      <c r="J204" s="5">
        <v>32628596</v>
      </c>
      <c r="K204" s="5" t="s">
        <v>2213</v>
      </c>
      <c r="L204" s="5" t="s">
        <v>2215</v>
      </c>
      <c r="M204" s="6">
        <v>69900</v>
      </c>
      <c r="N204" s="7">
        <v>0.9</v>
      </c>
      <c r="O204" s="6">
        <f t="shared" si="6"/>
        <v>6990</v>
      </c>
      <c r="P204" s="5" t="s">
        <v>504</v>
      </c>
    </row>
    <row r="205" spans="1:16" x14ac:dyDescent="0.35">
      <c r="A205" s="5" t="str">
        <f t="shared" si="7"/>
        <v>2021 ALL D90</v>
      </c>
      <c r="B205" s="8">
        <f>'ALL 2024 H2 D80'!$B$2</f>
        <v>46114</v>
      </c>
      <c r="C205" s="8">
        <f>'ALL 2024 H2 D80'!$C$2</f>
        <v>46120</v>
      </c>
      <c r="D205" s="5">
        <v>3208</v>
      </c>
      <c r="E205" s="5">
        <v>320</v>
      </c>
      <c r="F205" s="5">
        <v>1</v>
      </c>
      <c r="G205" s="5">
        <v>2</v>
      </c>
      <c r="H205" s="5">
        <v>81602</v>
      </c>
      <c r="I205" s="5" t="s">
        <v>16</v>
      </c>
      <c r="J205" s="5">
        <v>32628603</v>
      </c>
      <c r="K205" s="5" t="s">
        <v>2213</v>
      </c>
      <c r="L205" s="5" t="s">
        <v>3624</v>
      </c>
      <c r="M205" s="6">
        <v>69900</v>
      </c>
      <c r="N205" s="7">
        <v>0.9</v>
      </c>
      <c r="O205" s="6">
        <f t="shared" si="6"/>
        <v>6990</v>
      </c>
      <c r="P205" s="5" t="s">
        <v>504</v>
      </c>
    </row>
    <row r="206" spans="1:16" x14ac:dyDescent="0.35">
      <c r="A206" s="5" t="str">
        <f t="shared" si="7"/>
        <v>2021 ALL D90</v>
      </c>
      <c r="B206" s="8">
        <f>'ALL 2024 H2 D80'!$B$2</f>
        <v>46114</v>
      </c>
      <c r="C206" s="8">
        <f>'ALL 2024 H2 D80'!$C$2</f>
        <v>46120</v>
      </c>
      <c r="D206" s="5">
        <v>3208</v>
      </c>
      <c r="E206" s="5">
        <v>320</v>
      </c>
      <c r="F206" s="5">
        <v>1</v>
      </c>
      <c r="G206" s="5">
        <v>2</v>
      </c>
      <c r="H206" s="5">
        <v>81602</v>
      </c>
      <c r="I206" s="5" t="s">
        <v>16</v>
      </c>
      <c r="J206" s="5">
        <v>33019028</v>
      </c>
      <c r="K206" s="5" t="s">
        <v>2216</v>
      </c>
      <c r="L206" s="5" t="s">
        <v>2217</v>
      </c>
      <c r="M206" s="6">
        <v>69900</v>
      </c>
      <c r="N206" s="7">
        <v>0.9</v>
      </c>
      <c r="O206" s="6">
        <f t="shared" si="6"/>
        <v>6990</v>
      </c>
      <c r="P206" s="5" t="s">
        <v>504</v>
      </c>
    </row>
    <row r="207" spans="1:16" x14ac:dyDescent="0.35">
      <c r="A207" s="5" t="str">
        <f t="shared" si="7"/>
        <v>2021 ALL D90</v>
      </c>
      <c r="B207" s="8">
        <f>'ALL 2024 H2 D80'!$B$2</f>
        <v>46114</v>
      </c>
      <c r="C207" s="8">
        <f>'ALL 2024 H2 D80'!$C$2</f>
        <v>46120</v>
      </c>
      <c r="D207" s="5">
        <v>3208</v>
      </c>
      <c r="E207" s="5">
        <v>320</v>
      </c>
      <c r="F207" s="5">
        <v>1</v>
      </c>
      <c r="G207" s="5">
        <v>2</v>
      </c>
      <c r="H207" s="5">
        <v>81602</v>
      </c>
      <c r="I207" s="5" t="s">
        <v>16</v>
      </c>
      <c r="J207" s="5">
        <v>33019037</v>
      </c>
      <c r="K207" s="5" t="s">
        <v>2216</v>
      </c>
      <c r="L207" s="5" t="s">
        <v>2218</v>
      </c>
      <c r="M207" s="6">
        <v>69900</v>
      </c>
      <c r="N207" s="7">
        <v>0.9</v>
      </c>
      <c r="O207" s="6">
        <f t="shared" si="6"/>
        <v>6990</v>
      </c>
      <c r="P207" s="5" t="s">
        <v>504</v>
      </c>
    </row>
    <row r="208" spans="1:16" x14ac:dyDescent="0.35">
      <c r="A208" s="5" t="str">
        <f t="shared" si="7"/>
        <v>2021 ALL D90</v>
      </c>
      <c r="B208" s="8">
        <f>'ALL 2024 H2 D80'!$B$2</f>
        <v>46114</v>
      </c>
      <c r="C208" s="8">
        <f>'ALL 2024 H2 D80'!$C$2</f>
        <v>46120</v>
      </c>
      <c r="D208" s="5">
        <v>3208</v>
      </c>
      <c r="E208" s="5">
        <v>320</v>
      </c>
      <c r="F208" s="5">
        <v>1</v>
      </c>
      <c r="G208" s="5">
        <v>2</v>
      </c>
      <c r="H208" s="5">
        <v>81602</v>
      </c>
      <c r="I208" s="5" t="s">
        <v>16</v>
      </c>
      <c r="J208" s="5">
        <v>33031531</v>
      </c>
      <c r="K208" s="5" t="s">
        <v>2219</v>
      </c>
      <c r="L208" s="5" t="s">
        <v>2220</v>
      </c>
      <c r="M208" s="6">
        <v>69900</v>
      </c>
      <c r="N208" s="7">
        <v>0.9</v>
      </c>
      <c r="O208" s="6">
        <f t="shared" si="6"/>
        <v>6990</v>
      </c>
      <c r="P208" s="5" t="s">
        <v>504</v>
      </c>
    </row>
    <row r="209" spans="1:16" x14ac:dyDescent="0.35">
      <c r="A209" s="5" t="str">
        <f t="shared" si="7"/>
        <v>2021 ALL D90</v>
      </c>
      <c r="B209" s="8">
        <f>'ALL 2024 H2 D80'!$B$2</f>
        <v>46114</v>
      </c>
      <c r="C209" s="8">
        <f>'ALL 2024 H2 D80'!$C$2</f>
        <v>46120</v>
      </c>
      <c r="D209" s="5">
        <v>3208</v>
      </c>
      <c r="E209" s="5">
        <v>320</v>
      </c>
      <c r="F209" s="5">
        <v>1</v>
      </c>
      <c r="G209" s="5">
        <v>2</v>
      </c>
      <c r="H209" s="5">
        <v>81602</v>
      </c>
      <c r="I209" s="5" t="s">
        <v>16</v>
      </c>
      <c r="J209" s="5">
        <v>33031559</v>
      </c>
      <c r="K209" s="5" t="s">
        <v>2219</v>
      </c>
      <c r="L209" s="5" t="s">
        <v>2221</v>
      </c>
      <c r="M209" s="6">
        <v>69900</v>
      </c>
      <c r="N209" s="7">
        <v>0.9</v>
      </c>
      <c r="O209" s="6">
        <f t="shared" si="6"/>
        <v>6990</v>
      </c>
      <c r="P209" s="5" t="s">
        <v>504</v>
      </c>
    </row>
    <row r="210" spans="1:16" x14ac:dyDescent="0.35">
      <c r="A210" s="5" t="str">
        <f t="shared" si="7"/>
        <v>2021 ALL D90</v>
      </c>
      <c r="B210" s="8">
        <f>'ALL 2024 H2 D80'!$B$2</f>
        <v>46114</v>
      </c>
      <c r="C210" s="8">
        <f>'ALL 2024 H2 D80'!$C$2</f>
        <v>46120</v>
      </c>
      <c r="D210" s="5">
        <v>3208</v>
      </c>
      <c r="E210" s="5">
        <v>320</v>
      </c>
      <c r="F210" s="5">
        <v>1</v>
      </c>
      <c r="G210" s="5">
        <v>2</v>
      </c>
      <c r="H210" s="5">
        <v>81602</v>
      </c>
      <c r="I210" s="5" t="s">
        <v>16</v>
      </c>
      <c r="J210" s="5">
        <v>33031568</v>
      </c>
      <c r="K210" s="5" t="s">
        <v>2219</v>
      </c>
      <c r="L210" s="5" t="s">
        <v>2222</v>
      </c>
      <c r="M210" s="6">
        <v>69900</v>
      </c>
      <c r="N210" s="7">
        <v>0.9</v>
      </c>
      <c r="O210" s="6">
        <f t="shared" si="6"/>
        <v>6990</v>
      </c>
      <c r="P210" s="5" t="s">
        <v>504</v>
      </c>
    </row>
    <row r="211" spans="1:16" x14ac:dyDescent="0.35">
      <c r="A211" s="5" t="str">
        <f t="shared" si="7"/>
        <v>2021 ALL D90</v>
      </c>
      <c r="B211" s="8">
        <f>'ALL 2024 H2 D80'!$B$2</f>
        <v>46114</v>
      </c>
      <c r="C211" s="8">
        <f>'ALL 2024 H2 D80'!$C$2</f>
        <v>46120</v>
      </c>
      <c r="D211" s="5">
        <v>3208</v>
      </c>
      <c r="E211" s="5">
        <v>320</v>
      </c>
      <c r="F211" s="5">
        <v>1</v>
      </c>
      <c r="G211" s="5">
        <v>2</v>
      </c>
      <c r="H211" s="5">
        <v>81602</v>
      </c>
      <c r="I211" s="5" t="s">
        <v>16</v>
      </c>
      <c r="J211" s="5">
        <v>33031693</v>
      </c>
      <c r="K211" s="5" t="s">
        <v>2223</v>
      </c>
      <c r="L211" s="5" t="s">
        <v>2224</v>
      </c>
      <c r="M211" s="6">
        <v>69900</v>
      </c>
      <c r="N211" s="7">
        <v>0.9</v>
      </c>
      <c r="O211" s="6">
        <f t="shared" si="6"/>
        <v>6990</v>
      </c>
      <c r="P211" s="5" t="s">
        <v>504</v>
      </c>
    </row>
    <row r="212" spans="1:16" x14ac:dyDescent="0.35">
      <c r="A212" s="5" t="str">
        <f t="shared" si="7"/>
        <v>2021 ALL D90</v>
      </c>
      <c r="B212" s="8">
        <f>'ALL 2024 H2 D80'!$B$2</f>
        <v>46114</v>
      </c>
      <c r="C212" s="8">
        <f>'ALL 2024 H2 D80'!$C$2</f>
        <v>46120</v>
      </c>
      <c r="D212" s="5">
        <v>3208</v>
      </c>
      <c r="E212" s="5">
        <v>320</v>
      </c>
      <c r="F212" s="5">
        <v>1</v>
      </c>
      <c r="G212" s="5">
        <v>2</v>
      </c>
      <c r="H212" s="5">
        <v>81602</v>
      </c>
      <c r="I212" s="5" t="s">
        <v>16</v>
      </c>
      <c r="J212" s="5">
        <v>33031700</v>
      </c>
      <c r="K212" s="5" t="s">
        <v>2223</v>
      </c>
      <c r="L212" s="5" t="s">
        <v>2225</v>
      </c>
      <c r="M212" s="6">
        <v>69900</v>
      </c>
      <c r="N212" s="7">
        <v>0.9</v>
      </c>
      <c r="O212" s="6">
        <f t="shared" si="6"/>
        <v>6990</v>
      </c>
      <c r="P212" s="5" t="s">
        <v>504</v>
      </c>
    </row>
    <row r="213" spans="1:16" x14ac:dyDescent="0.35">
      <c r="A213" s="5" t="str">
        <f t="shared" si="7"/>
        <v>2021 ALL D90</v>
      </c>
      <c r="B213" s="8">
        <f>'ALL 2024 H2 D80'!$B$2</f>
        <v>46114</v>
      </c>
      <c r="C213" s="8">
        <f>'ALL 2024 H2 D80'!$C$2</f>
        <v>46120</v>
      </c>
      <c r="D213" s="5">
        <v>3208</v>
      </c>
      <c r="E213" s="5">
        <v>320</v>
      </c>
      <c r="F213" s="5">
        <v>1</v>
      </c>
      <c r="G213" s="5">
        <v>2</v>
      </c>
      <c r="H213" s="5">
        <v>81602</v>
      </c>
      <c r="I213" s="5" t="s">
        <v>16</v>
      </c>
      <c r="J213" s="5">
        <v>33031719</v>
      </c>
      <c r="K213" s="5" t="s">
        <v>2223</v>
      </c>
      <c r="L213" s="5" t="s">
        <v>2226</v>
      </c>
      <c r="M213" s="6">
        <v>69900</v>
      </c>
      <c r="N213" s="7">
        <v>0.9</v>
      </c>
      <c r="O213" s="6">
        <f t="shared" si="6"/>
        <v>6990</v>
      </c>
      <c r="P213" s="5" t="s">
        <v>504</v>
      </c>
    </row>
    <row r="214" spans="1:16" x14ac:dyDescent="0.35">
      <c r="A214" s="5" t="str">
        <f t="shared" si="7"/>
        <v>2021 ALL D90</v>
      </c>
      <c r="B214" s="8">
        <f>'ALL 2024 H2 D80'!$B$2</f>
        <v>46114</v>
      </c>
      <c r="C214" s="8">
        <f>'ALL 2024 H2 D80'!$C$2</f>
        <v>46120</v>
      </c>
      <c r="D214" s="5">
        <v>3208</v>
      </c>
      <c r="E214" s="5">
        <v>320</v>
      </c>
      <c r="F214" s="5">
        <v>1</v>
      </c>
      <c r="G214" s="5">
        <v>2</v>
      </c>
      <c r="H214" s="5">
        <v>81602</v>
      </c>
      <c r="I214" s="5" t="s">
        <v>16</v>
      </c>
      <c r="J214" s="5">
        <v>33031728</v>
      </c>
      <c r="K214" s="5" t="s">
        <v>2223</v>
      </c>
      <c r="L214" s="5" t="s">
        <v>2227</v>
      </c>
      <c r="M214" s="6">
        <v>69900</v>
      </c>
      <c r="N214" s="7">
        <v>0.9</v>
      </c>
      <c r="O214" s="6">
        <f t="shared" si="6"/>
        <v>6990</v>
      </c>
      <c r="P214" s="5" t="s">
        <v>504</v>
      </c>
    </row>
    <row r="215" spans="1:16" x14ac:dyDescent="0.35">
      <c r="A215" s="5" t="str">
        <f t="shared" si="7"/>
        <v>2021 ALL D90</v>
      </c>
      <c r="B215" s="8">
        <f>'ALL 2024 H2 D80'!$B$2</f>
        <v>46114</v>
      </c>
      <c r="C215" s="8">
        <f>'ALL 2024 H2 D80'!$C$2</f>
        <v>46120</v>
      </c>
      <c r="D215" s="5">
        <v>3208</v>
      </c>
      <c r="E215" s="5">
        <v>320</v>
      </c>
      <c r="F215" s="5">
        <v>1</v>
      </c>
      <c r="G215" s="5">
        <v>2</v>
      </c>
      <c r="H215" s="5">
        <v>81602</v>
      </c>
      <c r="I215" s="5" t="s">
        <v>16</v>
      </c>
      <c r="J215" s="5">
        <v>33031764</v>
      </c>
      <c r="K215" s="5" t="s">
        <v>2228</v>
      </c>
      <c r="L215" s="5" t="s">
        <v>2229</v>
      </c>
      <c r="M215" s="6">
        <v>69900</v>
      </c>
      <c r="N215" s="7">
        <v>0.9</v>
      </c>
      <c r="O215" s="6">
        <f t="shared" si="6"/>
        <v>6990</v>
      </c>
      <c r="P215" s="5" t="s">
        <v>504</v>
      </c>
    </row>
    <row r="216" spans="1:16" x14ac:dyDescent="0.35">
      <c r="A216" s="5" t="str">
        <f t="shared" si="7"/>
        <v>2021 ALL D90</v>
      </c>
      <c r="B216" s="8">
        <f>'ALL 2024 H2 D80'!$B$2</f>
        <v>46114</v>
      </c>
      <c r="C216" s="8">
        <f>'ALL 2024 H2 D80'!$C$2</f>
        <v>46120</v>
      </c>
      <c r="D216" s="5">
        <v>3208</v>
      </c>
      <c r="E216" s="5">
        <v>320</v>
      </c>
      <c r="F216" s="5">
        <v>1</v>
      </c>
      <c r="G216" s="5">
        <v>2</v>
      </c>
      <c r="H216" s="5">
        <v>81602</v>
      </c>
      <c r="I216" s="5" t="s">
        <v>16</v>
      </c>
      <c r="J216" s="5">
        <v>33031773</v>
      </c>
      <c r="K216" s="5" t="s">
        <v>2228</v>
      </c>
      <c r="L216" s="5" t="s">
        <v>2230</v>
      </c>
      <c r="M216" s="6">
        <v>69900</v>
      </c>
      <c r="N216" s="7">
        <v>0.9</v>
      </c>
      <c r="O216" s="6">
        <f t="shared" si="6"/>
        <v>6990</v>
      </c>
      <c r="P216" s="5" t="s">
        <v>504</v>
      </c>
    </row>
    <row r="217" spans="1:16" x14ac:dyDescent="0.35">
      <c r="A217" s="5" t="str">
        <f t="shared" si="7"/>
        <v>2021 ALL D90</v>
      </c>
      <c r="B217" s="8">
        <f>'ALL 2024 H2 D80'!$B$2</f>
        <v>46114</v>
      </c>
      <c r="C217" s="8">
        <f>'ALL 2024 H2 D80'!$C$2</f>
        <v>46120</v>
      </c>
      <c r="D217" s="5">
        <v>3208</v>
      </c>
      <c r="E217" s="5">
        <v>320</v>
      </c>
      <c r="F217" s="5">
        <v>1</v>
      </c>
      <c r="G217" s="5">
        <v>2</v>
      </c>
      <c r="H217" s="5">
        <v>80954</v>
      </c>
      <c r="I217" s="5" t="s">
        <v>16</v>
      </c>
      <c r="J217" s="5">
        <v>33260990</v>
      </c>
      <c r="K217" s="5" t="s">
        <v>2231</v>
      </c>
      <c r="L217" s="5" t="s">
        <v>2232</v>
      </c>
      <c r="M217" s="6">
        <v>69900</v>
      </c>
      <c r="N217" s="7">
        <v>0.9</v>
      </c>
      <c r="O217" s="6">
        <f t="shared" si="6"/>
        <v>6990</v>
      </c>
      <c r="P217" s="5" t="s">
        <v>504</v>
      </c>
    </row>
    <row r="218" spans="1:16" x14ac:dyDescent="0.35">
      <c r="A218" s="5" t="str">
        <f t="shared" si="7"/>
        <v>2021 ALL D90</v>
      </c>
      <c r="B218" s="8">
        <f>'ALL 2024 H2 D80'!$B$2</f>
        <v>46114</v>
      </c>
      <c r="C218" s="8">
        <f>'ALL 2024 H2 D80'!$C$2</f>
        <v>46120</v>
      </c>
      <c r="D218" s="5">
        <v>3208</v>
      </c>
      <c r="E218" s="5">
        <v>320</v>
      </c>
      <c r="F218" s="5">
        <v>1</v>
      </c>
      <c r="G218" s="5">
        <v>2</v>
      </c>
      <c r="H218" s="5">
        <v>80954</v>
      </c>
      <c r="I218" s="5" t="s">
        <v>16</v>
      </c>
      <c r="J218" s="5">
        <v>33261006</v>
      </c>
      <c r="K218" s="5" t="s">
        <v>2231</v>
      </c>
      <c r="L218" s="5" t="s">
        <v>2233</v>
      </c>
      <c r="M218" s="6">
        <v>69900</v>
      </c>
      <c r="N218" s="7">
        <v>0.9</v>
      </c>
      <c r="O218" s="6">
        <f t="shared" si="6"/>
        <v>6990</v>
      </c>
      <c r="P218" s="5" t="s">
        <v>504</v>
      </c>
    </row>
    <row r="219" spans="1:16" x14ac:dyDescent="0.35">
      <c r="A219" s="5" t="str">
        <f t="shared" si="7"/>
        <v>2021 ALL D90</v>
      </c>
      <c r="B219" s="8">
        <f>'ALL 2024 H2 D80'!$B$2</f>
        <v>46114</v>
      </c>
      <c r="C219" s="8">
        <f>'ALL 2024 H2 D80'!$C$2</f>
        <v>46120</v>
      </c>
      <c r="D219" s="5">
        <v>3208</v>
      </c>
      <c r="E219" s="5">
        <v>320</v>
      </c>
      <c r="F219" s="5">
        <v>1</v>
      </c>
      <c r="G219" s="5">
        <v>2</v>
      </c>
      <c r="H219" s="5">
        <v>80954</v>
      </c>
      <c r="I219" s="5" t="s">
        <v>16</v>
      </c>
      <c r="J219" s="5">
        <v>33261015</v>
      </c>
      <c r="K219" s="5" t="s">
        <v>2231</v>
      </c>
      <c r="L219" s="5" t="s">
        <v>3625</v>
      </c>
      <c r="M219" s="6">
        <v>69900</v>
      </c>
      <c r="N219" s="7">
        <v>0.9</v>
      </c>
      <c r="O219" s="6">
        <f t="shared" si="6"/>
        <v>6990</v>
      </c>
      <c r="P219" s="5" t="s">
        <v>504</v>
      </c>
    </row>
    <row r="220" spans="1:16" x14ac:dyDescent="0.35">
      <c r="A220" s="5" t="str">
        <f t="shared" si="7"/>
        <v>2021 ALL D90</v>
      </c>
      <c r="B220" s="8">
        <f>'ALL 2024 H2 D80'!$B$2</f>
        <v>46114</v>
      </c>
      <c r="C220" s="8">
        <f>'ALL 2024 H2 D80'!$C$2</f>
        <v>46120</v>
      </c>
      <c r="D220" s="5">
        <v>3208</v>
      </c>
      <c r="E220" s="5">
        <v>320</v>
      </c>
      <c r="F220" s="5">
        <v>1</v>
      </c>
      <c r="G220" s="5">
        <v>2</v>
      </c>
      <c r="H220" s="5">
        <v>80954</v>
      </c>
      <c r="I220" s="5" t="s">
        <v>16</v>
      </c>
      <c r="J220" s="5">
        <v>33261024</v>
      </c>
      <c r="K220" s="5" t="s">
        <v>2231</v>
      </c>
      <c r="L220" s="5" t="s">
        <v>2234</v>
      </c>
      <c r="M220" s="6">
        <v>69900</v>
      </c>
      <c r="N220" s="7">
        <v>0.9</v>
      </c>
      <c r="O220" s="6">
        <f t="shared" si="6"/>
        <v>6990</v>
      </c>
      <c r="P220" s="5" t="s">
        <v>504</v>
      </c>
    </row>
    <row r="221" spans="1:16" x14ac:dyDescent="0.35">
      <c r="A221" s="5" t="str">
        <f t="shared" si="7"/>
        <v>2021 ALL D90</v>
      </c>
      <c r="B221" s="8">
        <f>'ALL 2024 H2 D80'!$B$2</f>
        <v>46114</v>
      </c>
      <c r="C221" s="8">
        <f>'ALL 2024 H2 D80'!$C$2</f>
        <v>46120</v>
      </c>
      <c r="D221" s="5">
        <v>3208</v>
      </c>
      <c r="E221" s="5">
        <v>320</v>
      </c>
      <c r="F221" s="5">
        <v>1</v>
      </c>
      <c r="G221" s="5">
        <v>2</v>
      </c>
      <c r="H221" s="5">
        <v>80954</v>
      </c>
      <c r="I221" s="5" t="s">
        <v>16</v>
      </c>
      <c r="J221" s="5">
        <v>33380726</v>
      </c>
      <c r="K221" s="5" t="s">
        <v>1178</v>
      </c>
      <c r="L221" s="5" t="s">
        <v>2235</v>
      </c>
      <c r="M221" s="6">
        <v>69900</v>
      </c>
      <c r="N221" s="7">
        <v>0.9</v>
      </c>
      <c r="O221" s="6">
        <f t="shared" si="6"/>
        <v>6990</v>
      </c>
      <c r="P221" s="5" t="s">
        <v>504</v>
      </c>
    </row>
    <row r="222" spans="1:16" x14ac:dyDescent="0.35">
      <c r="A222" s="5" t="str">
        <f t="shared" si="7"/>
        <v>2021 ALL D90</v>
      </c>
      <c r="B222" s="8">
        <f>'ALL 2024 H2 D80'!$B$2</f>
        <v>46114</v>
      </c>
      <c r="C222" s="8">
        <f>'ALL 2024 H2 D80'!$C$2</f>
        <v>46120</v>
      </c>
      <c r="D222" s="5">
        <v>3208</v>
      </c>
      <c r="E222" s="5">
        <v>320</v>
      </c>
      <c r="F222" s="5">
        <v>1</v>
      </c>
      <c r="G222" s="5">
        <v>2</v>
      </c>
      <c r="H222" s="5">
        <v>80954</v>
      </c>
      <c r="I222" s="5" t="s">
        <v>16</v>
      </c>
      <c r="J222" s="5">
        <v>33380735</v>
      </c>
      <c r="K222" s="5" t="s">
        <v>1178</v>
      </c>
      <c r="L222" s="5" t="s">
        <v>2236</v>
      </c>
      <c r="M222" s="6">
        <v>69900</v>
      </c>
      <c r="N222" s="7">
        <v>0.9</v>
      </c>
      <c r="O222" s="6">
        <f t="shared" si="6"/>
        <v>6990</v>
      </c>
      <c r="P222" s="5" t="s">
        <v>504</v>
      </c>
    </row>
    <row r="223" spans="1:16" x14ac:dyDescent="0.35">
      <c r="A223" s="5" t="str">
        <f t="shared" si="7"/>
        <v>2021 ALL D90</v>
      </c>
      <c r="B223" s="8">
        <f>'ALL 2024 H2 D80'!$B$2</f>
        <v>46114</v>
      </c>
      <c r="C223" s="8">
        <f>'ALL 2024 H2 D80'!$C$2</f>
        <v>46120</v>
      </c>
      <c r="D223" s="5">
        <v>3208</v>
      </c>
      <c r="E223" s="5">
        <v>320</v>
      </c>
      <c r="F223" s="5">
        <v>1</v>
      </c>
      <c r="G223" s="5">
        <v>2</v>
      </c>
      <c r="H223" s="5">
        <v>80954</v>
      </c>
      <c r="I223" s="5" t="s">
        <v>16</v>
      </c>
      <c r="J223" s="5">
        <v>33380753</v>
      </c>
      <c r="K223" s="5" t="s">
        <v>1178</v>
      </c>
      <c r="L223" s="5" t="s">
        <v>3626</v>
      </c>
      <c r="M223" s="6">
        <v>69900</v>
      </c>
      <c r="N223" s="7">
        <v>0.9</v>
      </c>
      <c r="O223" s="6">
        <f t="shared" si="6"/>
        <v>6990</v>
      </c>
      <c r="P223" s="5" t="s">
        <v>504</v>
      </c>
    </row>
    <row r="224" spans="1:16" x14ac:dyDescent="0.35">
      <c r="A224" s="5" t="str">
        <f t="shared" si="7"/>
        <v>2021 ALL D90</v>
      </c>
      <c r="B224" s="8">
        <f>'ALL 2024 H2 D80'!$B$2</f>
        <v>46114</v>
      </c>
      <c r="C224" s="8">
        <f>'ALL 2024 H2 D80'!$C$2</f>
        <v>46120</v>
      </c>
      <c r="D224" s="5">
        <v>3208</v>
      </c>
      <c r="E224" s="5">
        <v>320</v>
      </c>
      <c r="F224" s="5">
        <v>1</v>
      </c>
      <c r="G224" s="5">
        <v>3</v>
      </c>
      <c r="H224" s="5">
        <v>81044</v>
      </c>
      <c r="I224" s="5" t="s">
        <v>16</v>
      </c>
      <c r="J224" s="5">
        <v>28091361</v>
      </c>
      <c r="K224" s="5" t="s">
        <v>2237</v>
      </c>
      <c r="L224" s="5" t="s">
        <v>2238</v>
      </c>
      <c r="M224" s="6">
        <v>259900</v>
      </c>
      <c r="N224" s="7">
        <v>0.9</v>
      </c>
      <c r="O224" s="6">
        <f t="shared" si="6"/>
        <v>25990</v>
      </c>
      <c r="P224" s="5" t="s">
        <v>504</v>
      </c>
    </row>
    <row r="225" spans="1:16" x14ac:dyDescent="0.35">
      <c r="A225" s="5" t="str">
        <f t="shared" si="7"/>
        <v>2021 ALL D90</v>
      </c>
      <c r="B225" s="8">
        <f>'ALL 2024 H2 D80'!$B$2</f>
        <v>46114</v>
      </c>
      <c r="C225" s="8">
        <f>'ALL 2024 H2 D80'!$C$2</f>
        <v>46120</v>
      </c>
      <c r="D225" s="5">
        <v>3208</v>
      </c>
      <c r="E225" s="5">
        <v>320</v>
      </c>
      <c r="F225" s="5">
        <v>1</v>
      </c>
      <c r="G225" s="5">
        <v>3</v>
      </c>
      <c r="H225" s="5">
        <v>81044</v>
      </c>
      <c r="I225" s="5" t="s">
        <v>16</v>
      </c>
      <c r="J225" s="5">
        <v>32379098</v>
      </c>
      <c r="K225" s="5" t="s">
        <v>2239</v>
      </c>
      <c r="L225" s="5" t="s">
        <v>2240</v>
      </c>
      <c r="M225" s="6">
        <v>229900</v>
      </c>
      <c r="N225" s="7">
        <v>0.9</v>
      </c>
      <c r="O225" s="6">
        <f t="shared" si="6"/>
        <v>22990</v>
      </c>
      <c r="P225" s="5" t="s">
        <v>504</v>
      </c>
    </row>
    <row r="226" spans="1:16" x14ac:dyDescent="0.35">
      <c r="A226" s="5" t="str">
        <f t="shared" si="7"/>
        <v>2021 ALL D90</v>
      </c>
      <c r="B226" s="8">
        <f>'ALL 2024 H2 D80'!$B$2</f>
        <v>46114</v>
      </c>
      <c r="C226" s="8">
        <f>'ALL 2024 H2 D80'!$C$2</f>
        <v>46120</v>
      </c>
      <c r="D226" s="5">
        <v>3208</v>
      </c>
      <c r="E226" s="5">
        <v>320</v>
      </c>
      <c r="F226" s="5">
        <v>1</v>
      </c>
      <c r="G226" s="5">
        <v>3</v>
      </c>
      <c r="H226" s="5">
        <v>81044</v>
      </c>
      <c r="I226" s="5" t="s">
        <v>16</v>
      </c>
      <c r="J226" s="5">
        <v>32379105</v>
      </c>
      <c r="K226" s="5" t="s">
        <v>2239</v>
      </c>
      <c r="L226" s="5" t="s">
        <v>2241</v>
      </c>
      <c r="M226" s="6">
        <v>229900</v>
      </c>
      <c r="N226" s="7">
        <v>0.9</v>
      </c>
      <c r="O226" s="6">
        <f t="shared" si="6"/>
        <v>22990</v>
      </c>
      <c r="P226" s="5" t="s">
        <v>504</v>
      </c>
    </row>
    <row r="227" spans="1:16" x14ac:dyDescent="0.35">
      <c r="A227" s="5" t="str">
        <f t="shared" si="7"/>
        <v>2021 ALL D90</v>
      </c>
      <c r="B227" s="8">
        <f>'ALL 2024 H2 D80'!$B$2</f>
        <v>46114</v>
      </c>
      <c r="C227" s="8">
        <f>'ALL 2024 H2 D80'!$C$2</f>
        <v>46120</v>
      </c>
      <c r="D227" s="5">
        <v>3208</v>
      </c>
      <c r="E227" s="5">
        <v>320</v>
      </c>
      <c r="F227" s="5">
        <v>1</v>
      </c>
      <c r="G227" s="5">
        <v>3</v>
      </c>
      <c r="H227" s="5">
        <v>81044</v>
      </c>
      <c r="I227" s="5" t="s">
        <v>16</v>
      </c>
      <c r="J227" s="5">
        <v>32379114</v>
      </c>
      <c r="K227" s="5" t="s">
        <v>2239</v>
      </c>
      <c r="L227" s="5" t="s">
        <v>2242</v>
      </c>
      <c r="M227" s="6">
        <v>229900</v>
      </c>
      <c r="N227" s="7">
        <v>0.9</v>
      </c>
      <c r="O227" s="6">
        <f t="shared" si="6"/>
        <v>22990</v>
      </c>
      <c r="P227" s="5" t="s">
        <v>504</v>
      </c>
    </row>
    <row r="228" spans="1:16" x14ac:dyDescent="0.35">
      <c r="A228" s="5" t="str">
        <f t="shared" si="7"/>
        <v>2021 ALL D90</v>
      </c>
      <c r="B228" s="8">
        <f>'ALL 2024 H2 D80'!$B$2</f>
        <v>46114</v>
      </c>
      <c r="C228" s="8">
        <f>'ALL 2024 H2 D80'!$C$2</f>
        <v>46120</v>
      </c>
      <c r="D228" s="5">
        <v>3208</v>
      </c>
      <c r="E228" s="5">
        <v>320</v>
      </c>
      <c r="F228" s="5">
        <v>1</v>
      </c>
      <c r="G228" s="5">
        <v>3</v>
      </c>
      <c r="H228" s="5">
        <v>81044</v>
      </c>
      <c r="I228" s="5" t="s">
        <v>16</v>
      </c>
      <c r="J228" s="5">
        <v>33381289</v>
      </c>
      <c r="K228" s="5" t="s">
        <v>2243</v>
      </c>
      <c r="L228" s="5" t="s">
        <v>2244</v>
      </c>
      <c r="M228" s="6">
        <v>259900</v>
      </c>
      <c r="N228" s="7">
        <v>0.9</v>
      </c>
      <c r="O228" s="6">
        <f t="shared" si="6"/>
        <v>25990</v>
      </c>
      <c r="P228" s="5" t="s">
        <v>504</v>
      </c>
    </row>
    <row r="229" spans="1:16" x14ac:dyDescent="0.35">
      <c r="A229" s="5" t="str">
        <f t="shared" si="7"/>
        <v>2021 ALL D90</v>
      </c>
      <c r="B229" s="8">
        <f>'ALL 2024 H2 D80'!$B$2</f>
        <v>46114</v>
      </c>
      <c r="C229" s="8">
        <f>'ALL 2024 H2 D80'!$C$2</f>
        <v>46120</v>
      </c>
      <c r="D229" s="5">
        <v>3208</v>
      </c>
      <c r="E229" s="5">
        <v>320</v>
      </c>
      <c r="F229" s="5">
        <v>1</v>
      </c>
      <c r="G229" s="5">
        <v>3</v>
      </c>
      <c r="H229" s="5">
        <v>81044</v>
      </c>
      <c r="I229" s="5" t="s">
        <v>16</v>
      </c>
      <c r="J229" s="5">
        <v>33381298</v>
      </c>
      <c r="K229" s="5" t="s">
        <v>2243</v>
      </c>
      <c r="L229" s="5" t="s">
        <v>2245</v>
      </c>
      <c r="M229" s="6">
        <v>259900</v>
      </c>
      <c r="N229" s="7">
        <v>0.9</v>
      </c>
      <c r="O229" s="6">
        <f t="shared" si="6"/>
        <v>25990</v>
      </c>
      <c r="P229" s="5" t="s">
        <v>504</v>
      </c>
    </row>
    <row r="230" spans="1:16" x14ac:dyDescent="0.35">
      <c r="A230" s="5" t="str">
        <f t="shared" si="7"/>
        <v>2021 ALL D90</v>
      </c>
      <c r="B230" s="8">
        <f>'ALL 2024 H2 D80'!$B$2</f>
        <v>46114</v>
      </c>
      <c r="C230" s="8">
        <f>'ALL 2024 H2 D80'!$C$2</f>
        <v>46120</v>
      </c>
      <c r="D230" s="5">
        <v>3208</v>
      </c>
      <c r="E230" s="5">
        <v>320</v>
      </c>
      <c r="F230" s="5">
        <v>1</v>
      </c>
      <c r="G230" s="5">
        <v>3</v>
      </c>
      <c r="H230" s="5">
        <v>81044</v>
      </c>
      <c r="I230" s="5" t="s">
        <v>16</v>
      </c>
      <c r="J230" s="5">
        <v>33381314</v>
      </c>
      <c r="K230" s="5" t="s">
        <v>2243</v>
      </c>
      <c r="L230" s="5" t="s">
        <v>2246</v>
      </c>
      <c r="M230" s="6">
        <v>259900</v>
      </c>
      <c r="N230" s="7">
        <v>0.9</v>
      </c>
      <c r="O230" s="6">
        <f t="shared" si="6"/>
        <v>25990</v>
      </c>
      <c r="P230" s="5" t="s">
        <v>504</v>
      </c>
    </row>
    <row r="231" spans="1:16" x14ac:dyDescent="0.35">
      <c r="A231" s="5" t="str">
        <f t="shared" si="7"/>
        <v>2021 ALL D90</v>
      </c>
      <c r="B231" s="8">
        <f>'ALL 2024 H2 D80'!$B$2</f>
        <v>46114</v>
      </c>
      <c r="C231" s="8">
        <f>'ALL 2024 H2 D80'!$C$2</f>
        <v>46120</v>
      </c>
      <c r="D231" s="5">
        <v>3208</v>
      </c>
      <c r="E231" s="5">
        <v>320</v>
      </c>
      <c r="F231" s="5">
        <v>1</v>
      </c>
      <c r="G231" s="5">
        <v>3</v>
      </c>
      <c r="H231" s="5">
        <v>81572</v>
      </c>
      <c r="I231" s="5" t="s">
        <v>16</v>
      </c>
      <c r="J231" s="5">
        <v>26948850</v>
      </c>
      <c r="K231" s="5" t="s">
        <v>2247</v>
      </c>
      <c r="L231" s="5" t="s">
        <v>3627</v>
      </c>
      <c r="M231" s="6">
        <v>359900</v>
      </c>
      <c r="N231" s="7">
        <v>0.9</v>
      </c>
      <c r="O231" s="6">
        <f t="shared" si="6"/>
        <v>35990</v>
      </c>
      <c r="P231" s="5" t="s">
        <v>504</v>
      </c>
    </row>
    <row r="232" spans="1:16" x14ac:dyDescent="0.35">
      <c r="A232" s="5" t="str">
        <f t="shared" si="7"/>
        <v>2021 ALL D90</v>
      </c>
      <c r="B232" s="8">
        <f>'ALL 2024 H2 D80'!$B$2</f>
        <v>46114</v>
      </c>
      <c r="C232" s="8">
        <f>'ALL 2024 H2 D80'!$C$2</f>
        <v>46120</v>
      </c>
      <c r="D232" s="5">
        <v>3208</v>
      </c>
      <c r="E232" s="5">
        <v>320</v>
      </c>
      <c r="F232" s="5">
        <v>1</v>
      </c>
      <c r="G232" s="5">
        <v>3</v>
      </c>
      <c r="H232" s="5">
        <v>81572</v>
      </c>
      <c r="I232" s="5" t="s">
        <v>16</v>
      </c>
      <c r="J232" s="5">
        <v>26948869</v>
      </c>
      <c r="K232" s="5" t="s">
        <v>2247</v>
      </c>
      <c r="L232" s="5" t="s">
        <v>3628</v>
      </c>
      <c r="M232" s="6">
        <v>359900</v>
      </c>
      <c r="N232" s="7">
        <v>0.9</v>
      </c>
      <c r="O232" s="6">
        <f t="shared" si="6"/>
        <v>35990</v>
      </c>
      <c r="P232" s="5" t="s">
        <v>504</v>
      </c>
    </row>
    <row r="233" spans="1:16" x14ac:dyDescent="0.35">
      <c r="A233" s="5" t="str">
        <f t="shared" si="7"/>
        <v>2021 ALL D90</v>
      </c>
      <c r="B233" s="8">
        <f>'ALL 2024 H2 D80'!$B$2</f>
        <v>46114</v>
      </c>
      <c r="C233" s="8">
        <f>'ALL 2024 H2 D80'!$C$2</f>
        <v>46120</v>
      </c>
      <c r="D233" s="5">
        <v>3208</v>
      </c>
      <c r="E233" s="5">
        <v>320</v>
      </c>
      <c r="F233" s="5">
        <v>1</v>
      </c>
      <c r="G233" s="5">
        <v>3</v>
      </c>
      <c r="H233" s="5">
        <v>81572</v>
      </c>
      <c r="I233" s="5" t="s">
        <v>16</v>
      </c>
      <c r="J233" s="5">
        <v>26948878</v>
      </c>
      <c r="K233" s="5" t="s">
        <v>2247</v>
      </c>
      <c r="L233" s="5" t="s">
        <v>2248</v>
      </c>
      <c r="M233" s="6">
        <v>359900</v>
      </c>
      <c r="N233" s="7">
        <v>0.9</v>
      </c>
      <c r="O233" s="6">
        <f t="shared" si="6"/>
        <v>35990</v>
      </c>
      <c r="P233" s="5" t="s">
        <v>504</v>
      </c>
    </row>
    <row r="234" spans="1:16" x14ac:dyDescent="0.35">
      <c r="A234" s="5" t="str">
        <f t="shared" si="7"/>
        <v>2021 ALL D90</v>
      </c>
      <c r="B234" s="8">
        <f>'ALL 2024 H2 D80'!$B$2</f>
        <v>46114</v>
      </c>
      <c r="C234" s="8">
        <f>'ALL 2024 H2 D80'!$C$2</f>
        <v>46120</v>
      </c>
      <c r="D234" s="5">
        <v>3208</v>
      </c>
      <c r="E234" s="5">
        <v>320</v>
      </c>
      <c r="F234" s="5">
        <v>1</v>
      </c>
      <c r="G234" s="5">
        <v>4</v>
      </c>
      <c r="H234" s="5">
        <v>81044</v>
      </c>
      <c r="I234" s="5" t="s">
        <v>16</v>
      </c>
      <c r="J234" s="5">
        <v>26670597</v>
      </c>
      <c r="K234" s="5" t="s">
        <v>2249</v>
      </c>
      <c r="L234" s="5" t="s">
        <v>2250</v>
      </c>
      <c r="M234" s="6">
        <v>349900</v>
      </c>
      <c r="N234" s="7">
        <v>0.9</v>
      </c>
      <c r="O234" s="6">
        <f t="shared" si="6"/>
        <v>34990</v>
      </c>
      <c r="P234" s="5" t="s">
        <v>504</v>
      </c>
    </row>
    <row r="235" spans="1:16" x14ac:dyDescent="0.35">
      <c r="A235" s="5" t="str">
        <f t="shared" si="7"/>
        <v>2021 ALL D90</v>
      </c>
      <c r="B235" s="8">
        <f>'ALL 2024 H2 D80'!$B$2</f>
        <v>46114</v>
      </c>
      <c r="C235" s="8">
        <f>'ALL 2024 H2 D80'!$C$2</f>
        <v>46120</v>
      </c>
      <c r="D235" s="5">
        <v>3208</v>
      </c>
      <c r="E235" s="5">
        <v>320</v>
      </c>
      <c r="F235" s="5">
        <v>1</v>
      </c>
      <c r="G235" s="5">
        <v>4</v>
      </c>
      <c r="H235" s="5">
        <v>81044</v>
      </c>
      <c r="I235" s="5" t="s">
        <v>16</v>
      </c>
      <c r="J235" s="5">
        <v>26670604</v>
      </c>
      <c r="K235" s="5" t="s">
        <v>2249</v>
      </c>
      <c r="L235" s="5" t="s">
        <v>2251</v>
      </c>
      <c r="M235" s="6">
        <v>349900</v>
      </c>
      <c r="N235" s="7">
        <v>0.9</v>
      </c>
      <c r="O235" s="6">
        <f t="shared" si="6"/>
        <v>34990</v>
      </c>
      <c r="P235" s="5" t="s">
        <v>504</v>
      </c>
    </row>
    <row r="236" spans="1:16" x14ac:dyDescent="0.35">
      <c r="A236" s="5" t="str">
        <f t="shared" si="7"/>
        <v>2021 ALL D90</v>
      </c>
      <c r="B236" s="8">
        <f>'ALL 2024 H2 D80'!$B$2</f>
        <v>46114</v>
      </c>
      <c r="C236" s="8">
        <f>'ALL 2024 H2 D80'!$C$2</f>
        <v>46120</v>
      </c>
      <c r="D236" s="5">
        <v>3208</v>
      </c>
      <c r="E236" s="5">
        <v>320</v>
      </c>
      <c r="F236" s="5">
        <v>1</v>
      </c>
      <c r="G236" s="5">
        <v>4</v>
      </c>
      <c r="H236" s="5">
        <v>81044</v>
      </c>
      <c r="I236" s="5" t="s">
        <v>16</v>
      </c>
      <c r="J236" s="5">
        <v>26670613</v>
      </c>
      <c r="K236" s="5" t="s">
        <v>2249</v>
      </c>
      <c r="L236" s="5" t="s">
        <v>2252</v>
      </c>
      <c r="M236" s="6">
        <v>349900</v>
      </c>
      <c r="N236" s="7">
        <v>0.9</v>
      </c>
      <c r="O236" s="6">
        <f t="shared" si="6"/>
        <v>34990</v>
      </c>
      <c r="P236" s="5" t="s">
        <v>504</v>
      </c>
    </row>
    <row r="237" spans="1:16" x14ac:dyDescent="0.35">
      <c r="A237" s="5" t="str">
        <f t="shared" si="7"/>
        <v>2021 ALL D90</v>
      </c>
      <c r="B237" s="8">
        <f>'ALL 2024 H2 D80'!$B$2</f>
        <v>46114</v>
      </c>
      <c r="C237" s="8">
        <f>'ALL 2024 H2 D80'!$C$2</f>
        <v>46120</v>
      </c>
      <c r="D237" s="5">
        <v>3208</v>
      </c>
      <c r="E237" s="5">
        <v>320</v>
      </c>
      <c r="F237" s="5">
        <v>1</v>
      </c>
      <c r="G237" s="5">
        <v>4</v>
      </c>
      <c r="H237" s="5">
        <v>81044</v>
      </c>
      <c r="I237" s="5" t="s">
        <v>16</v>
      </c>
      <c r="J237" s="5">
        <v>27025854</v>
      </c>
      <c r="K237" s="5" t="s">
        <v>2253</v>
      </c>
      <c r="L237" s="5" t="s">
        <v>2254</v>
      </c>
      <c r="M237" s="6">
        <v>379900</v>
      </c>
      <c r="N237" s="7">
        <v>0.9</v>
      </c>
      <c r="O237" s="6">
        <f t="shared" si="6"/>
        <v>37990</v>
      </c>
      <c r="P237" s="5" t="s">
        <v>504</v>
      </c>
    </row>
    <row r="238" spans="1:16" x14ac:dyDescent="0.35">
      <c r="A238" s="5" t="str">
        <f t="shared" si="7"/>
        <v>2021 ALL D90</v>
      </c>
      <c r="B238" s="8">
        <f>'ALL 2024 H2 D80'!$B$2</f>
        <v>46114</v>
      </c>
      <c r="C238" s="8">
        <f>'ALL 2024 H2 D80'!$C$2</f>
        <v>46120</v>
      </c>
      <c r="D238" s="5">
        <v>3208</v>
      </c>
      <c r="E238" s="5">
        <v>320</v>
      </c>
      <c r="F238" s="5">
        <v>1</v>
      </c>
      <c r="G238" s="5">
        <v>4</v>
      </c>
      <c r="H238" s="5">
        <v>81044</v>
      </c>
      <c r="I238" s="5" t="s">
        <v>16</v>
      </c>
      <c r="J238" s="5">
        <v>27025863</v>
      </c>
      <c r="K238" s="5" t="s">
        <v>2253</v>
      </c>
      <c r="L238" s="5" t="s">
        <v>2255</v>
      </c>
      <c r="M238" s="6">
        <v>379900</v>
      </c>
      <c r="N238" s="7">
        <v>0.9</v>
      </c>
      <c r="O238" s="6">
        <f t="shared" si="6"/>
        <v>37990</v>
      </c>
      <c r="P238" s="5" t="s">
        <v>504</v>
      </c>
    </row>
    <row r="239" spans="1:16" x14ac:dyDescent="0.35">
      <c r="A239" s="5" t="str">
        <f t="shared" si="7"/>
        <v>2021 ALL D90</v>
      </c>
      <c r="B239" s="8">
        <f>'ALL 2024 H2 D80'!$B$2</f>
        <v>46114</v>
      </c>
      <c r="C239" s="8">
        <f>'ALL 2024 H2 D80'!$C$2</f>
        <v>46120</v>
      </c>
      <c r="D239" s="5">
        <v>3208</v>
      </c>
      <c r="E239" s="5">
        <v>320</v>
      </c>
      <c r="F239" s="5">
        <v>1</v>
      </c>
      <c r="G239" s="5">
        <v>4</v>
      </c>
      <c r="H239" s="5">
        <v>81044</v>
      </c>
      <c r="I239" s="5" t="s">
        <v>16</v>
      </c>
      <c r="J239" s="5">
        <v>27025872</v>
      </c>
      <c r="K239" s="5" t="s">
        <v>2253</v>
      </c>
      <c r="L239" s="5" t="s">
        <v>2256</v>
      </c>
      <c r="M239" s="6">
        <v>379900</v>
      </c>
      <c r="N239" s="7">
        <v>0.9</v>
      </c>
      <c r="O239" s="6">
        <f t="shared" si="6"/>
        <v>37990</v>
      </c>
      <c r="P239" s="5" t="s">
        <v>504</v>
      </c>
    </row>
    <row r="240" spans="1:16" x14ac:dyDescent="0.35">
      <c r="A240" s="5" t="str">
        <f t="shared" si="7"/>
        <v>2021 ALL D90</v>
      </c>
      <c r="B240" s="8">
        <f>'ALL 2024 H2 D80'!$B$2</f>
        <v>46114</v>
      </c>
      <c r="C240" s="8">
        <f>'ALL 2024 H2 D80'!$C$2</f>
        <v>46120</v>
      </c>
      <c r="D240" s="5">
        <v>3208</v>
      </c>
      <c r="E240" s="5">
        <v>320</v>
      </c>
      <c r="F240" s="5">
        <v>1</v>
      </c>
      <c r="G240" s="5">
        <v>4</v>
      </c>
      <c r="H240" s="5">
        <v>81044</v>
      </c>
      <c r="I240" s="5" t="s">
        <v>16</v>
      </c>
      <c r="J240" s="5">
        <v>27025881</v>
      </c>
      <c r="K240" s="5" t="s">
        <v>2253</v>
      </c>
      <c r="L240" s="5" t="s">
        <v>2257</v>
      </c>
      <c r="M240" s="6">
        <v>379900</v>
      </c>
      <c r="N240" s="7">
        <v>0.9</v>
      </c>
      <c r="O240" s="6">
        <f t="shared" si="6"/>
        <v>37990</v>
      </c>
      <c r="P240" s="5" t="s">
        <v>504</v>
      </c>
    </row>
    <row r="241" spans="1:16" x14ac:dyDescent="0.35">
      <c r="A241" s="5" t="str">
        <f t="shared" si="7"/>
        <v>2021 ALL D90</v>
      </c>
      <c r="B241" s="8">
        <f>'ALL 2024 H2 D80'!$B$2</f>
        <v>46114</v>
      </c>
      <c r="C241" s="8">
        <f>'ALL 2024 H2 D80'!$C$2</f>
        <v>46120</v>
      </c>
      <c r="D241" s="5">
        <v>3208</v>
      </c>
      <c r="E241" s="5">
        <v>320</v>
      </c>
      <c r="F241" s="5">
        <v>1</v>
      </c>
      <c r="G241" s="5">
        <v>4</v>
      </c>
      <c r="H241" s="5">
        <v>81044</v>
      </c>
      <c r="I241" s="5" t="s">
        <v>16</v>
      </c>
      <c r="J241" s="5">
        <v>28312541</v>
      </c>
      <c r="K241" s="5" t="s">
        <v>2258</v>
      </c>
      <c r="L241" s="5" t="s">
        <v>2259</v>
      </c>
      <c r="M241" s="6">
        <v>329900</v>
      </c>
      <c r="N241" s="7">
        <v>0.9</v>
      </c>
      <c r="O241" s="6">
        <f t="shared" si="6"/>
        <v>32990</v>
      </c>
      <c r="P241" s="5" t="s">
        <v>504</v>
      </c>
    </row>
    <row r="242" spans="1:16" x14ac:dyDescent="0.35">
      <c r="A242" s="5" t="str">
        <f t="shared" si="7"/>
        <v>2021 ALL D90</v>
      </c>
      <c r="B242" s="8">
        <f>'ALL 2024 H2 D80'!$B$2</f>
        <v>46114</v>
      </c>
      <c r="C242" s="8">
        <f>'ALL 2024 H2 D80'!$C$2</f>
        <v>46120</v>
      </c>
      <c r="D242" s="5">
        <v>3208</v>
      </c>
      <c r="E242" s="5">
        <v>320</v>
      </c>
      <c r="F242" s="5">
        <v>1</v>
      </c>
      <c r="G242" s="5">
        <v>4</v>
      </c>
      <c r="H242" s="5">
        <v>81044</v>
      </c>
      <c r="I242" s="5" t="s">
        <v>16</v>
      </c>
      <c r="J242" s="5">
        <v>28312550</v>
      </c>
      <c r="K242" s="5" t="s">
        <v>2258</v>
      </c>
      <c r="L242" s="5" t="s">
        <v>2260</v>
      </c>
      <c r="M242" s="6">
        <v>329900</v>
      </c>
      <c r="N242" s="7">
        <v>0.9</v>
      </c>
      <c r="O242" s="6">
        <f t="shared" si="6"/>
        <v>32990</v>
      </c>
      <c r="P242" s="5" t="s">
        <v>504</v>
      </c>
    </row>
    <row r="243" spans="1:16" x14ac:dyDescent="0.35">
      <c r="A243" s="5" t="str">
        <f t="shared" si="7"/>
        <v>2021 ALL D90</v>
      </c>
      <c r="B243" s="8">
        <f>'ALL 2024 H2 D80'!$B$2</f>
        <v>46114</v>
      </c>
      <c r="C243" s="8">
        <f>'ALL 2024 H2 D80'!$C$2</f>
        <v>46120</v>
      </c>
      <c r="D243" s="5">
        <v>3208</v>
      </c>
      <c r="E243" s="5">
        <v>320</v>
      </c>
      <c r="F243" s="5">
        <v>1</v>
      </c>
      <c r="G243" s="5">
        <v>4</v>
      </c>
      <c r="H243" s="5">
        <v>81044</v>
      </c>
      <c r="I243" s="5" t="s">
        <v>16</v>
      </c>
      <c r="J243" s="5">
        <v>28312578</v>
      </c>
      <c r="K243" s="5" t="s">
        <v>2258</v>
      </c>
      <c r="L243" s="5" t="s">
        <v>2261</v>
      </c>
      <c r="M243" s="6">
        <v>329900</v>
      </c>
      <c r="N243" s="7">
        <v>0.9</v>
      </c>
      <c r="O243" s="6">
        <f t="shared" si="6"/>
        <v>32990</v>
      </c>
      <c r="P243" s="5" t="s">
        <v>504</v>
      </c>
    </row>
    <row r="244" spans="1:16" x14ac:dyDescent="0.35">
      <c r="A244" s="5" t="str">
        <f t="shared" si="7"/>
        <v>2021 ALL D90</v>
      </c>
      <c r="B244" s="8">
        <f>'ALL 2024 H2 D80'!$B$2</f>
        <v>46114</v>
      </c>
      <c r="C244" s="8">
        <f>'ALL 2024 H2 D80'!$C$2</f>
        <v>46120</v>
      </c>
      <c r="D244" s="5">
        <v>3208</v>
      </c>
      <c r="E244" s="5">
        <v>320</v>
      </c>
      <c r="F244" s="5">
        <v>1</v>
      </c>
      <c r="G244" s="5">
        <v>4</v>
      </c>
      <c r="H244" s="5">
        <v>81044</v>
      </c>
      <c r="I244" s="5" t="s">
        <v>16</v>
      </c>
      <c r="J244" s="5">
        <v>28354701</v>
      </c>
      <c r="K244" s="5" t="s">
        <v>2262</v>
      </c>
      <c r="L244" s="5" t="s">
        <v>2263</v>
      </c>
      <c r="M244" s="6">
        <v>259900</v>
      </c>
      <c r="N244" s="7">
        <v>0.9</v>
      </c>
      <c r="O244" s="6">
        <f t="shared" si="6"/>
        <v>25990</v>
      </c>
      <c r="P244" s="5" t="s">
        <v>504</v>
      </c>
    </row>
    <row r="245" spans="1:16" x14ac:dyDescent="0.35">
      <c r="A245" s="5" t="str">
        <f t="shared" si="7"/>
        <v>2021 ALL D90</v>
      </c>
      <c r="B245" s="8">
        <f>'ALL 2024 H2 D80'!$B$2</f>
        <v>46114</v>
      </c>
      <c r="C245" s="8">
        <f>'ALL 2024 H2 D80'!$C$2</f>
        <v>46120</v>
      </c>
      <c r="D245" s="5">
        <v>3208</v>
      </c>
      <c r="E245" s="5">
        <v>320</v>
      </c>
      <c r="F245" s="5">
        <v>1</v>
      </c>
      <c r="G245" s="5">
        <v>4</v>
      </c>
      <c r="H245" s="5">
        <v>81044</v>
      </c>
      <c r="I245" s="5" t="s">
        <v>16</v>
      </c>
      <c r="J245" s="5">
        <v>28354710</v>
      </c>
      <c r="K245" s="5" t="s">
        <v>2262</v>
      </c>
      <c r="L245" s="5" t="s">
        <v>2264</v>
      </c>
      <c r="M245" s="6">
        <v>259900</v>
      </c>
      <c r="N245" s="7">
        <v>0.9</v>
      </c>
      <c r="O245" s="6">
        <f t="shared" si="6"/>
        <v>25990</v>
      </c>
      <c r="P245" s="5" t="s">
        <v>504</v>
      </c>
    </row>
    <row r="246" spans="1:16" x14ac:dyDescent="0.35">
      <c r="A246" s="5" t="str">
        <f t="shared" si="7"/>
        <v>2021 ALL D90</v>
      </c>
      <c r="B246" s="8">
        <f>'ALL 2024 H2 D80'!$B$2</f>
        <v>46114</v>
      </c>
      <c r="C246" s="8">
        <f>'ALL 2024 H2 D80'!$C$2</f>
        <v>46120</v>
      </c>
      <c r="D246" s="5">
        <v>3208</v>
      </c>
      <c r="E246" s="5">
        <v>320</v>
      </c>
      <c r="F246" s="5">
        <v>1</v>
      </c>
      <c r="G246" s="5">
        <v>4</v>
      </c>
      <c r="H246" s="5">
        <v>81044</v>
      </c>
      <c r="I246" s="5" t="s">
        <v>16</v>
      </c>
      <c r="J246" s="5">
        <v>29056906</v>
      </c>
      <c r="K246" s="5" t="s">
        <v>2265</v>
      </c>
      <c r="L246" s="5" t="s">
        <v>2266</v>
      </c>
      <c r="M246" s="6">
        <v>349900</v>
      </c>
      <c r="N246" s="7">
        <v>0.9</v>
      </c>
      <c r="O246" s="6">
        <f t="shared" si="6"/>
        <v>34990</v>
      </c>
      <c r="P246" s="5" t="s">
        <v>504</v>
      </c>
    </row>
    <row r="247" spans="1:16" x14ac:dyDescent="0.35">
      <c r="A247" s="5" t="str">
        <f t="shared" si="7"/>
        <v>2021 ALL D90</v>
      </c>
      <c r="B247" s="8">
        <f>'ALL 2024 H2 D80'!$B$2</f>
        <v>46114</v>
      </c>
      <c r="C247" s="8">
        <f>'ALL 2024 H2 D80'!$C$2</f>
        <v>46120</v>
      </c>
      <c r="D247" s="5">
        <v>3208</v>
      </c>
      <c r="E247" s="5">
        <v>320</v>
      </c>
      <c r="F247" s="5">
        <v>1</v>
      </c>
      <c r="G247" s="5">
        <v>4</v>
      </c>
      <c r="H247" s="5">
        <v>81044</v>
      </c>
      <c r="I247" s="5" t="s">
        <v>16</v>
      </c>
      <c r="J247" s="5">
        <v>29057174</v>
      </c>
      <c r="K247" s="5" t="s">
        <v>2267</v>
      </c>
      <c r="L247" s="5" t="s">
        <v>2268</v>
      </c>
      <c r="M247" s="6">
        <v>279900</v>
      </c>
      <c r="N247" s="7">
        <v>0.9</v>
      </c>
      <c r="O247" s="6">
        <f t="shared" si="6"/>
        <v>27990</v>
      </c>
      <c r="P247" s="5" t="s">
        <v>504</v>
      </c>
    </row>
    <row r="248" spans="1:16" x14ac:dyDescent="0.35">
      <c r="A248" s="5" t="str">
        <f t="shared" si="7"/>
        <v>2021 ALL D90</v>
      </c>
      <c r="B248" s="8">
        <f>'ALL 2024 H2 D80'!$B$2</f>
        <v>46114</v>
      </c>
      <c r="C248" s="8">
        <f>'ALL 2024 H2 D80'!$C$2</f>
        <v>46120</v>
      </c>
      <c r="D248" s="5">
        <v>3208</v>
      </c>
      <c r="E248" s="5">
        <v>320</v>
      </c>
      <c r="F248" s="5">
        <v>1</v>
      </c>
      <c r="G248" s="5">
        <v>4</v>
      </c>
      <c r="H248" s="5">
        <v>81044</v>
      </c>
      <c r="I248" s="5" t="s">
        <v>16</v>
      </c>
      <c r="J248" s="5">
        <v>29057183</v>
      </c>
      <c r="K248" s="5" t="s">
        <v>2267</v>
      </c>
      <c r="L248" s="5" t="s">
        <v>2269</v>
      </c>
      <c r="M248" s="6">
        <v>279900</v>
      </c>
      <c r="N248" s="7">
        <v>0.9</v>
      </c>
      <c r="O248" s="6">
        <f t="shared" si="6"/>
        <v>27990</v>
      </c>
      <c r="P248" s="5" t="s">
        <v>504</v>
      </c>
    </row>
    <row r="249" spans="1:16" x14ac:dyDescent="0.35">
      <c r="A249" s="5" t="str">
        <f t="shared" si="7"/>
        <v>2021 ALL D90</v>
      </c>
      <c r="B249" s="8">
        <f>'ALL 2024 H2 D80'!$B$2</f>
        <v>46114</v>
      </c>
      <c r="C249" s="8">
        <f>'ALL 2024 H2 D80'!$C$2</f>
        <v>46120</v>
      </c>
      <c r="D249" s="5">
        <v>3208</v>
      </c>
      <c r="E249" s="5">
        <v>320</v>
      </c>
      <c r="F249" s="5">
        <v>1</v>
      </c>
      <c r="G249" s="5">
        <v>4</v>
      </c>
      <c r="H249" s="5">
        <v>81044</v>
      </c>
      <c r="I249" s="5" t="s">
        <v>16</v>
      </c>
      <c r="J249" s="5">
        <v>29057192</v>
      </c>
      <c r="K249" s="5" t="s">
        <v>2267</v>
      </c>
      <c r="L249" s="5" t="s">
        <v>2270</v>
      </c>
      <c r="M249" s="6">
        <v>279900</v>
      </c>
      <c r="N249" s="7">
        <v>0.9</v>
      </c>
      <c r="O249" s="6">
        <f t="shared" si="6"/>
        <v>27990</v>
      </c>
      <c r="P249" s="5" t="s">
        <v>504</v>
      </c>
    </row>
    <row r="250" spans="1:16" x14ac:dyDescent="0.35">
      <c r="A250" s="5" t="str">
        <f t="shared" si="7"/>
        <v>2021 ALL D90</v>
      </c>
      <c r="B250" s="8">
        <f>'ALL 2024 H2 D80'!$B$2</f>
        <v>46114</v>
      </c>
      <c r="C250" s="8">
        <f>'ALL 2024 H2 D80'!$C$2</f>
        <v>46120</v>
      </c>
      <c r="D250" s="5">
        <v>3208</v>
      </c>
      <c r="E250" s="5">
        <v>320</v>
      </c>
      <c r="F250" s="5">
        <v>1</v>
      </c>
      <c r="G250" s="5">
        <v>4</v>
      </c>
      <c r="H250" s="5">
        <v>81044</v>
      </c>
      <c r="I250" s="5" t="s">
        <v>16</v>
      </c>
      <c r="J250" s="5">
        <v>29368776</v>
      </c>
      <c r="K250" s="5" t="s">
        <v>2271</v>
      </c>
      <c r="L250" s="5" t="s">
        <v>3629</v>
      </c>
      <c r="M250" s="6">
        <v>329900</v>
      </c>
      <c r="N250" s="7">
        <v>0.9</v>
      </c>
      <c r="O250" s="6">
        <f t="shared" si="6"/>
        <v>32990</v>
      </c>
      <c r="P250" s="5" t="s">
        <v>504</v>
      </c>
    </row>
    <row r="251" spans="1:16" x14ac:dyDescent="0.35">
      <c r="A251" s="5" t="str">
        <f t="shared" si="7"/>
        <v>2021 ALL D90</v>
      </c>
      <c r="B251" s="8">
        <f>'ALL 2024 H2 D80'!$B$2</f>
        <v>46114</v>
      </c>
      <c r="C251" s="8">
        <f>'ALL 2024 H2 D80'!$C$2</f>
        <v>46120</v>
      </c>
      <c r="D251" s="5">
        <v>3208</v>
      </c>
      <c r="E251" s="5">
        <v>320</v>
      </c>
      <c r="F251" s="5">
        <v>1</v>
      </c>
      <c r="G251" s="5">
        <v>4</v>
      </c>
      <c r="H251" s="5">
        <v>81044</v>
      </c>
      <c r="I251" s="5" t="s">
        <v>16</v>
      </c>
      <c r="J251" s="5">
        <v>29368785</v>
      </c>
      <c r="K251" s="5" t="s">
        <v>2271</v>
      </c>
      <c r="L251" s="5" t="s">
        <v>2272</v>
      </c>
      <c r="M251" s="6">
        <v>329900</v>
      </c>
      <c r="N251" s="7">
        <v>0.9</v>
      </c>
      <c r="O251" s="6">
        <f t="shared" si="6"/>
        <v>32990</v>
      </c>
      <c r="P251" s="5" t="s">
        <v>504</v>
      </c>
    </row>
    <row r="252" spans="1:16" x14ac:dyDescent="0.35">
      <c r="A252" s="5" t="str">
        <f t="shared" si="7"/>
        <v>2021 ALL D90</v>
      </c>
      <c r="B252" s="8">
        <f>'ALL 2024 H2 D80'!$B$2</f>
        <v>46114</v>
      </c>
      <c r="C252" s="8">
        <f>'ALL 2024 H2 D80'!$C$2</f>
        <v>46120</v>
      </c>
      <c r="D252" s="5">
        <v>3208</v>
      </c>
      <c r="E252" s="5">
        <v>320</v>
      </c>
      <c r="F252" s="5">
        <v>1</v>
      </c>
      <c r="G252" s="5">
        <v>4</v>
      </c>
      <c r="H252" s="5">
        <v>81044</v>
      </c>
      <c r="I252" s="5" t="s">
        <v>16</v>
      </c>
      <c r="J252" s="5">
        <v>32700220</v>
      </c>
      <c r="K252" s="5" t="s">
        <v>2273</v>
      </c>
      <c r="L252" s="5" t="s">
        <v>2274</v>
      </c>
      <c r="M252" s="6">
        <v>329900</v>
      </c>
      <c r="N252" s="7">
        <v>0.9</v>
      </c>
      <c r="O252" s="6">
        <f t="shared" si="6"/>
        <v>32990</v>
      </c>
      <c r="P252" s="5" t="s">
        <v>504</v>
      </c>
    </row>
    <row r="253" spans="1:16" x14ac:dyDescent="0.35">
      <c r="A253" s="5" t="str">
        <f t="shared" si="7"/>
        <v>2021 ALL D90</v>
      </c>
      <c r="B253" s="8">
        <f>'ALL 2024 H2 D80'!$B$2</f>
        <v>46114</v>
      </c>
      <c r="C253" s="8">
        <f>'ALL 2024 H2 D80'!$C$2</f>
        <v>46120</v>
      </c>
      <c r="D253" s="5">
        <v>3208</v>
      </c>
      <c r="E253" s="5">
        <v>320</v>
      </c>
      <c r="F253" s="5">
        <v>1</v>
      </c>
      <c r="G253" s="5">
        <v>4</v>
      </c>
      <c r="H253" s="5">
        <v>81044</v>
      </c>
      <c r="I253" s="5" t="s">
        <v>16</v>
      </c>
      <c r="J253" s="5">
        <v>32700239</v>
      </c>
      <c r="K253" s="5" t="s">
        <v>2273</v>
      </c>
      <c r="L253" s="5" t="s">
        <v>2275</v>
      </c>
      <c r="M253" s="6">
        <v>329900</v>
      </c>
      <c r="N253" s="7">
        <v>0.9</v>
      </c>
      <c r="O253" s="6">
        <f t="shared" si="6"/>
        <v>32990</v>
      </c>
      <c r="P253" s="5" t="s">
        <v>504</v>
      </c>
    </row>
    <row r="254" spans="1:16" x14ac:dyDescent="0.35">
      <c r="A254" s="5" t="str">
        <f t="shared" si="7"/>
        <v>2021 ALL D90</v>
      </c>
      <c r="B254" s="8">
        <f>'ALL 2024 H2 D80'!$B$2</f>
        <v>46114</v>
      </c>
      <c r="C254" s="8">
        <f>'ALL 2024 H2 D80'!$C$2</f>
        <v>46120</v>
      </c>
      <c r="D254" s="5">
        <v>3208</v>
      </c>
      <c r="E254" s="5">
        <v>320</v>
      </c>
      <c r="F254" s="5">
        <v>1</v>
      </c>
      <c r="G254" s="5">
        <v>4</v>
      </c>
      <c r="H254" s="5">
        <v>81044</v>
      </c>
      <c r="I254" s="5" t="s">
        <v>16</v>
      </c>
      <c r="J254" s="5">
        <v>32700248</v>
      </c>
      <c r="K254" s="5" t="s">
        <v>2273</v>
      </c>
      <c r="L254" s="5" t="s">
        <v>2276</v>
      </c>
      <c r="M254" s="6">
        <v>329900</v>
      </c>
      <c r="N254" s="7">
        <v>0.9</v>
      </c>
      <c r="O254" s="6">
        <f t="shared" si="6"/>
        <v>32990</v>
      </c>
      <c r="P254" s="5" t="s">
        <v>504</v>
      </c>
    </row>
    <row r="255" spans="1:16" x14ac:dyDescent="0.35">
      <c r="A255" s="5" t="str">
        <f t="shared" si="7"/>
        <v>2021 ALL D90</v>
      </c>
      <c r="B255" s="8">
        <f>'ALL 2024 H2 D80'!$B$2</f>
        <v>46114</v>
      </c>
      <c r="C255" s="8">
        <f>'ALL 2024 H2 D80'!$C$2</f>
        <v>46120</v>
      </c>
      <c r="D255" s="5">
        <v>3208</v>
      </c>
      <c r="E255" s="5">
        <v>320</v>
      </c>
      <c r="F255" s="5">
        <v>1</v>
      </c>
      <c r="G255" s="5">
        <v>4</v>
      </c>
      <c r="H255" s="5">
        <v>81044</v>
      </c>
      <c r="I255" s="5" t="s">
        <v>16</v>
      </c>
      <c r="J255" s="5">
        <v>32700257</v>
      </c>
      <c r="K255" s="5" t="s">
        <v>2273</v>
      </c>
      <c r="L255" s="5" t="s">
        <v>3630</v>
      </c>
      <c r="M255" s="6">
        <v>329900</v>
      </c>
      <c r="N255" s="7">
        <v>0.9</v>
      </c>
      <c r="O255" s="6">
        <f t="shared" si="6"/>
        <v>32990</v>
      </c>
      <c r="P255" s="5" t="s">
        <v>504</v>
      </c>
    </row>
    <row r="256" spans="1:16" x14ac:dyDescent="0.35">
      <c r="A256" s="5" t="str">
        <f t="shared" si="7"/>
        <v>2021 ALL D90</v>
      </c>
      <c r="B256" s="8">
        <f>'ALL 2024 H2 D80'!$B$2</f>
        <v>46114</v>
      </c>
      <c r="C256" s="8">
        <f>'ALL 2024 H2 D80'!$C$2</f>
        <v>46120</v>
      </c>
      <c r="D256" s="5">
        <v>3208</v>
      </c>
      <c r="E256" s="5">
        <v>320</v>
      </c>
      <c r="F256" s="5">
        <v>1</v>
      </c>
      <c r="G256" s="5">
        <v>4</v>
      </c>
      <c r="H256" s="5">
        <v>81044</v>
      </c>
      <c r="I256" s="5" t="s">
        <v>16</v>
      </c>
      <c r="J256" s="5">
        <v>32929627</v>
      </c>
      <c r="K256" s="5" t="s">
        <v>2277</v>
      </c>
      <c r="L256" s="5" t="s">
        <v>2278</v>
      </c>
      <c r="M256" s="6">
        <v>329900</v>
      </c>
      <c r="N256" s="7">
        <v>0.9</v>
      </c>
      <c r="O256" s="6">
        <f t="shared" si="6"/>
        <v>32990</v>
      </c>
      <c r="P256" s="5" t="s">
        <v>504</v>
      </c>
    </row>
    <row r="257" spans="1:16" x14ac:dyDescent="0.35">
      <c r="A257" s="5" t="str">
        <f t="shared" si="7"/>
        <v>2021 ALL D90</v>
      </c>
      <c r="B257" s="8">
        <f>'ALL 2024 H2 D80'!$B$2</f>
        <v>46114</v>
      </c>
      <c r="C257" s="8">
        <f>'ALL 2024 H2 D80'!$C$2</f>
        <v>46120</v>
      </c>
      <c r="D257" s="5">
        <v>3208</v>
      </c>
      <c r="E257" s="5">
        <v>320</v>
      </c>
      <c r="F257" s="5">
        <v>1</v>
      </c>
      <c r="G257" s="5">
        <v>4</v>
      </c>
      <c r="H257" s="5">
        <v>81044</v>
      </c>
      <c r="I257" s="5" t="s">
        <v>16</v>
      </c>
      <c r="J257" s="5">
        <v>32929636</v>
      </c>
      <c r="K257" s="5" t="s">
        <v>2277</v>
      </c>
      <c r="L257" s="5" t="s">
        <v>2279</v>
      </c>
      <c r="M257" s="6">
        <v>329900</v>
      </c>
      <c r="N257" s="7">
        <v>0.9</v>
      </c>
      <c r="O257" s="6">
        <f t="shared" si="6"/>
        <v>32990</v>
      </c>
      <c r="P257" s="5" t="s">
        <v>504</v>
      </c>
    </row>
    <row r="258" spans="1:16" x14ac:dyDescent="0.35">
      <c r="A258" s="5" t="str">
        <f t="shared" si="7"/>
        <v>2021 ALL D90</v>
      </c>
      <c r="B258" s="8">
        <f>'ALL 2024 H2 D80'!$B$2</f>
        <v>46114</v>
      </c>
      <c r="C258" s="8">
        <f>'ALL 2024 H2 D80'!$C$2</f>
        <v>46120</v>
      </c>
      <c r="D258" s="5">
        <v>3208</v>
      </c>
      <c r="E258" s="5">
        <v>320</v>
      </c>
      <c r="F258" s="5">
        <v>1</v>
      </c>
      <c r="G258" s="5">
        <v>4</v>
      </c>
      <c r="H258" s="5">
        <v>81044</v>
      </c>
      <c r="I258" s="5" t="s">
        <v>16</v>
      </c>
      <c r="J258" s="5">
        <v>33219071</v>
      </c>
      <c r="K258" s="5" t="s">
        <v>2280</v>
      </c>
      <c r="L258" s="5" t="s">
        <v>2281</v>
      </c>
      <c r="M258" s="6">
        <v>289900</v>
      </c>
      <c r="N258" s="7">
        <v>0.9</v>
      </c>
      <c r="O258" s="6">
        <f t="shared" si="6"/>
        <v>28990</v>
      </c>
      <c r="P258" s="5" t="s">
        <v>504</v>
      </c>
    </row>
    <row r="259" spans="1:16" x14ac:dyDescent="0.35">
      <c r="A259" s="5" t="str">
        <f t="shared" si="7"/>
        <v>2021 ALL D90</v>
      </c>
      <c r="B259" s="8">
        <f>'ALL 2024 H2 D80'!$B$2</f>
        <v>46114</v>
      </c>
      <c r="C259" s="8">
        <f>'ALL 2024 H2 D80'!$C$2</f>
        <v>46120</v>
      </c>
      <c r="D259" s="5">
        <v>3208</v>
      </c>
      <c r="E259" s="5">
        <v>320</v>
      </c>
      <c r="F259" s="5">
        <v>1</v>
      </c>
      <c r="G259" s="5">
        <v>4</v>
      </c>
      <c r="H259" s="5">
        <v>81044</v>
      </c>
      <c r="I259" s="5" t="s">
        <v>16</v>
      </c>
      <c r="J259" s="5">
        <v>33219080</v>
      </c>
      <c r="K259" s="5" t="s">
        <v>2280</v>
      </c>
      <c r="L259" s="5" t="s">
        <v>2282</v>
      </c>
      <c r="M259" s="6">
        <v>289900</v>
      </c>
      <c r="N259" s="7">
        <v>0.9</v>
      </c>
      <c r="O259" s="6">
        <f t="shared" ref="O259:O322" si="8">M259-(M259*N259)</f>
        <v>28990</v>
      </c>
      <c r="P259" s="5" t="s">
        <v>504</v>
      </c>
    </row>
    <row r="260" spans="1:16" x14ac:dyDescent="0.35">
      <c r="A260" s="5" t="str">
        <f t="shared" ref="A260:A323" si="9">$A$2</f>
        <v>2021 ALL D90</v>
      </c>
      <c r="B260" s="8">
        <f>'ALL 2024 H2 D80'!$B$2</f>
        <v>46114</v>
      </c>
      <c r="C260" s="8">
        <f>'ALL 2024 H2 D80'!$C$2</f>
        <v>46120</v>
      </c>
      <c r="D260" s="5">
        <v>3208</v>
      </c>
      <c r="E260" s="5">
        <v>320</v>
      </c>
      <c r="F260" s="5">
        <v>1</v>
      </c>
      <c r="G260" s="5">
        <v>4</v>
      </c>
      <c r="H260" s="5">
        <v>81495</v>
      </c>
      <c r="I260" s="5" t="s">
        <v>16</v>
      </c>
      <c r="J260" s="5">
        <v>33218983</v>
      </c>
      <c r="K260" s="5" t="s">
        <v>2283</v>
      </c>
      <c r="L260" s="5" t="s">
        <v>2284</v>
      </c>
      <c r="M260" s="6">
        <v>329900</v>
      </c>
      <c r="N260" s="7">
        <v>0.9</v>
      </c>
      <c r="O260" s="6">
        <f t="shared" si="8"/>
        <v>32990</v>
      </c>
      <c r="P260" s="5" t="s">
        <v>504</v>
      </c>
    </row>
    <row r="261" spans="1:16" x14ac:dyDescent="0.35">
      <c r="A261" s="5" t="str">
        <f t="shared" si="9"/>
        <v>2021 ALL D90</v>
      </c>
      <c r="B261" s="8">
        <f>'ALL 2024 H2 D80'!$B$2</f>
        <v>46114</v>
      </c>
      <c r="C261" s="8">
        <f>'ALL 2024 H2 D80'!$C$2</f>
        <v>46120</v>
      </c>
      <c r="D261" s="5">
        <v>3208</v>
      </c>
      <c r="E261" s="5">
        <v>320</v>
      </c>
      <c r="F261" s="5">
        <v>1</v>
      </c>
      <c r="G261" s="5">
        <v>4</v>
      </c>
      <c r="H261" s="5">
        <v>81495</v>
      </c>
      <c r="I261" s="5" t="s">
        <v>16</v>
      </c>
      <c r="J261" s="5">
        <v>33219008</v>
      </c>
      <c r="K261" s="5" t="s">
        <v>2283</v>
      </c>
      <c r="L261" s="5" t="s">
        <v>2285</v>
      </c>
      <c r="M261" s="6">
        <v>329900</v>
      </c>
      <c r="N261" s="7">
        <v>0.9</v>
      </c>
      <c r="O261" s="6">
        <f t="shared" si="8"/>
        <v>32990</v>
      </c>
      <c r="P261" s="5" t="s">
        <v>504</v>
      </c>
    </row>
    <row r="262" spans="1:16" x14ac:dyDescent="0.35">
      <c r="A262" s="5" t="str">
        <f t="shared" si="9"/>
        <v>2021 ALL D90</v>
      </c>
      <c r="B262" s="8">
        <f>'ALL 2024 H2 D80'!$B$2</f>
        <v>46114</v>
      </c>
      <c r="C262" s="8">
        <f>'ALL 2024 H2 D80'!$C$2</f>
        <v>46120</v>
      </c>
      <c r="D262" s="5">
        <v>3208</v>
      </c>
      <c r="E262" s="5">
        <v>320</v>
      </c>
      <c r="F262" s="5">
        <v>1</v>
      </c>
      <c r="G262" s="5">
        <v>4</v>
      </c>
      <c r="H262" s="5">
        <v>80903</v>
      </c>
      <c r="I262" s="5" t="s">
        <v>16</v>
      </c>
      <c r="J262" s="5">
        <v>28540143</v>
      </c>
      <c r="K262" s="5" t="s">
        <v>2286</v>
      </c>
      <c r="L262" s="5" t="s">
        <v>2287</v>
      </c>
      <c r="M262" s="6">
        <v>359900</v>
      </c>
      <c r="N262" s="7">
        <v>0.9</v>
      </c>
      <c r="O262" s="6">
        <f t="shared" si="8"/>
        <v>35990</v>
      </c>
      <c r="P262" s="5" t="s">
        <v>504</v>
      </c>
    </row>
    <row r="263" spans="1:16" x14ac:dyDescent="0.35">
      <c r="A263" s="5" t="str">
        <f t="shared" si="9"/>
        <v>2021 ALL D90</v>
      </c>
      <c r="B263" s="8">
        <f>'ALL 2024 H2 D80'!$B$2</f>
        <v>46114</v>
      </c>
      <c r="C263" s="8">
        <f>'ALL 2024 H2 D80'!$C$2</f>
        <v>46120</v>
      </c>
      <c r="D263" s="5">
        <v>3208</v>
      </c>
      <c r="E263" s="5">
        <v>320</v>
      </c>
      <c r="F263" s="5">
        <v>1</v>
      </c>
      <c r="G263" s="5">
        <v>4</v>
      </c>
      <c r="H263" s="5">
        <v>80903</v>
      </c>
      <c r="I263" s="5" t="s">
        <v>16</v>
      </c>
      <c r="J263" s="5">
        <v>28605136</v>
      </c>
      <c r="K263" s="5" t="s">
        <v>2288</v>
      </c>
      <c r="L263" s="5" t="s">
        <v>2289</v>
      </c>
      <c r="M263" s="6">
        <v>359900</v>
      </c>
      <c r="N263" s="7">
        <v>0.9</v>
      </c>
      <c r="O263" s="6">
        <f t="shared" si="8"/>
        <v>35990</v>
      </c>
      <c r="P263" s="5" t="s">
        <v>504</v>
      </c>
    </row>
    <row r="264" spans="1:16" x14ac:dyDescent="0.35">
      <c r="A264" s="5" t="str">
        <f t="shared" si="9"/>
        <v>2021 ALL D90</v>
      </c>
      <c r="B264" s="8">
        <f>'ALL 2024 H2 D80'!$B$2</f>
        <v>46114</v>
      </c>
      <c r="C264" s="8">
        <f>'ALL 2024 H2 D80'!$C$2</f>
        <v>46120</v>
      </c>
      <c r="D264" s="5">
        <v>3208</v>
      </c>
      <c r="E264" s="5">
        <v>320</v>
      </c>
      <c r="F264" s="5">
        <v>1</v>
      </c>
      <c r="G264" s="5">
        <v>4</v>
      </c>
      <c r="H264" s="5">
        <v>80903</v>
      </c>
      <c r="I264" s="5" t="s">
        <v>16</v>
      </c>
      <c r="J264" s="5">
        <v>28605163</v>
      </c>
      <c r="K264" s="5" t="s">
        <v>2288</v>
      </c>
      <c r="L264" s="5" t="s">
        <v>2290</v>
      </c>
      <c r="M264" s="6">
        <v>359900</v>
      </c>
      <c r="N264" s="7">
        <v>0.9</v>
      </c>
      <c r="O264" s="6">
        <f t="shared" si="8"/>
        <v>35990</v>
      </c>
      <c r="P264" s="5" t="s">
        <v>504</v>
      </c>
    </row>
    <row r="265" spans="1:16" x14ac:dyDescent="0.35">
      <c r="A265" s="5" t="str">
        <f t="shared" si="9"/>
        <v>2021 ALL D90</v>
      </c>
      <c r="B265" s="8">
        <f>'ALL 2024 H2 D80'!$B$2</f>
        <v>46114</v>
      </c>
      <c r="C265" s="8">
        <f>'ALL 2024 H2 D80'!$C$2</f>
        <v>46120</v>
      </c>
      <c r="D265" s="5">
        <v>3208</v>
      </c>
      <c r="E265" s="5">
        <v>320</v>
      </c>
      <c r="F265" s="5">
        <v>1</v>
      </c>
      <c r="G265" s="5">
        <v>4</v>
      </c>
      <c r="H265" s="5">
        <v>81736</v>
      </c>
      <c r="I265" s="5" t="s">
        <v>16</v>
      </c>
      <c r="J265" s="5">
        <v>27026120</v>
      </c>
      <c r="K265" s="5" t="s">
        <v>2291</v>
      </c>
      <c r="L265" s="5" t="s">
        <v>2292</v>
      </c>
      <c r="M265" s="6">
        <v>279900</v>
      </c>
      <c r="N265" s="7">
        <v>0.9</v>
      </c>
      <c r="O265" s="6">
        <f t="shared" si="8"/>
        <v>27990</v>
      </c>
      <c r="P265" s="5" t="s">
        <v>504</v>
      </c>
    </row>
    <row r="266" spans="1:16" x14ac:dyDescent="0.35">
      <c r="A266" s="5" t="str">
        <f t="shared" si="9"/>
        <v>2021 ALL D90</v>
      </c>
      <c r="B266" s="8">
        <f>'ALL 2024 H2 D80'!$B$2</f>
        <v>46114</v>
      </c>
      <c r="C266" s="8">
        <f>'ALL 2024 H2 D80'!$C$2</f>
        <v>46120</v>
      </c>
      <c r="D266" s="5">
        <v>3208</v>
      </c>
      <c r="E266" s="5">
        <v>320</v>
      </c>
      <c r="F266" s="5">
        <v>1</v>
      </c>
      <c r="G266" s="5">
        <v>4</v>
      </c>
      <c r="H266" s="5">
        <v>81736</v>
      </c>
      <c r="I266" s="5" t="s">
        <v>16</v>
      </c>
      <c r="J266" s="5">
        <v>33473948</v>
      </c>
      <c r="K266" s="5" t="s">
        <v>2293</v>
      </c>
      <c r="L266" s="5" t="s">
        <v>2294</v>
      </c>
      <c r="M266" s="6">
        <v>279900</v>
      </c>
      <c r="N266" s="7">
        <v>0.9</v>
      </c>
      <c r="O266" s="6">
        <f t="shared" si="8"/>
        <v>27990</v>
      </c>
      <c r="P266" s="5" t="s">
        <v>504</v>
      </c>
    </row>
    <row r="267" spans="1:16" x14ac:dyDescent="0.35">
      <c r="A267" s="5" t="str">
        <f t="shared" si="9"/>
        <v>2021 ALL D90</v>
      </c>
      <c r="B267" s="8">
        <f>'ALL 2024 H2 D80'!$B$2</f>
        <v>46114</v>
      </c>
      <c r="C267" s="8">
        <f>'ALL 2024 H2 D80'!$C$2</f>
        <v>46120</v>
      </c>
      <c r="D267" s="5">
        <v>3208</v>
      </c>
      <c r="E267" s="5">
        <v>320</v>
      </c>
      <c r="F267" s="5">
        <v>1</v>
      </c>
      <c r="G267" s="5">
        <v>4</v>
      </c>
      <c r="H267" s="5">
        <v>81736</v>
      </c>
      <c r="I267" s="5" t="s">
        <v>16</v>
      </c>
      <c r="J267" s="5">
        <v>33473957</v>
      </c>
      <c r="K267" s="5" t="s">
        <v>2293</v>
      </c>
      <c r="L267" s="5" t="s">
        <v>2295</v>
      </c>
      <c r="M267" s="6">
        <v>279900</v>
      </c>
      <c r="N267" s="7">
        <v>0.9</v>
      </c>
      <c r="O267" s="6">
        <f t="shared" si="8"/>
        <v>27990</v>
      </c>
      <c r="P267" s="5" t="s">
        <v>504</v>
      </c>
    </row>
    <row r="268" spans="1:16" x14ac:dyDescent="0.35">
      <c r="A268" s="5" t="str">
        <f t="shared" si="9"/>
        <v>2021 ALL D90</v>
      </c>
      <c r="B268" s="8">
        <f>'ALL 2024 H2 D80'!$B$2</f>
        <v>46114</v>
      </c>
      <c r="C268" s="8">
        <f>'ALL 2024 H2 D80'!$C$2</f>
        <v>46120</v>
      </c>
      <c r="D268" s="5">
        <v>3208</v>
      </c>
      <c r="E268" s="5">
        <v>320</v>
      </c>
      <c r="F268" s="5">
        <v>1</v>
      </c>
      <c r="G268" s="5">
        <v>5</v>
      </c>
      <c r="H268" s="5">
        <v>81044</v>
      </c>
      <c r="I268" s="5" t="s">
        <v>16</v>
      </c>
      <c r="J268" s="5">
        <v>26941035</v>
      </c>
      <c r="K268" s="5" t="s">
        <v>2296</v>
      </c>
      <c r="L268" s="5" t="s">
        <v>3631</v>
      </c>
      <c r="M268" s="6">
        <v>229900</v>
      </c>
      <c r="N268" s="7">
        <v>0.9</v>
      </c>
      <c r="O268" s="6">
        <f t="shared" si="8"/>
        <v>22990</v>
      </c>
      <c r="P268" s="5" t="s">
        <v>504</v>
      </c>
    </row>
    <row r="269" spans="1:16" x14ac:dyDescent="0.35">
      <c r="A269" s="5" t="str">
        <f t="shared" si="9"/>
        <v>2021 ALL D90</v>
      </c>
      <c r="B269" s="8">
        <f>'ALL 2024 H2 D80'!$B$2</f>
        <v>46114</v>
      </c>
      <c r="C269" s="8">
        <f>'ALL 2024 H2 D80'!$C$2</f>
        <v>46120</v>
      </c>
      <c r="D269" s="5">
        <v>3208</v>
      </c>
      <c r="E269" s="5">
        <v>320</v>
      </c>
      <c r="F269" s="5">
        <v>1</v>
      </c>
      <c r="G269" s="5">
        <v>5</v>
      </c>
      <c r="H269" s="5">
        <v>81044</v>
      </c>
      <c r="I269" s="5" t="s">
        <v>16</v>
      </c>
      <c r="J269" s="5">
        <v>28091414</v>
      </c>
      <c r="K269" s="5" t="s">
        <v>2297</v>
      </c>
      <c r="L269" s="5" t="s">
        <v>2298</v>
      </c>
      <c r="M269" s="6">
        <v>199900</v>
      </c>
      <c r="N269" s="7">
        <v>0.9</v>
      </c>
      <c r="O269" s="6">
        <f t="shared" si="8"/>
        <v>19990</v>
      </c>
      <c r="P269" s="5" t="s">
        <v>504</v>
      </c>
    </row>
    <row r="270" spans="1:16" x14ac:dyDescent="0.35">
      <c r="A270" s="5" t="str">
        <f t="shared" si="9"/>
        <v>2021 ALL D90</v>
      </c>
      <c r="B270" s="8">
        <f>'ALL 2024 H2 D80'!$B$2</f>
        <v>46114</v>
      </c>
      <c r="C270" s="8">
        <f>'ALL 2024 H2 D80'!$C$2</f>
        <v>46120</v>
      </c>
      <c r="D270" s="5">
        <v>3208</v>
      </c>
      <c r="E270" s="5">
        <v>320</v>
      </c>
      <c r="F270" s="5">
        <v>1</v>
      </c>
      <c r="G270" s="5">
        <v>5</v>
      </c>
      <c r="H270" s="5">
        <v>81044</v>
      </c>
      <c r="I270" s="5" t="s">
        <v>16</v>
      </c>
      <c r="J270" s="5">
        <v>28091423</v>
      </c>
      <c r="K270" s="5" t="s">
        <v>2297</v>
      </c>
      <c r="L270" s="5" t="s">
        <v>2299</v>
      </c>
      <c r="M270" s="6">
        <v>199900</v>
      </c>
      <c r="N270" s="7">
        <v>0.9</v>
      </c>
      <c r="O270" s="6">
        <f t="shared" si="8"/>
        <v>19990</v>
      </c>
      <c r="P270" s="5" t="s">
        <v>504</v>
      </c>
    </row>
    <row r="271" spans="1:16" x14ac:dyDescent="0.35">
      <c r="A271" s="5" t="str">
        <f t="shared" si="9"/>
        <v>2021 ALL D90</v>
      </c>
      <c r="B271" s="8">
        <f>'ALL 2024 H2 D80'!$B$2</f>
        <v>46114</v>
      </c>
      <c r="C271" s="8">
        <f>'ALL 2024 H2 D80'!$C$2</f>
        <v>46120</v>
      </c>
      <c r="D271" s="5">
        <v>3208</v>
      </c>
      <c r="E271" s="5">
        <v>320</v>
      </c>
      <c r="F271" s="5">
        <v>1</v>
      </c>
      <c r="G271" s="5">
        <v>5</v>
      </c>
      <c r="H271" s="5">
        <v>81044</v>
      </c>
      <c r="I271" s="5" t="s">
        <v>16</v>
      </c>
      <c r="J271" s="5">
        <v>28584703</v>
      </c>
      <c r="K271" s="5" t="s">
        <v>2300</v>
      </c>
      <c r="L271" s="5" t="s">
        <v>2301</v>
      </c>
      <c r="M271" s="6">
        <v>299900</v>
      </c>
      <c r="N271" s="7">
        <v>0.9</v>
      </c>
      <c r="O271" s="6">
        <f t="shared" si="8"/>
        <v>29990</v>
      </c>
      <c r="P271" s="5" t="s">
        <v>504</v>
      </c>
    </row>
    <row r="272" spans="1:16" x14ac:dyDescent="0.35">
      <c r="A272" s="5" t="str">
        <f t="shared" si="9"/>
        <v>2021 ALL D90</v>
      </c>
      <c r="B272" s="8">
        <f>'ALL 2024 H2 D80'!$B$2</f>
        <v>46114</v>
      </c>
      <c r="C272" s="8">
        <f>'ALL 2024 H2 D80'!$C$2</f>
        <v>46120</v>
      </c>
      <c r="D272" s="5">
        <v>3208</v>
      </c>
      <c r="E272" s="5">
        <v>320</v>
      </c>
      <c r="F272" s="5">
        <v>1</v>
      </c>
      <c r="G272" s="5">
        <v>5</v>
      </c>
      <c r="H272" s="5">
        <v>81044</v>
      </c>
      <c r="I272" s="5" t="s">
        <v>16</v>
      </c>
      <c r="J272" s="5">
        <v>28584712</v>
      </c>
      <c r="K272" s="5" t="s">
        <v>2300</v>
      </c>
      <c r="L272" s="5" t="s">
        <v>2302</v>
      </c>
      <c r="M272" s="6">
        <v>299900</v>
      </c>
      <c r="N272" s="7">
        <v>0.9</v>
      </c>
      <c r="O272" s="6">
        <f t="shared" si="8"/>
        <v>29990</v>
      </c>
      <c r="P272" s="5" t="s">
        <v>504</v>
      </c>
    </row>
    <row r="273" spans="1:16" x14ac:dyDescent="0.35">
      <c r="A273" s="5" t="str">
        <f t="shared" si="9"/>
        <v>2021 ALL D90</v>
      </c>
      <c r="B273" s="8">
        <f>'ALL 2024 H2 D80'!$B$2</f>
        <v>46114</v>
      </c>
      <c r="C273" s="8">
        <f>'ALL 2024 H2 D80'!$C$2</f>
        <v>46120</v>
      </c>
      <c r="D273" s="5">
        <v>3208</v>
      </c>
      <c r="E273" s="5">
        <v>320</v>
      </c>
      <c r="F273" s="5">
        <v>1</v>
      </c>
      <c r="G273" s="5">
        <v>5</v>
      </c>
      <c r="H273" s="5">
        <v>81044</v>
      </c>
      <c r="I273" s="5" t="s">
        <v>16</v>
      </c>
      <c r="J273" s="5">
        <v>28584721</v>
      </c>
      <c r="K273" s="5" t="s">
        <v>2300</v>
      </c>
      <c r="L273" s="5" t="s">
        <v>2437</v>
      </c>
      <c r="M273" s="6">
        <v>299900</v>
      </c>
      <c r="N273" s="7">
        <v>0.9</v>
      </c>
      <c r="O273" s="6">
        <f t="shared" si="8"/>
        <v>29990</v>
      </c>
      <c r="P273" s="5" t="s">
        <v>504</v>
      </c>
    </row>
    <row r="274" spans="1:16" x14ac:dyDescent="0.35">
      <c r="A274" s="5" t="str">
        <f t="shared" si="9"/>
        <v>2021 ALL D90</v>
      </c>
      <c r="B274" s="8">
        <f>'ALL 2024 H2 D80'!$B$2</f>
        <v>46114</v>
      </c>
      <c r="C274" s="8">
        <f>'ALL 2024 H2 D80'!$C$2</f>
        <v>46120</v>
      </c>
      <c r="D274" s="5">
        <v>3208</v>
      </c>
      <c r="E274" s="5">
        <v>320</v>
      </c>
      <c r="F274" s="5">
        <v>1</v>
      </c>
      <c r="G274" s="5">
        <v>5</v>
      </c>
      <c r="H274" s="5">
        <v>81044</v>
      </c>
      <c r="I274" s="5" t="s">
        <v>16</v>
      </c>
      <c r="J274" s="5">
        <v>28584918</v>
      </c>
      <c r="K274" s="5" t="s">
        <v>2303</v>
      </c>
      <c r="L274" s="5" t="s">
        <v>2304</v>
      </c>
      <c r="M274" s="6">
        <v>259900</v>
      </c>
      <c r="N274" s="7">
        <v>0.9</v>
      </c>
      <c r="O274" s="6">
        <f t="shared" si="8"/>
        <v>25990</v>
      </c>
      <c r="P274" s="5" t="s">
        <v>504</v>
      </c>
    </row>
    <row r="275" spans="1:16" x14ac:dyDescent="0.35">
      <c r="A275" s="5" t="str">
        <f t="shared" si="9"/>
        <v>2021 ALL D90</v>
      </c>
      <c r="B275" s="8">
        <f>'ALL 2024 H2 D80'!$B$2</f>
        <v>46114</v>
      </c>
      <c r="C275" s="8">
        <f>'ALL 2024 H2 D80'!$C$2</f>
        <v>46120</v>
      </c>
      <c r="D275" s="5">
        <v>3208</v>
      </c>
      <c r="E275" s="5">
        <v>320</v>
      </c>
      <c r="F275" s="5">
        <v>1</v>
      </c>
      <c r="G275" s="5">
        <v>5</v>
      </c>
      <c r="H275" s="5">
        <v>81044</v>
      </c>
      <c r="I275" s="5" t="s">
        <v>16</v>
      </c>
      <c r="J275" s="5">
        <v>28584936</v>
      </c>
      <c r="K275" s="5" t="s">
        <v>2303</v>
      </c>
      <c r="L275" s="5" t="s">
        <v>2305</v>
      </c>
      <c r="M275" s="6">
        <v>259900</v>
      </c>
      <c r="N275" s="7">
        <v>0.9</v>
      </c>
      <c r="O275" s="6">
        <f t="shared" si="8"/>
        <v>25990</v>
      </c>
      <c r="P275" s="5" t="s">
        <v>504</v>
      </c>
    </row>
    <row r="276" spans="1:16" x14ac:dyDescent="0.35">
      <c r="A276" s="5" t="str">
        <f t="shared" si="9"/>
        <v>2021 ALL D90</v>
      </c>
      <c r="B276" s="8">
        <f>'ALL 2024 H2 D80'!$B$2</f>
        <v>46114</v>
      </c>
      <c r="C276" s="8">
        <f>'ALL 2024 H2 D80'!$C$2</f>
        <v>46120</v>
      </c>
      <c r="D276" s="5">
        <v>3208</v>
      </c>
      <c r="E276" s="5">
        <v>320</v>
      </c>
      <c r="F276" s="5">
        <v>1</v>
      </c>
      <c r="G276" s="5">
        <v>5</v>
      </c>
      <c r="H276" s="5">
        <v>81044</v>
      </c>
      <c r="I276" s="5" t="s">
        <v>16</v>
      </c>
      <c r="J276" s="5">
        <v>32379463</v>
      </c>
      <c r="K276" s="5" t="s">
        <v>2306</v>
      </c>
      <c r="L276" s="5" t="s">
        <v>2307</v>
      </c>
      <c r="M276" s="6">
        <v>269900</v>
      </c>
      <c r="N276" s="7">
        <v>0.9</v>
      </c>
      <c r="O276" s="6">
        <f t="shared" si="8"/>
        <v>26990</v>
      </c>
      <c r="P276" s="5" t="s">
        <v>504</v>
      </c>
    </row>
    <row r="277" spans="1:16" x14ac:dyDescent="0.35">
      <c r="A277" s="5" t="str">
        <f t="shared" si="9"/>
        <v>2021 ALL D90</v>
      </c>
      <c r="B277" s="8">
        <f>'ALL 2024 H2 D80'!$B$2</f>
        <v>46114</v>
      </c>
      <c r="C277" s="8">
        <f>'ALL 2024 H2 D80'!$C$2</f>
        <v>46120</v>
      </c>
      <c r="D277" s="5">
        <v>3208</v>
      </c>
      <c r="E277" s="5">
        <v>320</v>
      </c>
      <c r="F277" s="5">
        <v>1</v>
      </c>
      <c r="G277" s="5">
        <v>5</v>
      </c>
      <c r="H277" s="5">
        <v>81044</v>
      </c>
      <c r="I277" s="5" t="s">
        <v>16</v>
      </c>
      <c r="J277" s="5">
        <v>32379472</v>
      </c>
      <c r="K277" s="5" t="s">
        <v>2306</v>
      </c>
      <c r="L277" s="5" t="s">
        <v>2308</v>
      </c>
      <c r="M277" s="6">
        <v>269900</v>
      </c>
      <c r="N277" s="7">
        <v>0.9</v>
      </c>
      <c r="O277" s="6">
        <f t="shared" si="8"/>
        <v>26990</v>
      </c>
      <c r="P277" s="5" t="s">
        <v>504</v>
      </c>
    </row>
    <row r="278" spans="1:16" x14ac:dyDescent="0.35">
      <c r="A278" s="5" t="str">
        <f t="shared" si="9"/>
        <v>2021 ALL D90</v>
      </c>
      <c r="B278" s="8">
        <f>'ALL 2024 H2 D80'!$B$2</f>
        <v>46114</v>
      </c>
      <c r="C278" s="8">
        <f>'ALL 2024 H2 D80'!$C$2</f>
        <v>46120</v>
      </c>
      <c r="D278" s="5">
        <v>3208</v>
      </c>
      <c r="E278" s="5">
        <v>320</v>
      </c>
      <c r="F278" s="5">
        <v>1</v>
      </c>
      <c r="G278" s="5">
        <v>5</v>
      </c>
      <c r="H278" s="5">
        <v>81044</v>
      </c>
      <c r="I278" s="5" t="s">
        <v>16</v>
      </c>
      <c r="J278" s="5">
        <v>32379481</v>
      </c>
      <c r="K278" s="5" t="s">
        <v>2306</v>
      </c>
      <c r="L278" s="5" t="s">
        <v>2309</v>
      </c>
      <c r="M278" s="6">
        <v>269900</v>
      </c>
      <c r="N278" s="7">
        <v>0.9</v>
      </c>
      <c r="O278" s="6">
        <f t="shared" si="8"/>
        <v>26990</v>
      </c>
      <c r="P278" s="5" t="s">
        <v>504</v>
      </c>
    </row>
    <row r="279" spans="1:16" x14ac:dyDescent="0.35">
      <c r="A279" s="5" t="str">
        <f t="shared" si="9"/>
        <v>2021 ALL D90</v>
      </c>
      <c r="B279" s="8">
        <f>'ALL 2024 H2 D80'!$B$2</f>
        <v>46114</v>
      </c>
      <c r="C279" s="8">
        <f>'ALL 2024 H2 D80'!$C$2</f>
        <v>46120</v>
      </c>
      <c r="D279" s="5">
        <v>3208</v>
      </c>
      <c r="E279" s="5">
        <v>320</v>
      </c>
      <c r="F279" s="5">
        <v>1</v>
      </c>
      <c r="G279" s="5">
        <v>5</v>
      </c>
      <c r="H279" s="5">
        <v>81044</v>
      </c>
      <c r="I279" s="5" t="s">
        <v>16</v>
      </c>
      <c r="J279" s="5">
        <v>32379490</v>
      </c>
      <c r="K279" s="5" t="s">
        <v>2306</v>
      </c>
      <c r="L279" s="5" t="s">
        <v>2310</v>
      </c>
      <c r="M279" s="6">
        <v>269900</v>
      </c>
      <c r="N279" s="7">
        <v>0.9</v>
      </c>
      <c r="O279" s="6">
        <f t="shared" si="8"/>
        <v>26990</v>
      </c>
      <c r="P279" s="5" t="s">
        <v>504</v>
      </c>
    </row>
    <row r="280" spans="1:16" x14ac:dyDescent="0.35">
      <c r="A280" s="5" t="str">
        <f t="shared" si="9"/>
        <v>2021 ALL D90</v>
      </c>
      <c r="B280" s="8">
        <f>'ALL 2024 H2 D80'!$B$2</f>
        <v>46114</v>
      </c>
      <c r="C280" s="8">
        <f>'ALL 2024 H2 D80'!$C$2</f>
        <v>46120</v>
      </c>
      <c r="D280" s="5">
        <v>3208</v>
      </c>
      <c r="E280" s="5">
        <v>320</v>
      </c>
      <c r="F280" s="5">
        <v>1</v>
      </c>
      <c r="G280" s="5">
        <v>5</v>
      </c>
      <c r="H280" s="5">
        <v>81044</v>
      </c>
      <c r="I280" s="5" t="s">
        <v>16</v>
      </c>
      <c r="J280" s="5">
        <v>32661399</v>
      </c>
      <c r="K280" s="5" t="s">
        <v>2311</v>
      </c>
      <c r="L280" s="5" t="s">
        <v>2312</v>
      </c>
      <c r="M280" s="6">
        <v>279900</v>
      </c>
      <c r="N280" s="7">
        <v>0.9</v>
      </c>
      <c r="O280" s="6">
        <f t="shared" si="8"/>
        <v>27990</v>
      </c>
      <c r="P280" s="5" t="s">
        <v>504</v>
      </c>
    </row>
    <row r="281" spans="1:16" x14ac:dyDescent="0.35">
      <c r="A281" s="5" t="str">
        <f t="shared" si="9"/>
        <v>2021 ALL D90</v>
      </c>
      <c r="B281" s="8">
        <f>'ALL 2024 H2 D80'!$B$2</f>
        <v>46114</v>
      </c>
      <c r="C281" s="8">
        <f>'ALL 2024 H2 D80'!$C$2</f>
        <v>46120</v>
      </c>
      <c r="D281" s="5">
        <v>3208</v>
      </c>
      <c r="E281" s="5">
        <v>320</v>
      </c>
      <c r="F281" s="5">
        <v>1</v>
      </c>
      <c r="G281" s="5">
        <v>5</v>
      </c>
      <c r="H281" s="5">
        <v>81044</v>
      </c>
      <c r="I281" s="5" t="s">
        <v>16</v>
      </c>
      <c r="J281" s="5">
        <v>32661406</v>
      </c>
      <c r="K281" s="5" t="s">
        <v>2311</v>
      </c>
      <c r="L281" s="5" t="s">
        <v>2313</v>
      </c>
      <c r="M281" s="6">
        <v>279900</v>
      </c>
      <c r="N281" s="7">
        <v>0.9</v>
      </c>
      <c r="O281" s="6">
        <f t="shared" si="8"/>
        <v>27990</v>
      </c>
      <c r="P281" s="5" t="s">
        <v>504</v>
      </c>
    </row>
    <row r="282" spans="1:16" x14ac:dyDescent="0.35">
      <c r="A282" s="5" t="str">
        <f t="shared" si="9"/>
        <v>2021 ALL D90</v>
      </c>
      <c r="B282" s="8">
        <f>'ALL 2024 H2 D80'!$B$2</f>
        <v>46114</v>
      </c>
      <c r="C282" s="8">
        <f>'ALL 2024 H2 D80'!$C$2</f>
        <v>46120</v>
      </c>
      <c r="D282" s="5">
        <v>3208</v>
      </c>
      <c r="E282" s="5">
        <v>320</v>
      </c>
      <c r="F282" s="5">
        <v>1</v>
      </c>
      <c r="G282" s="5">
        <v>5</v>
      </c>
      <c r="H282" s="5">
        <v>81044</v>
      </c>
      <c r="I282" s="5" t="s">
        <v>16</v>
      </c>
      <c r="J282" s="5">
        <v>32661460</v>
      </c>
      <c r="K282" s="5" t="s">
        <v>2314</v>
      </c>
      <c r="L282" s="5" t="s">
        <v>2315</v>
      </c>
      <c r="M282" s="6">
        <v>269900</v>
      </c>
      <c r="N282" s="7">
        <v>0.9</v>
      </c>
      <c r="O282" s="6">
        <f t="shared" si="8"/>
        <v>26990</v>
      </c>
      <c r="P282" s="5" t="s">
        <v>504</v>
      </c>
    </row>
    <row r="283" spans="1:16" x14ac:dyDescent="0.35">
      <c r="A283" s="5" t="str">
        <f t="shared" si="9"/>
        <v>2021 ALL D90</v>
      </c>
      <c r="B283" s="8">
        <f>'ALL 2024 H2 D80'!$B$2</f>
        <v>46114</v>
      </c>
      <c r="C283" s="8">
        <f>'ALL 2024 H2 D80'!$C$2</f>
        <v>46120</v>
      </c>
      <c r="D283" s="5">
        <v>3208</v>
      </c>
      <c r="E283" s="5">
        <v>320</v>
      </c>
      <c r="F283" s="5">
        <v>1</v>
      </c>
      <c r="G283" s="5">
        <v>5</v>
      </c>
      <c r="H283" s="5">
        <v>81044</v>
      </c>
      <c r="I283" s="5" t="s">
        <v>16</v>
      </c>
      <c r="J283" s="5">
        <v>32661479</v>
      </c>
      <c r="K283" s="5" t="s">
        <v>2314</v>
      </c>
      <c r="L283" s="5" t="s">
        <v>2316</v>
      </c>
      <c r="M283" s="6">
        <v>269900</v>
      </c>
      <c r="N283" s="7">
        <v>0.9</v>
      </c>
      <c r="O283" s="6">
        <f t="shared" si="8"/>
        <v>26990</v>
      </c>
      <c r="P283" s="5" t="s">
        <v>504</v>
      </c>
    </row>
    <row r="284" spans="1:16" x14ac:dyDescent="0.35">
      <c r="A284" s="5" t="str">
        <f t="shared" si="9"/>
        <v>2021 ALL D90</v>
      </c>
      <c r="B284" s="8">
        <f>'ALL 2024 H2 D80'!$B$2</f>
        <v>46114</v>
      </c>
      <c r="C284" s="8">
        <f>'ALL 2024 H2 D80'!$C$2</f>
        <v>46120</v>
      </c>
      <c r="D284" s="5">
        <v>3208</v>
      </c>
      <c r="E284" s="5">
        <v>320</v>
      </c>
      <c r="F284" s="5">
        <v>1</v>
      </c>
      <c r="G284" s="5">
        <v>5</v>
      </c>
      <c r="H284" s="5">
        <v>81044</v>
      </c>
      <c r="I284" s="5" t="s">
        <v>16</v>
      </c>
      <c r="J284" s="5">
        <v>33321530</v>
      </c>
      <c r="K284" s="5" t="s">
        <v>2317</v>
      </c>
      <c r="L284" s="5" t="s">
        <v>2318</v>
      </c>
      <c r="M284" s="6">
        <v>279900</v>
      </c>
      <c r="N284" s="7">
        <v>0.9</v>
      </c>
      <c r="O284" s="6">
        <f t="shared" si="8"/>
        <v>27990</v>
      </c>
      <c r="P284" s="5" t="s">
        <v>504</v>
      </c>
    </row>
    <row r="285" spans="1:16" x14ac:dyDescent="0.35">
      <c r="A285" s="5" t="str">
        <f t="shared" si="9"/>
        <v>2021 ALL D90</v>
      </c>
      <c r="B285" s="8">
        <f>'ALL 2024 H2 D80'!$B$2</f>
        <v>46114</v>
      </c>
      <c r="C285" s="8">
        <f>'ALL 2024 H2 D80'!$C$2</f>
        <v>46120</v>
      </c>
      <c r="D285" s="5">
        <v>3208</v>
      </c>
      <c r="E285" s="5">
        <v>320</v>
      </c>
      <c r="F285" s="5">
        <v>1</v>
      </c>
      <c r="G285" s="5">
        <v>5</v>
      </c>
      <c r="H285" s="5">
        <v>81044</v>
      </c>
      <c r="I285" s="5" t="s">
        <v>16</v>
      </c>
      <c r="J285" s="5">
        <v>33321558</v>
      </c>
      <c r="K285" s="5" t="s">
        <v>2317</v>
      </c>
      <c r="L285" s="5" t="s">
        <v>2319</v>
      </c>
      <c r="M285" s="6">
        <v>279900</v>
      </c>
      <c r="N285" s="7">
        <v>0.9</v>
      </c>
      <c r="O285" s="6">
        <f t="shared" si="8"/>
        <v>27990</v>
      </c>
      <c r="P285" s="5" t="s">
        <v>504</v>
      </c>
    </row>
    <row r="286" spans="1:16" x14ac:dyDescent="0.35">
      <c r="A286" s="5" t="str">
        <f t="shared" si="9"/>
        <v>2021 ALL D90</v>
      </c>
      <c r="B286" s="8">
        <f>'ALL 2024 H2 D80'!$B$2</f>
        <v>46114</v>
      </c>
      <c r="C286" s="8">
        <f>'ALL 2024 H2 D80'!$C$2</f>
        <v>46120</v>
      </c>
      <c r="D286" s="5">
        <v>3208</v>
      </c>
      <c r="E286" s="5">
        <v>320</v>
      </c>
      <c r="F286" s="5">
        <v>1</v>
      </c>
      <c r="G286" s="5">
        <v>5</v>
      </c>
      <c r="H286" s="5">
        <v>81044</v>
      </c>
      <c r="I286" s="5" t="s">
        <v>16</v>
      </c>
      <c r="J286" s="5">
        <v>33474278</v>
      </c>
      <c r="K286" s="5" t="s">
        <v>2320</v>
      </c>
      <c r="L286" s="5" t="s">
        <v>2321</v>
      </c>
      <c r="M286" s="6">
        <v>209900</v>
      </c>
      <c r="N286" s="7">
        <v>0.9</v>
      </c>
      <c r="O286" s="6">
        <f t="shared" si="8"/>
        <v>20990</v>
      </c>
      <c r="P286" s="5" t="s">
        <v>504</v>
      </c>
    </row>
    <row r="287" spans="1:16" x14ac:dyDescent="0.35">
      <c r="A287" s="5" t="str">
        <f t="shared" si="9"/>
        <v>2021 ALL D90</v>
      </c>
      <c r="B287" s="8">
        <f>'ALL 2024 H2 D80'!$B$2</f>
        <v>46114</v>
      </c>
      <c r="C287" s="8">
        <f>'ALL 2024 H2 D80'!$C$2</f>
        <v>46120</v>
      </c>
      <c r="D287" s="5">
        <v>3208</v>
      </c>
      <c r="E287" s="5">
        <v>320</v>
      </c>
      <c r="F287" s="5">
        <v>1</v>
      </c>
      <c r="G287" s="5">
        <v>5</v>
      </c>
      <c r="H287" s="5">
        <v>81044</v>
      </c>
      <c r="I287" s="5" t="s">
        <v>16</v>
      </c>
      <c r="J287" s="5">
        <v>33474287</v>
      </c>
      <c r="K287" s="5" t="s">
        <v>2320</v>
      </c>
      <c r="L287" s="5" t="s">
        <v>2322</v>
      </c>
      <c r="M287" s="6">
        <v>209900</v>
      </c>
      <c r="N287" s="7">
        <v>0.9</v>
      </c>
      <c r="O287" s="6">
        <f t="shared" si="8"/>
        <v>20990</v>
      </c>
      <c r="P287" s="5" t="s">
        <v>504</v>
      </c>
    </row>
    <row r="288" spans="1:16" x14ac:dyDescent="0.35">
      <c r="A288" s="5" t="str">
        <f t="shared" si="9"/>
        <v>2021 ALL D90</v>
      </c>
      <c r="B288" s="8">
        <f>'ALL 2024 H2 D80'!$B$2</f>
        <v>46114</v>
      </c>
      <c r="C288" s="8">
        <f>'ALL 2024 H2 D80'!$C$2</f>
        <v>46120</v>
      </c>
      <c r="D288" s="5">
        <v>3208</v>
      </c>
      <c r="E288" s="5">
        <v>320</v>
      </c>
      <c r="F288" s="5">
        <v>1</v>
      </c>
      <c r="G288" s="5">
        <v>5</v>
      </c>
      <c r="H288" s="5">
        <v>81495</v>
      </c>
      <c r="I288" s="5" t="s">
        <v>16</v>
      </c>
      <c r="J288" s="5">
        <v>31467977</v>
      </c>
      <c r="K288" s="5" t="s">
        <v>2323</v>
      </c>
      <c r="L288" s="5" t="s">
        <v>2324</v>
      </c>
      <c r="M288" s="6">
        <v>189900</v>
      </c>
      <c r="N288" s="7">
        <v>0.9</v>
      </c>
      <c r="O288" s="6">
        <f t="shared" si="8"/>
        <v>18990</v>
      </c>
      <c r="P288" s="5" t="s">
        <v>504</v>
      </c>
    </row>
    <row r="289" spans="1:16" x14ac:dyDescent="0.35">
      <c r="A289" s="5" t="str">
        <f t="shared" si="9"/>
        <v>2021 ALL D90</v>
      </c>
      <c r="B289" s="8">
        <f>'ALL 2024 H2 D80'!$B$2</f>
        <v>46114</v>
      </c>
      <c r="C289" s="8">
        <f>'ALL 2024 H2 D80'!$C$2</f>
        <v>46120</v>
      </c>
      <c r="D289" s="5">
        <v>3208</v>
      </c>
      <c r="E289" s="5">
        <v>320</v>
      </c>
      <c r="F289" s="5">
        <v>1</v>
      </c>
      <c r="G289" s="5">
        <v>5</v>
      </c>
      <c r="H289" s="5">
        <v>81495</v>
      </c>
      <c r="I289" s="5" t="s">
        <v>16</v>
      </c>
      <c r="J289" s="5">
        <v>32379141</v>
      </c>
      <c r="K289" s="5" t="s">
        <v>2325</v>
      </c>
      <c r="L289" s="5" t="s">
        <v>2326</v>
      </c>
      <c r="M289" s="6">
        <v>199900</v>
      </c>
      <c r="N289" s="7">
        <v>0.9</v>
      </c>
      <c r="O289" s="6">
        <f t="shared" si="8"/>
        <v>19990</v>
      </c>
      <c r="P289" s="5" t="s">
        <v>504</v>
      </c>
    </row>
    <row r="290" spans="1:16" x14ac:dyDescent="0.35">
      <c r="A290" s="5" t="str">
        <f t="shared" si="9"/>
        <v>2021 ALL D90</v>
      </c>
      <c r="B290" s="8">
        <f>'ALL 2024 H2 D80'!$B$2</f>
        <v>46114</v>
      </c>
      <c r="C290" s="8">
        <f>'ALL 2024 H2 D80'!$C$2</f>
        <v>46120</v>
      </c>
      <c r="D290" s="5">
        <v>3208</v>
      </c>
      <c r="E290" s="5">
        <v>320</v>
      </c>
      <c r="F290" s="5">
        <v>1</v>
      </c>
      <c r="G290" s="5">
        <v>5</v>
      </c>
      <c r="H290" s="5">
        <v>81495</v>
      </c>
      <c r="I290" s="5" t="s">
        <v>16</v>
      </c>
      <c r="J290" s="5">
        <v>32379150</v>
      </c>
      <c r="K290" s="5" t="s">
        <v>2325</v>
      </c>
      <c r="L290" s="5" t="s">
        <v>2327</v>
      </c>
      <c r="M290" s="6">
        <v>199900</v>
      </c>
      <c r="N290" s="7">
        <v>0.9</v>
      </c>
      <c r="O290" s="6">
        <f t="shared" si="8"/>
        <v>19990</v>
      </c>
      <c r="P290" s="5" t="s">
        <v>504</v>
      </c>
    </row>
    <row r="291" spans="1:16" x14ac:dyDescent="0.35">
      <c r="A291" s="5" t="str">
        <f t="shared" si="9"/>
        <v>2021 ALL D90</v>
      </c>
      <c r="B291" s="8">
        <f>'ALL 2024 H2 D80'!$B$2</f>
        <v>46114</v>
      </c>
      <c r="C291" s="8">
        <f>'ALL 2024 H2 D80'!$C$2</f>
        <v>46120</v>
      </c>
      <c r="D291" s="5">
        <v>3208</v>
      </c>
      <c r="E291" s="5">
        <v>320</v>
      </c>
      <c r="F291" s="5">
        <v>1</v>
      </c>
      <c r="G291" s="5">
        <v>5</v>
      </c>
      <c r="H291" s="5">
        <v>81495</v>
      </c>
      <c r="I291" s="5" t="s">
        <v>16</v>
      </c>
      <c r="J291" s="5">
        <v>32379392</v>
      </c>
      <c r="K291" s="5" t="s">
        <v>2328</v>
      </c>
      <c r="L291" s="5" t="s">
        <v>2329</v>
      </c>
      <c r="M291" s="6">
        <v>229900</v>
      </c>
      <c r="N291" s="7">
        <v>0.9</v>
      </c>
      <c r="O291" s="6">
        <f t="shared" si="8"/>
        <v>22990</v>
      </c>
      <c r="P291" s="5" t="s">
        <v>504</v>
      </c>
    </row>
    <row r="292" spans="1:16" x14ac:dyDescent="0.35">
      <c r="A292" s="5" t="str">
        <f t="shared" si="9"/>
        <v>2021 ALL D90</v>
      </c>
      <c r="B292" s="8">
        <f>'ALL 2024 H2 D80'!$B$2</f>
        <v>46114</v>
      </c>
      <c r="C292" s="8">
        <f>'ALL 2024 H2 D80'!$C$2</f>
        <v>46120</v>
      </c>
      <c r="D292" s="5">
        <v>3208</v>
      </c>
      <c r="E292" s="5">
        <v>320</v>
      </c>
      <c r="F292" s="5">
        <v>1</v>
      </c>
      <c r="G292" s="5">
        <v>5</v>
      </c>
      <c r="H292" s="5">
        <v>81495</v>
      </c>
      <c r="I292" s="5" t="s">
        <v>16</v>
      </c>
      <c r="J292" s="5">
        <v>32379418</v>
      </c>
      <c r="K292" s="5" t="s">
        <v>2328</v>
      </c>
      <c r="L292" s="5" t="s">
        <v>2330</v>
      </c>
      <c r="M292" s="6">
        <v>229900</v>
      </c>
      <c r="N292" s="7">
        <v>0.9</v>
      </c>
      <c r="O292" s="6">
        <f t="shared" si="8"/>
        <v>22990</v>
      </c>
      <c r="P292" s="5" t="s">
        <v>504</v>
      </c>
    </row>
    <row r="293" spans="1:16" x14ac:dyDescent="0.35">
      <c r="A293" s="5" t="str">
        <f t="shared" si="9"/>
        <v>2021 ALL D90</v>
      </c>
      <c r="B293" s="8">
        <f>'ALL 2024 H2 D80'!$B$2</f>
        <v>46114</v>
      </c>
      <c r="C293" s="8">
        <f>'ALL 2024 H2 D80'!$C$2</f>
        <v>46120</v>
      </c>
      <c r="D293" s="5">
        <v>3208</v>
      </c>
      <c r="E293" s="5">
        <v>320</v>
      </c>
      <c r="F293" s="5">
        <v>1</v>
      </c>
      <c r="G293" s="5">
        <v>5</v>
      </c>
      <c r="H293" s="5">
        <v>81495</v>
      </c>
      <c r="I293" s="5" t="s">
        <v>16</v>
      </c>
      <c r="J293" s="5">
        <v>32661013</v>
      </c>
      <c r="K293" s="5" t="s">
        <v>2331</v>
      </c>
      <c r="L293" s="5" t="s">
        <v>2332</v>
      </c>
      <c r="M293" s="6">
        <v>249900</v>
      </c>
      <c r="N293" s="7">
        <v>0.9</v>
      </c>
      <c r="O293" s="6">
        <f t="shared" si="8"/>
        <v>24990</v>
      </c>
      <c r="P293" s="5" t="s">
        <v>504</v>
      </c>
    </row>
    <row r="294" spans="1:16" x14ac:dyDescent="0.35">
      <c r="A294" s="5" t="str">
        <f t="shared" si="9"/>
        <v>2021 ALL D90</v>
      </c>
      <c r="B294" s="8">
        <f>'ALL 2024 H2 D80'!$B$2</f>
        <v>46114</v>
      </c>
      <c r="C294" s="8">
        <f>'ALL 2024 H2 D80'!$C$2</f>
        <v>46120</v>
      </c>
      <c r="D294" s="5">
        <v>3208</v>
      </c>
      <c r="E294" s="5">
        <v>320</v>
      </c>
      <c r="F294" s="5">
        <v>1</v>
      </c>
      <c r="G294" s="5">
        <v>5</v>
      </c>
      <c r="H294" s="5">
        <v>81495</v>
      </c>
      <c r="I294" s="5" t="s">
        <v>16</v>
      </c>
      <c r="J294" s="5">
        <v>32661031</v>
      </c>
      <c r="K294" s="5" t="s">
        <v>2331</v>
      </c>
      <c r="L294" s="5" t="s">
        <v>2333</v>
      </c>
      <c r="M294" s="6">
        <v>249900</v>
      </c>
      <c r="N294" s="7">
        <v>0.9</v>
      </c>
      <c r="O294" s="6">
        <f t="shared" si="8"/>
        <v>24990</v>
      </c>
      <c r="P294" s="5" t="s">
        <v>504</v>
      </c>
    </row>
    <row r="295" spans="1:16" x14ac:dyDescent="0.35">
      <c r="A295" s="5" t="str">
        <f t="shared" si="9"/>
        <v>2021 ALL D90</v>
      </c>
      <c r="B295" s="8">
        <f>'ALL 2024 H2 D80'!$B$2</f>
        <v>46114</v>
      </c>
      <c r="C295" s="8">
        <f>'ALL 2024 H2 D80'!$C$2</f>
        <v>46120</v>
      </c>
      <c r="D295" s="5">
        <v>3208</v>
      </c>
      <c r="E295" s="5">
        <v>320</v>
      </c>
      <c r="F295" s="5">
        <v>1</v>
      </c>
      <c r="G295" s="5">
        <v>5</v>
      </c>
      <c r="H295" s="5">
        <v>81495</v>
      </c>
      <c r="I295" s="5" t="s">
        <v>16</v>
      </c>
      <c r="J295" s="5">
        <v>33474107</v>
      </c>
      <c r="K295" s="5" t="s">
        <v>2334</v>
      </c>
      <c r="L295" s="5" t="s">
        <v>2335</v>
      </c>
      <c r="M295" s="6">
        <v>249900</v>
      </c>
      <c r="N295" s="7">
        <v>0.9</v>
      </c>
      <c r="O295" s="6">
        <f t="shared" si="8"/>
        <v>24990</v>
      </c>
      <c r="P295" s="5" t="s">
        <v>504</v>
      </c>
    </row>
    <row r="296" spans="1:16" x14ac:dyDescent="0.35">
      <c r="A296" s="5" t="str">
        <f t="shared" si="9"/>
        <v>2021 ALL D90</v>
      </c>
      <c r="B296" s="8">
        <f>'ALL 2024 H2 D80'!$B$2</f>
        <v>46114</v>
      </c>
      <c r="C296" s="8">
        <f>'ALL 2024 H2 D80'!$C$2</f>
        <v>46120</v>
      </c>
      <c r="D296" s="5">
        <v>3208</v>
      </c>
      <c r="E296" s="5">
        <v>320</v>
      </c>
      <c r="F296" s="5">
        <v>1</v>
      </c>
      <c r="G296" s="5">
        <v>5</v>
      </c>
      <c r="H296" s="5">
        <v>81495</v>
      </c>
      <c r="I296" s="5" t="s">
        <v>16</v>
      </c>
      <c r="J296" s="5">
        <v>33474125</v>
      </c>
      <c r="K296" s="5" t="s">
        <v>2334</v>
      </c>
      <c r="L296" s="5" t="s">
        <v>2336</v>
      </c>
      <c r="M296" s="6">
        <v>249900</v>
      </c>
      <c r="N296" s="7">
        <v>0.9</v>
      </c>
      <c r="O296" s="6">
        <f t="shared" si="8"/>
        <v>24990</v>
      </c>
      <c r="P296" s="5" t="s">
        <v>504</v>
      </c>
    </row>
    <row r="297" spans="1:16" x14ac:dyDescent="0.35">
      <c r="A297" s="5" t="str">
        <f t="shared" si="9"/>
        <v>2021 ALL D90</v>
      </c>
      <c r="B297" s="8">
        <f>'ALL 2024 H2 D80'!$B$2</f>
        <v>46114</v>
      </c>
      <c r="C297" s="8">
        <f>'ALL 2024 H2 D80'!$C$2</f>
        <v>46120</v>
      </c>
      <c r="D297" s="5">
        <v>3208</v>
      </c>
      <c r="E297" s="5">
        <v>320</v>
      </c>
      <c r="F297" s="5">
        <v>1</v>
      </c>
      <c r="G297" s="5">
        <v>5</v>
      </c>
      <c r="H297" s="5">
        <v>81495</v>
      </c>
      <c r="I297" s="5" t="s">
        <v>16</v>
      </c>
      <c r="J297" s="5">
        <v>33474134</v>
      </c>
      <c r="K297" s="5" t="s">
        <v>2334</v>
      </c>
      <c r="L297" s="5" t="s">
        <v>2337</v>
      </c>
      <c r="M297" s="6">
        <v>249900</v>
      </c>
      <c r="N297" s="7">
        <v>0.9</v>
      </c>
      <c r="O297" s="6">
        <f t="shared" si="8"/>
        <v>24990</v>
      </c>
      <c r="P297" s="5" t="s">
        <v>504</v>
      </c>
    </row>
    <row r="298" spans="1:16" x14ac:dyDescent="0.35">
      <c r="A298" s="5" t="str">
        <f t="shared" si="9"/>
        <v>2021 ALL D90</v>
      </c>
      <c r="B298" s="8">
        <f>'ALL 2024 H2 D80'!$B$2</f>
        <v>46114</v>
      </c>
      <c r="C298" s="8">
        <f>'ALL 2024 H2 D80'!$C$2</f>
        <v>46120</v>
      </c>
      <c r="D298" s="5">
        <v>3208</v>
      </c>
      <c r="E298" s="5">
        <v>320</v>
      </c>
      <c r="F298" s="5">
        <v>1</v>
      </c>
      <c r="G298" s="5">
        <v>5</v>
      </c>
      <c r="H298" s="5">
        <v>81495</v>
      </c>
      <c r="I298" s="5" t="s">
        <v>16</v>
      </c>
      <c r="J298" s="5">
        <v>33474232</v>
      </c>
      <c r="K298" s="5" t="s">
        <v>2338</v>
      </c>
      <c r="L298" s="5" t="s">
        <v>2339</v>
      </c>
      <c r="M298" s="6">
        <v>199900</v>
      </c>
      <c r="N298" s="7">
        <v>0.9</v>
      </c>
      <c r="O298" s="6">
        <f t="shared" si="8"/>
        <v>19990</v>
      </c>
      <c r="P298" s="5" t="s">
        <v>504</v>
      </c>
    </row>
    <row r="299" spans="1:16" x14ac:dyDescent="0.35">
      <c r="A299" s="5" t="str">
        <f t="shared" si="9"/>
        <v>2021 ALL D90</v>
      </c>
      <c r="B299" s="8">
        <f>'ALL 2024 H2 D80'!$B$2</f>
        <v>46114</v>
      </c>
      <c r="C299" s="8">
        <f>'ALL 2024 H2 D80'!$C$2</f>
        <v>46120</v>
      </c>
      <c r="D299" s="5">
        <v>3208</v>
      </c>
      <c r="E299" s="5">
        <v>320</v>
      </c>
      <c r="F299" s="5">
        <v>1</v>
      </c>
      <c r="G299" s="5">
        <v>5</v>
      </c>
      <c r="H299" s="5">
        <v>81495</v>
      </c>
      <c r="I299" s="5" t="s">
        <v>16</v>
      </c>
      <c r="J299" s="5">
        <v>33474250</v>
      </c>
      <c r="K299" s="5" t="s">
        <v>2338</v>
      </c>
      <c r="L299" s="5" t="s">
        <v>2340</v>
      </c>
      <c r="M299" s="6">
        <v>199900</v>
      </c>
      <c r="N299" s="7">
        <v>0.9</v>
      </c>
      <c r="O299" s="6">
        <f t="shared" si="8"/>
        <v>19990</v>
      </c>
      <c r="P299" s="5" t="s">
        <v>504</v>
      </c>
    </row>
    <row r="300" spans="1:16" x14ac:dyDescent="0.35">
      <c r="A300" s="5" t="str">
        <f t="shared" si="9"/>
        <v>2021 ALL D90</v>
      </c>
      <c r="B300" s="8">
        <f>'ALL 2024 H2 D80'!$B$2</f>
        <v>46114</v>
      </c>
      <c r="C300" s="8">
        <f>'ALL 2024 H2 D80'!$C$2</f>
        <v>46120</v>
      </c>
      <c r="D300" s="5">
        <v>3208</v>
      </c>
      <c r="E300" s="5">
        <v>320</v>
      </c>
      <c r="F300" s="5">
        <v>1</v>
      </c>
      <c r="G300" s="5">
        <v>5</v>
      </c>
      <c r="H300" s="5">
        <v>81406</v>
      </c>
      <c r="I300" s="5" t="s">
        <v>16</v>
      </c>
      <c r="J300" s="5">
        <v>33474189</v>
      </c>
      <c r="K300" s="5" t="s">
        <v>2341</v>
      </c>
      <c r="L300" s="5" t="s">
        <v>2342</v>
      </c>
      <c r="M300" s="6">
        <v>319900</v>
      </c>
      <c r="N300" s="7">
        <v>0.9</v>
      </c>
      <c r="O300" s="6">
        <f t="shared" si="8"/>
        <v>31990</v>
      </c>
      <c r="P300" s="5" t="s">
        <v>504</v>
      </c>
    </row>
    <row r="301" spans="1:16" x14ac:dyDescent="0.35">
      <c r="A301" s="5" t="str">
        <f t="shared" si="9"/>
        <v>2021 ALL D90</v>
      </c>
      <c r="B301" s="8">
        <f>'ALL 2024 H2 D80'!$B$2</f>
        <v>46114</v>
      </c>
      <c r="C301" s="8">
        <f>'ALL 2024 H2 D80'!$C$2</f>
        <v>46120</v>
      </c>
      <c r="D301" s="5">
        <v>3208</v>
      </c>
      <c r="E301" s="5">
        <v>320</v>
      </c>
      <c r="F301" s="5">
        <v>1</v>
      </c>
      <c r="G301" s="5">
        <v>5</v>
      </c>
      <c r="H301" s="5">
        <v>81406</v>
      </c>
      <c r="I301" s="5" t="s">
        <v>16</v>
      </c>
      <c r="J301" s="5">
        <v>33474198</v>
      </c>
      <c r="K301" s="5" t="s">
        <v>2341</v>
      </c>
      <c r="L301" s="5" t="s">
        <v>2343</v>
      </c>
      <c r="M301" s="6">
        <v>319900</v>
      </c>
      <c r="N301" s="7">
        <v>0.9</v>
      </c>
      <c r="O301" s="6">
        <f t="shared" si="8"/>
        <v>31990</v>
      </c>
      <c r="P301" s="5" t="s">
        <v>504</v>
      </c>
    </row>
    <row r="302" spans="1:16" x14ac:dyDescent="0.35">
      <c r="A302" s="5" t="str">
        <f t="shared" si="9"/>
        <v>2021 ALL D90</v>
      </c>
      <c r="B302" s="8">
        <f>'ALL 2024 H2 D80'!$B$2</f>
        <v>46114</v>
      </c>
      <c r="C302" s="8">
        <f>'ALL 2024 H2 D80'!$C$2</f>
        <v>46120</v>
      </c>
      <c r="D302" s="5">
        <v>3208</v>
      </c>
      <c r="E302" s="5">
        <v>320</v>
      </c>
      <c r="F302" s="5">
        <v>1</v>
      </c>
      <c r="G302" s="5">
        <v>5</v>
      </c>
      <c r="H302" s="5">
        <v>81406</v>
      </c>
      <c r="I302" s="5" t="s">
        <v>16</v>
      </c>
      <c r="J302" s="5">
        <v>33474205</v>
      </c>
      <c r="K302" s="5" t="s">
        <v>2341</v>
      </c>
      <c r="L302" s="5" t="s">
        <v>2344</v>
      </c>
      <c r="M302" s="6">
        <v>319900</v>
      </c>
      <c r="N302" s="7">
        <v>0.9</v>
      </c>
      <c r="O302" s="6">
        <f t="shared" si="8"/>
        <v>31990</v>
      </c>
      <c r="P302" s="5" t="s">
        <v>504</v>
      </c>
    </row>
    <row r="303" spans="1:16" x14ac:dyDescent="0.35">
      <c r="A303" s="5" t="str">
        <f t="shared" si="9"/>
        <v>2021 ALL D90</v>
      </c>
      <c r="B303" s="8">
        <f>'ALL 2024 H2 D80'!$B$2</f>
        <v>46114</v>
      </c>
      <c r="C303" s="8">
        <f>'ALL 2024 H2 D80'!$C$2</f>
        <v>46120</v>
      </c>
      <c r="D303" s="5">
        <v>3208</v>
      </c>
      <c r="E303" s="5">
        <v>320</v>
      </c>
      <c r="F303" s="5">
        <v>1</v>
      </c>
      <c r="G303" s="5">
        <v>5</v>
      </c>
      <c r="H303" s="5">
        <v>81406</v>
      </c>
      <c r="I303" s="5" t="s">
        <v>16</v>
      </c>
      <c r="J303" s="5">
        <v>33474214</v>
      </c>
      <c r="K303" s="5" t="s">
        <v>2341</v>
      </c>
      <c r="L303" s="5" t="s">
        <v>2345</v>
      </c>
      <c r="M303" s="6">
        <v>319900</v>
      </c>
      <c r="N303" s="7">
        <v>0.9</v>
      </c>
      <c r="O303" s="6">
        <f t="shared" si="8"/>
        <v>31990</v>
      </c>
      <c r="P303" s="5" t="s">
        <v>504</v>
      </c>
    </row>
    <row r="304" spans="1:16" x14ac:dyDescent="0.35">
      <c r="A304" s="5" t="str">
        <f t="shared" si="9"/>
        <v>2021 ALL D90</v>
      </c>
      <c r="B304" s="8">
        <f>'ALL 2024 H2 D80'!$B$2</f>
        <v>46114</v>
      </c>
      <c r="C304" s="8">
        <f>'ALL 2024 H2 D80'!$C$2</f>
        <v>46120</v>
      </c>
      <c r="D304" s="5">
        <v>3208</v>
      </c>
      <c r="E304" s="5">
        <v>320</v>
      </c>
      <c r="F304" s="5">
        <v>1</v>
      </c>
      <c r="G304" s="5">
        <v>5</v>
      </c>
      <c r="H304" s="5">
        <v>81626</v>
      </c>
      <c r="I304" s="5" t="s">
        <v>16</v>
      </c>
      <c r="J304" s="5">
        <v>26688248</v>
      </c>
      <c r="K304" s="5" t="s">
        <v>2346</v>
      </c>
      <c r="L304" s="5" t="s">
        <v>2347</v>
      </c>
      <c r="M304" s="6">
        <v>229900</v>
      </c>
      <c r="N304" s="7">
        <v>0.9</v>
      </c>
      <c r="O304" s="6">
        <f t="shared" si="8"/>
        <v>22990</v>
      </c>
      <c r="P304" s="5" t="s">
        <v>504</v>
      </c>
    </row>
    <row r="305" spans="1:16" x14ac:dyDescent="0.35">
      <c r="A305" s="5" t="str">
        <f t="shared" si="9"/>
        <v>2021 ALL D90</v>
      </c>
      <c r="B305" s="8">
        <f>'ALL 2024 H2 D80'!$B$2</f>
        <v>46114</v>
      </c>
      <c r="C305" s="8">
        <f>'ALL 2024 H2 D80'!$C$2</f>
        <v>46120</v>
      </c>
      <c r="D305" s="5">
        <v>3208</v>
      </c>
      <c r="E305" s="5">
        <v>320</v>
      </c>
      <c r="F305" s="5">
        <v>1</v>
      </c>
      <c r="G305" s="5">
        <v>5</v>
      </c>
      <c r="H305" s="5">
        <v>81626</v>
      </c>
      <c r="I305" s="5" t="s">
        <v>16</v>
      </c>
      <c r="J305" s="5">
        <v>26688266</v>
      </c>
      <c r="K305" s="5" t="s">
        <v>2346</v>
      </c>
      <c r="L305" s="5" t="s">
        <v>2348</v>
      </c>
      <c r="M305" s="6">
        <v>229900</v>
      </c>
      <c r="N305" s="7">
        <v>0.9</v>
      </c>
      <c r="O305" s="6">
        <f t="shared" si="8"/>
        <v>22990</v>
      </c>
      <c r="P305" s="5" t="s">
        <v>504</v>
      </c>
    </row>
    <row r="306" spans="1:16" x14ac:dyDescent="0.35">
      <c r="A306" s="5" t="str">
        <f t="shared" si="9"/>
        <v>2021 ALL D90</v>
      </c>
      <c r="B306" s="8">
        <f>'ALL 2024 H2 D80'!$B$2</f>
        <v>46114</v>
      </c>
      <c r="C306" s="8">
        <f>'ALL 2024 H2 D80'!$C$2</f>
        <v>46120</v>
      </c>
      <c r="D306" s="5">
        <v>3208</v>
      </c>
      <c r="E306" s="5">
        <v>320</v>
      </c>
      <c r="F306" s="5">
        <v>1</v>
      </c>
      <c r="G306" s="5">
        <v>5</v>
      </c>
      <c r="H306" s="5">
        <v>81626</v>
      </c>
      <c r="I306" s="5" t="s">
        <v>16</v>
      </c>
      <c r="J306" s="5">
        <v>26688275</v>
      </c>
      <c r="K306" s="5" t="s">
        <v>2346</v>
      </c>
      <c r="L306" s="5" t="s">
        <v>2349</v>
      </c>
      <c r="M306" s="6">
        <v>229900</v>
      </c>
      <c r="N306" s="7">
        <v>0.9</v>
      </c>
      <c r="O306" s="6">
        <f t="shared" si="8"/>
        <v>22990</v>
      </c>
      <c r="P306" s="5" t="s">
        <v>504</v>
      </c>
    </row>
    <row r="307" spans="1:16" x14ac:dyDescent="0.35">
      <c r="A307" s="5" t="str">
        <f t="shared" si="9"/>
        <v>2021 ALL D90</v>
      </c>
      <c r="B307" s="8">
        <f>'ALL 2024 H2 D80'!$B$2</f>
        <v>46114</v>
      </c>
      <c r="C307" s="8">
        <f>'ALL 2024 H2 D80'!$C$2</f>
        <v>46120</v>
      </c>
      <c r="D307" s="5">
        <v>3208</v>
      </c>
      <c r="E307" s="5">
        <v>320</v>
      </c>
      <c r="F307" s="5">
        <v>1</v>
      </c>
      <c r="G307" s="5">
        <v>5</v>
      </c>
      <c r="H307" s="5">
        <v>81626</v>
      </c>
      <c r="I307" s="5" t="s">
        <v>16</v>
      </c>
      <c r="J307" s="5">
        <v>26688293</v>
      </c>
      <c r="K307" s="5" t="s">
        <v>2346</v>
      </c>
      <c r="L307" s="5" t="s">
        <v>3632</v>
      </c>
      <c r="M307" s="6">
        <v>229900</v>
      </c>
      <c r="N307" s="7">
        <v>0.9</v>
      </c>
      <c r="O307" s="6">
        <f t="shared" si="8"/>
        <v>22990</v>
      </c>
      <c r="P307" s="5" t="s">
        <v>504</v>
      </c>
    </row>
    <row r="308" spans="1:16" x14ac:dyDescent="0.35">
      <c r="A308" s="5" t="str">
        <f t="shared" si="9"/>
        <v>2021 ALL D90</v>
      </c>
      <c r="B308" s="8">
        <f>'ALL 2024 H2 D80'!$B$2</f>
        <v>46114</v>
      </c>
      <c r="C308" s="8">
        <f>'ALL 2024 H2 D80'!$C$2</f>
        <v>46120</v>
      </c>
      <c r="D308" s="5">
        <v>3208</v>
      </c>
      <c r="E308" s="5">
        <v>320</v>
      </c>
      <c r="F308" s="5">
        <v>1</v>
      </c>
      <c r="G308" s="5">
        <v>5</v>
      </c>
      <c r="H308" s="5">
        <v>81626</v>
      </c>
      <c r="I308" s="5" t="s">
        <v>16</v>
      </c>
      <c r="J308" s="5">
        <v>26688300</v>
      </c>
      <c r="K308" s="5" t="s">
        <v>2346</v>
      </c>
      <c r="L308" s="5" t="s">
        <v>2350</v>
      </c>
      <c r="M308" s="6">
        <v>229900</v>
      </c>
      <c r="N308" s="7">
        <v>0.9</v>
      </c>
      <c r="O308" s="6">
        <f t="shared" si="8"/>
        <v>22990</v>
      </c>
      <c r="P308" s="5" t="s">
        <v>504</v>
      </c>
    </row>
    <row r="309" spans="1:16" x14ac:dyDescent="0.35">
      <c r="A309" s="5" t="str">
        <f t="shared" si="9"/>
        <v>2021 ALL D90</v>
      </c>
      <c r="B309" s="8">
        <f>'ALL 2024 H2 D80'!$B$2</f>
        <v>46114</v>
      </c>
      <c r="C309" s="8">
        <f>'ALL 2024 H2 D80'!$C$2</f>
        <v>46120</v>
      </c>
      <c r="D309" s="5">
        <v>3208</v>
      </c>
      <c r="E309" s="5">
        <v>320</v>
      </c>
      <c r="F309" s="5">
        <v>1</v>
      </c>
      <c r="G309" s="5">
        <v>5</v>
      </c>
      <c r="H309" s="5">
        <v>81626</v>
      </c>
      <c r="I309" s="5" t="s">
        <v>16</v>
      </c>
      <c r="J309" s="5">
        <v>27061510</v>
      </c>
      <c r="K309" s="5" t="s">
        <v>2351</v>
      </c>
      <c r="L309" s="5" t="s">
        <v>2352</v>
      </c>
      <c r="M309" s="6">
        <v>249900</v>
      </c>
      <c r="N309" s="7">
        <v>0.9</v>
      </c>
      <c r="O309" s="6">
        <f t="shared" si="8"/>
        <v>24990</v>
      </c>
      <c r="P309" s="5" t="s">
        <v>504</v>
      </c>
    </row>
    <row r="310" spans="1:16" x14ac:dyDescent="0.35">
      <c r="A310" s="5" t="str">
        <f t="shared" si="9"/>
        <v>2021 ALL D90</v>
      </c>
      <c r="B310" s="8">
        <f>'ALL 2024 H2 D80'!$B$2</f>
        <v>46114</v>
      </c>
      <c r="C310" s="8">
        <f>'ALL 2024 H2 D80'!$C$2</f>
        <v>46120</v>
      </c>
      <c r="D310" s="5">
        <v>3208</v>
      </c>
      <c r="E310" s="5">
        <v>320</v>
      </c>
      <c r="F310" s="5">
        <v>1</v>
      </c>
      <c r="G310" s="5">
        <v>5</v>
      </c>
      <c r="H310" s="5">
        <v>81626</v>
      </c>
      <c r="I310" s="5" t="s">
        <v>16</v>
      </c>
      <c r="J310" s="5">
        <v>27061529</v>
      </c>
      <c r="K310" s="5" t="s">
        <v>2351</v>
      </c>
      <c r="L310" s="5" t="s">
        <v>2353</v>
      </c>
      <c r="M310" s="6">
        <v>249900</v>
      </c>
      <c r="N310" s="7">
        <v>0.9</v>
      </c>
      <c r="O310" s="6">
        <f t="shared" si="8"/>
        <v>24990</v>
      </c>
      <c r="P310" s="5" t="s">
        <v>504</v>
      </c>
    </row>
    <row r="311" spans="1:16" x14ac:dyDescent="0.35">
      <c r="A311" s="5" t="str">
        <f t="shared" si="9"/>
        <v>2021 ALL D90</v>
      </c>
      <c r="B311" s="8">
        <f>'ALL 2024 H2 D80'!$B$2</f>
        <v>46114</v>
      </c>
      <c r="C311" s="8">
        <f>'ALL 2024 H2 D80'!$C$2</f>
        <v>46120</v>
      </c>
      <c r="D311" s="5">
        <v>3208</v>
      </c>
      <c r="E311" s="5">
        <v>320</v>
      </c>
      <c r="F311" s="5">
        <v>1</v>
      </c>
      <c r="G311" s="5">
        <v>5</v>
      </c>
      <c r="H311" s="5">
        <v>81626</v>
      </c>
      <c r="I311" s="5" t="s">
        <v>16</v>
      </c>
      <c r="J311" s="5">
        <v>28312265</v>
      </c>
      <c r="K311" s="5" t="s">
        <v>2354</v>
      </c>
      <c r="L311" s="5" t="s">
        <v>3633</v>
      </c>
      <c r="M311" s="6">
        <v>229900</v>
      </c>
      <c r="N311" s="7">
        <v>0.9</v>
      </c>
      <c r="O311" s="6">
        <f t="shared" si="8"/>
        <v>22990</v>
      </c>
      <c r="P311" s="5" t="s">
        <v>504</v>
      </c>
    </row>
    <row r="312" spans="1:16" x14ac:dyDescent="0.35">
      <c r="A312" s="5" t="str">
        <f t="shared" si="9"/>
        <v>2021 ALL D90</v>
      </c>
      <c r="B312" s="8">
        <f>'ALL 2024 H2 D80'!$B$2</f>
        <v>46114</v>
      </c>
      <c r="C312" s="8">
        <f>'ALL 2024 H2 D80'!$C$2</f>
        <v>46120</v>
      </c>
      <c r="D312" s="5">
        <v>3208</v>
      </c>
      <c r="E312" s="5">
        <v>320</v>
      </c>
      <c r="F312" s="5">
        <v>1</v>
      </c>
      <c r="G312" s="5">
        <v>5</v>
      </c>
      <c r="H312" s="5">
        <v>81626</v>
      </c>
      <c r="I312" s="5" t="s">
        <v>16</v>
      </c>
      <c r="J312" s="5">
        <v>28312416</v>
      </c>
      <c r="K312" s="5" t="s">
        <v>2355</v>
      </c>
      <c r="L312" s="5" t="s">
        <v>2356</v>
      </c>
      <c r="M312" s="6">
        <v>229900</v>
      </c>
      <c r="N312" s="7">
        <v>0.9</v>
      </c>
      <c r="O312" s="6">
        <f t="shared" si="8"/>
        <v>22990</v>
      </c>
      <c r="P312" s="5" t="s">
        <v>504</v>
      </c>
    </row>
    <row r="313" spans="1:16" x14ac:dyDescent="0.35">
      <c r="A313" s="5" t="str">
        <f t="shared" si="9"/>
        <v>2021 ALL D90</v>
      </c>
      <c r="B313" s="8">
        <f>'ALL 2024 H2 D80'!$B$2</f>
        <v>46114</v>
      </c>
      <c r="C313" s="8">
        <f>'ALL 2024 H2 D80'!$C$2</f>
        <v>46120</v>
      </c>
      <c r="D313" s="5">
        <v>3208</v>
      </c>
      <c r="E313" s="5">
        <v>320</v>
      </c>
      <c r="F313" s="5">
        <v>1</v>
      </c>
      <c r="G313" s="5">
        <v>5</v>
      </c>
      <c r="H313" s="5">
        <v>81626</v>
      </c>
      <c r="I313" s="5" t="s">
        <v>16</v>
      </c>
      <c r="J313" s="5">
        <v>28312425</v>
      </c>
      <c r="K313" s="5" t="s">
        <v>2357</v>
      </c>
      <c r="L313" s="5" t="s">
        <v>2358</v>
      </c>
      <c r="M313" s="6">
        <v>249900</v>
      </c>
      <c r="N313" s="7">
        <v>0.9</v>
      </c>
      <c r="O313" s="6">
        <f t="shared" si="8"/>
        <v>24990</v>
      </c>
      <c r="P313" s="5" t="s">
        <v>504</v>
      </c>
    </row>
    <row r="314" spans="1:16" x14ac:dyDescent="0.35">
      <c r="A314" s="5" t="str">
        <f t="shared" si="9"/>
        <v>2021 ALL D90</v>
      </c>
      <c r="B314" s="8">
        <f>'ALL 2024 H2 D80'!$B$2</f>
        <v>46114</v>
      </c>
      <c r="C314" s="8">
        <f>'ALL 2024 H2 D80'!$C$2</f>
        <v>46120</v>
      </c>
      <c r="D314" s="5">
        <v>3208</v>
      </c>
      <c r="E314" s="5">
        <v>320</v>
      </c>
      <c r="F314" s="5">
        <v>1</v>
      </c>
      <c r="G314" s="5">
        <v>5</v>
      </c>
      <c r="H314" s="5">
        <v>81626</v>
      </c>
      <c r="I314" s="5" t="s">
        <v>16</v>
      </c>
      <c r="J314" s="5">
        <v>28312452</v>
      </c>
      <c r="K314" s="5" t="s">
        <v>2357</v>
      </c>
      <c r="L314" s="5" t="s">
        <v>2359</v>
      </c>
      <c r="M314" s="6">
        <v>249900</v>
      </c>
      <c r="N314" s="7">
        <v>0.9</v>
      </c>
      <c r="O314" s="6">
        <f t="shared" si="8"/>
        <v>24990</v>
      </c>
      <c r="P314" s="5" t="s">
        <v>504</v>
      </c>
    </row>
    <row r="315" spans="1:16" x14ac:dyDescent="0.35">
      <c r="A315" s="5" t="str">
        <f t="shared" si="9"/>
        <v>2021 ALL D90</v>
      </c>
      <c r="B315" s="8">
        <f>'ALL 2024 H2 D80'!$B$2</f>
        <v>46114</v>
      </c>
      <c r="C315" s="8">
        <f>'ALL 2024 H2 D80'!$C$2</f>
        <v>46120</v>
      </c>
      <c r="D315" s="5">
        <v>3208</v>
      </c>
      <c r="E315" s="5">
        <v>320</v>
      </c>
      <c r="F315" s="5">
        <v>1</v>
      </c>
      <c r="G315" s="5">
        <v>5</v>
      </c>
      <c r="H315" s="5">
        <v>81626</v>
      </c>
      <c r="I315" s="5" t="s">
        <v>16</v>
      </c>
      <c r="J315" s="5">
        <v>28363451</v>
      </c>
      <c r="K315" s="5" t="s">
        <v>2360</v>
      </c>
      <c r="L315" s="5" t="s">
        <v>2361</v>
      </c>
      <c r="M315" s="6">
        <v>249900</v>
      </c>
      <c r="N315" s="7">
        <v>0.9</v>
      </c>
      <c r="O315" s="6">
        <f t="shared" si="8"/>
        <v>24990</v>
      </c>
      <c r="P315" s="5" t="s">
        <v>504</v>
      </c>
    </row>
    <row r="316" spans="1:16" x14ac:dyDescent="0.35">
      <c r="A316" s="5" t="str">
        <f t="shared" si="9"/>
        <v>2021 ALL D90</v>
      </c>
      <c r="B316" s="8">
        <f>'ALL 2024 H2 D80'!$B$2</f>
        <v>46114</v>
      </c>
      <c r="C316" s="8">
        <f>'ALL 2024 H2 D80'!$C$2</f>
        <v>46120</v>
      </c>
      <c r="D316" s="5">
        <v>3208</v>
      </c>
      <c r="E316" s="5">
        <v>320</v>
      </c>
      <c r="F316" s="5">
        <v>1</v>
      </c>
      <c r="G316" s="5">
        <v>5</v>
      </c>
      <c r="H316" s="5">
        <v>81626</v>
      </c>
      <c r="I316" s="5" t="s">
        <v>16</v>
      </c>
      <c r="J316" s="5">
        <v>28584758</v>
      </c>
      <c r="K316" s="5" t="s">
        <v>2362</v>
      </c>
      <c r="L316" s="5" t="s">
        <v>2363</v>
      </c>
      <c r="M316" s="6">
        <v>249900</v>
      </c>
      <c r="N316" s="7">
        <v>0.9</v>
      </c>
      <c r="O316" s="6">
        <f t="shared" si="8"/>
        <v>24990</v>
      </c>
      <c r="P316" s="5" t="s">
        <v>504</v>
      </c>
    </row>
    <row r="317" spans="1:16" x14ac:dyDescent="0.35">
      <c r="A317" s="5" t="str">
        <f t="shared" si="9"/>
        <v>2021 ALL D90</v>
      </c>
      <c r="B317" s="8">
        <f>'ALL 2024 H2 D80'!$B$2</f>
        <v>46114</v>
      </c>
      <c r="C317" s="8">
        <f>'ALL 2024 H2 D80'!$C$2</f>
        <v>46120</v>
      </c>
      <c r="D317" s="5">
        <v>3208</v>
      </c>
      <c r="E317" s="5">
        <v>320</v>
      </c>
      <c r="F317" s="5">
        <v>1</v>
      </c>
      <c r="G317" s="5">
        <v>5</v>
      </c>
      <c r="H317" s="5">
        <v>81626</v>
      </c>
      <c r="I317" s="5" t="s">
        <v>16</v>
      </c>
      <c r="J317" s="5">
        <v>29742852</v>
      </c>
      <c r="K317" s="5" t="s">
        <v>2364</v>
      </c>
      <c r="L317" s="5" t="s">
        <v>2365</v>
      </c>
      <c r="M317" s="6">
        <v>229900</v>
      </c>
      <c r="N317" s="7">
        <v>0.9</v>
      </c>
      <c r="O317" s="6">
        <f t="shared" si="8"/>
        <v>22990</v>
      </c>
      <c r="P317" s="5" t="s">
        <v>504</v>
      </c>
    </row>
    <row r="318" spans="1:16" x14ac:dyDescent="0.35">
      <c r="A318" s="5" t="str">
        <f t="shared" si="9"/>
        <v>2021 ALL D90</v>
      </c>
      <c r="B318" s="8">
        <f>'ALL 2024 H2 D80'!$B$2</f>
        <v>46114</v>
      </c>
      <c r="C318" s="8">
        <f>'ALL 2024 H2 D80'!$C$2</f>
        <v>46120</v>
      </c>
      <c r="D318" s="5">
        <v>3208</v>
      </c>
      <c r="E318" s="5">
        <v>320</v>
      </c>
      <c r="F318" s="5">
        <v>1</v>
      </c>
      <c r="G318" s="5">
        <v>5</v>
      </c>
      <c r="H318" s="5">
        <v>81626</v>
      </c>
      <c r="I318" s="5" t="s">
        <v>16</v>
      </c>
      <c r="J318" s="5">
        <v>29746125</v>
      </c>
      <c r="K318" s="5" t="s">
        <v>2366</v>
      </c>
      <c r="L318" s="5" t="s">
        <v>3634</v>
      </c>
      <c r="M318" s="6">
        <v>229900</v>
      </c>
      <c r="N318" s="7">
        <v>0.9</v>
      </c>
      <c r="O318" s="6">
        <f t="shared" si="8"/>
        <v>22990</v>
      </c>
      <c r="P318" s="5" t="s">
        <v>504</v>
      </c>
    </row>
    <row r="319" spans="1:16" x14ac:dyDescent="0.35">
      <c r="A319" s="5" t="str">
        <f t="shared" si="9"/>
        <v>2021 ALL D90</v>
      </c>
      <c r="B319" s="8">
        <f>'ALL 2024 H2 D80'!$B$2</f>
        <v>46114</v>
      </c>
      <c r="C319" s="8">
        <f>'ALL 2024 H2 D80'!$C$2</f>
        <v>46120</v>
      </c>
      <c r="D319" s="5">
        <v>3208</v>
      </c>
      <c r="E319" s="5">
        <v>320</v>
      </c>
      <c r="F319" s="5">
        <v>1</v>
      </c>
      <c r="G319" s="5">
        <v>5</v>
      </c>
      <c r="H319" s="5">
        <v>81626</v>
      </c>
      <c r="I319" s="5" t="s">
        <v>16</v>
      </c>
      <c r="J319" s="5">
        <v>31862601</v>
      </c>
      <c r="K319" s="5" t="s">
        <v>2367</v>
      </c>
      <c r="L319" s="5" t="s">
        <v>2368</v>
      </c>
      <c r="M319" s="6">
        <v>229900</v>
      </c>
      <c r="N319" s="7">
        <v>0.9</v>
      </c>
      <c r="O319" s="6">
        <f t="shared" si="8"/>
        <v>22990</v>
      </c>
      <c r="P319" s="5" t="s">
        <v>504</v>
      </c>
    </row>
    <row r="320" spans="1:16" x14ac:dyDescent="0.35">
      <c r="A320" s="5" t="str">
        <f t="shared" si="9"/>
        <v>2021 ALL D90</v>
      </c>
      <c r="B320" s="8">
        <f>'ALL 2024 H2 D80'!$B$2</f>
        <v>46114</v>
      </c>
      <c r="C320" s="8">
        <f>'ALL 2024 H2 D80'!$C$2</f>
        <v>46120</v>
      </c>
      <c r="D320" s="5">
        <v>3208</v>
      </c>
      <c r="E320" s="5">
        <v>320</v>
      </c>
      <c r="F320" s="5">
        <v>1</v>
      </c>
      <c r="G320" s="5">
        <v>5</v>
      </c>
      <c r="H320" s="5">
        <v>81626</v>
      </c>
      <c r="I320" s="5" t="s">
        <v>16</v>
      </c>
      <c r="J320" s="5">
        <v>31862629</v>
      </c>
      <c r="K320" s="5" t="s">
        <v>2367</v>
      </c>
      <c r="L320" s="5" t="s">
        <v>3635</v>
      </c>
      <c r="M320" s="6">
        <v>229900</v>
      </c>
      <c r="N320" s="7">
        <v>0.9</v>
      </c>
      <c r="O320" s="6">
        <f t="shared" si="8"/>
        <v>22990</v>
      </c>
      <c r="P320" s="5" t="s">
        <v>504</v>
      </c>
    </row>
    <row r="321" spans="1:16" x14ac:dyDescent="0.35">
      <c r="A321" s="5" t="str">
        <f t="shared" si="9"/>
        <v>2021 ALL D90</v>
      </c>
      <c r="B321" s="8">
        <f>'ALL 2024 H2 D80'!$B$2</f>
        <v>46114</v>
      </c>
      <c r="C321" s="8">
        <f>'ALL 2024 H2 D80'!$C$2</f>
        <v>46120</v>
      </c>
      <c r="D321" s="5">
        <v>3208</v>
      </c>
      <c r="E321" s="5">
        <v>320</v>
      </c>
      <c r="F321" s="5">
        <v>1</v>
      </c>
      <c r="G321" s="5">
        <v>5</v>
      </c>
      <c r="H321" s="5">
        <v>81626</v>
      </c>
      <c r="I321" s="5" t="s">
        <v>16</v>
      </c>
      <c r="J321" s="5">
        <v>31862647</v>
      </c>
      <c r="K321" s="5" t="s">
        <v>2369</v>
      </c>
      <c r="L321" s="5" t="s">
        <v>2370</v>
      </c>
      <c r="M321" s="6">
        <v>229900</v>
      </c>
      <c r="N321" s="7">
        <v>0.9</v>
      </c>
      <c r="O321" s="6">
        <f t="shared" si="8"/>
        <v>22990</v>
      </c>
      <c r="P321" s="5" t="s">
        <v>504</v>
      </c>
    </row>
    <row r="322" spans="1:16" x14ac:dyDescent="0.35">
      <c r="A322" s="5" t="str">
        <f t="shared" si="9"/>
        <v>2021 ALL D90</v>
      </c>
      <c r="B322" s="8">
        <f>'ALL 2024 H2 D80'!$B$2</f>
        <v>46114</v>
      </c>
      <c r="C322" s="8">
        <f>'ALL 2024 H2 D80'!$C$2</f>
        <v>46120</v>
      </c>
      <c r="D322" s="5">
        <v>3208</v>
      </c>
      <c r="E322" s="5">
        <v>320</v>
      </c>
      <c r="F322" s="5">
        <v>1</v>
      </c>
      <c r="G322" s="5">
        <v>5</v>
      </c>
      <c r="H322" s="5">
        <v>81626</v>
      </c>
      <c r="I322" s="5" t="s">
        <v>16</v>
      </c>
      <c r="J322" s="5">
        <v>31862692</v>
      </c>
      <c r="K322" s="5" t="s">
        <v>2371</v>
      </c>
      <c r="L322" s="5" t="s">
        <v>2372</v>
      </c>
      <c r="M322" s="6">
        <v>249900</v>
      </c>
      <c r="N322" s="7">
        <v>0.9</v>
      </c>
      <c r="O322" s="6">
        <f t="shared" si="8"/>
        <v>24990</v>
      </c>
      <c r="P322" s="5" t="s">
        <v>504</v>
      </c>
    </row>
    <row r="323" spans="1:16" x14ac:dyDescent="0.35">
      <c r="A323" s="5" t="str">
        <f t="shared" si="9"/>
        <v>2021 ALL D90</v>
      </c>
      <c r="B323" s="8">
        <f>'ALL 2024 H2 D80'!$B$2</f>
        <v>46114</v>
      </c>
      <c r="C323" s="8">
        <f>'ALL 2024 H2 D80'!$C$2</f>
        <v>46120</v>
      </c>
      <c r="D323" s="5">
        <v>3208</v>
      </c>
      <c r="E323" s="5">
        <v>320</v>
      </c>
      <c r="F323" s="5">
        <v>1</v>
      </c>
      <c r="G323" s="5">
        <v>5</v>
      </c>
      <c r="H323" s="5">
        <v>81626</v>
      </c>
      <c r="I323" s="5" t="s">
        <v>16</v>
      </c>
      <c r="J323" s="5">
        <v>31862709</v>
      </c>
      <c r="K323" s="5" t="s">
        <v>2371</v>
      </c>
      <c r="L323" s="5" t="s">
        <v>2373</v>
      </c>
      <c r="M323" s="6">
        <v>249900</v>
      </c>
      <c r="N323" s="7">
        <v>0.9</v>
      </c>
      <c r="O323" s="6">
        <f t="shared" ref="O323:O368" si="10">M323-(M323*N323)</f>
        <v>24990</v>
      </c>
      <c r="P323" s="5" t="s">
        <v>504</v>
      </c>
    </row>
    <row r="324" spans="1:16" x14ac:dyDescent="0.35">
      <c r="A324" s="5" t="str">
        <f t="shared" ref="A324:A368" si="11">$A$2</f>
        <v>2021 ALL D90</v>
      </c>
      <c r="B324" s="8">
        <f>'ALL 2024 H2 D80'!$B$2</f>
        <v>46114</v>
      </c>
      <c r="C324" s="8">
        <f>'ALL 2024 H2 D80'!$C$2</f>
        <v>46120</v>
      </c>
      <c r="D324" s="5">
        <v>3208</v>
      </c>
      <c r="E324" s="5">
        <v>320</v>
      </c>
      <c r="F324" s="5">
        <v>1</v>
      </c>
      <c r="G324" s="5">
        <v>5</v>
      </c>
      <c r="H324" s="5">
        <v>81626</v>
      </c>
      <c r="I324" s="5" t="s">
        <v>16</v>
      </c>
      <c r="J324" s="5">
        <v>31862718</v>
      </c>
      <c r="K324" s="5" t="s">
        <v>2371</v>
      </c>
      <c r="L324" s="5" t="s">
        <v>2374</v>
      </c>
      <c r="M324" s="6">
        <v>249900</v>
      </c>
      <c r="N324" s="7">
        <v>0.9</v>
      </c>
      <c r="O324" s="6">
        <f t="shared" si="10"/>
        <v>24990</v>
      </c>
      <c r="P324" s="5" t="s">
        <v>504</v>
      </c>
    </row>
    <row r="325" spans="1:16" x14ac:dyDescent="0.35">
      <c r="A325" s="5" t="str">
        <f t="shared" si="11"/>
        <v>2021 ALL D90</v>
      </c>
      <c r="B325" s="8">
        <f>'ALL 2024 H2 D80'!$B$2</f>
        <v>46114</v>
      </c>
      <c r="C325" s="8">
        <f>'ALL 2024 H2 D80'!$C$2</f>
        <v>46120</v>
      </c>
      <c r="D325" s="5">
        <v>3208</v>
      </c>
      <c r="E325" s="5">
        <v>320</v>
      </c>
      <c r="F325" s="5">
        <v>1</v>
      </c>
      <c r="G325" s="5">
        <v>5</v>
      </c>
      <c r="H325" s="5">
        <v>81626</v>
      </c>
      <c r="I325" s="5" t="s">
        <v>16</v>
      </c>
      <c r="J325" s="5">
        <v>32379427</v>
      </c>
      <c r="K325" s="5" t="s">
        <v>2375</v>
      </c>
      <c r="L325" s="5" t="s">
        <v>2376</v>
      </c>
      <c r="M325" s="6">
        <v>249900</v>
      </c>
      <c r="N325" s="7">
        <v>0.9</v>
      </c>
      <c r="O325" s="6">
        <f t="shared" si="10"/>
        <v>24990</v>
      </c>
      <c r="P325" s="5" t="s">
        <v>504</v>
      </c>
    </row>
    <row r="326" spans="1:16" x14ac:dyDescent="0.35">
      <c r="A326" s="5" t="str">
        <f t="shared" si="11"/>
        <v>2021 ALL D90</v>
      </c>
      <c r="B326" s="8">
        <f>'ALL 2024 H2 D80'!$B$2</f>
        <v>46114</v>
      </c>
      <c r="C326" s="8">
        <f>'ALL 2024 H2 D80'!$C$2</f>
        <v>46120</v>
      </c>
      <c r="D326" s="5">
        <v>3208</v>
      </c>
      <c r="E326" s="5">
        <v>320</v>
      </c>
      <c r="F326" s="5">
        <v>1</v>
      </c>
      <c r="G326" s="5">
        <v>5</v>
      </c>
      <c r="H326" s="5">
        <v>81626</v>
      </c>
      <c r="I326" s="5" t="s">
        <v>16</v>
      </c>
      <c r="J326" s="5">
        <v>32379445</v>
      </c>
      <c r="K326" s="5" t="s">
        <v>2375</v>
      </c>
      <c r="L326" s="5" t="s">
        <v>2377</v>
      </c>
      <c r="M326" s="6">
        <v>249900</v>
      </c>
      <c r="N326" s="7">
        <v>0.9</v>
      </c>
      <c r="O326" s="6">
        <f t="shared" si="10"/>
        <v>24990</v>
      </c>
      <c r="P326" s="5" t="s">
        <v>504</v>
      </c>
    </row>
    <row r="327" spans="1:16" x14ac:dyDescent="0.35">
      <c r="A327" s="5" t="str">
        <f t="shared" si="11"/>
        <v>2021 ALL D90</v>
      </c>
      <c r="B327" s="8">
        <f>'ALL 2024 H2 D80'!$B$2</f>
        <v>46114</v>
      </c>
      <c r="C327" s="8">
        <f>'ALL 2024 H2 D80'!$C$2</f>
        <v>46120</v>
      </c>
      <c r="D327" s="5">
        <v>3208</v>
      </c>
      <c r="E327" s="5">
        <v>320</v>
      </c>
      <c r="F327" s="5">
        <v>1</v>
      </c>
      <c r="G327" s="5">
        <v>5</v>
      </c>
      <c r="H327" s="5">
        <v>81626</v>
      </c>
      <c r="I327" s="5" t="s">
        <v>16</v>
      </c>
      <c r="J327" s="5">
        <v>32379454</v>
      </c>
      <c r="K327" s="5" t="s">
        <v>2375</v>
      </c>
      <c r="L327" s="5" t="s">
        <v>2378</v>
      </c>
      <c r="M327" s="6">
        <v>249900</v>
      </c>
      <c r="N327" s="7">
        <v>0.9</v>
      </c>
      <c r="O327" s="6">
        <f t="shared" si="10"/>
        <v>24990</v>
      </c>
      <c r="P327" s="5" t="s">
        <v>504</v>
      </c>
    </row>
    <row r="328" spans="1:16" x14ac:dyDescent="0.35">
      <c r="A328" s="5" t="str">
        <f t="shared" si="11"/>
        <v>2021 ALL D90</v>
      </c>
      <c r="B328" s="8">
        <f>'ALL 2024 H2 D80'!$B$2</f>
        <v>46114</v>
      </c>
      <c r="C328" s="8">
        <f>'ALL 2024 H2 D80'!$C$2</f>
        <v>46120</v>
      </c>
      <c r="D328" s="5">
        <v>3208</v>
      </c>
      <c r="E328" s="5">
        <v>320</v>
      </c>
      <c r="F328" s="5">
        <v>1</v>
      </c>
      <c r="G328" s="5">
        <v>5</v>
      </c>
      <c r="H328" s="5">
        <v>81626</v>
      </c>
      <c r="I328" s="5" t="s">
        <v>16</v>
      </c>
      <c r="J328" s="5">
        <v>32379794</v>
      </c>
      <c r="K328" s="5" t="s">
        <v>2379</v>
      </c>
      <c r="L328" s="5" t="s">
        <v>2380</v>
      </c>
      <c r="M328" s="6">
        <v>249900</v>
      </c>
      <c r="N328" s="7">
        <v>0.9</v>
      </c>
      <c r="O328" s="6">
        <f t="shared" si="10"/>
        <v>24990</v>
      </c>
      <c r="P328" s="5" t="s">
        <v>504</v>
      </c>
    </row>
    <row r="329" spans="1:16" x14ac:dyDescent="0.35">
      <c r="A329" s="5" t="str">
        <f t="shared" si="11"/>
        <v>2021 ALL D90</v>
      </c>
      <c r="B329" s="8">
        <f>'ALL 2024 H2 D80'!$B$2</f>
        <v>46114</v>
      </c>
      <c r="C329" s="8">
        <f>'ALL 2024 H2 D80'!$C$2</f>
        <v>46120</v>
      </c>
      <c r="D329" s="5">
        <v>3208</v>
      </c>
      <c r="E329" s="5">
        <v>320</v>
      </c>
      <c r="F329" s="5">
        <v>1</v>
      </c>
      <c r="G329" s="5">
        <v>5</v>
      </c>
      <c r="H329" s="5">
        <v>81626</v>
      </c>
      <c r="I329" s="5" t="s">
        <v>16</v>
      </c>
      <c r="J329" s="5">
        <v>32379801</v>
      </c>
      <c r="K329" s="5" t="s">
        <v>2379</v>
      </c>
      <c r="L329" s="5" t="s">
        <v>2381</v>
      </c>
      <c r="M329" s="6">
        <v>249900</v>
      </c>
      <c r="N329" s="7">
        <v>0.9</v>
      </c>
      <c r="O329" s="6">
        <f t="shared" si="10"/>
        <v>24990</v>
      </c>
      <c r="P329" s="5" t="s">
        <v>504</v>
      </c>
    </row>
    <row r="330" spans="1:16" x14ac:dyDescent="0.35">
      <c r="A330" s="5" t="str">
        <f t="shared" si="11"/>
        <v>2021 ALL D90</v>
      </c>
      <c r="B330" s="8">
        <f>'ALL 2024 H2 D80'!$B$2</f>
        <v>46114</v>
      </c>
      <c r="C330" s="8">
        <f>'ALL 2024 H2 D80'!$C$2</f>
        <v>46120</v>
      </c>
      <c r="D330" s="5">
        <v>3208</v>
      </c>
      <c r="E330" s="5">
        <v>320</v>
      </c>
      <c r="F330" s="5">
        <v>1</v>
      </c>
      <c r="G330" s="5">
        <v>5</v>
      </c>
      <c r="H330" s="5">
        <v>81626</v>
      </c>
      <c r="I330" s="5" t="s">
        <v>16</v>
      </c>
      <c r="J330" s="5">
        <v>32661059</v>
      </c>
      <c r="K330" s="5" t="s">
        <v>2382</v>
      </c>
      <c r="L330" s="5" t="s">
        <v>2383</v>
      </c>
      <c r="M330" s="6">
        <v>229900</v>
      </c>
      <c r="N330" s="7">
        <v>0.9</v>
      </c>
      <c r="O330" s="6">
        <f t="shared" si="10"/>
        <v>22990</v>
      </c>
      <c r="P330" s="5" t="s">
        <v>504</v>
      </c>
    </row>
    <row r="331" spans="1:16" x14ac:dyDescent="0.35">
      <c r="A331" s="5" t="str">
        <f t="shared" si="11"/>
        <v>2021 ALL D90</v>
      </c>
      <c r="B331" s="8">
        <f>'ALL 2024 H2 D80'!$B$2</f>
        <v>46114</v>
      </c>
      <c r="C331" s="8">
        <f>'ALL 2024 H2 D80'!$C$2</f>
        <v>46120</v>
      </c>
      <c r="D331" s="5">
        <v>3208</v>
      </c>
      <c r="E331" s="5">
        <v>320</v>
      </c>
      <c r="F331" s="5">
        <v>1</v>
      </c>
      <c r="G331" s="5">
        <v>5</v>
      </c>
      <c r="H331" s="5">
        <v>81626</v>
      </c>
      <c r="I331" s="5" t="s">
        <v>16</v>
      </c>
      <c r="J331" s="5">
        <v>32661068</v>
      </c>
      <c r="K331" s="5" t="s">
        <v>2382</v>
      </c>
      <c r="L331" s="5" t="s">
        <v>2384</v>
      </c>
      <c r="M331" s="6">
        <v>229900</v>
      </c>
      <c r="N331" s="7">
        <v>0.9</v>
      </c>
      <c r="O331" s="6">
        <f t="shared" si="10"/>
        <v>22990</v>
      </c>
      <c r="P331" s="5" t="s">
        <v>504</v>
      </c>
    </row>
    <row r="332" spans="1:16" x14ac:dyDescent="0.35">
      <c r="A332" s="5" t="str">
        <f t="shared" si="11"/>
        <v>2021 ALL D90</v>
      </c>
      <c r="B332" s="8">
        <f>'ALL 2024 H2 D80'!$B$2</f>
        <v>46114</v>
      </c>
      <c r="C332" s="8">
        <f>'ALL 2024 H2 D80'!$C$2</f>
        <v>46120</v>
      </c>
      <c r="D332" s="5">
        <v>3208</v>
      </c>
      <c r="E332" s="5">
        <v>320</v>
      </c>
      <c r="F332" s="5">
        <v>1</v>
      </c>
      <c r="G332" s="5">
        <v>5</v>
      </c>
      <c r="H332" s="5">
        <v>81626</v>
      </c>
      <c r="I332" s="5" t="s">
        <v>16</v>
      </c>
      <c r="J332" s="5">
        <v>32661077</v>
      </c>
      <c r="K332" s="5" t="s">
        <v>2382</v>
      </c>
      <c r="L332" s="5" t="s">
        <v>2385</v>
      </c>
      <c r="M332" s="6">
        <v>229900</v>
      </c>
      <c r="N332" s="7">
        <v>0.9</v>
      </c>
      <c r="O332" s="6">
        <f t="shared" si="10"/>
        <v>22990</v>
      </c>
      <c r="P332" s="5" t="s">
        <v>504</v>
      </c>
    </row>
    <row r="333" spans="1:16" x14ac:dyDescent="0.35">
      <c r="A333" s="5" t="str">
        <f t="shared" si="11"/>
        <v>2021 ALL D90</v>
      </c>
      <c r="B333" s="8">
        <f>'ALL 2024 H2 D80'!$B$2</f>
        <v>46114</v>
      </c>
      <c r="C333" s="8">
        <f>'ALL 2024 H2 D80'!$C$2</f>
        <v>46120</v>
      </c>
      <c r="D333" s="5">
        <v>3208</v>
      </c>
      <c r="E333" s="5">
        <v>320</v>
      </c>
      <c r="F333" s="5">
        <v>1</v>
      </c>
      <c r="G333" s="5">
        <v>5</v>
      </c>
      <c r="H333" s="5">
        <v>81626</v>
      </c>
      <c r="I333" s="5" t="s">
        <v>16</v>
      </c>
      <c r="J333" s="5">
        <v>32661442</v>
      </c>
      <c r="K333" s="5" t="s">
        <v>2386</v>
      </c>
      <c r="L333" s="5" t="s">
        <v>2387</v>
      </c>
      <c r="M333" s="6">
        <v>189900</v>
      </c>
      <c r="N333" s="7">
        <v>0.9</v>
      </c>
      <c r="O333" s="6">
        <f t="shared" si="10"/>
        <v>18990</v>
      </c>
      <c r="P333" s="5" t="s">
        <v>504</v>
      </c>
    </row>
    <row r="334" spans="1:16" x14ac:dyDescent="0.35">
      <c r="A334" s="5" t="str">
        <f t="shared" si="11"/>
        <v>2021 ALL D90</v>
      </c>
      <c r="B334" s="8">
        <f>'ALL 2024 H2 D80'!$B$2</f>
        <v>46114</v>
      </c>
      <c r="C334" s="8">
        <f>'ALL 2024 H2 D80'!$C$2</f>
        <v>46120</v>
      </c>
      <c r="D334" s="5">
        <v>3208</v>
      </c>
      <c r="E334" s="5">
        <v>320</v>
      </c>
      <c r="F334" s="5">
        <v>1</v>
      </c>
      <c r="G334" s="5">
        <v>5</v>
      </c>
      <c r="H334" s="5">
        <v>81626</v>
      </c>
      <c r="I334" s="5" t="s">
        <v>16</v>
      </c>
      <c r="J334" s="5">
        <v>32754459</v>
      </c>
      <c r="K334" s="5" t="s">
        <v>2388</v>
      </c>
      <c r="L334" s="5" t="s">
        <v>2389</v>
      </c>
      <c r="M334" s="6">
        <v>189900</v>
      </c>
      <c r="N334" s="7">
        <v>0.9</v>
      </c>
      <c r="O334" s="6">
        <f t="shared" si="10"/>
        <v>18990</v>
      </c>
      <c r="P334" s="5" t="s">
        <v>504</v>
      </c>
    </row>
    <row r="335" spans="1:16" x14ac:dyDescent="0.35">
      <c r="A335" s="5" t="str">
        <f t="shared" si="11"/>
        <v>2021 ALL D90</v>
      </c>
      <c r="B335" s="8">
        <f>'ALL 2024 H2 D80'!$B$2</f>
        <v>46114</v>
      </c>
      <c r="C335" s="8">
        <f>'ALL 2024 H2 D80'!$C$2</f>
        <v>46120</v>
      </c>
      <c r="D335" s="5">
        <v>3208</v>
      </c>
      <c r="E335" s="5">
        <v>320</v>
      </c>
      <c r="F335" s="5">
        <v>1</v>
      </c>
      <c r="G335" s="5">
        <v>5</v>
      </c>
      <c r="H335" s="5">
        <v>81626</v>
      </c>
      <c r="I335" s="5" t="s">
        <v>16</v>
      </c>
      <c r="J335" s="5">
        <v>32754477</v>
      </c>
      <c r="K335" s="5" t="s">
        <v>2388</v>
      </c>
      <c r="L335" s="5" t="s">
        <v>2390</v>
      </c>
      <c r="M335" s="6">
        <v>189900</v>
      </c>
      <c r="N335" s="7">
        <v>0.9</v>
      </c>
      <c r="O335" s="6">
        <f t="shared" si="10"/>
        <v>18990</v>
      </c>
      <c r="P335" s="5" t="s">
        <v>504</v>
      </c>
    </row>
    <row r="336" spans="1:16" x14ac:dyDescent="0.35">
      <c r="A336" s="5" t="str">
        <f t="shared" si="11"/>
        <v>2021 ALL D90</v>
      </c>
      <c r="B336" s="8">
        <f>'ALL 2024 H2 D80'!$B$2</f>
        <v>46114</v>
      </c>
      <c r="C336" s="8">
        <f>'ALL 2024 H2 D80'!$C$2</f>
        <v>46120</v>
      </c>
      <c r="D336" s="5">
        <v>3208</v>
      </c>
      <c r="E336" s="5">
        <v>320</v>
      </c>
      <c r="F336" s="5">
        <v>1</v>
      </c>
      <c r="G336" s="5">
        <v>5</v>
      </c>
      <c r="H336" s="5">
        <v>81626</v>
      </c>
      <c r="I336" s="5" t="s">
        <v>16</v>
      </c>
      <c r="J336" s="5">
        <v>32754486</v>
      </c>
      <c r="K336" s="5" t="s">
        <v>2388</v>
      </c>
      <c r="L336" s="5" t="s">
        <v>2391</v>
      </c>
      <c r="M336" s="6">
        <v>189900</v>
      </c>
      <c r="N336" s="7">
        <v>0.9</v>
      </c>
      <c r="O336" s="6">
        <f t="shared" si="10"/>
        <v>18990</v>
      </c>
      <c r="P336" s="5" t="s">
        <v>504</v>
      </c>
    </row>
    <row r="337" spans="1:16" x14ac:dyDescent="0.35">
      <c r="A337" s="5" t="str">
        <f t="shared" si="11"/>
        <v>2021 ALL D90</v>
      </c>
      <c r="B337" s="8">
        <f>'ALL 2024 H2 D80'!$B$2</f>
        <v>46114</v>
      </c>
      <c r="C337" s="8">
        <f>'ALL 2024 H2 D80'!$C$2</f>
        <v>46120</v>
      </c>
      <c r="D337" s="5">
        <v>3208</v>
      </c>
      <c r="E337" s="5">
        <v>320</v>
      </c>
      <c r="F337" s="5">
        <v>1</v>
      </c>
      <c r="G337" s="5">
        <v>5</v>
      </c>
      <c r="H337" s="5">
        <v>81626</v>
      </c>
      <c r="I337" s="5" t="s">
        <v>16</v>
      </c>
      <c r="J337" s="5">
        <v>32755234</v>
      </c>
      <c r="K337" s="5" t="s">
        <v>2392</v>
      </c>
      <c r="L337" s="5" t="s">
        <v>2393</v>
      </c>
      <c r="M337" s="6">
        <v>249900</v>
      </c>
      <c r="N337" s="7">
        <v>0.9</v>
      </c>
      <c r="O337" s="6">
        <f t="shared" si="10"/>
        <v>24990</v>
      </c>
      <c r="P337" s="5" t="s">
        <v>504</v>
      </c>
    </row>
    <row r="338" spans="1:16" x14ac:dyDescent="0.35">
      <c r="A338" s="5" t="str">
        <f t="shared" si="11"/>
        <v>2021 ALL D90</v>
      </c>
      <c r="B338" s="8">
        <f>'ALL 2024 H2 D80'!$B$2</f>
        <v>46114</v>
      </c>
      <c r="C338" s="8">
        <f>'ALL 2024 H2 D80'!$C$2</f>
        <v>46120</v>
      </c>
      <c r="D338" s="5">
        <v>3208</v>
      </c>
      <c r="E338" s="5">
        <v>320</v>
      </c>
      <c r="F338" s="5">
        <v>1</v>
      </c>
      <c r="G338" s="5">
        <v>5</v>
      </c>
      <c r="H338" s="5">
        <v>81626</v>
      </c>
      <c r="I338" s="5" t="s">
        <v>16</v>
      </c>
      <c r="J338" s="5">
        <v>33219642</v>
      </c>
      <c r="K338" s="5" t="s">
        <v>2394</v>
      </c>
      <c r="L338" s="5" t="s">
        <v>2395</v>
      </c>
      <c r="M338" s="6">
        <v>229900</v>
      </c>
      <c r="N338" s="7">
        <v>0.9</v>
      </c>
      <c r="O338" s="6">
        <f t="shared" si="10"/>
        <v>22990</v>
      </c>
      <c r="P338" s="5" t="s">
        <v>504</v>
      </c>
    </row>
    <row r="339" spans="1:16" x14ac:dyDescent="0.35">
      <c r="A339" s="5" t="str">
        <f t="shared" si="11"/>
        <v>2021 ALL D90</v>
      </c>
      <c r="B339" s="8">
        <f>'ALL 2024 H2 D80'!$B$2</f>
        <v>46114</v>
      </c>
      <c r="C339" s="8">
        <f>'ALL 2024 H2 D80'!$C$2</f>
        <v>46120</v>
      </c>
      <c r="D339" s="5">
        <v>3208</v>
      </c>
      <c r="E339" s="5">
        <v>320</v>
      </c>
      <c r="F339" s="5">
        <v>1</v>
      </c>
      <c r="G339" s="5">
        <v>5</v>
      </c>
      <c r="H339" s="5">
        <v>81626</v>
      </c>
      <c r="I339" s="5" t="s">
        <v>16</v>
      </c>
      <c r="J339" s="5">
        <v>33219651</v>
      </c>
      <c r="K339" s="5" t="s">
        <v>2394</v>
      </c>
      <c r="L339" s="5" t="s">
        <v>2396</v>
      </c>
      <c r="M339" s="6">
        <v>229900</v>
      </c>
      <c r="N339" s="7">
        <v>0.9</v>
      </c>
      <c r="O339" s="6">
        <f t="shared" si="10"/>
        <v>22990</v>
      </c>
      <c r="P339" s="5" t="s">
        <v>504</v>
      </c>
    </row>
    <row r="340" spans="1:16" x14ac:dyDescent="0.35">
      <c r="A340" s="5" t="str">
        <f t="shared" si="11"/>
        <v>2021 ALL D90</v>
      </c>
      <c r="B340" s="8">
        <f>'ALL 2024 H2 D80'!$B$2</f>
        <v>46114</v>
      </c>
      <c r="C340" s="8">
        <f>'ALL 2024 H2 D80'!$C$2</f>
        <v>46120</v>
      </c>
      <c r="D340" s="5">
        <v>3208</v>
      </c>
      <c r="E340" s="5">
        <v>320</v>
      </c>
      <c r="F340" s="5">
        <v>1</v>
      </c>
      <c r="G340" s="5">
        <v>5</v>
      </c>
      <c r="H340" s="5">
        <v>81626</v>
      </c>
      <c r="I340" s="5" t="s">
        <v>16</v>
      </c>
      <c r="J340" s="5">
        <v>33219704</v>
      </c>
      <c r="K340" s="5" t="s">
        <v>2397</v>
      </c>
      <c r="L340" s="5" t="s">
        <v>2398</v>
      </c>
      <c r="M340" s="6">
        <v>229900</v>
      </c>
      <c r="N340" s="7">
        <v>0.9</v>
      </c>
      <c r="O340" s="6">
        <f t="shared" si="10"/>
        <v>22990</v>
      </c>
      <c r="P340" s="5" t="s">
        <v>504</v>
      </c>
    </row>
    <row r="341" spans="1:16" x14ac:dyDescent="0.35">
      <c r="A341" s="5" t="str">
        <f t="shared" si="11"/>
        <v>2021 ALL D90</v>
      </c>
      <c r="B341" s="8">
        <f>'ALL 2024 H2 D80'!$B$2</f>
        <v>46114</v>
      </c>
      <c r="C341" s="8">
        <f>'ALL 2024 H2 D80'!$C$2</f>
        <v>46120</v>
      </c>
      <c r="D341" s="5">
        <v>3208</v>
      </c>
      <c r="E341" s="5">
        <v>320</v>
      </c>
      <c r="F341" s="5">
        <v>1</v>
      </c>
      <c r="G341" s="5">
        <v>5</v>
      </c>
      <c r="H341" s="5">
        <v>81626</v>
      </c>
      <c r="I341" s="5" t="s">
        <v>16</v>
      </c>
      <c r="J341" s="5">
        <v>46709455</v>
      </c>
      <c r="K341" s="5" t="s">
        <v>1869</v>
      </c>
      <c r="L341" s="5" t="s">
        <v>2399</v>
      </c>
      <c r="M341" s="6">
        <v>229900</v>
      </c>
      <c r="N341" s="7">
        <v>0.9</v>
      </c>
      <c r="O341" s="6">
        <f t="shared" si="10"/>
        <v>22990</v>
      </c>
      <c r="P341" s="5" t="s">
        <v>504</v>
      </c>
    </row>
    <row r="342" spans="1:16" x14ac:dyDescent="0.35">
      <c r="A342" s="5" t="str">
        <f t="shared" si="11"/>
        <v>2021 ALL D90</v>
      </c>
      <c r="B342" s="8">
        <f>'ALL 2024 H2 D80'!$B$2</f>
        <v>46114</v>
      </c>
      <c r="C342" s="8">
        <f>'ALL 2024 H2 D80'!$C$2</f>
        <v>46120</v>
      </c>
      <c r="D342" s="5">
        <v>3208</v>
      </c>
      <c r="E342" s="5">
        <v>320</v>
      </c>
      <c r="F342" s="5">
        <v>1</v>
      </c>
      <c r="G342" s="5">
        <v>5</v>
      </c>
      <c r="H342" s="5">
        <v>81626</v>
      </c>
      <c r="I342" s="5" t="s">
        <v>16</v>
      </c>
      <c r="J342" s="5">
        <v>46709464</v>
      </c>
      <c r="K342" s="5" t="s">
        <v>1869</v>
      </c>
      <c r="L342" s="5" t="s">
        <v>2400</v>
      </c>
      <c r="M342" s="6">
        <v>229900</v>
      </c>
      <c r="N342" s="7">
        <v>0.9</v>
      </c>
      <c r="O342" s="6">
        <f t="shared" si="10"/>
        <v>22990</v>
      </c>
      <c r="P342" s="5" t="s">
        <v>504</v>
      </c>
    </row>
    <row r="343" spans="1:16" x14ac:dyDescent="0.35">
      <c r="A343" s="5" t="str">
        <f t="shared" si="11"/>
        <v>2021 ALL D90</v>
      </c>
      <c r="B343" s="8">
        <f>'ALL 2024 H2 D80'!$B$2</f>
        <v>46114</v>
      </c>
      <c r="C343" s="8">
        <f>'ALL 2024 H2 D80'!$C$2</f>
        <v>46120</v>
      </c>
      <c r="D343" s="5">
        <v>3208</v>
      </c>
      <c r="E343" s="5">
        <v>320</v>
      </c>
      <c r="F343" s="5">
        <v>1</v>
      </c>
      <c r="G343" s="5">
        <v>5</v>
      </c>
      <c r="H343" s="5">
        <v>81626</v>
      </c>
      <c r="I343" s="5" t="s">
        <v>16</v>
      </c>
      <c r="J343" s="5">
        <v>46709473</v>
      </c>
      <c r="K343" s="5" t="s">
        <v>1869</v>
      </c>
      <c r="L343" s="5" t="s">
        <v>2401</v>
      </c>
      <c r="M343" s="6">
        <v>229900</v>
      </c>
      <c r="N343" s="7">
        <v>0.9</v>
      </c>
      <c r="O343" s="6">
        <f t="shared" si="10"/>
        <v>22990</v>
      </c>
      <c r="P343" s="5" t="s">
        <v>504</v>
      </c>
    </row>
    <row r="344" spans="1:16" x14ac:dyDescent="0.35">
      <c r="A344" s="5" t="str">
        <f t="shared" si="11"/>
        <v>2021 ALL D90</v>
      </c>
      <c r="B344" s="8">
        <f>'ALL 2024 H2 D80'!$B$2</f>
        <v>46114</v>
      </c>
      <c r="C344" s="8">
        <f>'ALL 2024 H2 D80'!$C$2</f>
        <v>46120</v>
      </c>
      <c r="D344" s="5">
        <v>3208</v>
      </c>
      <c r="E344" s="5">
        <v>320</v>
      </c>
      <c r="F344" s="5">
        <v>1</v>
      </c>
      <c r="G344" s="5">
        <v>5</v>
      </c>
      <c r="H344" s="5">
        <v>81736</v>
      </c>
      <c r="I344" s="5" t="s">
        <v>16</v>
      </c>
      <c r="J344" s="5">
        <v>32379301</v>
      </c>
      <c r="K344" s="5" t="s">
        <v>2402</v>
      </c>
      <c r="L344" s="5" t="s">
        <v>2403</v>
      </c>
      <c r="M344" s="6">
        <v>249900</v>
      </c>
      <c r="N344" s="7">
        <v>0.9</v>
      </c>
      <c r="O344" s="6">
        <f t="shared" si="10"/>
        <v>24990</v>
      </c>
      <c r="P344" s="5" t="s">
        <v>504</v>
      </c>
    </row>
    <row r="345" spans="1:16" x14ac:dyDescent="0.35">
      <c r="A345" s="5" t="str">
        <f t="shared" si="11"/>
        <v>2021 ALL D90</v>
      </c>
      <c r="B345" s="8">
        <f>'ALL 2024 H2 D80'!$B$2</f>
        <v>46114</v>
      </c>
      <c r="C345" s="8">
        <f>'ALL 2024 H2 D80'!$C$2</f>
        <v>46120</v>
      </c>
      <c r="D345" s="5">
        <v>3208</v>
      </c>
      <c r="E345" s="5">
        <v>320</v>
      </c>
      <c r="F345" s="5">
        <v>1</v>
      </c>
      <c r="G345" s="5">
        <v>5</v>
      </c>
      <c r="H345" s="5">
        <v>81736</v>
      </c>
      <c r="I345" s="5" t="s">
        <v>16</v>
      </c>
      <c r="J345" s="5">
        <v>32379338</v>
      </c>
      <c r="K345" s="5" t="s">
        <v>2402</v>
      </c>
      <c r="L345" s="5" t="s">
        <v>3636</v>
      </c>
      <c r="M345" s="6">
        <v>249900</v>
      </c>
      <c r="N345" s="7">
        <v>0.9</v>
      </c>
      <c r="O345" s="6">
        <f t="shared" si="10"/>
        <v>24990</v>
      </c>
      <c r="P345" s="5" t="s">
        <v>504</v>
      </c>
    </row>
    <row r="346" spans="1:16" x14ac:dyDescent="0.35">
      <c r="A346" s="5" t="str">
        <f t="shared" si="11"/>
        <v>2021 ALL D90</v>
      </c>
      <c r="B346" s="8">
        <f>'ALL 2024 H2 D80'!$B$2</f>
        <v>46114</v>
      </c>
      <c r="C346" s="8">
        <f>'ALL 2024 H2 D80'!$C$2</f>
        <v>46120</v>
      </c>
      <c r="D346" s="5">
        <v>3208</v>
      </c>
      <c r="E346" s="5">
        <v>320</v>
      </c>
      <c r="F346" s="5">
        <v>1</v>
      </c>
      <c r="G346" s="5">
        <v>5</v>
      </c>
      <c r="H346" s="5">
        <v>81736</v>
      </c>
      <c r="I346" s="5" t="s">
        <v>16</v>
      </c>
      <c r="J346" s="5">
        <v>32379347</v>
      </c>
      <c r="K346" s="5" t="s">
        <v>2402</v>
      </c>
      <c r="L346" s="5" t="s">
        <v>2404</v>
      </c>
      <c r="M346" s="6">
        <v>249900</v>
      </c>
      <c r="N346" s="7">
        <v>0.9</v>
      </c>
      <c r="O346" s="6">
        <f t="shared" si="10"/>
        <v>24990</v>
      </c>
      <c r="P346" s="5" t="s">
        <v>504</v>
      </c>
    </row>
    <row r="347" spans="1:16" x14ac:dyDescent="0.35">
      <c r="A347" s="5" t="str">
        <f t="shared" si="11"/>
        <v>2021 ALL D90</v>
      </c>
      <c r="B347" s="8">
        <f>'ALL 2024 H2 D80'!$B$2</f>
        <v>46114</v>
      </c>
      <c r="C347" s="8">
        <f>'ALL 2024 H2 D80'!$C$2</f>
        <v>46120</v>
      </c>
      <c r="D347" s="5">
        <v>3208</v>
      </c>
      <c r="E347" s="5">
        <v>320</v>
      </c>
      <c r="F347" s="5">
        <v>1</v>
      </c>
      <c r="G347" s="5">
        <v>5</v>
      </c>
      <c r="H347" s="5">
        <v>81736</v>
      </c>
      <c r="I347" s="5" t="s">
        <v>16</v>
      </c>
      <c r="J347" s="5">
        <v>32379356</v>
      </c>
      <c r="K347" s="5" t="s">
        <v>2402</v>
      </c>
      <c r="L347" s="5" t="s">
        <v>2405</v>
      </c>
      <c r="M347" s="6">
        <v>249900</v>
      </c>
      <c r="N347" s="7">
        <v>0.9</v>
      </c>
      <c r="O347" s="6">
        <f t="shared" si="10"/>
        <v>24990</v>
      </c>
      <c r="P347" s="5" t="s">
        <v>504</v>
      </c>
    </row>
    <row r="348" spans="1:16" x14ac:dyDescent="0.35">
      <c r="A348" s="5" t="str">
        <f t="shared" si="11"/>
        <v>2021 ALL D90</v>
      </c>
      <c r="B348" s="8">
        <f>'ALL 2024 H2 D80'!$B$2</f>
        <v>46114</v>
      </c>
      <c r="C348" s="8">
        <f>'ALL 2024 H2 D80'!$C$2</f>
        <v>46120</v>
      </c>
      <c r="D348" s="5">
        <v>3208</v>
      </c>
      <c r="E348" s="5">
        <v>320</v>
      </c>
      <c r="F348" s="5">
        <v>1</v>
      </c>
      <c r="G348" s="5">
        <v>5</v>
      </c>
      <c r="H348" s="5">
        <v>81736</v>
      </c>
      <c r="I348" s="5" t="s">
        <v>16</v>
      </c>
      <c r="J348" s="5">
        <v>32379365</v>
      </c>
      <c r="K348" s="5" t="s">
        <v>2402</v>
      </c>
      <c r="L348" s="5" t="s">
        <v>2406</v>
      </c>
      <c r="M348" s="6">
        <v>249900</v>
      </c>
      <c r="N348" s="7">
        <v>0.9</v>
      </c>
      <c r="O348" s="6">
        <f t="shared" si="10"/>
        <v>24990</v>
      </c>
      <c r="P348" s="5" t="s">
        <v>504</v>
      </c>
    </row>
    <row r="349" spans="1:16" x14ac:dyDescent="0.35">
      <c r="A349" s="5" t="str">
        <f t="shared" si="11"/>
        <v>2021 ALL D90</v>
      </c>
      <c r="B349" s="8">
        <f>'ALL 2024 H2 D80'!$B$2</f>
        <v>46114</v>
      </c>
      <c r="C349" s="8">
        <f>'ALL 2024 H2 D80'!$C$2</f>
        <v>46120</v>
      </c>
      <c r="D349" s="5">
        <v>3208</v>
      </c>
      <c r="E349" s="5">
        <v>320</v>
      </c>
      <c r="F349" s="5">
        <v>1</v>
      </c>
      <c r="G349" s="5">
        <v>5</v>
      </c>
      <c r="H349" s="5">
        <v>81736</v>
      </c>
      <c r="I349" s="5" t="s">
        <v>16</v>
      </c>
      <c r="J349" s="5">
        <v>32379374</v>
      </c>
      <c r="K349" s="5" t="s">
        <v>2402</v>
      </c>
      <c r="L349" s="5" t="s">
        <v>2407</v>
      </c>
      <c r="M349" s="6">
        <v>249900</v>
      </c>
      <c r="N349" s="7">
        <v>0.9</v>
      </c>
      <c r="O349" s="6">
        <f t="shared" si="10"/>
        <v>24990</v>
      </c>
      <c r="P349" s="5" t="s">
        <v>504</v>
      </c>
    </row>
    <row r="350" spans="1:16" x14ac:dyDescent="0.35">
      <c r="A350" s="5" t="str">
        <f t="shared" si="11"/>
        <v>2021 ALL D90</v>
      </c>
      <c r="B350" s="8">
        <f>'ALL 2024 H2 D80'!$B$2</f>
        <v>46114</v>
      </c>
      <c r="C350" s="8">
        <f>'ALL 2024 H2 D80'!$C$2</f>
        <v>46120</v>
      </c>
      <c r="D350" s="5">
        <v>3208</v>
      </c>
      <c r="E350" s="5">
        <v>320</v>
      </c>
      <c r="F350" s="5">
        <v>1</v>
      </c>
      <c r="G350" s="5">
        <v>6</v>
      </c>
      <c r="H350" s="5">
        <v>81427</v>
      </c>
      <c r="I350" s="5" t="s">
        <v>16</v>
      </c>
      <c r="J350" s="5">
        <v>29056737</v>
      </c>
      <c r="K350" s="5" t="s">
        <v>2408</v>
      </c>
      <c r="L350" s="5" t="s">
        <v>2409</v>
      </c>
      <c r="M350" s="6">
        <v>169900</v>
      </c>
      <c r="N350" s="7">
        <v>0.9</v>
      </c>
      <c r="O350" s="6">
        <f t="shared" si="10"/>
        <v>16990</v>
      </c>
      <c r="P350" s="5" t="s">
        <v>504</v>
      </c>
    </row>
    <row r="351" spans="1:16" x14ac:dyDescent="0.35">
      <c r="A351" s="5" t="str">
        <f t="shared" si="11"/>
        <v>2021 ALL D90</v>
      </c>
      <c r="B351" s="8">
        <f>'ALL 2024 H2 D80'!$B$2</f>
        <v>46114</v>
      </c>
      <c r="C351" s="8">
        <f>'ALL 2024 H2 D80'!$C$2</f>
        <v>46120</v>
      </c>
      <c r="D351" s="5">
        <v>3208</v>
      </c>
      <c r="E351" s="5">
        <v>320</v>
      </c>
      <c r="F351" s="5">
        <v>1</v>
      </c>
      <c r="G351" s="5">
        <v>6</v>
      </c>
      <c r="H351" s="5">
        <v>81736</v>
      </c>
      <c r="I351" s="5" t="s">
        <v>16</v>
      </c>
      <c r="J351" s="5">
        <v>26688962</v>
      </c>
      <c r="K351" s="5" t="s">
        <v>2410</v>
      </c>
      <c r="L351" s="5" t="s">
        <v>2411</v>
      </c>
      <c r="M351" s="6">
        <v>169900</v>
      </c>
      <c r="N351" s="7">
        <v>0.9</v>
      </c>
      <c r="O351" s="6">
        <f t="shared" si="10"/>
        <v>16990</v>
      </c>
      <c r="P351" s="5" t="s">
        <v>504</v>
      </c>
    </row>
    <row r="352" spans="1:16" x14ac:dyDescent="0.35">
      <c r="A352" s="5" t="str">
        <f t="shared" si="11"/>
        <v>2021 ALL D90</v>
      </c>
      <c r="B352" s="8">
        <f>'ALL 2024 H2 D80'!$B$2</f>
        <v>46114</v>
      </c>
      <c r="C352" s="8">
        <f>'ALL 2024 H2 D80'!$C$2</f>
        <v>46120</v>
      </c>
      <c r="D352" s="5">
        <v>3208</v>
      </c>
      <c r="E352" s="5">
        <v>320</v>
      </c>
      <c r="F352" s="5">
        <v>1</v>
      </c>
      <c r="G352" s="5">
        <v>6</v>
      </c>
      <c r="H352" s="5">
        <v>81736</v>
      </c>
      <c r="I352" s="5" t="s">
        <v>16</v>
      </c>
      <c r="J352" s="5">
        <v>26688971</v>
      </c>
      <c r="K352" s="5" t="s">
        <v>2410</v>
      </c>
      <c r="L352" s="5" t="s">
        <v>2412</v>
      </c>
      <c r="M352" s="6">
        <v>169900</v>
      </c>
      <c r="N352" s="7">
        <v>0.9</v>
      </c>
      <c r="O352" s="6">
        <f t="shared" si="10"/>
        <v>16990</v>
      </c>
      <c r="P352" s="5" t="s">
        <v>504</v>
      </c>
    </row>
    <row r="353" spans="1:16" x14ac:dyDescent="0.35">
      <c r="A353" s="5" t="str">
        <f t="shared" si="11"/>
        <v>2021 ALL D90</v>
      </c>
      <c r="B353" s="8">
        <f>'ALL 2024 H2 D80'!$B$2</f>
        <v>46114</v>
      </c>
      <c r="C353" s="8">
        <f>'ALL 2024 H2 D80'!$C$2</f>
        <v>46120</v>
      </c>
      <c r="D353" s="5">
        <v>3208</v>
      </c>
      <c r="E353" s="5">
        <v>320</v>
      </c>
      <c r="F353" s="5">
        <v>1</v>
      </c>
      <c r="G353" s="5">
        <v>6</v>
      </c>
      <c r="H353" s="5">
        <v>81736</v>
      </c>
      <c r="I353" s="5" t="s">
        <v>16</v>
      </c>
      <c r="J353" s="5">
        <v>26688980</v>
      </c>
      <c r="K353" s="5" t="s">
        <v>2410</v>
      </c>
      <c r="L353" s="5" t="s">
        <v>2413</v>
      </c>
      <c r="M353" s="6">
        <v>169900</v>
      </c>
      <c r="N353" s="7">
        <v>0.9</v>
      </c>
      <c r="O353" s="6">
        <f t="shared" si="10"/>
        <v>16990</v>
      </c>
      <c r="P353" s="5" t="s">
        <v>504</v>
      </c>
    </row>
    <row r="354" spans="1:16" x14ac:dyDescent="0.35">
      <c r="A354" s="5" t="str">
        <f t="shared" si="11"/>
        <v>2021 ALL D90</v>
      </c>
      <c r="B354" s="8">
        <f>'ALL 2024 H2 D80'!$B$2</f>
        <v>46114</v>
      </c>
      <c r="C354" s="8">
        <f>'ALL 2024 H2 D80'!$C$2</f>
        <v>46120</v>
      </c>
      <c r="D354" s="5">
        <v>3208</v>
      </c>
      <c r="E354" s="5">
        <v>320</v>
      </c>
      <c r="F354" s="5">
        <v>1</v>
      </c>
      <c r="G354" s="5">
        <v>6</v>
      </c>
      <c r="H354" s="5">
        <v>81736</v>
      </c>
      <c r="I354" s="5" t="s">
        <v>16</v>
      </c>
      <c r="J354" s="5">
        <v>26689014</v>
      </c>
      <c r="K354" s="5" t="s">
        <v>2410</v>
      </c>
      <c r="L354" s="5" t="s">
        <v>2414</v>
      </c>
      <c r="M354" s="6">
        <v>169900</v>
      </c>
      <c r="N354" s="7">
        <v>0.9</v>
      </c>
      <c r="O354" s="6">
        <f t="shared" si="10"/>
        <v>16990</v>
      </c>
      <c r="P354" s="5" t="s">
        <v>504</v>
      </c>
    </row>
    <row r="355" spans="1:16" x14ac:dyDescent="0.35">
      <c r="A355" s="5" t="str">
        <f t="shared" si="11"/>
        <v>2021 ALL D90</v>
      </c>
      <c r="B355" s="8">
        <f>'ALL 2024 H2 D80'!$B$2</f>
        <v>46114</v>
      </c>
      <c r="C355" s="8">
        <f>'ALL 2024 H2 D80'!$C$2</f>
        <v>46120</v>
      </c>
      <c r="D355" s="5">
        <v>3208</v>
      </c>
      <c r="E355" s="5">
        <v>320</v>
      </c>
      <c r="F355" s="5">
        <v>1</v>
      </c>
      <c r="G355" s="5">
        <v>6</v>
      </c>
      <c r="H355" s="5">
        <v>81736</v>
      </c>
      <c r="I355" s="5" t="s">
        <v>16</v>
      </c>
      <c r="J355" s="5">
        <v>26948565</v>
      </c>
      <c r="K355" s="5" t="s">
        <v>2415</v>
      </c>
      <c r="L355" s="5" t="s">
        <v>2416</v>
      </c>
      <c r="M355" s="6">
        <v>249900</v>
      </c>
      <c r="N355" s="7">
        <v>0.9</v>
      </c>
      <c r="O355" s="6">
        <f t="shared" si="10"/>
        <v>24990</v>
      </c>
      <c r="P355" s="5" t="s">
        <v>504</v>
      </c>
    </row>
    <row r="356" spans="1:16" x14ac:dyDescent="0.35">
      <c r="A356" s="5" t="str">
        <f t="shared" si="11"/>
        <v>2021 ALL D90</v>
      </c>
      <c r="B356" s="8">
        <f>'ALL 2024 H2 D80'!$B$2</f>
        <v>46114</v>
      </c>
      <c r="C356" s="8">
        <f>'ALL 2024 H2 D80'!$C$2</f>
        <v>46120</v>
      </c>
      <c r="D356" s="5">
        <v>3208</v>
      </c>
      <c r="E356" s="5">
        <v>320</v>
      </c>
      <c r="F356" s="5">
        <v>1</v>
      </c>
      <c r="G356" s="5">
        <v>6</v>
      </c>
      <c r="H356" s="5">
        <v>81736</v>
      </c>
      <c r="I356" s="5" t="s">
        <v>16</v>
      </c>
      <c r="J356" s="5">
        <v>26948574</v>
      </c>
      <c r="K356" s="5" t="s">
        <v>2415</v>
      </c>
      <c r="L356" s="5" t="s">
        <v>2417</v>
      </c>
      <c r="M356" s="6">
        <v>249900</v>
      </c>
      <c r="N356" s="7">
        <v>0.9</v>
      </c>
      <c r="O356" s="6">
        <f t="shared" si="10"/>
        <v>24990</v>
      </c>
      <c r="P356" s="5" t="s">
        <v>504</v>
      </c>
    </row>
    <row r="357" spans="1:16" x14ac:dyDescent="0.35">
      <c r="A357" s="5" t="str">
        <f t="shared" si="11"/>
        <v>2021 ALL D90</v>
      </c>
      <c r="B357" s="8">
        <f>'ALL 2024 H2 D80'!$B$2</f>
        <v>46114</v>
      </c>
      <c r="C357" s="8">
        <f>'ALL 2024 H2 D80'!$C$2</f>
        <v>46120</v>
      </c>
      <c r="D357" s="5">
        <v>3208</v>
      </c>
      <c r="E357" s="5">
        <v>320</v>
      </c>
      <c r="F357" s="5">
        <v>1</v>
      </c>
      <c r="G357" s="5">
        <v>6</v>
      </c>
      <c r="H357" s="5">
        <v>81736</v>
      </c>
      <c r="I357" s="5" t="s">
        <v>16</v>
      </c>
      <c r="J357" s="5">
        <v>26948583</v>
      </c>
      <c r="K357" s="5" t="s">
        <v>2415</v>
      </c>
      <c r="L357" s="5" t="s">
        <v>2418</v>
      </c>
      <c r="M357" s="6">
        <v>249900</v>
      </c>
      <c r="N357" s="7">
        <v>0.9</v>
      </c>
      <c r="O357" s="6">
        <f t="shared" si="10"/>
        <v>24990</v>
      </c>
      <c r="P357" s="5" t="s">
        <v>504</v>
      </c>
    </row>
    <row r="358" spans="1:16" x14ac:dyDescent="0.35">
      <c r="A358" s="5" t="str">
        <f t="shared" si="11"/>
        <v>2021 ALL D90</v>
      </c>
      <c r="B358" s="8">
        <f>'ALL 2024 H2 D80'!$B$2</f>
        <v>46114</v>
      </c>
      <c r="C358" s="8">
        <f>'ALL 2024 H2 D80'!$C$2</f>
        <v>46120</v>
      </c>
      <c r="D358" s="5">
        <v>3208</v>
      </c>
      <c r="E358" s="5">
        <v>320</v>
      </c>
      <c r="F358" s="5">
        <v>1</v>
      </c>
      <c r="G358" s="5">
        <v>6</v>
      </c>
      <c r="H358" s="5">
        <v>81736</v>
      </c>
      <c r="I358" s="5" t="s">
        <v>16</v>
      </c>
      <c r="J358" s="5">
        <v>28312612</v>
      </c>
      <c r="K358" s="5" t="s">
        <v>2419</v>
      </c>
      <c r="L358" s="5" t="s">
        <v>2420</v>
      </c>
      <c r="M358" s="6">
        <v>229900</v>
      </c>
      <c r="N358" s="7">
        <v>0.9</v>
      </c>
      <c r="O358" s="6">
        <f t="shared" si="10"/>
        <v>22990</v>
      </c>
      <c r="P358" s="5" t="s">
        <v>504</v>
      </c>
    </row>
    <row r="359" spans="1:16" x14ac:dyDescent="0.35">
      <c r="A359" s="5" t="str">
        <f t="shared" si="11"/>
        <v>2021 ALL D90</v>
      </c>
      <c r="B359" s="8">
        <f>'ALL 2024 H2 D80'!$B$2</f>
        <v>46114</v>
      </c>
      <c r="C359" s="8">
        <f>'ALL 2024 H2 D80'!$C$2</f>
        <v>46120</v>
      </c>
      <c r="D359" s="5">
        <v>3208</v>
      </c>
      <c r="E359" s="5">
        <v>320</v>
      </c>
      <c r="F359" s="5">
        <v>1</v>
      </c>
      <c r="G359" s="5">
        <v>6</v>
      </c>
      <c r="H359" s="5">
        <v>81736</v>
      </c>
      <c r="I359" s="5" t="s">
        <v>16</v>
      </c>
      <c r="J359" s="5">
        <v>33261908</v>
      </c>
      <c r="K359" s="5" t="s">
        <v>2421</v>
      </c>
      <c r="L359" s="5" t="s">
        <v>2422</v>
      </c>
      <c r="M359" s="6">
        <v>229900</v>
      </c>
      <c r="N359" s="7">
        <v>0.9</v>
      </c>
      <c r="O359" s="6">
        <f t="shared" si="10"/>
        <v>22990</v>
      </c>
      <c r="P359" s="5" t="s">
        <v>504</v>
      </c>
    </row>
    <row r="360" spans="1:16" x14ac:dyDescent="0.35">
      <c r="A360" s="5" t="str">
        <f t="shared" si="11"/>
        <v>2021 ALL D90</v>
      </c>
      <c r="B360" s="8">
        <f>'ALL 2024 H2 D80'!$B$2</f>
        <v>46114</v>
      </c>
      <c r="C360" s="8">
        <f>'ALL 2024 H2 D80'!$C$2</f>
        <v>46120</v>
      </c>
      <c r="D360" s="5">
        <v>3208</v>
      </c>
      <c r="E360" s="5">
        <v>320</v>
      </c>
      <c r="F360" s="5">
        <v>1</v>
      </c>
      <c r="G360" s="5">
        <v>6</v>
      </c>
      <c r="H360" s="5">
        <v>81736</v>
      </c>
      <c r="I360" s="5" t="s">
        <v>16</v>
      </c>
      <c r="J360" s="5">
        <v>33261917</v>
      </c>
      <c r="K360" s="5" t="s">
        <v>2421</v>
      </c>
      <c r="L360" s="5" t="s">
        <v>2423</v>
      </c>
      <c r="M360" s="6">
        <v>229900</v>
      </c>
      <c r="N360" s="7">
        <v>0.9</v>
      </c>
      <c r="O360" s="6">
        <f t="shared" si="10"/>
        <v>22990</v>
      </c>
      <c r="P360" s="5" t="s">
        <v>504</v>
      </c>
    </row>
    <row r="361" spans="1:16" x14ac:dyDescent="0.35">
      <c r="A361" s="5" t="str">
        <f t="shared" si="11"/>
        <v>2021 ALL D90</v>
      </c>
      <c r="B361" s="8">
        <f>'ALL 2024 H2 D80'!$B$2</f>
        <v>46114</v>
      </c>
      <c r="C361" s="8">
        <f>'ALL 2024 H2 D80'!$C$2</f>
        <v>46120</v>
      </c>
      <c r="D361" s="5">
        <v>3208</v>
      </c>
      <c r="E361" s="5">
        <v>320</v>
      </c>
      <c r="F361" s="5">
        <v>1</v>
      </c>
      <c r="G361" s="5">
        <v>6</v>
      </c>
      <c r="H361" s="5">
        <v>81736</v>
      </c>
      <c r="I361" s="5" t="s">
        <v>16</v>
      </c>
      <c r="J361" s="5">
        <v>33261926</v>
      </c>
      <c r="K361" s="5" t="s">
        <v>2421</v>
      </c>
      <c r="L361" s="5" t="s">
        <v>2424</v>
      </c>
      <c r="M361" s="6">
        <v>229900</v>
      </c>
      <c r="N361" s="7">
        <v>0.9</v>
      </c>
      <c r="O361" s="6">
        <f t="shared" si="10"/>
        <v>22990</v>
      </c>
      <c r="P361" s="5" t="s">
        <v>504</v>
      </c>
    </row>
    <row r="362" spans="1:16" x14ac:dyDescent="0.35">
      <c r="A362" s="5" t="str">
        <f t="shared" si="11"/>
        <v>2021 ALL D90</v>
      </c>
      <c r="B362" s="8">
        <f>'ALL 2024 H2 D80'!$B$2</f>
        <v>46114</v>
      </c>
      <c r="C362" s="8">
        <f>'ALL 2024 H2 D80'!$C$2</f>
        <v>46120</v>
      </c>
      <c r="D362" s="5">
        <v>3208</v>
      </c>
      <c r="E362" s="5">
        <v>320</v>
      </c>
      <c r="F362" s="5">
        <v>1</v>
      </c>
      <c r="G362" s="5">
        <v>6</v>
      </c>
      <c r="H362" s="5">
        <v>81736</v>
      </c>
      <c r="I362" s="5" t="s">
        <v>16</v>
      </c>
      <c r="J362" s="5">
        <v>33261935</v>
      </c>
      <c r="K362" s="5" t="s">
        <v>2421</v>
      </c>
      <c r="L362" s="5" t="s">
        <v>2425</v>
      </c>
      <c r="M362" s="6">
        <v>229900</v>
      </c>
      <c r="N362" s="7">
        <v>0.9</v>
      </c>
      <c r="O362" s="6">
        <f t="shared" si="10"/>
        <v>22990</v>
      </c>
      <c r="P362" s="5" t="s">
        <v>504</v>
      </c>
    </row>
    <row r="363" spans="1:16" x14ac:dyDescent="0.35">
      <c r="A363" s="5" t="str">
        <f t="shared" si="11"/>
        <v>2021 ALL D90</v>
      </c>
      <c r="B363" s="8">
        <f>'ALL 2024 H2 D80'!$B$2</f>
        <v>46114</v>
      </c>
      <c r="C363" s="8">
        <f>'ALL 2024 H2 D80'!$C$2</f>
        <v>46120</v>
      </c>
      <c r="D363" s="5">
        <v>3208</v>
      </c>
      <c r="E363" s="5">
        <v>320</v>
      </c>
      <c r="F363" s="5">
        <v>1</v>
      </c>
      <c r="G363" s="5">
        <v>7</v>
      </c>
      <c r="H363" s="5">
        <v>81044</v>
      </c>
      <c r="I363" s="5" t="s">
        <v>16</v>
      </c>
      <c r="J363" s="5">
        <v>32574377</v>
      </c>
      <c r="K363" s="5" t="s">
        <v>2749</v>
      </c>
      <c r="L363" s="5" t="s">
        <v>2750</v>
      </c>
      <c r="M363" s="6">
        <v>199900</v>
      </c>
      <c r="N363" s="7">
        <v>0.9</v>
      </c>
      <c r="O363" s="6">
        <f t="shared" si="10"/>
        <v>19990</v>
      </c>
      <c r="P363" s="5" t="s">
        <v>504</v>
      </c>
    </row>
    <row r="364" spans="1:16" x14ac:dyDescent="0.35">
      <c r="A364" s="5" t="str">
        <f t="shared" si="11"/>
        <v>2021 ALL D90</v>
      </c>
      <c r="B364" s="8">
        <f>'ALL 2024 H2 D80'!$B$2</f>
        <v>46114</v>
      </c>
      <c r="C364" s="8">
        <f>'ALL 2024 H2 D80'!$C$2</f>
        <v>46120</v>
      </c>
      <c r="D364" s="5">
        <v>3208</v>
      </c>
      <c r="E364" s="5">
        <v>320</v>
      </c>
      <c r="F364" s="5">
        <v>1</v>
      </c>
      <c r="G364" s="5">
        <v>7</v>
      </c>
      <c r="H364" s="5">
        <v>81044</v>
      </c>
      <c r="I364" s="5" t="s">
        <v>16</v>
      </c>
      <c r="J364" s="5">
        <v>32574386</v>
      </c>
      <c r="K364" s="5" t="s">
        <v>2749</v>
      </c>
      <c r="L364" s="5" t="s">
        <v>2751</v>
      </c>
      <c r="M364" s="6">
        <v>199900</v>
      </c>
      <c r="N364" s="7">
        <v>0.9</v>
      </c>
      <c r="O364" s="6">
        <f t="shared" si="10"/>
        <v>19990</v>
      </c>
      <c r="P364" s="5" t="s">
        <v>504</v>
      </c>
    </row>
    <row r="365" spans="1:16" x14ac:dyDescent="0.35">
      <c r="A365" s="5" t="str">
        <f t="shared" si="11"/>
        <v>2021 ALL D90</v>
      </c>
      <c r="B365" s="8">
        <f>'ALL 2024 H2 D80'!$B$2</f>
        <v>46114</v>
      </c>
      <c r="C365" s="8">
        <f>'ALL 2024 H2 D80'!$C$2</f>
        <v>46120</v>
      </c>
      <c r="D365" s="5">
        <v>3208</v>
      </c>
      <c r="E365" s="5">
        <v>320</v>
      </c>
      <c r="F365" s="5">
        <v>1</v>
      </c>
      <c r="G365" s="5">
        <v>7</v>
      </c>
      <c r="H365" s="5">
        <v>81044</v>
      </c>
      <c r="I365" s="5" t="s">
        <v>16</v>
      </c>
      <c r="J365" s="5">
        <v>32574395</v>
      </c>
      <c r="K365" s="5" t="s">
        <v>2749</v>
      </c>
      <c r="L365" s="5" t="s">
        <v>2752</v>
      </c>
      <c r="M365" s="6">
        <v>199900</v>
      </c>
      <c r="N365" s="7">
        <v>0.9</v>
      </c>
      <c r="O365" s="6">
        <f t="shared" si="10"/>
        <v>19990</v>
      </c>
      <c r="P365" s="5" t="s">
        <v>504</v>
      </c>
    </row>
    <row r="366" spans="1:16" x14ac:dyDescent="0.35">
      <c r="A366" s="5" t="str">
        <f t="shared" si="11"/>
        <v>2021 ALL D90</v>
      </c>
      <c r="B366" s="8">
        <f>'ALL 2024 H2 D80'!$B$2</f>
        <v>46114</v>
      </c>
      <c r="C366" s="8">
        <f>'ALL 2024 H2 D80'!$C$2</f>
        <v>46120</v>
      </c>
      <c r="D366" s="5">
        <v>3208</v>
      </c>
      <c r="E366" s="5">
        <v>320</v>
      </c>
      <c r="F366" s="5">
        <v>1</v>
      </c>
      <c r="G366" s="5">
        <v>7</v>
      </c>
      <c r="H366" s="5">
        <v>81044</v>
      </c>
      <c r="I366" s="5" t="s">
        <v>16</v>
      </c>
      <c r="J366" s="5">
        <v>32574411</v>
      </c>
      <c r="K366" s="5" t="s">
        <v>2749</v>
      </c>
      <c r="L366" s="5" t="s">
        <v>2753</v>
      </c>
      <c r="M366" s="6">
        <v>199900</v>
      </c>
      <c r="N366" s="7">
        <v>0.9</v>
      </c>
      <c r="O366" s="6">
        <f t="shared" si="10"/>
        <v>19990</v>
      </c>
      <c r="P366" s="5" t="s">
        <v>504</v>
      </c>
    </row>
    <row r="367" spans="1:16" x14ac:dyDescent="0.35">
      <c r="A367" s="5" t="str">
        <f t="shared" si="11"/>
        <v>2021 ALL D90</v>
      </c>
      <c r="B367" s="8">
        <f>'ALL 2024 H2 D80'!$B$2</f>
        <v>46114</v>
      </c>
      <c r="C367" s="8">
        <f>'ALL 2024 H2 D80'!$C$2</f>
        <v>46120</v>
      </c>
      <c r="D367" s="5">
        <v>3208</v>
      </c>
      <c r="E367" s="5">
        <v>320</v>
      </c>
      <c r="F367" s="5">
        <v>1</v>
      </c>
      <c r="G367" s="5">
        <v>7</v>
      </c>
      <c r="H367" s="5">
        <v>81044</v>
      </c>
      <c r="I367" s="5" t="s">
        <v>16</v>
      </c>
      <c r="J367" s="5">
        <v>32574420</v>
      </c>
      <c r="K367" s="5" t="s">
        <v>2749</v>
      </c>
      <c r="L367" s="5" t="s">
        <v>2754</v>
      </c>
      <c r="M367" s="6">
        <v>199900</v>
      </c>
      <c r="N367" s="7">
        <v>0.9</v>
      </c>
      <c r="O367" s="6">
        <f t="shared" si="10"/>
        <v>19990</v>
      </c>
      <c r="P367" s="5" t="s">
        <v>504</v>
      </c>
    </row>
    <row r="368" spans="1:16" x14ac:dyDescent="0.35">
      <c r="A368" s="5" t="str">
        <f t="shared" si="11"/>
        <v>2021 ALL D90</v>
      </c>
      <c r="B368" s="8">
        <f>'ALL 2024 H2 D80'!$B$2</f>
        <v>46114</v>
      </c>
      <c r="C368" s="8">
        <f>'ALL 2024 H2 D80'!$C$2</f>
        <v>46120</v>
      </c>
      <c r="D368" s="5">
        <v>3208</v>
      </c>
      <c r="E368" s="5">
        <v>320</v>
      </c>
      <c r="F368" s="5">
        <v>1</v>
      </c>
      <c r="G368" s="5">
        <v>7</v>
      </c>
      <c r="H368" s="5">
        <v>81044</v>
      </c>
      <c r="I368" s="5" t="s">
        <v>16</v>
      </c>
      <c r="J368" s="5">
        <v>32574439</v>
      </c>
      <c r="K368" s="5" t="s">
        <v>2749</v>
      </c>
      <c r="L368" s="5" t="s">
        <v>2755</v>
      </c>
      <c r="M368" s="6">
        <v>199900</v>
      </c>
      <c r="N368" s="7">
        <v>0.9</v>
      </c>
      <c r="O368" s="6">
        <f t="shared" si="10"/>
        <v>19990</v>
      </c>
      <c r="P368" s="5" t="s">
        <v>504</v>
      </c>
    </row>
  </sheetData>
  <conditionalFormatting sqref="J2:J368">
    <cfRule type="duplicateValues" dxfId="4" priority="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A1:P99"/>
  <sheetViews>
    <sheetView zoomScaleNormal="100" workbookViewId="0">
      <pane ySplit="1" topLeftCell="A2" activePane="bottomLeft" state="frozen"/>
      <selection activeCell="C11" sqref="C11"/>
      <selection pane="bottomLeft" activeCell="A3" sqref="A3"/>
    </sheetView>
  </sheetViews>
  <sheetFormatPr defaultColWidth="8.7265625" defaultRowHeight="14.5" x14ac:dyDescent="0.35"/>
  <cols>
    <col min="1" max="1" width="32" style="1" bestFit="1" customWidth="1"/>
    <col min="2" max="2" width="16.1796875" style="4" bestFit="1" customWidth="1"/>
    <col min="3" max="3" width="13.26953125" style="4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6.453125" style="1" bestFit="1" customWidth="1"/>
    <col min="10" max="10" width="9.453125" style="1" bestFit="1" customWidth="1"/>
    <col min="11" max="11" width="12.453125" style="1" bestFit="1" customWidth="1"/>
    <col min="12" max="12" width="64.54296875" style="1" customWidth="1"/>
    <col min="13" max="13" width="16" style="2" bestFit="1" customWidth="1"/>
    <col min="14" max="14" width="12.453125" style="3" bestFit="1" customWidth="1"/>
    <col min="15" max="15" width="15" style="2" bestFit="1" customWidth="1"/>
    <col min="16" max="16" width="19.81640625" style="1" bestFit="1" customWidth="1"/>
    <col min="17" max="16384" width="8.7265625" style="1"/>
  </cols>
  <sheetData>
    <row r="1" spans="1:16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9" t="s">
        <v>4</v>
      </c>
      <c r="M1" s="10" t="s">
        <v>3</v>
      </c>
      <c r="N1" s="11" t="s">
        <v>2</v>
      </c>
      <c r="O1" s="10" t="s">
        <v>1</v>
      </c>
      <c r="P1" s="9" t="s">
        <v>0</v>
      </c>
    </row>
    <row r="2" spans="1:16" x14ac:dyDescent="0.35">
      <c r="A2" s="5" t="s">
        <v>3667</v>
      </c>
      <c r="B2" s="8">
        <f>'ALL 2024 H2 D80'!$B$2</f>
        <v>46114</v>
      </c>
      <c r="C2" s="8">
        <f>'ALL 2024 H2 D80'!$C$2</f>
        <v>46120</v>
      </c>
      <c r="D2" s="5">
        <v>3208</v>
      </c>
      <c r="E2" s="5">
        <v>320</v>
      </c>
      <c r="F2" s="5">
        <v>1</v>
      </c>
      <c r="G2" s="5">
        <v>1</v>
      </c>
      <c r="H2" s="5">
        <v>81044</v>
      </c>
      <c r="I2" s="5" t="s">
        <v>16</v>
      </c>
      <c r="J2" s="5">
        <v>26112038</v>
      </c>
      <c r="K2" s="5" t="s">
        <v>2463</v>
      </c>
      <c r="L2" s="5" t="s">
        <v>2464</v>
      </c>
      <c r="M2" s="6">
        <v>219900</v>
      </c>
      <c r="N2" s="7">
        <v>0.9</v>
      </c>
      <c r="O2" s="6">
        <f t="shared" ref="O2:O64" si="0">M2-(M2*N2)</f>
        <v>21990</v>
      </c>
      <c r="P2" s="5" t="s">
        <v>504</v>
      </c>
    </row>
    <row r="3" spans="1:16" x14ac:dyDescent="0.35">
      <c r="A3" s="5" t="str">
        <f>$A$2</f>
        <v>2020 ALL D90</v>
      </c>
      <c r="B3" s="8">
        <f>'ALL 2024 H2 D80'!$B$2</f>
        <v>46114</v>
      </c>
      <c r="C3" s="8">
        <f>'ALL 2024 H2 D80'!$C$2</f>
        <v>46120</v>
      </c>
      <c r="D3" s="5">
        <v>3208</v>
      </c>
      <c r="E3" s="5">
        <v>320</v>
      </c>
      <c r="F3" s="5">
        <v>1</v>
      </c>
      <c r="G3" s="5">
        <v>1</v>
      </c>
      <c r="H3" s="5">
        <v>81044</v>
      </c>
      <c r="I3" s="5" t="s">
        <v>16</v>
      </c>
      <c r="J3" s="5">
        <v>26112056</v>
      </c>
      <c r="K3" s="5" t="s">
        <v>2463</v>
      </c>
      <c r="L3" s="5" t="s">
        <v>2465</v>
      </c>
      <c r="M3" s="6">
        <v>219900</v>
      </c>
      <c r="N3" s="7">
        <v>0.9</v>
      </c>
      <c r="O3" s="6">
        <f t="shared" si="0"/>
        <v>21990</v>
      </c>
      <c r="P3" s="5" t="s">
        <v>504</v>
      </c>
    </row>
    <row r="4" spans="1:16" x14ac:dyDescent="0.35">
      <c r="A4" s="5" t="str">
        <f t="shared" ref="A4:A67" si="1">$A$2</f>
        <v>2020 ALL D90</v>
      </c>
      <c r="B4" s="8">
        <f>'ALL 2024 H2 D80'!$B$2</f>
        <v>46114</v>
      </c>
      <c r="C4" s="8">
        <f>'ALL 2024 H2 D80'!$C$2</f>
        <v>46120</v>
      </c>
      <c r="D4" s="5">
        <v>3208</v>
      </c>
      <c r="E4" s="5">
        <v>320</v>
      </c>
      <c r="F4" s="5">
        <v>1</v>
      </c>
      <c r="G4" s="5">
        <v>1</v>
      </c>
      <c r="H4" s="5">
        <v>81044</v>
      </c>
      <c r="I4" s="5" t="s">
        <v>16</v>
      </c>
      <c r="J4" s="5">
        <v>26321802</v>
      </c>
      <c r="K4" s="5" t="s">
        <v>2466</v>
      </c>
      <c r="L4" s="5" t="s">
        <v>2467</v>
      </c>
      <c r="M4" s="6">
        <v>259900</v>
      </c>
      <c r="N4" s="7">
        <v>0.9</v>
      </c>
      <c r="O4" s="6">
        <f t="shared" si="0"/>
        <v>25990</v>
      </c>
      <c r="P4" s="5" t="s">
        <v>504</v>
      </c>
    </row>
    <row r="5" spans="1:16" x14ac:dyDescent="0.35">
      <c r="A5" s="5" t="str">
        <f t="shared" si="1"/>
        <v>2020 ALL D90</v>
      </c>
      <c r="B5" s="8">
        <f>'ALL 2024 H2 D80'!$B$2</f>
        <v>46114</v>
      </c>
      <c r="C5" s="8">
        <f>'ALL 2024 H2 D80'!$C$2</f>
        <v>46120</v>
      </c>
      <c r="D5" s="5">
        <v>3208</v>
      </c>
      <c r="E5" s="5">
        <v>320</v>
      </c>
      <c r="F5" s="5">
        <v>1</v>
      </c>
      <c r="G5" s="5">
        <v>1</v>
      </c>
      <c r="H5" s="5">
        <v>81044</v>
      </c>
      <c r="I5" s="5" t="s">
        <v>16</v>
      </c>
      <c r="J5" s="5">
        <v>26490513</v>
      </c>
      <c r="K5" s="5" t="s">
        <v>2468</v>
      </c>
      <c r="L5" s="5" t="s">
        <v>2469</v>
      </c>
      <c r="M5" s="6">
        <v>259900</v>
      </c>
      <c r="N5" s="7">
        <v>0.9</v>
      </c>
      <c r="O5" s="6">
        <f t="shared" si="0"/>
        <v>25990</v>
      </c>
      <c r="P5" s="5" t="s">
        <v>504</v>
      </c>
    </row>
    <row r="6" spans="1:16" x14ac:dyDescent="0.35">
      <c r="A6" s="5" t="str">
        <f t="shared" si="1"/>
        <v>2020 ALL D90</v>
      </c>
      <c r="B6" s="8">
        <f>'ALL 2024 H2 D80'!$B$2</f>
        <v>46114</v>
      </c>
      <c r="C6" s="8">
        <f>'ALL 2024 H2 D80'!$C$2</f>
        <v>46120</v>
      </c>
      <c r="D6" s="5">
        <v>3208</v>
      </c>
      <c r="E6" s="5">
        <v>320</v>
      </c>
      <c r="F6" s="5">
        <v>1</v>
      </c>
      <c r="G6" s="5">
        <v>1</v>
      </c>
      <c r="H6" s="5">
        <v>81044</v>
      </c>
      <c r="I6" s="5" t="s">
        <v>16</v>
      </c>
      <c r="J6" s="5">
        <v>26490522</v>
      </c>
      <c r="K6" s="5" t="s">
        <v>2468</v>
      </c>
      <c r="L6" s="5" t="s">
        <v>2470</v>
      </c>
      <c r="M6" s="6">
        <v>259900</v>
      </c>
      <c r="N6" s="7">
        <v>0.9</v>
      </c>
      <c r="O6" s="6">
        <f t="shared" si="0"/>
        <v>25990</v>
      </c>
      <c r="P6" s="5" t="s">
        <v>504</v>
      </c>
    </row>
    <row r="7" spans="1:16" x14ac:dyDescent="0.35">
      <c r="A7" s="5" t="str">
        <f t="shared" si="1"/>
        <v>2020 ALL D90</v>
      </c>
      <c r="B7" s="8">
        <f>'ALL 2024 H2 D80'!$B$2</f>
        <v>46114</v>
      </c>
      <c r="C7" s="8">
        <f>'ALL 2024 H2 D80'!$C$2</f>
        <v>46120</v>
      </c>
      <c r="D7" s="5">
        <v>3208</v>
      </c>
      <c r="E7" s="5">
        <v>320</v>
      </c>
      <c r="F7" s="5">
        <v>1</v>
      </c>
      <c r="G7" s="5">
        <v>1</v>
      </c>
      <c r="H7" s="5">
        <v>81044</v>
      </c>
      <c r="I7" s="5" t="s">
        <v>16</v>
      </c>
      <c r="J7" s="5">
        <v>26490531</v>
      </c>
      <c r="K7" s="5" t="s">
        <v>2468</v>
      </c>
      <c r="L7" s="5" t="s">
        <v>2471</v>
      </c>
      <c r="M7" s="6">
        <v>259900</v>
      </c>
      <c r="N7" s="7">
        <v>0.9</v>
      </c>
      <c r="O7" s="6">
        <f t="shared" si="0"/>
        <v>25990</v>
      </c>
      <c r="P7" s="5" t="s">
        <v>504</v>
      </c>
    </row>
    <row r="8" spans="1:16" x14ac:dyDescent="0.35">
      <c r="A8" s="5" t="str">
        <f t="shared" si="1"/>
        <v>2020 ALL D90</v>
      </c>
      <c r="B8" s="8">
        <f>'ALL 2024 H2 D80'!$B$2</f>
        <v>46114</v>
      </c>
      <c r="C8" s="8">
        <f>'ALL 2024 H2 D80'!$C$2</f>
        <v>46120</v>
      </c>
      <c r="D8" s="5">
        <v>3208</v>
      </c>
      <c r="E8" s="5">
        <v>320</v>
      </c>
      <c r="F8" s="5">
        <v>1</v>
      </c>
      <c r="G8" s="5">
        <v>1</v>
      </c>
      <c r="H8" s="5">
        <v>81044</v>
      </c>
      <c r="I8" s="5" t="s">
        <v>16</v>
      </c>
      <c r="J8" s="5">
        <v>26513006</v>
      </c>
      <c r="K8" s="5" t="s">
        <v>2472</v>
      </c>
      <c r="L8" s="5" t="s">
        <v>2473</v>
      </c>
      <c r="M8" s="6">
        <v>249900</v>
      </c>
      <c r="N8" s="7">
        <v>0.9</v>
      </c>
      <c r="O8" s="6">
        <f t="shared" si="0"/>
        <v>24990</v>
      </c>
      <c r="P8" s="5" t="s">
        <v>504</v>
      </c>
    </row>
    <row r="9" spans="1:16" x14ac:dyDescent="0.35">
      <c r="A9" s="5" t="str">
        <f t="shared" si="1"/>
        <v>2020 ALL D90</v>
      </c>
      <c r="B9" s="8">
        <f>'ALL 2024 H2 D80'!$B$2</f>
        <v>46114</v>
      </c>
      <c r="C9" s="8">
        <f>'ALL 2024 H2 D80'!$C$2</f>
        <v>46120</v>
      </c>
      <c r="D9" s="5">
        <v>3208</v>
      </c>
      <c r="E9" s="5">
        <v>320</v>
      </c>
      <c r="F9" s="5">
        <v>1</v>
      </c>
      <c r="G9" s="5">
        <v>1</v>
      </c>
      <c r="H9" s="5">
        <v>81044</v>
      </c>
      <c r="I9" s="5" t="s">
        <v>16</v>
      </c>
      <c r="J9" s="5">
        <v>27035165</v>
      </c>
      <c r="K9" s="5" t="s">
        <v>2474</v>
      </c>
      <c r="L9" s="5" t="s">
        <v>2475</v>
      </c>
      <c r="M9" s="6">
        <v>259900</v>
      </c>
      <c r="N9" s="7">
        <v>0.9</v>
      </c>
      <c r="O9" s="6">
        <f t="shared" si="0"/>
        <v>25990</v>
      </c>
      <c r="P9" s="5" t="s">
        <v>504</v>
      </c>
    </row>
    <row r="10" spans="1:16" x14ac:dyDescent="0.35">
      <c r="A10" s="5" t="str">
        <f t="shared" si="1"/>
        <v>2020 ALL D90</v>
      </c>
      <c r="B10" s="8">
        <f>'ALL 2024 H2 D80'!$B$2</f>
        <v>46114</v>
      </c>
      <c r="C10" s="8">
        <f>'ALL 2024 H2 D80'!$C$2</f>
        <v>46120</v>
      </c>
      <c r="D10" s="5">
        <v>3208</v>
      </c>
      <c r="E10" s="5">
        <v>320</v>
      </c>
      <c r="F10" s="5">
        <v>1</v>
      </c>
      <c r="G10" s="5">
        <v>1</v>
      </c>
      <c r="H10" s="5">
        <v>81044</v>
      </c>
      <c r="I10" s="5" t="s">
        <v>16</v>
      </c>
      <c r="J10" s="5">
        <v>27035174</v>
      </c>
      <c r="K10" s="5" t="s">
        <v>2474</v>
      </c>
      <c r="L10" s="5" t="s">
        <v>2476</v>
      </c>
      <c r="M10" s="6">
        <v>259900</v>
      </c>
      <c r="N10" s="7">
        <v>0.9</v>
      </c>
      <c r="O10" s="6">
        <f t="shared" si="0"/>
        <v>25990</v>
      </c>
      <c r="P10" s="5" t="s">
        <v>504</v>
      </c>
    </row>
    <row r="11" spans="1:16" x14ac:dyDescent="0.35">
      <c r="A11" s="5" t="str">
        <f t="shared" si="1"/>
        <v>2020 ALL D90</v>
      </c>
      <c r="B11" s="8">
        <f>'ALL 2024 H2 D80'!$B$2</f>
        <v>46114</v>
      </c>
      <c r="C11" s="8">
        <f>'ALL 2024 H2 D80'!$C$2</f>
        <v>46120</v>
      </c>
      <c r="D11" s="5">
        <v>3208</v>
      </c>
      <c r="E11" s="5">
        <v>320</v>
      </c>
      <c r="F11" s="5">
        <v>1</v>
      </c>
      <c r="G11" s="5">
        <v>1</v>
      </c>
      <c r="H11" s="5">
        <v>81044</v>
      </c>
      <c r="I11" s="5" t="s">
        <v>16</v>
      </c>
      <c r="J11" s="5">
        <v>27035183</v>
      </c>
      <c r="K11" s="5" t="s">
        <v>2474</v>
      </c>
      <c r="L11" s="5" t="s">
        <v>2477</v>
      </c>
      <c r="M11" s="6">
        <v>259900</v>
      </c>
      <c r="N11" s="7">
        <v>0.9</v>
      </c>
      <c r="O11" s="6">
        <f t="shared" si="0"/>
        <v>25990</v>
      </c>
      <c r="P11" s="5" t="s">
        <v>504</v>
      </c>
    </row>
    <row r="12" spans="1:16" x14ac:dyDescent="0.35">
      <c r="A12" s="5" t="str">
        <f t="shared" si="1"/>
        <v>2020 ALL D90</v>
      </c>
      <c r="B12" s="8">
        <f>'ALL 2024 H2 D80'!$B$2</f>
        <v>46114</v>
      </c>
      <c r="C12" s="8">
        <f>'ALL 2024 H2 D80'!$C$2</f>
        <v>46120</v>
      </c>
      <c r="D12" s="5">
        <v>3208</v>
      </c>
      <c r="E12" s="5">
        <v>320</v>
      </c>
      <c r="F12" s="5">
        <v>1</v>
      </c>
      <c r="G12" s="5">
        <v>1</v>
      </c>
      <c r="H12" s="5">
        <v>81044</v>
      </c>
      <c r="I12" s="5" t="s">
        <v>16</v>
      </c>
      <c r="J12" s="5">
        <v>27035192</v>
      </c>
      <c r="K12" s="5" t="s">
        <v>2474</v>
      </c>
      <c r="L12" s="5" t="s">
        <v>2478</v>
      </c>
      <c r="M12" s="6">
        <v>259900</v>
      </c>
      <c r="N12" s="7">
        <v>0.9</v>
      </c>
      <c r="O12" s="6">
        <f t="shared" si="0"/>
        <v>25990</v>
      </c>
      <c r="P12" s="5" t="s">
        <v>504</v>
      </c>
    </row>
    <row r="13" spans="1:16" x14ac:dyDescent="0.35">
      <c r="A13" s="5" t="str">
        <f t="shared" si="1"/>
        <v>2020 ALL D90</v>
      </c>
      <c r="B13" s="8">
        <f>'ALL 2024 H2 D80'!$B$2</f>
        <v>46114</v>
      </c>
      <c r="C13" s="8">
        <f>'ALL 2024 H2 D80'!$C$2</f>
        <v>46120</v>
      </c>
      <c r="D13" s="5">
        <v>3208</v>
      </c>
      <c r="E13" s="5">
        <v>320</v>
      </c>
      <c r="F13" s="5">
        <v>1</v>
      </c>
      <c r="G13" s="5">
        <v>1</v>
      </c>
      <c r="H13" s="5">
        <v>81044</v>
      </c>
      <c r="I13" s="5" t="s">
        <v>16</v>
      </c>
      <c r="J13" s="5">
        <v>27061305</v>
      </c>
      <c r="K13" s="5" t="s">
        <v>2479</v>
      </c>
      <c r="L13" s="5" t="s">
        <v>2480</v>
      </c>
      <c r="M13" s="6">
        <v>219900</v>
      </c>
      <c r="N13" s="7">
        <v>0.9</v>
      </c>
      <c r="O13" s="6">
        <f t="shared" si="0"/>
        <v>21990</v>
      </c>
      <c r="P13" s="5" t="s">
        <v>504</v>
      </c>
    </row>
    <row r="14" spans="1:16" x14ac:dyDescent="0.35">
      <c r="A14" s="5" t="str">
        <f t="shared" si="1"/>
        <v>2020 ALL D90</v>
      </c>
      <c r="B14" s="8">
        <f>'ALL 2024 H2 D80'!$B$2</f>
        <v>46114</v>
      </c>
      <c r="C14" s="8">
        <f>'ALL 2024 H2 D80'!$C$2</f>
        <v>46120</v>
      </c>
      <c r="D14" s="5">
        <v>3208</v>
      </c>
      <c r="E14" s="5">
        <v>320</v>
      </c>
      <c r="F14" s="5">
        <v>1</v>
      </c>
      <c r="G14" s="5">
        <v>1</v>
      </c>
      <c r="H14" s="5">
        <v>81044</v>
      </c>
      <c r="I14" s="5" t="s">
        <v>16</v>
      </c>
      <c r="J14" s="5">
        <v>27061314</v>
      </c>
      <c r="K14" s="5" t="s">
        <v>2479</v>
      </c>
      <c r="L14" s="5" t="s">
        <v>2481</v>
      </c>
      <c r="M14" s="6">
        <v>219900</v>
      </c>
      <c r="N14" s="7">
        <v>0.9</v>
      </c>
      <c r="O14" s="6">
        <f t="shared" si="0"/>
        <v>21990</v>
      </c>
      <c r="P14" s="5" t="s">
        <v>504</v>
      </c>
    </row>
    <row r="15" spans="1:16" x14ac:dyDescent="0.35">
      <c r="A15" s="5" t="str">
        <f t="shared" si="1"/>
        <v>2020 ALL D90</v>
      </c>
      <c r="B15" s="8">
        <f>'ALL 2024 H2 D80'!$B$2</f>
        <v>46114</v>
      </c>
      <c r="C15" s="8">
        <f>'ALL 2024 H2 D80'!$C$2</f>
        <v>46120</v>
      </c>
      <c r="D15" s="5">
        <v>3208</v>
      </c>
      <c r="E15" s="5">
        <v>320</v>
      </c>
      <c r="F15" s="5">
        <v>1</v>
      </c>
      <c r="G15" s="5">
        <v>1</v>
      </c>
      <c r="H15" s="5">
        <v>81044</v>
      </c>
      <c r="I15" s="5" t="s">
        <v>16</v>
      </c>
      <c r="J15" s="5">
        <v>27061323</v>
      </c>
      <c r="K15" s="5" t="s">
        <v>2479</v>
      </c>
      <c r="L15" s="5" t="s">
        <v>2482</v>
      </c>
      <c r="M15" s="6">
        <v>219900</v>
      </c>
      <c r="N15" s="7">
        <v>0.9</v>
      </c>
      <c r="O15" s="6">
        <f t="shared" si="0"/>
        <v>21990</v>
      </c>
      <c r="P15" s="5" t="s">
        <v>504</v>
      </c>
    </row>
    <row r="16" spans="1:16" x14ac:dyDescent="0.35">
      <c r="A16" s="5" t="str">
        <f t="shared" si="1"/>
        <v>2020 ALL D90</v>
      </c>
      <c r="B16" s="8">
        <f>'ALL 2024 H2 D80'!$B$2</f>
        <v>46114</v>
      </c>
      <c r="C16" s="8">
        <f>'ALL 2024 H2 D80'!$C$2</f>
        <v>46120</v>
      </c>
      <c r="D16" s="5">
        <v>3208</v>
      </c>
      <c r="E16" s="5">
        <v>320</v>
      </c>
      <c r="F16" s="5">
        <v>1</v>
      </c>
      <c r="G16" s="5">
        <v>1</v>
      </c>
      <c r="H16" s="5">
        <v>81044</v>
      </c>
      <c r="I16" s="5" t="s">
        <v>16</v>
      </c>
      <c r="J16" s="5">
        <v>27061332</v>
      </c>
      <c r="K16" s="5" t="s">
        <v>2479</v>
      </c>
      <c r="L16" s="5" t="s">
        <v>2483</v>
      </c>
      <c r="M16" s="6">
        <v>219900</v>
      </c>
      <c r="N16" s="7">
        <v>0.9</v>
      </c>
      <c r="O16" s="6">
        <f t="shared" si="0"/>
        <v>21990</v>
      </c>
      <c r="P16" s="5" t="s">
        <v>504</v>
      </c>
    </row>
    <row r="17" spans="1:16" x14ac:dyDescent="0.35">
      <c r="A17" s="5" t="str">
        <f t="shared" si="1"/>
        <v>2020 ALL D90</v>
      </c>
      <c r="B17" s="8">
        <f>'ALL 2024 H2 D80'!$B$2</f>
        <v>46114</v>
      </c>
      <c r="C17" s="8">
        <f>'ALL 2024 H2 D80'!$C$2</f>
        <v>46120</v>
      </c>
      <c r="D17" s="5">
        <v>3208</v>
      </c>
      <c r="E17" s="5">
        <v>320</v>
      </c>
      <c r="F17" s="5">
        <v>1</v>
      </c>
      <c r="G17" s="5">
        <v>1</v>
      </c>
      <c r="H17" s="5">
        <v>81044</v>
      </c>
      <c r="I17" s="5" t="s">
        <v>16</v>
      </c>
      <c r="J17" s="5">
        <v>27061341</v>
      </c>
      <c r="K17" s="5" t="s">
        <v>2484</v>
      </c>
      <c r="L17" s="5" t="s">
        <v>2485</v>
      </c>
      <c r="M17" s="6">
        <v>229900</v>
      </c>
      <c r="N17" s="7">
        <v>0.9</v>
      </c>
      <c r="O17" s="6">
        <f t="shared" si="0"/>
        <v>22990</v>
      </c>
      <c r="P17" s="5" t="s">
        <v>504</v>
      </c>
    </row>
    <row r="18" spans="1:16" x14ac:dyDescent="0.35">
      <c r="A18" s="5" t="str">
        <f t="shared" si="1"/>
        <v>2020 ALL D90</v>
      </c>
      <c r="B18" s="8">
        <f>'ALL 2024 H2 D80'!$B$2</f>
        <v>46114</v>
      </c>
      <c r="C18" s="8">
        <f>'ALL 2024 H2 D80'!$C$2</f>
        <v>46120</v>
      </c>
      <c r="D18" s="5">
        <v>3208</v>
      </c>
      <c r="E18" s="5">
        <v>320</v>
      </c>
      <c r="F18" s="5">
        <v>1</v>
      </c>
      <c r="G18" s="5">
        <v>1</v>
      </c>
      <c r="H18" s="5">
        <v>81044</v>
      </c>
      <c r="I18" s="5" t="s">
        <v>16</v>
      </c>
      <c r="J18" s="5">
        <v>27061369</v>
      </c>
      <c r="K18" s="5" t="s">
        <v>2484</v>
      </c>
      <c r="L18" s="5" t="s">
        <v>2486</v>
      </c>
      <c r="M18" s="6">
        <v>229900</v>
      </c>
      <c r="N18" s="7">
        <v>0.9</v>
      </c>
      <c r="O18" s="6">
        <f t="shared" si="0"/>
        <v>22990</v>
      </c>
      <c r="P18" s="5" t="s">
        <v>504</v>
      </c>
    </row>
    <row r="19" spans="1:16" x14ac:dyDescent="0.35">
      <c r="A19" s="5" t="str">
        <f t="shared" si="1"/>
        <v>2020 ALL D90</v>
      </c>
      <c r="B19" s="8">
        <f>'ALL 2024 H2 D80'!$B$2</f>
        <v>46114</v>
      </c>
      <c r="C19" s="8">
        <f>'ALL 2024 H2 D80'!$C$2</f>
        <v>46120</v>
      </c>
      <c r="D19" s="5">
        <v>3208</v>
      </c>
      <c r="E19" s="5">
        <v>320</v>
      </c>
      <c r="F19" s="5">
        <v>1</v>
      </c>
      <c r="G19" s="5">
        <v>1</v>
      </c>
      <c r="H19" s="5">
        <v>81044</v>
      </c>
      <c r="I19" s="5" t="s">
        <v>16</v>
      </c>
      <c r="J19" s="5">
        <v>27061476</v>
      </c>
      <c r="K19" s="5" t="s">
        <v>2487</v>
      </c>
      <c r="L19" s="5" t="s">
        <v>2488</v>
      </c>
      <c r="M19" s="6">
        <v>219900</v>
      </c>
      <c r="N19" s="7">
        <v>0.9</v>
      </c>
      <c r="O19" s="6">
        <f t="shared" si="0"/>
        <v>21990</v>
      </c>
      <c r="P19" s="5" t="s">
        <v>504</v>
      </c>
    </row>
    <row r="20" spans="1:16" x14ac:dyDescent="0.35">
      <c r="A20" s="5" t="str">
        <f t="shared" si="1"/>
        <v>2020 ALL D90</v>
      </c>
      <c r="B20" s="8">
        <f>'ALL 2024 H2 D80'!$B$2</f>
        <v>46114</v>
      </c>
      <c r="C20" s="8">
        <f>'ALL 2024 H2 D80'!$C$2</f>
        <v>46120</v>
      </c>
      <c r="D20" s="5">
        <v>3208</v>
      </c>
      <c r="E20" s="5">
        <v>320</v>
      </c>
      <c r="F20" s="5">
        <v>1</v>
      </c>
      <c r="G20" s="5">
        <v>1</v>
      </c>
      <c r="H20" s="5">
        <v>81044</v>
      </c>
      <c r="I20" s="5" t="s">
        <v>16</v>
      </c>
      <c r="J20" s="5">
        <v>27061485</v>
      </c>
      <c r="K20" s="5" t="s">
        <v>2487</v>
      </c>
      <c r="L20" s="5" t="s">
        <v>2489</v>
      </c>
      <c r="M20" s="6">
        <v>219900</v>
      </c>
      <c r="N20" s="7">
        <v>0.9</v>
      </c>
      <c r="O20" s="6">
        <f t="shared" si="0"/>
        <v>21990</v>
      </c>
      <c r="P20" s="5" t="s">
        <v>504</v>
      </c>
    </row>
    <row r="21" spans="1:16" x14ac:dyDescent="0.35">
      <c r="A21" s="5" t="str">
        <f t="shared" si="1"/>
        <v>2020 ALL D90</v>
      </c>
      <c r="B21" s="8">
        <f>'ALL 2024 H2 D80'!$B$2</f>
        <v>46114</v>
      </c>
      <c r="C21" s="8">
        <f>'ALL 2024 H2 D80'!$C$2</f>
        <v>46120</v>
      </c>
      <c r="D21" s="5">
        <v>3208</v>
      </c>
      <c r="E21" s="5">
        <v>320</v>
      </c>
      <c r="F21" s="5">
        <v>1</v>
      </c>
      <c r="G21" s="5">
        <v>1</v>
      </c>
      <c r="H21" s="5">
        <v>81495</v>
      </c>
      <c r="I21" s="5" t="s">
        <v>16</v>
      </c>
      <c r="J21" s="5">
        <v>26224417</v>
      </c>
      <c r="K21" s="5" t="s">
        <v>2492</v>
      </c>
      <c r="L21" s="5" t="s">
        <v>2493</v>
      </c>
      <c r="M21" s="6">
        <v>219900</v>
      </c>
      <c r="N21" s="7">
        <v>0.9</v>
      </c>
      <c r="O21" s="6">
        <f t="shared" si="0"/>
        <v>21990</v>
      </c>
      <c r="P21" s="5" t="s">
        <v>504</v>
      </c>
    </row>
    <row r="22" spans="1:16" x14ac:dyDescent="0.35">
      <c r="A22" s="5" t="str">
        <f t="shared" si="1"/>
        <v>2020 ALL D90</v>
      </c>
      <c r="B22" s="8">
        <f>'ALL 2024 H2 D80'!$B$2</f>
        <v>46114</v>
      </c>
      <c r="C22" s="8">
        <f>'ALL 2024 H2 D80'!$C$2</f>
        <v>46120</v>
      </c>
      <c r="D22" s="5">
        <v>3208</v>
      </c>
      <c r="E22" s="5">
        <v>320</v>
      </c>
      <c r="F22" s="5">
        <v>1</v>
      </c>
      <c r="G22" s="5">
        <v>1</v>
      </c>
      <c r="H22" s="5">
        <v>81495</v>
      </c>
      <c r="I22" s="5" t="s">
        <v>16</v>
      </c>
      <c r="J22" s="5">
        <v>26352501</v>
      </c>
      <c r="K22" s="5" t="s">
        <v>2494</v>
      </c>
      <c r="L22" s="5" t="s">
        <v>2495</v>
      </c>
      <c r="M22" s="6">
        <v>219900</v>
      </c>
      <c r="N22" s="7">
        <v>0.9</v>
      </c>
      <c r="O22" s="6">
        <f t="shared" si="0"/>
        <v>21990</v>
      </c>
      <c r="P22" s="5" t="s">
        <v>504</v>
      </c>
    </row>
    <row r="23" spans="1:16" x14ac:dyDescent="0.35">
      <c r="A23" s="5" t="str">
        <f t="shared" si="1"/>
        <v>2020 ALL D90</v>
      </c>
      <c r="B23" s="8">
        <f>'ALL 2024 H2 D80'!$B$2</f>
        <v>46114</v>
      </c>
      <c r="C23" s="8">
        <f>'ALL 2024 H2 D80'!$C$2</f>
        <v>46120</v>
      </c>
      <c r="D23" s="5">
        <v>3208</v>
      </c>
      <c r="E23" s="5">
        <v>320</v>
      </c>
      <c r="F23" s="5">
        <v>1</v>
      </c>
      <c r="G23" s="5">
        <v>1</v>
      </c>
      <c r="H23" s="5">
        <v>81495</v>
      </c>
      <c r="I23" s="5" t="s">
        <v>16</v>
      </c>
      <c r="J23" s="5">
        <v>26352510</v>
      </c>
      <c r="K23" s="5" t="s">
        <v>2494</v>
      </c>
      <c r="L23" s="5" t="s">
        <v>2496</v>
      </c>
      <c r="M23" s="6">
        <v>219900</v>
      </c>
      <c r="N23" s="7">
        <v>0.9</v>
      </c>
      <c r="O23" s="6">
        <f t="shared" si="0"/>
        <v>21990</v>
      </c>
      <c r="P23" s="5" t="s">
        <v>504</v>
      </c>
    </row>
    <row r="24" spans="1:16" x14ac:dyDescent="0.35">
      <c r="A24" s="5" t="str">
        <f t="shared" si="1"/>
        <v>2020 ALL D90</v>
      </c>
      <c r="B24" s="8">
        <f>'ALL 2024 H2 D80'!$B$2</f>
        <v>46114</v>
      </c>
      <c r="C24" s="8">
        <f>'ALL 2024 H2 D80'!$C$2</f>
        <v>46120</v>
      </c>
      <c r="D24" s="5">
        <v>3208</v>
      </c>
      <c r="E24" s="5">
        <v>320</v>
      </c>
      <c r="F24" s="5">
        <v>1</v>
      </c>
      <c r="G24" s="5">
        <v>1</v>
      </c>
      <c r="H24" s="5">
        <v>81495</v>
      </c>
      <c r="I24" s="5" t="s">
        <v>16</v>
      </c>
      <c r="J24" s="5">
        <v>26516647</v>
      </c>
      <c r="K24" s="5" t="s">
        <v>2497</v>
      </c>
      <c r="L24" s="5" t="s">
        <v>2498</v>
      </c>
      <c r="M24" s="6">
        <v>249900</v>
      </c>
      <c r="N24" s="7">
        <v>0.9</v>
      </c>
      <c r="O24" s="6">
        <f t="shared" si="0"/>
        <v>24990</v>
      </c>
      <c r="P24" s="5" t="s">
        <v>504</v>
      </c>
    </row>
    <row r="25" spans="1:16" x14ac:dyDescent="0.35">
      <c r="A25" s="5" t="str">
        <f t="shared" si="1"/>
        <v>2020 ALL D90</v>
      </c>
      <c r="B25" s="8">
        <f>'ALL 2024 H2 D80'!$B$2</f>
        <v>46114</v>
      </c>
      <c r="C25" s="8">
        <f>'ALL 2024 H2 D80'!$C$2</f>
        <v>46120</v>
      </c>
      <c r="D25" s="5">
        <v>3208</v>
      </c>
      <c r="E25" s="5">
        <v>320</v>
      </c>
      <c r="F25" s="5">
        <v>1</v>
      </c>
      <c r="G25" s="5">
        <v>1</v>
      </c>
      <c r="H25" s="5">
        <v>80903</v>
      </c>
      <c r="I25" s="5" t="s">
        <v>16</v>
      </c>
      <c r="J25" s="5">
        <v>26405838</v>
      </c>
      <c r="K25" s="5" t="s">
        <v>2432</v>
      </c>
      <c r="L25" s="5" t="s">
        <v>2433</v>
      </c>
      <c r="M25" s="6">
        <v>259900</v>
      </c>
      <c r="N25" s="7">
        <v>0.9</v>
      </c>
      <c r="O25" s="6">
        <f t="shared" si="0"/>
        <v>25990</v>
      </c>
      <c r="P25" s="5" t="s">
        <v>504</v>
      </c>
    </row>
    <row r="26" spans="1:16" x14ac:dyDescent="0.35">
      <c r="A26" s="5" t="str">
        <f t="shared" si="1"/>
        <v>2020 ALL D90</v>
      </c>
      <c r="B26" s="8">
        <f>'ALL 2024 H2 D80'!$B$2</f>
        <v>46114</v>
      </c>
      <c r="C26" s="8">
        <f>'ALL 2024 H2 D80'!$C$2</f>
        <v>46120</v>
      </c>
      <c r="D26" s="5">
        <v>3208</v>
      </c>
      <c r="E26" s="5">
        <v>320</v>
      </c>
      <c r="F26" s="5">
        <v>1</v>
      </c>
      <c r="G26" s="5">
        <v>1</v>
      </c>
      <c r="H26" s="5">
        <v>80903</v>
      </c>
      <c r="I26" s="5" t="s">
        <v>16</v>
      </c>
      <c r="J26" s="5">
        <v>26405865</v>
      </c>
      <c r="K26" s="5" t="s">
        <v>2432</v>
      </c>
      <c r="L26" s="5" t="s">
        <v>2434</v>
      </c>
      <c r="M26" s="6">
        <v>259900</v>
      </c>
      <c r="N26" s="7">
        <v>0.9</v>
      </c>
      <c r="O26" s="6">
        <f t="shared" si="0"/>
        <v>25990</v>
      </c>
      <c r="P26" s="5" t="s">
        <v>504</v>
      </c>
    </row>
    <row r="27" spans="1:16" x14ac:dyDescent="0.35">
      <c r="A27" s="5" t="str">
        <f t="shared" si="1"/>
        <v>2020 ALL D90</v>
      </c>
      <c r="B27" s="8">
        <f>'ALL 2024 H2 D80'!$B$2</f>
        <v>46114</v>
      </c>
      <c r="C27" s="8">
        <f>'ALL 2024 H2 D80'!$C$2</f>
        <v>46120</v>
      </c>
      <c r="D27" s="5">
        <v>3208</v>
      </c>
      <c r="E27" s="5">
        <v>320</v>
      </c>
      <c r="F27" s="5">
        <v>1</v>
      </c>
      <c r="G27" s="5">
        <v>1</v>
      </c>
      <c r="H27" s="5">
        <v>80903</v>
      </c>
      <c r="I27" s="5" t="s">
        <v>16</v>
      </c>
      <c r="J27" s="5">
        <v>26464542</v>
      </c>
      <c r="K27" s="5" t="s">
        <v>2435</v>
      </c>
      <c r="L27" s="5" t="s">
        <v>2436</v>
      </c>
      <c r="M27" s="6">
        <v>259900</v>
      </c>
      <c r="N27" s="7">
        <v>0.9</v>
      </c>
      <c r="O27" s="6">
        <f t="shared" si="0"/>
        <v>25990</v>
      </c>
      <c r="P27" s="5" t="s">
        <v>504</v>
      </c>
    </row>
    <row r="28" spans="1:16" x14ac:dyDescent="0.35">
      <c r="A28" s="5" t="str">
        <f t="shared" si="1"/>
        <v>2020 ALL D90</v>
      </c>
      <c r="B28" s="8">
        <f>'ALL 2024 H2 D80'!$B$2</f>
        <v>46114</v>
      </c>
      <c r="C28" s="8">
        <f>'ALL 2024 H2 D80'!$C$2</f>
        <v>46120</v>
      </c>
      <c r="D28" s="5">
        <v>3208</v>
      </c>
      <c r="E28" s="5">
        <v>320</v>
      </c>
      <c r="F28" s="5">
        <v>1</v>
      </c>
      <c r="G28" s="5">
        <v>1</v>
      </c>
      <c r="H28" s="5">
        <v>80903</v>
      </c>
      <c r="I28" s="5" t="s">
        <v>16</v>
      </c>
      <c r="J28" s="5">
        <v>26689998</v>
      </c>
      <c r="K28" s="5" t="s">
        <v>2499</v>
      </c>
      <c r="L28" s="5" t="s">
        <v>2500</v>
      </c>
      <c r="M28" s="6">
        <v>249900</v>
      </c>
      <c r="N28" s="7">
        <v>0.9</v>
      </c>
      <c r="O28" s="6">
        <f t="shared" si="0"/>
        <v>24990</v>
      </c>
      <c r="P28" s="5" t="s">
        <v>504</v>
      </c>
    </row>
    <row r="29" spans="1:16" x14ac:dyDescent="0.35">
      <c r="A29" s="5" t="str">
        <f t="shared" si="1"/>
        <v>2020 ALL D90</v>
      </c>
      <c r="B29" s="8">
        <f>'ALL 2024 H2 D80'!$B$2</f>
        <v>46114</v>
      </c>
      <c r="C29" s="8">
        <f>'ALL 2024 H2 D80'!$C$2</f>
        <v>46120</v>
      </c>
      <c r="D29" s="5">
        <v>3208</v>
      </c>
      <c r="E29" s="5">
        <v>320</v>
      </c>
      <c r="F29" s="5">
        <v>1</v>
      </c>
      <c r="G29" s="5">
        <v>2</v>
      </c>
      <c r="H29" s="5">
        <v>81736</v>
      </c>
      <c r="I29" s="5" t="s">
        <v>16</v>
      </c>
      <c r="J29" s="5">
        <v>26109499</v>
      </c>
      <c r="K29" s="5" t="s">
        <v>2548</v>
      </c>
      <c r="L29" s="5" t="s">
        <v>2549</v>
      </c>
      <c r="M29" s="6">
        <v>199900</v>
      </c>
      <c r="N29" s="7">
        <v>0.9</v>
      </c>
      <c r="O29" s="6">
        <f t="shared" si="0"/>
        <v>19990</v>
      </c>
      <c r="P29" s="5" t="s">
        <v>504</v>
      </c>
    </row>
    <row r="30" spans="1:16" x14ac:dyDescent="0.35">
      <c r="A30" s="5" t="str">
        <f t="shared" si="1"/>
        <v>2020 ALL D90</v>
      </c>
      <c r="B30" s="8">
        <f>'ALL 2024 H2 D80'!$B$2</f>
        <v>46114</v>
      </c>
      <c r="C30" s="8">
        <f>'ALL 2024 H2 D80'!$C$2</f>
        <v>46120</v>
      </c>
      <c r="D30" s="5">
        <v>3208</v>
      </c>
      <c r="E30" s="5">
        <v>320</v>
      </c>
      <c r="F30" s="5">
        <v>1</v>
      </c>
      <c r="G30" s="5">
        <v>2</v>
      </c>
      <c r="H30" s="5">
        <v>81736</v>
      </c>
      <c r="I30" s="5" t="s">
        <v>16</v>
      </c>
      <c r="J30" s="5">
        <v>26302234</v>
      </c>
      <c r="K30" s="5" t="s">
        <v>2550</v>
      </c>
      <c r="L30" s="5" t="s">
        <v>2551</v>
      </c>
      <c r="M30" s="6">
        <v>99900</v>
      </c>
      <c r="N30" s="7">
        <v>0.9</v>
      </c>
      <c r="O30" s="6">
        <f t="shared" si="0"/>
        <v>9990</v>
      </c>
      <c r="P30" s="5" t="s">
        <v>504</v>
      </c>
    </row>
    <row r="31" spans="1:16" x14ac:dyDescent="0.35">
      <c r="A31" s="5" t="str">
        <f t="shared" si="1"/>
        <v>2020 ALL D90</v>
      </c>
      <c r="B31" s="8">
        <f>'ALL 2024 H2 D80'!$B$2</f>
        <v>46114</v>
      </c>
      <c r="C31" s="8">
        <f>'ALL 2024 H2 D80'!$C$2</f>
        <v>46120</v>
      </c>
      <c r="D31" s="5">
        <v>3208</v>
      </c>
      <c r="E31" s="5">
        <v>320</v>
      </c>
      <c r="F31" s="5">
        <v>1</v>
      </c>
      <c r="G31" s="5">
        <v>2</v>
      </c>
      <c r="H31" s="5">
        <v>81736</v>
      </c>
      <c r="I31" s="5" t="s">
        <v>16</v>
      </c>
      <c r="J31" s="5">
        <v>26306338</v>
      </c>
      <c r="K31" s="5" t="s">
        <v>2552</v>
      </c>
      <c r="L31" s="5" t="s">
        <v>2553</v>
      </c>
      <c r="M31" s="6">
        <v>189900</v>
      </c>
      <c r="N31" s="7">
        <v>0.9</v>
      </c>
      <c r="O31" s="6">
        <f t="shared" si="0"/>
        <v>18990</v>
      </c>
      <c r="P31" s="5" t="s">
        <v>504</v>
      </c>
    </row>
    <row r="32" spans="1:16" x14ac:dyDescent="0.35">
      <c r="A32" s="5" t="str">
        <f t="shared" si="1"/>
        <v>2020 ALL D90</v>
      </c>
      <c r="B32" s="8">
        <f>'ALL 2024 H2 D80'!$B$2</f>
        <v>46114</v>
      </c>
      <c r="C32" s="8">
        <f>'ALL 2024 H2 D80'!$C$2</f>
        <v>46120</v>
      </c>
      <c r="D32" s="5">
        <v>3208</v>
      </c>
      <c r="E32" s="5">
        <v>320</v>
      </c>
      <c r="F32" s="5">
        <v>1</v>
      </c>
      <c r="G32" s="5">
        <v>2</v>
      </c>
      <c r="H32" s="5">
        <v>81736</v>
      </c>
      <c r="I32" s="5" t="s">
        <v>16</v>
      </c>
      <c r="J32" s="5">
        <v>26306347</v>
      </c>
      <c r="K32" s="5" t="s">
        <v>2552</v>
      </c>
      <c r="L32" s="5" t="s">
        <v>2554</v>
      </c>
      <c r="M32" s="6">
        <v>189900</v>
      </c>
      <c r="N32" s="7">
        <v>0.9</v>
      </c>
      <c r="O32" s="6">
        <f t="shared" si="0"/>
        <v>18990</v>
      </c>
      <c r="P32" s="5" t="s">
        <v>504</v>
      </c>
    </row>
    <row r="33" spans="1:16" x14ac:dyDescent="0.35">
      <c r="A33" s="5" t="str">
        <f t="shared" si="1"/>
        <v>2020 ALL D90</v>
      </c>
      <c r="B33" s="8">
        <f>'ALL 2024 H2 D80'!$B$2</f>
        <v>46114</v>
      </c>
      <c r="C33" s="8">
        <f>'ALL 2024 H2 D80'!$C$2</f>
        <v>46120</v>
      </c>
      <c r="D33" s="5">
        <v>3208</v>
      </c>
      <c r="E33" s="5">
        <v>320</v>
      </c>
      <c r="F33" s="5">
        <v>1</v>
      </c>
      <c r="G33" s="5">
        <v>2</v>
      </c>
      <c r="H33" s="5">
        <v>81736</v>
      </c>
      <c r="I33" s="5" t="s">
        <v>16</v>
      </c>
      <c r="J33" s="5">
        <v>26306356</v>
      </c>
      <c r="K33" s="5" t="s">
        <v>2552</v>
      </c>
      <c r="L33" s="5" t="s">
        <v>2555</v>
      </c>
      <c r="M33" s="6">
        <v>189900</v>
      </c>
      <c r="N33" s="7">
        <v>0.9</v>
      </c>
      <c r="O33" s="6">
        <f t="shared" si="0"/>
        <v>18990</v>
      </c>
      <c r="P33" s="5" t="s">
        <v>504</v>
      </c>
    </row>
    <row r="34" spans="1:16" x14ac:dyDescent="0.35">
      <c r="A34" s="5" t="str">
        <f t="shared" si="1"/>
        <v>2020 ALL D90</v>
      </c>
      <c r="B34" s="8">
        <f>'ALL 2024 H2 D80'!$B$2</f>
        <v>46114</v>
      </c>
      <c r="C34" s="8">
        <f>'ALL 2024 H2 D80'!$C$2</f>
        <v>46120</v>
      </c>
      <c r="D34" s="5">
        <v>3208</v>
      </c>
      <c r="E34" s="5">
        <v>320</v>
      </c>
      <c r="F34" s="5">
        <v>1</v>
      </c>
      <c r="G34" s="5">
        <v>2</v>
      </c>
      <c r="H34" s="5">
        <v>81736</v>
      </c>
      <c r="I34" s="5" t="s">
        <v>16</v>
      </c>
      <c r="J34" s="5">
        <v>26306365</v>
      </c>
      <c r="K34" s="5" t="s">
        <v>2552</v>
      </c>
      <c r="L34" s="5" t="s">
        <v>2556</v>
      </c>
      <c r="M34" s="6">
        <v>189900</v>
      </c>
      <c r="N34" s="7">
        <v>0.9</v>
      </c>
      <c r="O34" s="6">
        <f t="shared" si="0"/>
        <v>18990</v>
      </c>
      <c r="P34" s="5" t="s">
        <v>504</v>
      </c>
    </row>
    <row r="35" spans="1:16" x14ac:dyDescent="0.35">
      <c r="A35" s="5" t="str">
        <f t="shared" si="1"/>
        <v>2020 ALL D90</v>
      </c>
      <c r="B35" s="8">
        <f>'ALL 2024 H2 D80'!$B$2</f>
        <v>46114</v>
      </c>
      <c r="C35" s="8">
        <f>'ALL 2024 H2 D80'!$C$2</f>
        <v>46120</v>
      </c>
      <c r="D35" s="5">
        <v>3208</v>
      </c>
      <c r="E35" s="5">
        <v>320</v>
      </c>
      <c r="F35" s="5">
        <v>1</v>
      </c>
      <c r="G35" s="5">
        <v>2</v>
      </c>
      <c r="H35" s="5">
        <v>81736</v>
      </c>
      <c r="I35" s="5" t="s">
        <v>16</v>
      </c>
      <c r="J35" s="5">
        <v>26308130</v>
      </c>
      <c r="K35" s="5" t="s">
        <v>2557</v>
      </c>
      <c r="L35" s="5" t="s">
        <v>2558</v>
      </c>
      <c r="M35" s="6">
        <v>179900</v>
      </c>
      <c r="N35" s="7">
        <v>0.9</v>
      </c>
      <c r="O35" s="6">
        <f t="shared" si="0"/>
        <v>17990</v>
      </c>
      <c r="P35" s="5" t="s">
        <v>504</v>
      </c>
    </row>
    <row r="36" spans="1:16" x14ac:dyDescent="0.35">
      <c r="A36" s="5" t="str">
        <f t="shared" si="1"/>
        <v>2020 ALL D90</v>
      </c>
      <c r="B36" s="8">
        <f>'ALL 2024 H2 D80'!$B$2</f>
        <v>46114</v>
      </c>
      <c r="C36" s="8">
        <f>'ALL 2024 H2 D80'!$C$2</f>
        <v>46120</v>
      </c>
      <c r="D36" s="5">
        <v>3208</v>
      </c>
      <c r="E36" s="5">
        <v>320</v>
      </c>
      <c r="F36" s="5">
        <v>1</v>
      </c>
      <c r="G36" s="5">
        <v>2</v>
      </c>
      <c r="H36" s="5">
        <v>81736</v>
      </c>
      <c r="I36" s="5" t="s">
        <v>16</v>
      </c>
      <c r="J36" s="5">
        <v>26448953</v>
      </c>
      <c r="K36" s="5" t="s">
        <v>2559</v>
      </c>
      <c r="L36" s="5" t="s">
        <v>2560</v>
      </c>
      <c r="M36" s="6">
        <v>169900</v>
      </c>
      <c r="N36" s="7">
        <v>0.9</v>
      </c>
      <c r="O36" s="6">
        <f t="shared" si="0"/>
        <v>16990</v>
      </c>
      <c r="P36" s="5" t="s">
        <v>504</v>
      </c>
    </row>
    <row r="37" spans="1:16" x14ac:dyDescent="0.35">
      <c r="A37" s="5" t="str">
        <f t="shared" si="1"/>
        <v>2020 ALL D90</v>
      </c>
      <c r="B37" s="8">
        <f>'ALL 2024 H2 D80'!$B$2</f>
        <v>46114</v>
      </c>
      <c r="C37" s="8">
        <f>'ALL 2024 H2 D80'!$C$2</f>
        <v>46120</v>
      </c>
      <c r="D37" s="5">
        <v>3208</v>
      </c>
      <c r="E37" s="5">
        <v>320</v>
      </c>
      <c r="F37" s="5">
        <v>1</v>
      </c>
      <c r="G37" s="5">
        <v>2</v>
      </c>
      <c r="H37" s="5">
        <v>81736</v>
      </c>
      <c r="I37" s="5" t="s">
        <v>16</v>
      </c>
      <c r="J37" s="5">
        <v>26449710</v>
      </c>
      <c r="K37" s="5" t="s">
        <v>2561</v>
      </c>
      <c r="L37" s="5" t="s">
        <v>2562</v>
      </c>
      <c r="M37" s="6">
        <v>169900</v>
      </c>
      <c r="N37" s="7">
        <v>0.9</v>
      </c>
      <c r="O37" s="6">
        <f t="shared" si="0"/>
        <v>16990</v>
      </c>
      <c r="P37" s="5" t="s">
        <v>504</v>
      </c>
    </row>
    <row r="38" spans="1:16" x14ac:dyDescent="0.35">
      <c r="A38" s="5" t="str">
        <f t="shared" si="1"/>
        <v>2020 ALL D90</v>
      </c>
      <c r="B38" s="8">
        <f>'ALL 2024 H2 D80'!$B$2</f>
        <v>46114</v>
      </c>
      <c r="C38" s="8">
        <f>'ALL 2024 H2 D80'!$C$2</f>
        <v>46120</v>
      </c>
      <c r="D38" s="5">
        <v>3208</v>
      </c>
      <c r="E38" s="5">
        <v>320</v>
      </c>
      <c r="F38" s="5">
        <v>1</v>
      </c>
      <c r="G38" s="5">
        <v>2</v>
      </c>
      <c r="H38" s="5">
        <v>81736</v>
      </c>
      <c r="I38" s="5" t="s">
        <v>16</v>
      </c>
      <c r="J38" s="5">
        <v>26450655</v>
      </c>
      <c r="K38" s="5" t="s">
        <v>2563</v>
      </c>
      <c r="L38" s="5" t="s">
        <v>2564</v>
      </c>
      <c r="M38" s="6">
        <v>189900</v>
      </c>
      <c r="N38" s="7">
        <v>0.9</v>
      </c>
      <c r="O38" s="6">
        <f t="shared" si="0"/>
        <v>18990</v>
      </c>
      <c r="P38" s="5" t="s">
        <v>504</v>
      </c>
    </row>
    <row r="39" spans="1:16" x14ac:dyDescent="0.35">
      <c r="A39" s="5" t="str">
        <f t="shared" si="1"/>
        <v>2020 ALL D90</v>
      </c>
      <c r="B39" s="8">
        <f>'ALL 2024 H2 D80'!$B$2</f>
        <v>46114</v>
      </c>
      <c r="C39" s="8">
        <f>'ALL 2024 H2 D80'!$C$2</f>
        <v>46120</v>
      </c>
      <c r="D39" s="5">
        <v>3208</v>
      </c>
      <c r="E39" s="5">
        <v>320</v>
      </c>
      <c r="F39" s="5">
        <v>1</v>
      </c>
      <c r="G39" s="5">
        <v>2</v>
      </c>
      <c r="H39" s="5">
        <v>81736</v>
      </c>
      <c r="I39" s="5" t="s">
        <v>16</v>
      </c>
      <c r="J39" s="5">
        <v>26469163</v>
      </c>
      <c r="K39" s="5" t="s">
        <v>2565</v>
      </c>
      <c r="L39" s="5" t="s">
        <v>2566</v>
      </c>
      <c r="M39" s="6">
        <v>129900</v>
      </c>
      <c r="N39" s="7">
        <v>0.9</v>
      </c>
      <c r="O39" s="6">
        <f t="shared" si="0"/>
        <v>12990</v>
      </c>
      <c r="P39" s="5" t="s">
        <v>504</v>
      </c>
    </row>
    <row r="40" spans="1:16" x14ac:dyDescent="0.35">
      <c r="A40" s="5" t="str">
        <f t="shared" si="1"/>
        <v>2020 ALL D90</v>
      </c>
      <c r="B40" s="8">
        <f>'ALL 2024 H2 D80'!$B$2</f>
        <v>46114</v>
      </c>
      <c r="C40" s="8">
        <f>'ALL 2024 H2 D80'!$C$2</f>
        <v>46120</v>
      </c>
      <c r="D40" s="5">
        <v>3208</v>
      </c>
      <c r="E40" s="5">
        <v>320</v>
      </c>
      <c r="F40" s="5">
        <v>1</v>
      </c>
      <c r="G40" s="5">
        <v>2</v>
      </c>
      <c r="H40" s="5">
        <v>81736</v>
      </c>
      <c r="I40" s="5" t="s">
        <v>16</v>
      </c>
      <c r="J40" s="5">
        <v>26479572</v>
      </c>
      <c r="K40" s="5" t="s">
        <v>2567</v>
      </c>
      <c r="L40" s="5" t="s">
        <v>2568</v>
      </c>
      <c r="M40" s="6">
        <v>189900</v>
      </c>
      <c r="N40" s="7">
        <v>0.9</v>
      </c>
      <c r="O40" s="6">
        <f t="shared" si="0"/>
        <v>18990</v>
      </c>
      <c r="P40" s="5" t="s">
        <v>504</v>
      </c>
    </row>
    <row r="41" spans="1:16" x14ac:dyDescent="0.35">
      <c r="A41" s="5" t="str">
        <f t="shared" si="1"/>
        <v>2020 ALL D90</v>
      </c>
      <c r="B41" s="8">
        <f>'ALL 2024 H2 D80'!$B$2</f>
        <v>46114</v>
      </c>
      <c r="C41" s="8">
        <f>'ALL 2024 H2 D80'!$C$2</f>
        <v>46120</v>
      </c>
      <c r="D41" s="5">
        <v>3208</v>
      </c>
      <c r="E41" s="5">
        <v>320</v>
      </c>
      <c r="F41" s="5">
        <v>1</v>
      </c>
      <c r="G41" s="5">
        <v>2</v>
      </c>
      <c r="H41" s="5">
        <v>81736</v>
      </c>
      <c r="I41" s="5" t="s">
        <v>16</v>
      </c>
      <c r="J41" s="5">
        <v>26479581</v>
      </c>
      <c r="K41" s="5" t="s">
        <v>2567</v>
      </c>
      <c r="L41" s="5" t="s">
        <v>2569</v>
      </c>
      <c r="M41" s="6">
        <v>189900</v>
      </c>
      <c r="N41" s="7">
        <v>0.9</v>
      </c>
      <c r="O41" s="6">
        <f t="shared" si="0"/>
        <v>18990</v>
      </c>
      <c r="P41" s="5" t="s">
        <v>504</v>
      </c>
    </row>
    <row r="42" spans="1:16" x14ac:dyDescent="0.35">
      <c r="A42" s="5" t="str">
        <f t="shared" si="1"/>
        <v>2020 ALL D90</v>
      </c>
      <c r="B42" s="8">
        <f>'ALL 2024 H2 D80'!$B$2</f>
        <v>46114</v>
      </c>
      <c r="C42" s="8">
        <f>'ALL 2024 H2 D80'!$C$2</f>
        <v>46120</v>
      </c>
      <c r="D42" s="5">
        <v>3208</v>
      </c>
      <c r="E42" s="5">
        <v>320</v>
      </c>
      <c r="F42" s="5">
        <v>1</v>
      </c>
      <c r="G42" s="5">
        <v>2</v>
      </c>
      <c r="H42" s="5">
        <v>81736</v>
      </c>
      <c r="I42" s="5" t="s">
        <v>16</v>
      </c>
      <c r="J42" s="5">
        <v>26479590</v>
      </c>
      <c r="K42" s="5" t="s">
        <v>2567</v>
      </c>
      <c r="L42" s="5" t="s">
        <v>2570</v>
      </c>
      <c r="M42" s="6">
        <v>189900</v>
      </c>
      <c r="N42" s="7">
        <v>0.9</v>
      </c>
      <c r="O42" s="6">
        <f t="shared" si="0"/>
        <v>18990</v>
      </c>
      <c r="P42" s="5" t="s">
        <v>504</v>
      </c>
    </row>
    <row r="43" spans="1:16" x14ac:dyDescent="0.35">
      <c r="A43" s="5" t="str">
        <f t="shared" si="1"/>
        <v>2020 ALL D90</v>
      </c>
      <c r="B43" s="8">
        <f>'ALL 2024 H2 D80'!$B$2</f>
        <v>46114</v>
      </c>
      <c r="C43" s="8">
        <f>'ALL 2024 H2 D80'!$C$2</f>
        <v>46120</v>
      </c>
      <c r="D43" s="5">
        <v>3208</v>
      </c>
      <c r="E43" s="5">
        <v>320</v>
      </c>
      <c r="F43" s="5">
        <v>1</v>
      </c>
      <c r="G43" s="5">
        <v>2</v>
      </c>
      <c r="H43" s="5">
        <v>81736</v>
      </c>
      <c r="I43" s="5" t="s">
        <v>16</v>
      </c>
      <c r="J43" s="5">
        <v>26480293</v>
      </c>
      <c r="K43" s="5" t="s">
        <v>2571</v>
      </c>
      <c r="L43" s="5" t="s">
        <v>2572</v>
      </c>
      <c r="M43" s="6">
        <v>179900</v>
      </c>
      <c r="N43" s="7">
        <v>0.9</v>
      </c>
      <c r="O43" s="6">
        <f t="shared" si="0"/>
        <v>17990</v>
      </c>
      <c r="P43" s="5" t="s">
        <v>504</v>
      </c>
    </row>
    <row r="44" spans="1:16" x14ac:dyDescent="0.35">
      <c r="A44" s="5" t="str">
        <f t="shared" si="1"/>
        <v>2020 ALL D90</v>
      </c>
      <c r="B44" s="8">
        <f>'ALL 2024 H2 D80'!$B$2</f>
        <v>46114</v>
      </c>
      <c r="C44" s="8">
        <f>'ALL 2024 H2 D80'!$C$2</f>
        <v>46120</v>
      </c>
      <c r="D44" s="5">
        <v>3208</v>
      </c>
      <c r="E44" s="5">
        <v>320</v>
      </c>
      <c r="F44" s="5">
        <v>1</v>
      </c>
      <c r="G44" s="5">
        <v>2</v>
      </c>
      <c r="H44" s="5">
        <v>81736</v>
      </c>
      <c r="I44" s="5" t="s">
        <v>16</v>
      </c>
      <c r="J44" s="5">
        <v>26480300</v>
      </c>
      <c r="K44" s="5" t="s">
        <v>2571</v>
      </c>
      <c r="L44" s="5" t="s">
        <v>2573</v>
      </c>
      <c r="M44" s="6">
        <v>179900</v>
      </c>
      <c r="N44" s="7">
        <v>0.9</v>
      </c>
      <c r="O44" s="6">
        <f t="shared" si="0"/>
        <v>17990</v>
      </c>
      <c r="P44" s="5" t="s">
        <v>504</v>
      </c>
    </row>
    <row r="45" spans="1:16" x14ac:dyDescent="0.35">
      <c r="A45" s="5" t="str">
        <f t="shared" si="1"/>
        <v>2020 ALL D90</v>
      </c>
      <c r="B45" s="8">
        <f>'ALL 2024 H2 D80'!$B$2</f>
        <v>46114</v>
      </c>
      <c r="C45" s="8">
        <f>'ALL 2024 H2 D80'!$C$2</f>
        <v>46120</v>
      </c>
      <c r="D45" s="5">
        <v>3208</v>
      </c>
      <c r="E45" s="5">
        <v>320</v>
      </c>
      <c r="F45" s="5">
        <v>1</v>
      </c>
      <c r="G45" s="5">
        <v>2</v>
      </c>
      <c r="H45" s="5">
        <v>81736</v>
      </c>
      <c r="I45" s="5" t="s">
        <v>16</v>
      </c>
      <c r="J45" s="5">
        <v>26480319</v>
      </c>
      <c r="K45" s="5" t="s">
        <v>2571</v>
      </c>
      <c r="L45" s="5" t="s">
        <v>2574</v>
      </c>
      <c r="M45" s="6">
        <v>179900</v>
      </c>
      <c r="N45" s="7">
        <v>0.9</v>
      </c>
      <c r="O45" s="6">
        <f t="shared" si="0"/>
        <v>17990</v>
      </c>
      <c r="P45" s="5" t="s">
        <v>504</v>
      </c>
    </row>
    <row r="46" spans="1:16" x14ac:dyDescent="0.35">
      <c r="A46" s="5" t="str">
        <f t="shared" si="1"/>
        <v>2020 ALL D90</v>
      </c>
      <c r="B46" s="8">
        <f>'ALL 2024 H2 D80'!$B$2</f>
        <v>46114</v>
      </c>
      <c r="C46" s="8">
        <f>'ALL 2024 H2 D80'!$C$2</f>
        <v>46120</v>
      </c>
      <c r="D46" s="5">
        <v>3208</v>
      </c>
      <c r="E46" s="5">
        <v>320</v>
      </c>
      <c r="F46" s="5">
        <v>1</v>
      </c>
      <c r="G46" s="5">
        <v>2</v>
      </c>
      <c r="H46" s="5">
        <v>81736</v>
      </c>
      <c r="I46" s="5" t="s">
        <v>16</v>
      </c>
      <c r="J46" s="5">
        <v>26480328</v>
      </c>
      <c r="K46" s="5" t="s">
        <v>2571</v>
      </c>
      <c r="L46" s="5" t="s">
        <v>2575</v>
      </c>
      <c r="M46" s="6">
        <v>179900</v>
      </c>
      <c r="N46" s="7">
        <v>0.9</v>
      </c>
      <c r="O46" s="6">
        <f t="shared" si="0"/>
        <v>17990</v>
      </c>
      <c r="P46" s="5" t="s">
        <v>504</v>
      </c>
    </row>
    <row r="47" spans="1:16" x14ac:dyDescent="0.35">
      <c r="A47" s="5" t="str">
        <f t="shared" si="1"/>
        <v>2020 ALL D90</v>
      </c>
      <c r="B47" s="8">
        <f>'ALL 2024 H2 D80'!$B$2</f>
        <v>46114</v>
      </c>
      <c r="C47" s="8">
        <f>'ALL 2024 H2 D80'!$C$2</f>
        <v>46120</v>
      </c>
      <c r="D47" s="5">
        <v>3208</v>
      </c>
      <c r="E47" s="5">
        <v>320</v>
      </c>
      <c r="F47" s="5">
        <v>1</v>
      </c>
      <c r="G47" s="5">
        <v>2</v>
      </c>
      <c r="H47" s="5">
        <v>81736</v>
      </c>
      <c r="I47" s="5" t="s">
        <v>16</v>
      </c>
      <c r="J47" s="5">
        <v>26480597</v>
      </c>
      <c r="K47" s="5" t="s">
        <v>2576</v>
      </c>
      <c r="L47" s="5" t="s">
        <v>2577</v>
      </c>
      <c r="M47" s="6">
        <v>179900</v>
      </c>
      <c r="N47" s="7">
        <v>0.9</v>
      </c>
      <c r="O47" s="6">
        <f t="shared" si="0"/>
        <v>17990</v>
      </c>
      <c r="P47" s="5" t="s">
        <v>504</v>
      </c>
    </row>
    <row r="48" spans="1:16" x14ac:dyDescent="0.35">
      <c r="A48" s="5" t="str">
        <f t="shared" si="1"/>
        <v>2020 ALL D90</v>
      </c>
      <c r="B48" s="8">
        <f>'ALL 2024 H2 D80'!$B$2</f>
        <v>46114</v>
      </c>
      <c r="C48" s="8">
        <f>'ALL 2024 H2 D80'!$C$2</f>
        <v>46120</v>
      </c>
      <c r="D48" s="5">
        <v>3208</v>
      </c>
      <c r="E48" s="5">
        <v>320</v>
      </c>
      <c r="F48" s="5">
        <v>1</v>
      </c>
      <c r="G48" s="5">
        <v>2</v>
      </c>
      <c r="H48" s="5">
        <v>81736</v>
      </c>
      <c r="I48" s="5" t="s">
        <v>16</v>
      </c>
      <c r="J48" s="5">
        <v>26480613</v>
      </c>
      <c r="K48" s="5" t="s">
        <v>2576</v>
      </c>
      <c r="L48" s="5" t="s">
        <v>2578</v>
      </c>
      <c r="M48" s="6">
        <v>179900</v>
      </c>
      <c r="N48" s="7">
        <v>0.9</v>
      </c>
      <c r="O48" s="6">
        <f t="shared" si="0"/>
        <v>17990</v>
      </c>
      <c r="P48" s="5" t="s">
        <v>504</v>
      </c>
    </row>
    <row r="49" spans="1:16" x14ac:dyDescent="0.35">
      <c r="A49" s="5" t="str">
        <f t="shared" si="1"/>
        <v>2020 ALL D90</v>
      </c>
      <c r="B49" s="8">
        <f>'ALL 2024 H2 D80'!$B$2</f>
        <v>46114</v>
      </c>
      <c r="C49" s="8">
        <f>'ALL 2024 H2 D80'!$C$2</f>
        <v>46120</v>
      </c>
      <c r="D49" s="5">
        <v>3208</v>
      </c>
      <c r="E49" s="5">
        <v>320</v>
      </c>
      <c r="F49" s="5">
        <v>1</v>
      </c>
      <c r="G49" s="5">
        <v>2</v>
      </c>
      <c r="H49" s="5">
        <v>81736</v>
      </c>
      <c r="I49" s="5" t="s">
        <v>16</v>
      </c>
      <c r="J49" s="5">
        <v>26511099</v>
      </c>
      <c r="K49" s="5" t="s">
        <v>2579</v>
      </c>
      <c r="L49" s="5" t="s">
        <v>2580</v>
      </c>
      <c r="M49" s="6">
        <v>129900</v>
      </c>
      <c r="N49" s="7">
        <v>0.9</v>
      </c>
      <c r="O49" s="6">
        <f t="shared" si="0"/>
        <v>12990</v>
      </c>
      <c r="P49" s="5" t="s">
        <v>504</v>
      </c>
    </row>
    <row r="50" spans="1:16" x14ac:dyDescent="0.35">
      <c r="A50" s="5" t="str">
        <f t="shared" si="1"/>
        <v>2020 ALL D90</v>
      </c>
      <c r="B50" s="8">
        <f>'ALL 2024 H2 D80'!$B$2</f>
        <v>46114</v>
      </c>
      <c r="C50" s="8">
        <f>'ALL 2024 H2 D80'!$C$2</f>
        <v>46120</v>
      </c>
      <c r="D50" s="5">
        <v>3208</v>
      </c>
      <c r="E50" s="5">
        <v>320</v>
      </c>
      <c r="F50" s="5">
        <v>1</v>
      </c>
      <c r="G50" s="5">
        <v>2</v>
      </c>
      <c r="H50" s="5">
        <v>81736</v>
      </c>
      <c r="I50" s="5" t="s">
        <v>16</v>
      </c>
      <c r="J50" s="5">
        <v>26511277</v>
      </c>
      <c r="K50" s="5" t="s">
        <v>2581</v>
      </c>
      <c r="L50" s="5" t="s">
        <v>2582</v>
      </c>
      <c r="M50" s="6">
        <v>129900</v>
      </c>
      <c r="N50" s="7">
        <v>0.9</v>
      </c>
      <c r="O50" s="6">
        <f t="shared" si="0"/>
        <v>12990</v>
      </c>
      <c r="P50" s="5" t="s">
        <v>504</v>
      </c>
    </row>
    <row r="51" spans="1:16" x14ac:dyDescent="0.35">
      <c r="A51" s="5" t="str">
        <f t="shared" si="1"/>
        <v>2020 ALL D90</v>
      </c>
      <c r="B51" s="8">
        <f>'ALL 2024 H2 D80'!$B$2</f>
        <v>46114</v>
      </c>
      <c r="C51" s="8">
        <f>'ALL 2024 H2 D80'!$C$2</f>
        <v>46120</v>
      </c>
      <c r="D51" s="5">
        <v>3208</v>
      </c>
      <c r="E51" s="5">
        <v>320</v>
      </c>
      <c r="F51" s="5">
        <v>1</v>
      </c>
      <c r="G51" s="5">
        <v>2</v>
      </c>
      <c r="H51" s="5">
        <v>81736</v>
      </c>
      <c r="I51" s="5" t="s">
        <v>16</v>
      </c>
      <c r="J51" s="5">
        <v>26511295</v>
      </c>
      <c r="K51" s="5" t="s">
        <v>2581</v>
      </c>
      <c r="L51" s="5" t="s">
        <v>2583</v>
      </c>
      <c r="M51" s="6">
        <v>129900</v>
      </c>
      <c r="N51" s="7">
        <v>0.9</v>
      </c>
      <c r="O51" s="6">
        <f t="shared" si="0"/>
        <v>12990</v>
      </c>
      <c r="P51" s="5" t="s">
        <v>504</v>
      </c>
    </row>
    <row r="52" spans="1:16" x14ac:dyDescent="0.35">
      <c r="A52" s="5" t="str">
        <f t="shared" si="1"/>
        <v>2020 ALL D90</v>
      </c>
      <c r="B52" s="8">
        <f>'ALL 2024 H2 D80'!$B$2</f>
        <v>46114</v>
      </c>
      <c r="C52" s="8">
        <f>'ALL 2024 H2 D80'!$C$2</f>
        <v>46120</v>
      </c>
      <c r="D52" s="5">
        <v>3208</v>
      </c>
      <c r="E52" s="5">
        <v>320</v>
      </c>
      <c r="F52" s="5">
        <v>1</v>
      </c>
      <c r="G52" s="5">
        <v>2</v>
      </c>
      <c r="H52" s="5">
        <v>81736</v>
      </c>
      <c r="I52" s="5" t="s">
        <v>16</v>
      </c>
      <c r="J52" s="5">
        <v>26946067</v>
      </c>
      <c r="K52" s="5" t="s">
        <v>2584</v>
      </c>
      <c r="L52" s="5" t="s">
        <v>2585</v>
      </c>
      <c r="M52" s="6">
        <v>169900</v>
      </c>
      <c r="N52" s="7">
        <v>0.9</v>
      </c>
      <c r="O52" s="6">
        <f t="shared" si="0"/>
        <v>16990</v>
      </c>
      <c r="P52" s="5" t="s">
        <v>504</v>
      </c>
    </row>
    <row r="53" spans="1:16" x14ac:dyDescent="0.35">
      <c r="A53" s="5" t="str">
        <f t="shared" si="1"/>
        <v>2020 ALL D90</v>
      </c>
      <c r="B53" s="8">
        <f>'ALL 2024 H2 D80'!$B$2</f>
        <v>46114</v>
      </c>
      <c r="C53" s="8">
        <f>'ALL 2024 H2 D80'!$C$2</f>
        <v>46120</v>
      </c>
      <c r="D53" s="5">
        <v>3208</v>
      </c>
      <c r="E53" s="5">
        <v>320</v>
      </c>
      <c r="F53" s="5">
        <v>1</v>
      </c>
      <c r="G53" s="5">
        <v>2</v>
      </c>
      <c r="H53" s="5">
        <v>81736</v>
      </c>
      <c r="I53" s="5" t="s">
        <v>16</v>
      </c>
      <c r="J53" s="5">
        <v>26948761</v>
      </c>
      <c r="K53" s="5" t="s">
        <v>2586</v>
      </c>
      <c r="L53" s="5" t="s">
        <v>2587</v>
      </c>
      <c r="M53" s="6">
        <v>179900</v>
      </c>
      <c r="N53" s="7">
        <v>0.9</v>
      </c>
      <c r="O53" s="6">
        <f t="shared" si="0"/>
        <v>17990</v>
      </c>
      <c r="P53" s="5" t="s">
        <v>504</v>
      </c>
    </row>
    <row r="54" spans="1:16" x14ac:dyDescent="0.35">
      <c r="A54" s="5" t="str">
        <f t="shared" si="1"/>
        <v>2020 ALL D90</v>
      </c>
      <c r="B54" s="8">
        <f>'ALL 2024 H2 D80'!$B$2</f>
        <v>46114</v>
      </c>
      <c r="C54" s="8">
        <f>'ALL 2024 H2 D80'!$C$2</f>
        <v>46120</v>
      </c>
      <c r="D54" s="5">
        <v>3208</v>
      </c>
      <c r="E54" s="5">
        <v>320</v>
      </c>
      <c r="F54" s="5">
        <v>1</v>
      </c>
      <c r="G54" s="5">
        <v>3</v>
      </c>
      <c r="H54" s="5">
        <v>81495</v>
      </c>
      <c r="I54" s="5" t="s">
        <v>16</v>
      </c>
      <c r="J54" s="5">
        <v>26463347</v>
      </c>
      <c r="K54" s="5" t="s">
        <v>2588</v>
      </c>
      <c r="L54" s="5" t="s">
        <v>2589</v>
      </c>
      <c r="M54" s="6">
        <v>249900</v>
      </c>
      <c r="N54" s="7">
        <v>0.9</v>
      </c>
      <c r="O54" s="6">
        <f t="shared" si="0"/>
        <v>24990</v>
      </c>
      <c r="P54" s="5" t="s">
        <v>504</v>
      </c>
    </row>
    <row r="55" spans="1:16" x14ac:dyDescent="0.35">
      <c r="A55" s="5" t="str">
        <f t="shared" si="1"/>
        <v>2020 ALL D90</v>
      </c>
      <c r="B55" s="8">
        <f>'ALL 2024 H2 D80'!$B$2</f>
        <v>46114</v>
      </c>
      <c r="C55" s="8">
        <f>'ALL 2024 H2 D80'!$C$2</f>
        <v>46120</v>
      </c>
      <c r="D55" s="5">
        <v>3208</v>
      </c>
      <c r="E55" s="5">
        <v>320</v>
      </c>
      <c r="F55" s="5">
        <v>1</v>
      </c>
      <c r="G55" s="5">
        <v>3</v>
      </c>
      <c r="H55" s="5">
        <v>81495</v>
      </c>
      <c r="I55" s="5" t="s">
        <v>16</v>
      </c>
      <c r="J55" s="5">
        <v>26463356</v>
      </c>
      <c r="K55" s="5" t="s">
        <v>2588</v>
      </c>
      <c r="L55" s="5" t="s">
        <v>2590</v>
      </c>
      <c r="M55" s="6">
        <v>249900</v>
      </c>
      <c r="N55" s="7">
        <v>0.9</v>
      </c>
      <c r="O55" s="6">
        <f t="shared" si="0"/>
        <v>24990</v>
      </c>
      <c r="P55" s="5" t="s">
        <v>504</v>
      </c>
    </row>
    <row r="56" spans="1:16" x14ac:dyDescent="0.35">
      <c r="A56" s="5" t="str">
        <f t="shared" si="1"/>
        <v>2020 ALL D90</v>
      </c>
      <c r="B56" s="8">
        <f>'ALL 2024 H2 D80'!$B$2</f>
        <v>46114</v>
      </c>
      <c r="C56" s="8">
        <f>'ALL 2024 H2 D80'!$C$2</f>
        <v>46120</v>
      </c>
      <c r="D56" s="5">
        <v>3208</v>
      </c>
      <c r="E56" s="5">
        <v>320</v>
      </c>
      <c r="F56" s="5">
        <v>1</v>
      </c>
      <c r="G56" s="5">
        <v>3</v>
      </c>
      <c r="H56" s="5">
        <v>81495</v>
      </c>
      <c r="I56" s="5" t="s">
        <v>16</v>
      </c>
      <c r="J56" s="5">
        <v>26463365</v>
      </c>
      <c r="K56" s="5" t="s">
        <v>2588</v>
      </c>
      <c r="L56" s="5" t="s">
        <v>2591</v>
      </c>
      <c r="M56" s="6">
        <v>249900</v>
      </c>
      <c r="N56" s="7">
        <v>0.9</v>
      </c>
      <c r="O56" s="6">
        <f t="shared" si="0"/>
        <v>24990</v>
      </c>
      <c r="P56" s="5" t="s">
        <v>504</v>
      </c>
    </row>
    <row r="57" spans="1:16" x14ac:dyDescent="0.35">
      <c r="A57" s="5" t="str">
        <f t="shared" si="1"/>
        <v>2020 ALL D90</v>
      </c>
      <c r="B57" s="8">
        <f>'ALL 2024 H2 D80'!$B$2</f>
        <v>46114</v>
      </c>
      <c r="C57" s="8">
        <f>'ALL 2024 H2 D80'!$C$2</f>
        <v>46120</v>
      </c>
      <c r="D57" s="5">
        <v>3208</v>
      </c>
      <c r="E57" s="5">
        <v>320</v>
      </c>
      <c r="F57" s="5">
        <v>1</v>
      </c>
      <c r="G57" s="5">
        <v>3</v>
      </c>
      <c r="H57" s="5">
        <v>81736</v>
      </c>
      <c r="I57" s="5" t="s">
        <v>16</v>
      </c>
      <c r="J57" s="5">
        <v>26940992</v>
      </c>
      <c r="K57" s="5" t="s">
        <v>2592</v>
      </c>
      <c r="L57" s="5" t="s">
        <v>2593</v>
      </c>
      <c r="M57" s="6">
        <v>229900</v>
      </c>
      <c r="N57" s="7">
        <v>0.9</v>
      </c>
      <c r="O57" s="6">
        <f t="shared" si="0"/>
        <v>22990</v>
      </c>
      <c r="P57" s="5" t="s">
        <v>504</v>
      </c>
    </row>
    <row r="58" spans="1:16" x14ac:dyDescent="0.35">
      <c r="A58" s="5" t="str">
        <f t="shared" si="1"/>
        <v>2020 ALL D90</v>
      </c>
      <c r="B58" s="8">
        <f>'ALL 2024 H2 D80'!$B$2</f>
        <v>46114</v>
      </c>
      <c r="C58" s="8">
        <f>'ALL 2024 H2 D80'!$C$2</f>
        <v>46120</v>
      </c>
      <c r="D58" s="5">
        <v>3208</v>
      </c>
      <c r="E58" s="5">
        <v>320</v>
      </c>
      <c r="F58" s="5">
        <v>1</v>
      </c>
      <c r="G58" s="5">
        <v>3</v>
      </c>
      <c r="H58" s="5">
        <v>81736</v>
      </c>
      <c r="I58" s="5" t="s">
        <v>16</v>
      </c>
      <c r="J58" s="5">
        <v>26941017</v>
      </c>
      <c r="K58" s="5" t="s">
        <v>2592</v>
      </c>
      <c r="L58" s="5" t="s">
        <v>3637</v>
      </c>
      <c r="M58" s="6">
        <v>229900</v>
      </c>
      <c r="N58" s="7">
        <v>0.9</v>
      </c>
      <c r="O58" s="6">
        <f t="shared" si="0"/>
        <v>22990</v>
      </c>
      <c r="P58" s="5" t="s">
        <v>504</v>
      </c>
    </row>
    <row r="59" spans="1:16" x14ac:dyDescent="0.35">
      <c r="A59" s="5" t="str">
        <f t="shared" si="1"/>
        <v>2020 ALL D90</v>
      </c>
      <c r="B59" s="8">
        <f>'ALL 2024 H2 D80'!$B$2</f>
        <v>46114</v>
      </c>
      <c r="C59" s="8">
        <f>'ALL 2024 H2 D80'!$C$2</f>
        <v>46120</v>
      </c>
      <c r="D59" s="5">
        <v>3208</v>
      </c>
      <c r="E59" s="5">
        <v>320</v>
      </c>
      <c r="F59" s="5">
        <v>1</v>
      </c>
      <c r="G59" s="5">
        <v>4</v>
      </c>
      <c r="H59" s="5">
        <v>81044</v>
      </c>
      <c r="I59" s="5" t="s">
        <v>16</v>
      </c>
      <c r="J59" s="5">
        <v>26315079</v>
      </c>
      <c r="K59" s="5" t="s">
        <v>2596</v>
      </c>
      <c r="L59" s="5" t="s">
        <v>2597</v>
      </c>
      <c r="M59" s="6">
        <v>299900</v>
      </c>
      <c r="N59" s="7">
        <v>0.9</v>
      </c>
      <c r="O59" s="6">
        <f t="shared" si="0"/>
        <v>29990</v>
      </c>
      <c r="P59" s="5" t="s">
        <v>504</v>
      </c>
    </row>
    <row r="60" spans="1:16" x14ac:dyDescent="0.35">
      <c r="A60" s="5" t="str">
        <f t="shared" si="1"/>
        <v>2020 ALL D90</v>
      </c>
      <c r="B60" s="8">
        <f>'ALL 2024 H2 D80'!$B$2</f>
        <v>46114</v>
      </c>
      <c r="C60" s="8">
        <f>'ALL 2024 H2 D80'!$C$2</f>
        <v>46120</v>
      </c>
      <c r="D60" s="5">
        <v>3208</v>
      </c>
      <c r="E60" s="5">
        <v>320</v>
      </c>
      <c r="F60" s="5">
        <v>1</v>
      </c>
      <c r="G60" s="5">
        <v>4</v>
      </c>
      <c r="H60" s="5">
        <v>81044</v>
      </c>
      <c r="I60" s="5" t="s">
        <v>16</v>
      </c>
      <c r="J60" s="5">
        <v>26315088</v>
      </c>
      <c r="K60" s="5" t="s">
        <v>2596</v>
      </c>
      <c r="L60" s="5" t="s">
        <v>2598</v>
      </c>
      <c r="M60" s="6">
        <v>299900</v>
      </c>
      <c r="N60" s="7">
        <v>0.9</v>
      </c>
      <c r="O60" s="6">
        <f t="shared" si="0"/>
        <v>29990</v>
      </c>
      <c r="P60" s="5" t="s">
        <v>504</v>
      </c>
    </row>
    <row r="61" spans="1:16" x14ac:dyDescent="0.35">
      <c r="A61" s="5" t="str">
        <f t="shared" si="1"/>
        <v>2020 ALL D90</v>
      </c>
      <c r="B61" s="8">
        <f>'ALL 2024 H2 D80'!$B$2</f>
        <v>46114</v>
      </c>
      <c r="C61" s="8">
        <f>'ALL 2024 H2 D80'!$C$2</f>
        <v>46120</v>
      </c>
      <c r="D61" s="5">
        <v>3208</v>
      </c>
      <c r="E61" s="5">
        <v>320</v>
      </c>
      <c r="F61" s="5">
        <v>1</v>
      </c>
      <c r="G61" s="5">
        <v>4</v>
      </c>
      <c r="H61" s="5">
        <v>81044</v>
      </c>
      <c r="I61" s="5" t="s">
        <v>16</v>
      </c>
      <c r="J61" s="5">
        <v>26322543</v>
      </c>
      <c r="K61" s="5" t="s">
        <v>2599</v>
      </c>
      <c r="L61" s="5" t="s">
        <v>2600</v>
      </c>
      <c r="M61" s="6">
        <v>349900</v>
      </c>
      <c r="N61" s="7">
        <v>0.9</v>
      </c>
      <c r="O61" s="6">
        <f t="shared" si="0"/>
        <v>34990</v>
      </c>
      <c r="P61" s="5" t="s">
        <v>504</v>
      </c>
    </row>
    <row r="62" spans="1:16" x14ac:dyDescent="0.35">
      <c r="A62" s="5" t="str">
        <f t="shared" si="1"/>
        <v>2020 ALL D90</v>
      </c>
      <c r="B62" s="8">
        <f>'ALL 2024 H2 D80'!$B$2</f>
        <v>46114</v>
      </c>
      <c r="C62" s="8">
        <f>'ALL 2024 H2 D80'!$C$2</f>
        <v>46120</v>
      </c>
      <c r="D62" s="5">
        <v>3208</v>
      </c>
      <c r="E62" s="5">
        <v>320</v>
      </c>
      <c r="F62" s="5">
        <v>1</v>
      </c>
      <c r="G62" s="5">
        <v>4</v>
      </c>
      <c r="H62" s="5">
        <v>81044</v>
      </c>
      <c r="I62" s="5" t="s">
        <v>16</v>
      </c>
      <c r="J62" s="5">
        <v>26322552</v>
      </c>
      <c r="K62" s="5" t="s">
        <v>2599</v>
      </c>
      <c r="L62" s="5" t="s">
        <v>2601</v>
      </c>
      <c r="M62" s="6">
        <v>349900</v>
      </c>
      <c r="N62" s="7">
        <v>0.9</v>
      </c>
      <c r="O62" s="6">
        <f t="shared" si="0"/>
        <v>34990</v>
      </c>
      <c r="P62" s="5" t="s">
        <v>504</v>
      </c>
    </row>
    <row r="63" spans="1:16" x14ac:dyDescent="0.35">
      <c r="A63" s="5" t="str">
        <f t="shared" si="1"/>
        <v>2020 ALL D90</v>
      </c>
      <c r="B63" s="8">
        <f>'ALL 2024 H2 D80'!$B$2</f>
        <v>46114</v>
      </c>
      <c r="C63" s="8">
        <f>'ALL 2024 H2 D80'!$C$2</f>
        <v>46120</v>
      </c>
      <c r="D63" s="5">
        <v>3208</v>
      </c>
      <c r="E63" s="5">
        <v>320</v>
      </c>
      <c r="F63" s="5">
        <v>1</v>
      </c>
      <c r="G63" s="5">
        <v>4</v>
      </c>
      <c r="H63" s="5">
        <v>81044</v>
      </c>
      <c r="I63" s="5" t="s">
        <v>16</v>
      </c>
      <c r="J63" s="5">
        <v>26322614</v>
      </c>
      <c r="K63" s="5" t="s">
        <v>2602</v>
      </c>
      <c r="L63" s="5" t="s">
        <v>2603</v>
      </c>
      <c r="M63" s="6">
        <v>349900</v>
      </c>
      <c r="N63" s="7">
        <v>0.9</v>
      </c>
      <c r="O63" s="6">
        <f t="shared" si="0"/>
        <v>34990</v>
      </c>
      <c r="P63" s="5" t="s">
        <v>504</v>
      </c>
    </row>
    <row r="64" spans="1:16" x14ac:dyDescent="0.35">
      <c r="A64" s="5" t="str">
        <f t="shared" si="1"/>
        <v>2020 ALL D90</v>
      </c>
      <c r="B64" s="8">
        <f>'ALL 2024 H2 D80'!$B$2</f>
        <v>46114</v>
      </c>
      <c r="C64" s="8">
        <f>'ALL 2024 H2 D80'!$C$2</f>
        <v>46120</v>
      </c>
      <c r="D64" s="5">
        <v>3208</v>
      </c>
      <c r="E64" s="5">
        <v>320</v>
      </c>
      <c r="F64" s="5">
        <v>1</v>
      </c>
      <c r="G64" s="5">
        <v>4</v>
      </c>
      <c r="H64" s="5">
        <v>81044</v>
      </c>
      <c r="I64" s="5" t="s">
        <v>16</v>
      </c>
      <c r="J64" s="5">
        <v>26322623</v>
      </c>
      <c r="K64" s="5" t="s">
        <v>2602</v>
      </c>
      <c r="L64" s="5" t="s">
        <v>2604</v>
      </c>
      <c r="M64" s="6">
        <v>349900</v>
      </c>
      <c r="N64" s="7">
        <v>0.9</v>
      </c>
      <c r="O64" s="6">
        <f t="shared" si="0"/>
        <v>34990</v>
      </c>
      <c r="P64" s="5" t="s">
        <v>504</v>
      </c>
    </row>
    <row r="65" spans="1:16" x14ac:dyDescent="0.35">
      <c r="A65" s="5" t="str">
        <f t="shared" si="1"/>
        <v>2020 ALL D90</v>
      </c>
      <c r="B65" s="8">
        <f>'ALL 2024 H2 D80'!$B$2</f>
        <v>46114</v>
      </c>
      <c r="C65" s="8">
        <f>'ALL 2024 H2 D80'!$C$2</f>
        <v>46120</v>
      </c>
      <c r="D65" s="5">
        <v>3208</v>
      </c>
      <c r="E65" s="5">
        <v>320</v>
      </c>
      <c r="F65" s="5">
        <v>1</v>
      </c>
      <c r="G65" s="5">
        <v>4</v>
      </c>
      <c r="H65" s="5">
        <v>81044</v>
      </c>
      <c r="I65" s="5" t="s">
        <v>16</v>
      </c>
      <c r="J65" s="5">
        <v>26322641</v>
      </c>
      <c r="K65" s="5" t="s">
        <v>2602</v>
      </c>
      <c r="L65" s="5" t="s">
        <v>2605</v>
      </c>
      <c r="M65" s="6">
        <v>349900</v>
      </c>
      <c r="N65" s="7">
        <v>0.9</v>
      </c>
      <c r="O65" s="6">
        <f t="shared" ref="O65:O99" si="2">M65-(M65*N65)</f>
        <v>34990</v>
      </c>
      <c r="P65" s="5" t="s">
        <v>504</v>
      </c>
    </row>
    <row r="66" spans="1:16" x14ac:dyDescent="0.35">
      <c r="A66" s="5" t="str">
        <f t="shared" si="1"/>
        <v>2020 ALL D90</v>
      </c>
      <c r="B66" s="8">
        <f>'ALL 2024 H2 D80'!$B$2</f>
        <v>46114</v>
      </c>
      <c r="C66" s="8">
        <f>'ALL 2024 H2 D80'!$C$2</f>
        <v>46120</v>
      </c>
      <c r="D66" s="5">
        <v>3208</v>
      </c>
      <c r="E66" s="5">
        <v>320</v>
      </c>
      <c r="F66" s="5">
        <v>1</v>
      </c>
      <c r="G66" s="5">
        <v>4</v>
      </c>
      <c r="H66" s="5">
        <v>81044</v>
      </c>
      <c r="I66" s="5" t="s">
        <v>16</v>
      </c>
      <c r="J66" s="5">
        <v>26516094</v>
      </c>
      <c r="K66" s="5" t="s">
        <v>2606</v>
      </c>
      <c r="L66" s="5" t="s">
        <v>2607</v>
      </c>
      <c r="M66" s="6">
        <v>299900</v>
      </c>
      <c r="N66" s="7">
        <v>0.9</v>
      </c>
      <c r="O66" s="6">
        <f t="shared" si="2"/>
        <v>29990</v>
      </c>
      <c r="P66" s="5" t="s">
        <v>504</v>
      </c>
    </row>
    <row r="67" spans="1:16" x14ac:dyDescent="0.35">
      <c r="A67" s="5" t="str">
        <f t="shared" si="1"/>
        <v>2020 ALL D90</v>
      </c>
      <c r="B67" s="8">
        <f>'ALL 2024 H2 D80'!$B$2</f>
        <v>46114</v>
      </c>
      <c r="C67" s="8">
        <f>'ALL 2024 H2 D80'!$C$2</f>
        <v>46120</v>
      </c>
      <c r="D67" s="5">
        <v>3208</v>
      </c>
      <c r="E67" s="5">
        <v>320</v>
      </c>
      <c r="F67" s="5">
        <v>1</v>
      </c>
      <c r="G67" s="5">
        <v>4</v>
      </c>
      <c r="H67" s="5">
        <v>81044</v>
      </c>
      <c r="I67" s="5" t="s">
        <v>16</v>
      </c>
      <c r="J67" s="5">
        <v>26940876</v>
      </c>
      <c r="K67" s="5" t="s">
        <v>2267</v>
      </c>
      <c r="L67" s="5" t="s">
        <v>2608</v>
      </c>
      <c r="M67" s="6">
        <v>279900</v>
      </c>
      <c r="N67" s="7">
        <v>0.9</v>
      </c>
      <c r="O67" s="6">
        <f t="shared" si="2"/>
        <v>27990</v>
      </c>
      <c r="P67" s="5" t="s">
        <v>504</v>
      </c>
    </row>
    <row r="68" spans="1:16" x14ac:dyDescent="0.35">
      <c r="A68" s="5" t="str">
        <f t="shared" ref="A68:A99" si="3">$A$2</f>
        <v>2020 ALL D90</v>
      </c>
      <c r="B68" s="8">
        <f>'ALL 2024 H2 D80'!$B$2</f>
        <v>46114</v>
      </c>
      <c r="C68" s="8">
        <f>'ALL 2024 H2 D80'!$C$2</f>
        <v>46120</v>
      </c>
      <c r="D68" s="5">
        <v>3208</v>
      </c>
      <c r="E68" s="5">
        <v>320</v>
      </c>
      <c r="F68" s="5">
        <v>1</v>
      </c>
      <c r="G68" s="5">
        <v>4</v>
      </c>
      <c r="H68" s="5">
        <v>81044</v>
      </c>
      <c r="I68" s="5" t="s">
        <v>16</v>
      </c>
      <c r="J68" s="5">
        <v>27848117</v>
      </c>
      <c r="K68" s="5" t="s">
        <v>2426</v>
      </c>
      <c r="L68" s="5" t="s">
        <v>2427</v>
      </c>
      <c r="M68" s="6">
        <v>269900</v>
      </c>
      <c r="N68" s="7">
        <v>0.9</v>
      </c>
      <c r="O68" s="6">
        <f t="shared" si="2"/>
        <v>26990</v>
      </c>
      <c r="P68" s="5" t="s">
        <v>504</v>
      </c>
    </row>
    <row r="69" spans="1:16" x14ac:dyDescent="0.35">
      <c r="A69" s="5" t="str">
        <f t="shared" si="3"/>
        <v>2020 ALL D90</v>
      </c>
      <c r="B69" s="8">
        <f>'ALL 2024 H2 D80'!$B$2</f>
        <v>46114</v>
      </c>
      <c r="C69" s="8">
        <f>'ALL 2024 H2 D80'!$C$2</f>
        <v>46120</v>
      </c>
      <c r="D69" s="5">
        <v>3208</v>
      </c>
      <c r="E69" s="5">
        <v>320</v>
      </c>
      <c r="F69" s="5">
        <v>1</v>
      </c>
      <c r="G69" s="5">
        <v>4</v>
      </c>
      <c r="H69" s="5">
        <v>81044</v>
      </c>
      <c r="I69" s="5" t="s">
        <v>16</v>
      </c>
      <c r="J69" s="5">
        <v>27848153</v>
      </c>
      <c r="K69" s="5" t="s">
        <v>2428</v>
      </c>
      <c r="L69" s="5" t="s">
        <v>2429</v>
      </c>
      <c r="M69" s="6">
        <v>259900</v>
      </c>
      <c r="N69" s="7">
        <v>0.9</v>
      </c>
      <c r="O69" s="6">
        <f t="shared" si="2"/>
        <v>25990</v>
      </c>
      <c r="P69" s="5" t="s">
        <v>504</v>
      </c>
    </row>
    <row r="70" spans="1:16" x14ac:dyDescent="0.35">
      <c r="A70" s="5" t="str">
        <f t="shared" si="3"/>
        <v>2020 ALL D90</v>
      </c>
      <c r="B70" s="8">
        <f>'ALL 2024 H2 D80'!$B$2</f>
        <v>46114</v>
      </c>
      <c r="C70" s="8">
        <f>'ALL 2024 H2 D80'!$C$2</f>
        <v>46120</v>
      </c>
      <c r="D70" s="5">
        <v>3208</v>
      </c>
      <c r="E70" s="5">
        <v>320</v>
      </c>
      <c r="F70" s="5">
        <v>1</v>
      </c>
      <c r="G70" s="5">
        <v>4</v>
      </c>
      <c r="H70" s="5">
        <v>81044</v>
      </c>
      <c r="I70" s="5" t="s">
        <v>16</v>
      </c>
      <c r="J70" s="5">
        <v>27848162</v>
      </c>
      <c r="K70" s="5" t="s">
        <v>2428</v>
      </c>
      <c r="L70" s="5" t="s">
        <v>2430</v>
      </c>
      <c r="M70" s="6">
        <v>259900</v>
      </c>
      <c r="N70" s="7">
        <v>0.9</v>
      </c>
      <c r="O70" s="6">
        <f t="shared" si="2"/>
        <v>25990</v>
      </c>
      <c r="P70" s="5" t="s">
        <v>504</v>
      </c>
    </row>
    <row r="71" spans="1:16" x14ac:dyDescent="0.35">
      <c r="A71" s="5" t="str">
        <f t="shared" si="3"/>
        <v>2020 ALL D90</v>
      </c>
      <c r="B71" s="8">
        <f>'ALL 2024 H2 D80'!$B$2</f>
        <v>46114</v>
      </c>
      <c r="C71" s="8">
        <f>'ALL 2024 H2 D80'!$C$2</f>
        <v>46120</v>
      </c>
      <c r="D71" s="5">
        <v>3208</v>
      </c>
      <c r="E71" s="5">
        <v>320</v>
      </c>
      <c r="F71" s="5">
        <v>1</v>
      </c>
      <c r="G71" s="5">
        <v>4</v>
      </c>
      <c r="H71" s="5">
        <v>81044</v>
      </c>
      <c r="I71" s="5" t="s">
        <v>16</v>
      </c>
      <c r="J71" s="5">
        <v>27848180</v>
      </c>
      <c r="K71" s="5" t="s">
        <v>2428</v>
      </c>
      <c r="L71" s="5" t="s">
        <v>2431</v>
      </c>
      <c r="M71" s="6">
        <v>259900</v>
      </c>
      <c r="N71" s="7">
        <v>0.9</v>
      </c>
      <c r="O71" s="6">
        <f t="shared" si="2"/>
        <v>25990</v>
      </c>
      <c r="P71" s="5" t="s">
        <v>504</v>
      </c>
    </row>
    <row r="72" spans="1:16" x14ac:dyDescent="0.35">
      <c r="A72" s="5" t="str">
        <f t="shared" si="3"/>
        <v>2020 ALL D90</v>
      </c>
      <c r="B72" s="8">
        <f>'ALL 2024 H2 D80'!$B$2</f>
        <v>46114</v>
      </c>
      <c r="C72" s="8">
        <f>'ALL 2024 H2 D80'!$C$2</f>
        <v>46120</v>
      </c>
      <c r="D72" s="5">
        <v>3208</v>
      </c>
      <c r="E72" s="5">
        <v>320</v>
      </c>
      <c r="F72" s="5">
        <v>1</v>
      </c>
      <c r="G72" s="5">
        <v>4</v>
      </c>
      <c r="H72" s="5">
        <v>81736</v>
      </c>
      <c r="I72" s="5" t="s">
        <v>16</v>
      </c>
      <c r="J72" s="5">
        <v>26305973</v>
      </c>
      <c r="K72" s="5" t="s">
        <v>2612</v>
      </c>
      <c r="L72" s="5" t="s">
        <v>2613</v>
      </c>
      <c r="M72" s="6">
        <v>269900</v>
      </c>
      <c r="N72" s="7">
        <v>0.9</v>
      </c>
      <c r="O72" s="6">
        <f t="shared" si="2"/>
        <v>26990</v>
      </c>
      <c r="P72" s="5" t="s">
        <v>504</v>
      </c>
    </row>
    <row r="73" spans="1:16" x14ac:dyDescent="0.35">
      <c r="A73" s="5" t="str">
        <f t="shared" si="3"/>
        <v>2020 ALL D90</v>
      </c>
      <c r="B73" s="8">
        <f>'ALL 2024 H2 D80'!$B$2</f>
        <v>46114</v>
      </c>
      <c r="C73" s="8">
        <f>'ALL 2024 H2 D80'!$C$2</f>
        <v>46120</v>
      </c>
      <c r="D73" s="5">
        <v>3208</v>
      </c>
      <c r="E73" s="5">
        <v>320</v>
      </c>
      <c r="F73" s="5">
        <v>1</v>
      </c>
      <c r="G73" s="5">
        <v>4</v>
      </c>
      <c r="H73" s="5">
        <v>81736</v>
      </c>
      <c r="I73" s="5" t="s">
        <v>16</v>
      </c>
      <c r="J73" s="5">
        <v>26305991</v>
      </c>
      <c r="K73" s="5" t="s">
        <v>2612</v>
      </c>
      <c r="L73" s="5" t="s">
        <v>2614</v>
      </c>
      <c r="M73" s="6">
        <v>269900</v>
      </c>
      <c r="N73" s="7">
        <v>0.9</v>
      </c>
      <c r="O73" s="6">
        <f t="shared" si="2"/>
        <v>26990</v>
      </c>
      <c r="P73" s="5" t="s">
        <v>504</v>
      </c>
    </row>
    <row r="74" spans="1:16" x14ac:dyDescent="0.35">
      <c r="A74" s="5" t="str">
        <f t="shared" si="3"/>
        <v>2020 ALL D90</v>
      </c>
      <c r="B74" s="8">
        <f>'ALL 2024 H2 D80'!$B$2</f>
        <v>46114</v>
      </c>
      <c r="C74" s="8">
        <f>'ALL 2024 H2 D80'!$C$2</f>
        <v>46120</v>
      </c>
      <c r="D74" s="5">
        <v>3208</v>
      </c>
      <c r="E74" s="5">
        <v>320</v>
      </c>
      <c r="F74" s="5">
        <v>1</v>
      </c>
      <c r="G74" s="5">
        <v>5</v>
      </c>
      <c r="H74" s="5">
        <v>81044</v>
      </c>
      <c r="I74" s="5" t="s">
        <v>16</v>
      </c>
      <c r="J74" s="5">
        <v>26432488</v>
      </c>
      <c r="K74" s="5" t="s">
        <v>2619</v>
      </c>
      <c r="L74" s="5" t="s">
        <v>2620</v>
      </c>
      <c r="M74" s="6">
        <v>249900</v>
      </c>
      <c r="N74" s="7">
        <v>0.9</v>
      </c>
      <c r="O74" s="6">
        <f t="shared" si="2"/>
        <v>24990</v>
      </c>
      <c r="P74" s="5" t="s">
        <v>504</v>
      </c>
    </row>
    <row r="75" spans="1:16" x14ac:dyDescent="0.35">
      <c r="A75" s="5" t="str">
        <f t="shared" si="3"/>
        <v>2020 ALL D90</v>
      </c>
      <c r="B75" s="8">
        <f>'ALL 2024 H2 D80'!$B$2</f>
        <v>46114</v>
      </c>
      <c r="C75" s="8">
        <f>'ALL 2024 H2 D80'!$C$2</f>
        <v>46120</v>
      </c>
      <c r="D75" s="5">
        <v>3208</v>
      </c>
      <c r="E75" s="5">
        <v>320</v>
      </c>
      <c r="F75" s="5">
        <v>1</v>
      </c>
      <c r="G75" s="5">
        <v>5</v>
      </c>
      <c r="H75" s="5">
        <v>81044</v>
      </c>
      <c r="I75" s="5" t="s">
        <v>16</v>
      </c>
      <c r="J75" s="5">
        <v>26941071</v>
      </c>
      <c r="K75" s="5" t="s">
        <v>2296</v>
      </c>
      <c r="L75" s="5" t="s">
        <v>2621</v>
      </c>
      <c r="M75" s="6">
        <v>229900</v>
      </c>
      <c r="N75" s="7">
        <v>0.9</v>
      </c>
      <c r="O75" s="6">
        <f t="shared" si="2"/>
        <v>22990</v>
      </c>
      <c r="P75" s="5" t="s">
        <v>504</v>
      </c>
    </row>
    <row r="76" spans="1:16" x14ac:dyDescent="0.35">
      <c r="A76" s="5" t="str">
        <f t="shared" si="3"/>
        <v>2020 ALL D90</v>
      </c>
      <c r="B76" s="8">
        <f>'ALL 2024 H2 D80'!$B$2</f>
        <v>46114</v>
      </c>
      <c r="C76" s="8">
        <f>'ALL 2024 H2 D80'!$C$2</f>
        <v>46120</v>
      </c>
      <c r="D76" s="5">
        <v>3208</v>
      </c>
      <c r="E76" s="5">
        <v>320</v>
      </c>
      <c r="F76" s="5">
        <v>1</v>
      </c>
      <c r="G76" s="5">
        <v>5</v>
      </c>
      <c r="H76" s="5">
        <v>81406</v>
      </c>
      <c r="I76" s="5" t="s">
        <v>16</v>
      </c>
      <c r="J76" s="5">
        <v>26689354</v>
      </c>
      <c r="K76" s="5" t="s">
        <v>2622</v>
      </c>
      <c r="L76" s="5" t="s">
        <v>2623</v>
      </c>
      <c r="M76" s="6">
        <v>249900</v>
      </c>
      <c r="N76" s="7">
        <v>0.9</v>
      </c>
      <c r="O76" s="6">
        <f t="shared" si="2"/>
        <v>24990</v>
      </c>
      <c r="P76" s="5" t="s">
        <v>504</v>
      </c>
    </row>
    <row r="77" spans="1:16" x14ac:dyDescent="0.35">
      <c r="A77" s="5" t="str">
        <f t="shared" si="3"/>
        <v>2020 ALL D90</v>
      </c>
      <c r="B77" s="8">
        <f>'ALL 2024 H2 D80'!$B$2</f>
        <v>46114</v>
      </c>
      <c r="C77" s="8">
        <f>'ALL 2024 H2 D80'!$C$2</f>
        <v>46120</v>
      </c>
      <c r="D77" s="5">
        <v>3208</v>
      </c>
      <c r="E77" s="5">
        <v>320</v>
      </c>
      <c r="F77" s="5">
        <v>1</v>
      </c>
      <c r="G77" s="5">
        <v>5</v>
      </c>
      <c r="H77" s="5">
        <v>81406</v>
      </c>
      <c r="I77" s="5" t="s">
        <v>16</v>
      </c>
      <c r="J77" s="5">
        <v>26689363</v>
      </c>
      <c r="K77" s="5" t="s">
        <v>2622</v>
      </c>
      <c r="L77" s="5" t="s">
        <v>2624</v>
      </c>
      <c r="M77" s="6">
        <v>249900</v>
      </c>
      <c r="N77" s="7">
        <v>0.9</v>
      </c>
      <c r="O77" s="6">
        <f t="shared" si="2"/>
        <v>24990</v>
      </c>
      <c r="P77" s="5" t="s">
        <v>504</v>
      </c>
    </row>
    <row r="78" spans="1:16" x14ac:dyDescent="0.35">
      <c r="A78" s="5" t="str">
        <f t="shared" si="3"/>
        <v>2020 ALL D90</v>
      </c>
      <c r="B78" s="8">
        <f>'ALL 2024 H2 D80'!$B$2</f>
        <v>46114</v>
      </c>
      <c r="C78" s="8">
        <f>'ALL 2024 H2 D80'!$C$2</f>
        <v>46120</v>
      </c>
      <c r="D78" s="5">
        <v>3208</v>
      </c>
      <c r="E78" s="5">
        <v>320</v>
      </c>
      <c r="F78" s="5">
        <v>1</v>
      </c>
      <c r="G78" s="5">
        <v>5</v>
      </c>
      <c r="H78" s="5">
        <v>81626</v>
      </c>
      <c r="I78" s="5" t="s">
        <v>16</v>
      </c>
      <c r="J78" s="5">
        <v>26105797</v>
      </c>
      <c r="K78" s="5" t="s">
        <v>2625</v>
      </c>
      <c r="L78" s="5" t="s">
        <v>2626</v>
      </c>
      <c r="M78" s="6">
        <v>249900</v>
      </c>
      <c r="N78" s="7">
        <v>0.9</v>
      </c>
      <c r="O78" s="6">
        <f t="shared" si="2"/>
        <v>24990</v>
      </c>
      <c r="P78" s="5" t="s">
        <v>504</v>
      </c>
    </row>
    <row r="79" spans="1:16" x14ac:dyDescent="0.35">
      <c r="A79" s="5" t="str">
        <f t="shared" si="3"/>
        <v>2020 ALL D90</v>
      </c>
      <c r="B79" s="8">
        <f>'ALL 2024 H2 D80'!$B$2</f>
        <v>46114</v>
      </c>
      <c r="C79" s="8">
        <f>'ALL 2024 H2 D80'!$C$2</f>
        <v>46120</v>
      </c>
      <c r="D79" s="5">
        <v>3208</v>
      </c>
      <c r="E79" s="5">
        <v>320</v>
      </c>
      <c r="F79" s="5">
        <v>1</v>
      </c>
      <c r="G79" s="5">
        <v>5</v>
      </c>
      <c r="H79" s="5">
        <v>81626</v>
      </c>
      <c r="I79" s="5" t="s">
        <v>16</v>
      </c>
      <c r="J79" s="5">
        <v>26318790</v>
      </c>
      <c r="K79" s="5" t="s">
        <v>2627</v>
      </c>
      <c r="L79" s="5" t="s">
        <v>3638</v>
      </c>
      <c r="M79" s="6">
        <v>229900</v>
      </c>
      <c r="N79" s="7">
        <v>0.9</v>
      </c>
      <c r="O79" s="6">
        <f t="shared" si="2"/>
        <v>22990</v>
      </c>
      <c r="P79" s="5" t="s">
        <v>504</v>
      </c>
    </row>
    <row r="80" spans="1:16" x14ac:dyDescent="0.35">
      <c r="A80" s="5" t="str">
        <f t="shared" si="3"/>
        <v>2020 ALL D90</v>
      </c>
      <c r="B80" s="8">
        <f>'ALL 2024 H2 D80'!$B$2</f>
        <v>46114</v>
      </c>
      <c r="C80" s="8">
        <f>'ALL 2024 H2 D80'!$C$2</f>
        <v>46120</v>
      </c>
      <c r="D80" s="5">
        <v>3208</v>
      </c>
      <c r="E80" s="5">
        <v>320</v>
      </c>
      <c r="F80" s="5">
        <v>1</v>
      </c>
      <c r="G80" s="5">
        <v>5</v>
      </c>
      <c r="H80" s="5">
        <v>81626</v>
      </c>
      <c r="I80" s="5" t="s">
        <v>16</v>
      </c>
      <c r="J80" s="5">
        <v>26425754</v>
      </c>
      <c r="K80" s="5" t="s">
        <v>2628</v>
      </c>
      <c r="L80" s="5" t="s">
        <v>2629</v>
      </c>
      <c r="M80" s="6">
        <v>229900</v>
      </c>
      <c r="N80" s="7">
        <v>0.9</v>
      </c>
      <c r="O80" s="6">
        <f t="shared" si="2"/>
        <v>22990</v>
      </c>
      <c r="P80" s="5" t="s">
        <v>504</v>
      </c>
    </row>
    <row r="81" spans="1:16" x14ac:dyDescent="0.35">
      <c r="A81" s="5" t="str">
        <f t="shared" si="3"/>
        <v>2020 ALL D90</v>
      </c>
      <c r="B81" s="8">
        <f>'ALL 2024 H2 D80'!$B$2</f>
        <v>46114</v>
      </c>
      <c r="C81" s="8">
        <f>'ALL 2024 H2 D80'!$C$2</f>
        <v>46120</v>
      </c>
      <c r="D81" s="5">
        <v>3208</v>
      </c>
      <c r="E81" s="5">
        <v>320</v>
      </c>
      <c r="F81" s="5">
        <v>1</v>
      </c>
      <c r="G81" s="5">
        <v>5</v>
      </c>
      <c r="H81" s="5">
        <v>81626</v>
      </c>
      <c r="I81" s="5" t="s">
        <v>16</v>
      </c>
      <c r="J81" s="5">
        <v>26426075</v>
      </c>
      <c r="K81" s="5" t="s">
        <v>2630</v>
      </c>
      <c r="L81" s="5" t="s">
        <v>2631</v>
      </c>
      <c r="M81" s="6">
        <v>229900</v>
      </c>
      <c r="N81" s="7">
        <v>0.9</v>
      </c>
      <c r="O81" s="6">
        <f t="shared" si="2"/>
        <v>22990</v>
      </c>
      <c r="P81" s="5" t="s">
        <v>504</v>
      </c>
    </row>
    <row r="82" spans="1:16" x14ac:dyDescent="0.35">
      <c r="A82" s="5" t="str">
        <f t="shared" si="3"/>
        <v>2020 ALL D90</v>
      </c>
      <c r="B82" s="8">
        <f>'ALL 2024 H2 D80'!$B$2</f>
        <v>46114</v>
      </c>
      <c r="C82" s="8">
        <f>'ALL 2024 H2 D80'!$C$2</f>
        <v>46120</v>
      </c>
      <c r="D82" s="5">
        <v>3208</v>
      </c>
      <c r="E82" s="5">
        <v>320</v>
      </c>
      <c r="F82" s="5">
        <v>1</v>
      </c>
      <c r="G82" s="5">
        <v>5</v>
      </c>
      <c r="H82" s="5">
        <v>81626</v>
      </c>
      <c r="I82" s="5" t="s">
        <v>16</v>
      </c>
      <c r="J82" s="5">
        <v>26426271</v>
      </c>
      <c r="K82" s="5" t="s">
        <v>2632</v>
      </c>
      <c r="L82" s="5" t="s">
        <v>2633</v>
      </c>
      <c r="M82" s="6">
        <v>229900</v>
      </c>
      <c r="N82" s="7">
        <v>0.9</v>
      </c>
      <c r="O82" s="6">
        <f t="shared" si="2"/>
        <v>22990</v>
      </c>
      <c r="P82" s="5" t="s">
        <v>504</v>
      </c>
    </row>
    <row r="83" spans="1:16" x14ac:dyDescent="0.35">
      <c r="A83" s="5" t="str">
        <f t="shared" si="3"/>
        <v>2020 ALL D90</v>
      </c>
      <c r="B83" s="8">
        <f>'ALL 2024 H2 D80'!$B$2</f>
        <v>46114</v>
      </c>
      <c r="C83" s="8">
        <f>'ALL 2024 H2 D80'!$C$2</f>
        <v>46120</v>
      </c>
      <c r="D83" s="5">
        <v>3208</v>
      </c>
      <c r="E83" s="5">
        <v>320</v>
      </c>
      <c r="F83" s="5">
        <v>1</v>
      </c>
      <c r="G83" s="5">
        <v>5</v>
      </c>
      <c r="H83" s="5">
        <v>81626</v>
      </c>
      <c r="I83" s="5" t="s">
        <v>16</v>
      </c>
      <c r="J83" s="5">
        <v>26427225</v>
      </c>
      <c r="K83" s="5" t="s">
        <v>2634</v>
      </c>
      <c r="L83" s="5" t="s">
        <v>2635</v>
      </c>
      <c r="M83" s="6">
        <v>249900</v>
      </c>
      <c r="N83" s="7">
        <v>0.9</v>
      </c>
      <c r="O83" s="6">
        <f t="shared" si="2"/>
        <v>24990</v>
      </c>
      <c r="P83" s="5" t="s">
        <v>504</v>
      </c>
    </row>
    <row r="84" spans="1:16" x14ac:dyDescent="0.35">
      <c r="A84" s="5" t="str">
        <f t="shared" si="3"/>
        <v>2020 ALL D90</v>
      </c>
      <c r="B84" s="8">
        <f>'ALL 2024 H2 D80'!$B$2</f>
        <v>46114</v>
      </c>
      <c r="C84" s="8">
        <f>'ALL 2024 H2 D80'!$C$2</f>
        <v>46120</v>
      </c>
      <c r="D84" s="5">
        <v>3208</v>
      </c>
      <c r="E84" s="5">
        <v>320</v>
      </c>
      <c r="F84" s="5">
        <v>1</v>
      </c>
      <c r="G84" s="5">
        <v>5</v>
      </c>
      <c r="H84" s="5">
        <v>81626</v>
      </c>
      <c r="I84" s="5" t="s">
        <v>16</v>
      </c>
      <c r="J84" s="5">
        <v>26427930</v>
      </c>
      <c r="K84" s="5" t="s">
        <v>2636</v>
      </c>
      <c r="L84" s="5" t="s">
        <v>2637</v>
      </c>
      <c r="M84" s="6">
        <v>249900</v>
      </c>
      <c r="N84" s="7">
        <v>0.9</v>
      </c>
      <c r="O84" s="6">
        <f t="shared" si="2"/>
        <v>24990</v>
      </c>
      <c r="P84" s="5" t="s">
        <v>504</v>
      </c>
    </row>
    <row r="85" spans="1:16" x14ac:dyDescent="0.35">
      <c r="A85" s="5" t="str">
        <f t="shared" si="3"/>
        <v>2020 ALL D90</v>
      </c>
      <c r="B85" s="8">
        <f>'ALL 2024 H2 D80'!$B$2</f>
        <v>46114</v>
      </c>
      <c r="C85" s="8">
        <f>'ALL 2024 H2 D80'!$C$2</f>
        <v>46120</v>
      </c>
      <c r="D85" s="5">
        <v>3208</v>
      </c>
      <c r="E85" s="5">
        <v>320</v>
      </c>
      <c r="F85" s="5">
        <v>1</v>
      </c>
      <c r="G85" s="5">
        <v>5</v>
      </c>
      <c r="H85" s="5">
        <v>81626</v>
      </c>
      <c r="I85" s="5" t="s">
        <v>16</v>
      </c>
      <c r="J85" s="5">
        <v>26427949</v>
      </c>
      <c r="K85" s="5" t="s">
        <v>2636</v>
      </c>
      <c r="L85" s="5" t="s">
        <v>2638</v>
      </c>
      <c r="M85" s="6">
        <v>249900</v>
      </c>
      <c r="N85" s="7">
        <v>0.9</v>
      </c>
      <c r="O85" s="6">
        <f t="shared" si="2"/>
        <v>24990</v>
      </c>
      <c r="P85" s="5" t="s">
        <v>504</v>
      </c>
    </row>
    <row r="86" spans="1:16" x14ac:dyDescent="0.35">
      <c r="A86" s="5" t="str">
        <f t="shared" si="3"/>
        <v>2020 ALL D90</v>
      </c>
      <c r="B86" s="8">
        <f>'ALL 2024 H2 D80'!$B$2</f>
        <v>46114</v>
      </c>
      <c r="C86" s="8">
        <f>'ALL 2024 H2 D80'!$C$2</f>
        <v>46120</v>
      </c>
      <c r="D86" s="5">
        <v>3208</v>
      </c>
      <c r="E86" s="5">
        <v>320</v>
      </c>
      <c r="F86" s="5">
        <v>1</v>
      </c>
      <c r="G86" s="5">
        <v>5</v>
      </c>
      <c r="H86" s="5">
        <v>81626</v>
      </c>
      <c r="I86" s="5" t="s">
        <v>16</v>
      </c>
      <c r="J86" s="5">
        <v>26445394</v>
      </c>
      <c r="K86" s="5" t="s">
        <v>2639</v>
      </c>
      <c r="L86" s="5" t="s">
        <v>2640</v>
      </c>
      <c r="M86" s="6">
        <v>229900</v>
      </c>
      <c r="N86" s="7">
        <v>0.9</v>
      </c>
      <c r="O86" s="6">
        <f t="shared" si="2"/>
        <v>22990</v>
      </c>
      <c r="P86" s="5" t="s">
        <v>504</v>
      </c>
    </row>
    <row r="87" spans="1:16" x14ac:dyDescent="0.35">
      <c r="A87" s="5" t="str">
        <f t="shared" si="3"/>
        <v>2020 ALL D90</v>
      </c>
      <c r="B87" s="8">
        <f>'ALL 2024 H2 D80'!$B$2</f>
        <v>46114</v>
      </c>
      <c r="C87" s="8">
        <f>'ALL 2024 H2 D80'!$C$2</f>
        <v>46120</v>
      </c>
      <c r="D87" s="5">
        <v>3208</v>
      </c>
      <c r="E87" s="5">
        <v>320</v>
      </c>
      <c r="F87" s="5">
        <v>1</v>
      </c>
      <c r="G87" s="5">
        <v>5</v>
      </c>
      <c r="H87" s="5">
        <v>81626</v>
      </c>
      <c r="I87" s="5" t="s">
        <v>16</v>
      </c>
      <c r="J87" s="5">
        <v>26688177</v>
      </c>
      <c r="K87" s="5" t="s">
        <v>2641</v>
      </c>
      <c r="L87" s="5" t="s">
        <v>3639</v>
      </c>
      <c r="M87" s="6">
        <v>229900</v>
      </c>
      <c r="N87" s="7">
        <v>0.9</v>
      </c>
      <c r="O87" s="6">
        <f t="shared" si="2"/>
        <v>22990</v>
      </c>
      <c r="P87" s="5" t="s">
        <v>504</v>
      </c>
    </row>
    <row r="88" spans="1:16" x14ac:dyDescent="0.35">
      <c r="A88" s="5" t="str">
        <f t="shared" si="3"/>
        <v>2020 ALL D90</v>
      </c>
      <c r="B88" s="8">
        <f>'ALL 2024 H2 D80'!$B$2</f>
        <v>46114</v>
      </c>
      <c r="C88" s="8">
        <f>'ALL 2024 H2 D80'!$C$2</f>
        <v>46120</v>
      </c>
      <c r="D88" s="5">
        <v>3208</v>
      </c>
      <c r="E88" s="5">
        <v>320</v>
      </c>
      <c r="F88" s="5">
        <v>1</v>
      </c>
      <c r="G88" s="5">
        <v>5</v>
      </c>
      <c r="H88" s="5">
        <v>81626</v>
      </c>
      <c r="I88" s="5" t="s">
        <v>16</v>
      </c>
      <c r="J88" s="5">
        <v>26690388</v>
      </c>
      <c r="K88" s="5" t="s">
        <v>2642</v>
      </c>
      <c r="L88" s="5" t="s">
        <v>2643</v>
      </c>
      <c r="M88" s="6">
        <v>249900</v>
      </c>
      <c r="N88" s="7">
        <v>0.9</v>
      </c>
      <c r="O88" s="6">
        <f t="shared" si="2"/>
        <v>24990</v>
      </c>
      <c r="P88" s="5" t="s">
        <v>504</v>
      </c>
    </row>
    <row r="89" spans="1:16" x14ac:dyDescent="0.35">
      <c r="A89" s="5" t="str">
        <f t="shared" si="3"/>
        <v>2020 ALL D90</v>
      </c>
      <c r="B89" s="8">
        <f>'ALL 2024 H2 D80'!$B$2</f>
        <v>46114</v>
      </c>
      <c r="C89" s="8">
        <f>'ALL 2024 H2 D80'!$C$2</f>
        <v>46120</v>
      </c>
      <c r="D89" s="5">
        <v>3208</v>
      </c>
      <c r="E89" s="5">
        <v>320</v>
      </c>
      <c r="F89" s="5">
        <v>1</v>
      </c>
      <c r="G89" s="5">
        <v>5</v>
      </c>
      <c r="H89" s="5">
        <v>81626</v>
      </c>
      <c r="I89" s="5" t="s">
        <v>16</v>
      </c>
      <c r="J89" s="5">
        <v>26948403</v>
      </c>
      <c r="K89" s="5" t="s">
        <v>2644</v>
      </c>
      <c r="L89" s="5" t="s">
        <v>2645</v>
      </c>
      <c r="M89" s="6">
        <v>229900</v>
      </c>
      <c r="N89" s="7">
        <v>0.9</v>
      </c>
      <c r="O89" s="6">
        <f t="shared" si="2"/>
        <v>22990</v>
      </c>
      <c r="P89" s="5" t="s">
        <v>504</v>
      </c>
    </row>
    <row r="90" spans="1:16" x14ac:dyDescent="0.35">
      <c r="A90" s="5" t="str">
        <f t="shared" si="3"/>
        <v>2020 ALL D90</v>
      </c>
      <c r="B90" s="8">
        <f>'ALL 2024 H2 D80'!$B$2</f>
        <v>46114</v>
      </c>
      <c r="C90" s="8">
        <f>'ALL 2024 H2 D80'!$C$2</f>
        <v>46120</v>
      </c>
      <c r="D90" s="5">
        <v>3208</v>
      </c>
      <c r="E90" s="5">
        <v>320</v>
      </c>
      <c r="F90" s="5">
        <v>1</v>
      </c>
      <c r="G90" s="5">
        <v>5</v>
      </c>
      <c r="H90" s="5">
        <v>81626</v>
      </c>
      <c r="I90" s="5" t="s">
        <v>16</v>
      </c>
      <c r="J90" s="5">
        <v>26948449</v>
      </c>
      <c r="K90" s="5" t="s">
        <v>2646</v>
      </c>
      <c r="L90" s="5" t="s">
        <v>2647</v>
      </c>
      <c r="M90" s="6">
        <v>229900</v>
      </c>
      <c r="N90" s="7">
        <v>0.9</v>
      </c>
      <c r="O90" s="6">
        <f t="shared" si="2"/>
        <v>22990</v>
      </c>
      <c r="P90" s="5" t="s">
        <v>504</v>
      </c>
    </row>
    <row r="91" spans="1:16" x14ac:dyDescent="0.35">
      <c r="A91" s="5" t="str">
        <f t="shared" si="3"/>
        <v>2020 ALL D90</v>
      </c>
      <c r="B91" s="8">
        <f>'ALL 2024 H2 D80'!$B$2</f>
        <v>46114</v>
      </c>
      <c r="C91" s="8">
        <f>'ALL 2024 H2 D80'!$C$2</f>
        <v>46120</v>
      </c>
      <c r="D91" s="5">
        <v>3208</v>
      </c>
      <c r="E91" s="5">
        <v>320</v>
      </c>
      <c r="F91" s="5">
        <v>1</v>
      </c>
      <c r="G91" s="5">
        <v>5</v>
      </c>
      <c r="H91" s="5">
        <v>81626</v>
      </c>
      <c r="I91" s="5" t="s">
        <v>16</v>
      </c>
      <c r="J91" s="5">
        <v>26948538</v>
      </c>
      <c r="K91" s="5" t="s">
        <v>2648</v>
      </c>
      <c r="L91" s="5" t="s">
        <v>2649</v>
      </c>
      <c r="M91" s="6">
        <v>229900</v>
      </c>
      <c r="N91" s="7">
        <v>0.9</v>
      </c>
      <c r="O91" s="6">
        <f t="shared" si="2"/>
        <v>22990</v>
      </c>
      <c r="P91" s="5" t="s">
        <v>504</v>
      </c>
    </row>
    <row r="92" spans="1:16" x14ac:dyDescent="0.35">
      <c r="A92" s="5" t="str">
        <f t="shared" si="3"/>
        <v>2020 ALL D90</v>
      </c>
      <c r="B92" s="8">
        <f>'ALL 2024 H2 D80'!$B$2</f>
        <v>46114</v>
      </c>
      <c r="C92" s="8">
        <f>'ALL 2024 H2 D80'!$C$2</f>
        <v>46120</v>
      </c>
      <c r="D92" s="5">
        <v>3208</v>
      </c>
      <c r="E92" s="5">
        <v>320</v>
      </c>
      <c r="F92" s="5">
        <v>1</v>
      </c>
      <c r="G92" s="5">
        <v>5</v>
      </c>
      <c r="H92" s="5">
        <v>81626</v>
      </c>
      <c r="I92" s="5" t="s">
        <v>16</v>
      </c>
      <c r="J92" s="5">
        <v>26948547</v>
      </c>
      <c r="K92" s="5" t="s">
        <v>2648</v>
      </c>
      <c r="L92" s="5" t="s">
        <v>2650</v>
      </c>
      <c r="M92" s="6">
        <v>229900</v>
      </c>
      <c r="N92" s="7">
        <v>0.9</v>
      </c>
      <c r="O92" s="6">
        <f t="shared" si="2"/>
        <v>22990</v>
      </c>
      <c r="P92" s="5" t="s">
        <v>504</v>
      </c>
    </row>
    <row r="93" spans="1:16" x14ac:dyDescent="0.35">
      <c r="A93" s="5" t="str">
        <f t="shared" si="3"/>
        <v>2020 ALL D90</v>
      </c>
      <c r="B93" s="8">
        <f>'ALL 2024 H2 D80'!$B$2</f>
        <v>46114</v>
      </c>
      <c r="C93" s="8">
        <f>'ALL 2024 H2 D80'!$C$2</f>
        <v>46120</v>
      </c>
      <c r="D93" s="5">
        <v>3208</v>
      </c>
      <c r="E93" s="5">
        <v>320</v>
      </c>
      <c r="F93" s="5">
        <v>1</v>
      </c>
      <c r="G93" s="5">
        <v>5</v>
      </c>
      <c r="H93" s="5">
        <v>81626</v>
      </c>
      <c r="I93" s="5" t="s">
        <v>16</v>
      </c>
      <c r="J93" s="5">
        <v>26948556</v>
      </c>
      <c r="K93" s="5" t="s">
        <v>2648</v>
      </c>
      <c r="L93" s="5" t="s">
        <v>3640</v>
      </c>
      <c r="M93" s="6">
        <v>229900</v>
      </c>
      <c r="N93" s="7">
        <v>0.9</v>
      </c>
      <c r="O93" s="6">
        <f t="shared" si="2"/>
        <v>22990</v>
      </c>
      <c r="P93" s="5" t="s">
        <v>504</v>
      </c>
    </row>
    <row r="94" spans="1:16" x14ac:dyDescent="0.35">
      <c r="A94" s="5" t="str">
        <f t="shared" si="3"/>
        <v>2020 ALL D90</v>
      </c>
      <c r="B94" s="8">
        <f>'ALL 2024 H2 D80'!$B$2</f>
        <v>46114</v>
      </c>
      <c r="C94" s="8">
        <f>'ALL 2024 H2 D80'!$C$2</f>
        <v>46120</v>
      </c>
      <c r="D94" s="5">
        <v>3208</v>
      </c>
      <c r="E94" s="5">
        <v>320</v>
      </c>
      <c r="F94" s="5">
        <v>1</v>
      </c>
      <c r="G94" s="5">
        <v>5</v>
      </c>
      <c r="H94" s="5">
        <v>81626</v>
      </c>
      <c r="I94" s="5" t="s">
        <v>16</v>
      </c>
      <c r="J94" s="5">
        <v>27024604</v>
      </c>
      <c r="K94" s="5" t="s">
        <v>2651</v>
      </c>
      <c r="L94" s="5" t="s">
        <v>2652</v>
      </c>
      <c r="M94" s="6">
        <v>249900</v>
      </c>
      <c r="N94" s="7">
        <v>0.9</v>
      </c>
      <c r="O94" s="6">
        <f t="shared" si="2"/>
        <v>24990</v>
      </c>
      <c r="P94" s="5" t="s">
        <v>504</v>
      </c>
    </row>
    <row r="95" spans="1:16" x14ac:dyDescent="0.35">
      <c r="A95" s="5" t="str">
        <f t="shared" si="3"/>
        <v>2020 ALL D90</v>
      </c>
      <c r="B95" s="8">
        <f>'ALL 2024 H2 D80'!$B$2</f>
        <v>46114</v>
      </c>
      <c r="C95" s="8">
        <f>'ALL 2024 H2 D80'!$C$2</f>
        <v>46120</v>
      </c>
      <c r="D95" s="5">
        <v>3208</v>
      </c>
      <c r="E95" s="5">
        <v>320</v>
      </c>
      <c r="F95" s="5">
        <v>1</v>
      </c>
      <c r="G95" s="5">
        <v>5</v>
      </c>
      <c r="H95" s="5">
        <v>81626</v>
      </c>
      <c r="I95" s="5" t="s">
        <v>16</v>
      </c>
      <c r="J95" s="5">
        <v>27024775</v>
      </c>
      <c r="K95" s="5" t="s">
        <v>2653</v>
      </c>
      <c r="L95" s="5" t="s">
        <v>2654</v>
      </c>
      <c r="M95" s="6">
        <v>229900</v>
      </c>
      <c r="N95" s="7">
        <v>0.9</v>
      </c>
      <c r="O95" s="6">
        <f t="shared" si="2"/>
        <v>22990</v>
      </c>
      <c r="P95" s="5" t="s">
        <v>504</v>
      </c>
    </row>
    <row r="96" spans="1:16" x14ac:dyDescent="0.35">
      <c r="A96" s="5" t="str">
        <f t="shared" si="3"/>
        <v>2020 ALL D90</v>
      </c>
      <c r="B96" s="8">
        <f>'ALL 2024 H2 D80'!$B$2</f>
        <v>46114</v>
      </c>
      <c r="C96" s="8">
        <f>'ALL 2024 H2 D80'!$C$2</f>
        <v>46120</v>
      </c>
      <c r="D96" s="5">
        <v>3208</v>
      </c>
      <c r="E96" s="5">
        <v>320</v>
      </c>
      <c r="F96" s="5">
        <v>1</v>
      </c>
      <c r="G96" s="5">
        <v>5</v>
      </c>
      <c r="H96" s="5">
        <v>81626</v>
      </c>
      <c r="I96" s="5" t="s">
        <v>16</v>
      </c>
      <c r="J96" s="5">
        <v>27061583</v>
      </c>
      <c r="K96" s="5" t="s">
        <v>2655</v>
      </c>
      <c r="L96" s="5" t="s">
        <v>2656</v>
      </c>
      <c r="M96" s="6">
        <v>229900</v>
      </c>
      <c r="N96" s="7">
        <v>0.9</v>
      </c>
      <c r="O96" s="6">
        <f t="shared" si="2"/>
        <v>22990</v>
      </c>
      <c r="P96" s="5" t="s">
        <v>504</v>
      </c>
    </row>
    <row r="97" spans="1:16" x14ac:dyDescent="0.35">
      <c r="A97" s="5" t="str">
        <f t="shared" si="3"/>
        <v>2020 ALL D90</v>
      </c>
      <c r="B97" s="8">
        <f>'ALL 2024 H2 D80'!$B$2</f>
        <v>46114</v>
      </c>
      <c r="C97" s="8">
        <f>'ALL 2024 H2 D80'!$C$2</f>
        <v>46120</v>
      </c>
      <c r="D97" s="5">
        <v>3208</v>
      </c>
      <c r="E97" s="5">
        <v>320</v>
      </c>
      <c r="F97" s="5">
        <v>1</v>
      </c>
      <c r="G97" s="5">
        <v>5</v>
      </c>
      <c r="H97" s="5">
        <v>81626</v>
      </c>
      <c r="I97" s="5" t="s">
        <v>16</v>
      </c>
      <c r="J97" s="5">
        <v>27077487</v>
      </c>
      <c r="K97" s="5" t="s">
        <v>2657</v>
      </c>
      <c r="L97" s="5" t="s">
        <v>2658</v>
      </c>
      <c r="M97" s="6">
        <v>249900</v>
      </c>
      <c r="N97" s="7">
        <v>0.9</v>
      </c>
      <c r="O97" s="6">
        <f t="shared" si="2"/>
        <v>24990</v>
      </c>
      <c r="P97" s="5" t="s">
        <v>504</v>
      </c>
    </row>
    <row r="98" spans="1:16" x14ac:dyDescent="0.35">
      <c r="A98" s="5" t="str">
        <f t="shared" si="3"/>
        <v>2020 ALL D90</v>
      </c>
      <c r="B98" s="8">
        <f>'ALL 2024 H2 D80'!$B$2</f>
        <v>46114</v>
      </c>
      <c r="C98" s="8">
        <f>'ALL 2024 H2 D80'!$C$2</f>
        <v>46120</v>
      </c>
      <c r="D98" s="5">
        <v>3208</v>
      </c>
      <c r="E98" s="5">
        <v>320</v>
      </c>
      <c r="F98" s="5">
        <v>1</v>
      </c>
      <c r="G98" s="5">
        <v>6</v>
      </c>
      <c r="H98" s="5">
        <v>81736</v>
      </c>
      <c r="I98" s="5" t="s">
        <v>16</v>
      </c>
      <c r="J98" s="5">
        <v>26315391</v>
      </c>
      <c r="K98" s="5" t="s">
        <v>2659</v>
      </c>
      <c r="L98" s="5" t="s">
        <v>2660</v>
      </c>
      <c r="M98" s="6">
        <v>219900</v>
      </c>
      <c r="N98" s="7">
        <v>0.9</v>
      </c>
      <c r="O98" s="6">
        <f t="shared" si="2"/>
        <v>21990</v>
      </c>
      <c r="P98" s="5" t="s">
        <v>504</v>
      </c>
    </row>
    <row r="99" spans="1:16" x14ac:dyDescent="0.35">
      <c r="A99" s="5" t="str">
        <f t="shared" si="3"/>
        <v>2020 ALL D90</v>
      </c>
      <c r="B99" s="8">
        <f>'ALL 2024 H2 D80'!$B$2</f>
        <v>46114</v>
      </c>
      <c r="C99" s="8">
        <f>'ALL 2024 H2 D80'!$C$2</f>
        <v>46120</v>
      </c>
      <c r="D99" s="5">
        <v>3208</v>
      </c>
      <c r="E99" s="5">
        <v>320</v>
      </c>
      <c r="F99" s="5">
        <v>1</v>
      </c>
      <c r="G99" s="5">
        <v>6</v>
      </c>
      <c r="H99" s="5">
        <v>81736</v>
      </c>
      <c r="I99" s="5" t="s">
        <v>16</v>
      </c>
      <c r="J99" s="5">
        <v>26688917</v>
      </c>
      <c r="K99" s="5" t="s">
        <v>2410</v>
      </c>
      <c r="L99" s="5" t="s">
        <v>2661</v>
      </c>
      <c r="M99" s="6">
        <v>169900</v>
      </c>
      <c r="N99" s="7">
        <v>0.9</v>
      </c>
      <c r="O99" s="6">
        <f t="shared" si="2"/>
        <v>16990</v>
      </c>
      <c r="P99" s="5" t="s">
        <v>504</v>
      </c>
    </row>
  </sheetData>
  <conditionalFormatting sqref="J1:J1048576">
    <cfRule type="duplicateValues" dxfId="3" priority="1"/>
    <cfRule type="duplicateValues" dxfId="2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/>
  <dimension ref="A1:P88"/>
  <sheetViews>
    <sheetView zoomScaleNormal="100" workbookViewId="0">
      <pane ySplit="1" topLeftCell="A2" activePane="bottomLeft" state="frozen"/>
      <selection activeCell="C11" sqref="C11"/>
      <selection pane="bottomLeft" activeCell="B2" sqref="B2"/>
    </sheetView>
  </sheetViews>
  <sheetFormatPr defaultColWidth="8.7265625" defaultRowHeight="14.5" x14ac:dyDescent="0.35"/>
  <cols>
    <col min="1" max="1" width="32" style="1" bestFit="1" customWidth="1"/>
    <col min="2" max="2" width="16.1796875" style="4" bestFit="1" customWidth="1"/>
    <col min="3" max="3" width="13.26953125" style="4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6.453125" style="1" bestFit="1" customWidth="1"/>
    <col min="10" max="10" width="11" style="1" customWidth="1"/>
    <col min="11" max="11" width="14.1796875" style="1" bestFit="1" customWidth="1"/>
    <col min="12" max="12" width="64.54296875" style="1" customWidth="1"/>
    <col min="13" max="13" width="16" style="2" bestFit="1" customWidth="1"/>
    <col min="14" max="14" width="12.453125" style="3" bestFit="1" customWidth="1"/>
    <col min="15" max="15" width="15" style="2" bestFit="1" customWidth="1"/>
    <col min="16" max="16" width="19.81640625" style="1" bestFit="1" customWidth="1"/>
    <col min="17" max="16384" width="8.7265625" style="1"/>
  </cols>
  <sheetData>
    <row r="1" spans="1:16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9" t="s">
        <v>4</v>
      </c>
      <c r="M1" s="10" t="s">
        <v>3</v>
      </c>
      <c r="N1" s="11" t="s">
        <v>2</v>
      </c>
      <c r="O1" s="10" t="s">
        <v>1</v>
      </c>
      <c r="P1" s="9" t="s">
        <v>0</v>
      </c>
    </row>
    <row r="2" spans="1:16" x14ac:dyDescent="0.35">
      <c r="A2" s="5" t="s">
        <v>3317</v>
      </c>
      <c r="B2" s="8">
        <f>'ALL 2024 H2 D80'!$B$2</f>
        <v>46114</v>
      </c>
      <c r="C2" s="8">
        <f>'ALL 2024 H2 D80'!$C$2</f>
        <v>46120</v>
      </c>
      <c r="D2" s="5">
        <v>3208</v>
      </c>
      <c r="E2" s="5">
        <v>320</v>
      </c>
      <c r="F2" s="5">
        <v>1</v>
      </c>
      <c r="G2" s="5">
        <v>1</v>
      </c>
      <c r="H2" s="5">
        <v>81044</v>
      </c>
      <c r="I2" s="5" t="s">
        <v>16</v>
      </c>
      <c r="J2" s="5">
        <v>20689892</v>
      </c>
      <c r="K2" s="5" t="s">
        <v>2438</v>
      </c>
      <c r="L2" s="5" t="s">
        <v>2439</v>
      </c>
      <c r="M2" s="6">
        <v>159900</v>
      </c>
      <c r="N2" s="7">
        <v>0.95</v>
      </c>
      <c r="O2" s="6">
        <f t="shared" ref="O2:O65" si="0">M2-(M2*N2)</f>
        <v>7995</v>
      </c>
      <c r="P2" s="5" t="s">
        <v>504</v>
      </c>
    </row>
    <row r="3" spans="1:16" x14ac:dyDescent="0.35">
      <c r="A3" s="5" t="s">
        <v>3317</v>
      </c>
      <c r="B3" s="8">
        <f>'ALL 2024 H2 D80'!$B$2</f>
        <v>46114</v>
      </c>
      <c r="C3" s="8">
        <f>'ALL 2024 H2 D80'!$C$2</f>
        <v>46120</v>
      </c>
      <c r="D3" s="5">
        <v>3208</v>
      </c>
      <c r="E3" s="5">
        <v>320</v>
      </c>
      <c r="F3" s="5">
        <v>1</v>
      </c>
      <c r="G3" s="5">
        <v>1</v>
      </c>
      <c r="H3" s="5">
        <v>81044</v>
      </c>
      <c r="I3" s="5" t="s">
        <v>16</v>
      </c>
      <c r="J3" s="5">
        <v>20760090</v>
      </c>
      <c r="K3" s="5" t="s">
        <v>2663</v>
      </c>
      <c r="L3" s="5" t="s">
        <v>2664</v>
      </c>
      <c r="M3" s="6">
        <v>169900</v>
      </c>
      <c r="N3" s="7">
        <v>0.95</v>
      </c>
      <c r="O3" s="6">
        <f t="shared" si="0"/>
        <v>8495</v>
      </c>
      <c r="P3" s="5" t="s">
        <v>504</v>
      </c>
    </row>
    <row r="4" spans="1:16" x14ac:dyDescent="0.35">
      <c r="A4" s="5" t="s">
        <v>3317</v>
      </c>
      <c r="B4" s="8">
        <f>'ALL 2024 H2 D80'!$B$2</f>
        <v>46114</v>
      </c>
      <c r="C4" s="8">
        <f>'ALL 2024 H2 D80'!$C$2</f>
        <v>46120</v>
      </c>
      <c r="D4" s="5">
        <v>3208</v>
      </c>
      <c r="E4" s="5">
        <v>320</v>
      </c>
      <c r="F4" s="5">
        <v>1</v>
      </c>
      <c r="G4" s="5">
        <v>1</v>
      </c>
      <c r="H4" s="5">
        <v>81044</v>
      </c>
      <c r="I4" s="5" t="s">
        <v>16</v>
      </c>
      <c r="J4" s="5">
        <v>20816824</v>
      </c>
      <c r="K4" s="5" t="s">
        <v>2440</v>
      </c>
      <c r="L4" s="5" t="s">
        <v>2441</v>
      </c>
      <c r="M4" s="6">
        <v>159900</v>
      </c>
      <c r="N4" s="7">
        <v>0.95</v>
      </c>
      <c r="O4" s="6">
        <f t="shared" si="0"/>
        <v>7995</v>
      </c>
      <c r="P4" s="5" t="s">
        <v>504</v>
      </c>
    </row>
    <row r="5" spans="1:16" x14ac:dyDescent="0.35">
      <c r="A5" s="5" t="s">
        <v>3317</v>
      </c>
      <c r="B5" s="8">
        <f>'ALL 2024 H2 D80'!$B$2</f>
        <v>46114</v>
      </c>
      <c r="C5" s="8">
        <f>'ALL 2024 H2 D80'!$C$2</f>
        <v>46120</v>
      </c>
      <c r="D5" s="5">
        <v>3208</v>
      </c>
      <c r="E5" s="5">
        <v>320</v>
      </c>
      <c r="F5" s="5">
        <v>1</v>
      </c>
      <c r="G5" s="5">
        <v>1</v>
      </c>
      <c r="H5" s="5">
        <v>81044</v>
      </c>
      <c r="I5" s="5" t="s">
        <v>16</v>
      </c>
      <c r="J5" s="5">
        <v>20824100</v>
      </c>
      <c r="K5" s="5" t="s">
        <v>2665</v>
      </c>
      <c r="L5" s="5" t="s">
        <v>2666</v>
      </c>
      <c r="M5" s="6">
        <v>199900</v>
      </c>
      <c r="N5" s="7">
        <v>0.95</v>
      </c>
      <c r="O5" s="6">
        <f t="shared" si="0"/>
        <v>9995</v>
      </c>
      <c r="P5" s="5" t="s">
        <v>504</v>
      </c>
    </row>
    <row r="6" spans="1:16" x14ac:dyDescent="0.35">
      <c r="A6" s="5" t="s">
        <v>3317</v>
      </c>
      <c r="B6" s="8">
        <f>'ALL 2024 H2 D80'!$B$2</f>
        <v>46114</v>
      </c>
      <c r="C6" s="8">
        <f>'ALL 2024 H2 D80'!$C$2</f>
        <v>46120</v>
      </c>
      <c r="D6" s="5">
        <v>3208</v>
      </c>
      <c r="E6" s="5">
        <v>320</v>
      </c>
      <c r="F6" s="5">
        <v>1</v>
      </c>
      <c r="G6" s="5">
        <v>1</v>
      </c>
      <c r="H6" s="5">
        <v>81044</v>
      </c>
      <c r="I6" s="5" t="s">
        <v>16</v>
      </c>
      <c r="J6" s="5">
        <v>20999646</v>
      </c>
      <c r="K6" s="5" t="s">
        <v>2662</v>
      </c>
      <c r="L6" s="5" t="s">
        <v>2667</v>
      </c>
      <c r="M6" s="6">
        <v>159900</v>
      </c>
      <c r="N6" s="7">
        <v>0.95</v>
      </c>
      <c r="O6" s="6">
        <f t="shared" si="0"/>
        <v>7995</v>
      </c>
      <c r="P6" s="5" t="s">
        <v>504</v>
      </c>
    </row>
    <row r="7" spans="1:16" x14ac:dyDescent="0.35">
      <c r="A7" s="5" t="s">
        <v>3317</v>
      </c>
      <c r="B7" s="8">
        <f>'ALL 2024 H2 D80'!$B$2</f>
        <v>46114</v>
      </c>
      <c r="C7" s="8">
        <f>'ALL 2024 H2 D80'!$C$2</f>
        <v>46120</v>
      </c>
      <c r="D7" s="5">
        <v>3208</v>
      </c>
      <c r="E7" s="5">
        <v>320</v>
      </c>
      <c r="F7" s="5">
        <v>1</v>
      </c>
      <c r="G7" s="5">
        <v>1</v>
      </c>
      <c r="H7" s="5">
        <v>81044</v>
      </c>
      <c r="I7" s="5" t="s">
        <v>16</v>
      </c>
      <c r="J7" s="5">
        <v>21297358</v>
      </c>
      <c r="K7" s="5" t="s">
        <v>2668</v>
      </c>
      <c r="L7" s="5" t="s">
        <v>2669</v>
      </c>
      <c r="M7" s="6">
        <v>169900</v>
      </c>
      <c r="N7" s="7">
        <v>0.95</v>
      </c>
      <c r="O7" s="6">
        <f t="shared" si="0"/>
        <v>8495</v>
      </c>
      <c r="P7" s="5" t="s">
        <v>504</v>
      </c>
    </row>
    <row r="8" spans="1:16" x14ac:dyDescent="0.35">
      <c r="A8" s="5" t="s">
        <v>3317</v>
      </c>
      <c r="B8" s="8">
        <f>'ALL 2024 H2 D80'!$B$2</f>
        <v>46114</v>
      </c>
      <c r="C8" s="8">
        <f>'ALL 2024 H2 D80'!$C$2</f>
        <v>46120</v>
      </c>
      <c r="D8" s="5">
        <v>3208</v>
      </c>
      <c r="E8" s="5">
        <v>320</v>
      </c>
      <c r="F8" s="5">
        <v>1</v>
      </c>
      <c r="G8" s="5">
        <v>1</v>
      </c>
      <c r="H8" s="5">
        <v>81044</v>
      </c>
      <c r="I8" s="5" t="s">
        <v>16</v>
      </c>
      <c r="J8" s="5">
        <v>21468477</v>
      </c>
      <c r="K8" s="5" t="s">
        <v>2670</v>
      </c>
      <c r="L8" s="5" t="s">
        <v>2671</v>
      </c>
      <c r="M8" s="6">
        <v>169900</v>
      </c>
      <c r="N8" s="7">
        <v>0.95</v>
      </c>
      <c r="O8" s="6">
        <f t="shared" si="0"/>
        <v>8495</v>
      </c>
      <c r="P8" s="5" t="s">
        <v>504</v>
      </c>
    </row>
    <row r="9" spans="1:16" x14ac:dyDescent="0.35">
      <c r="A9" s="5" t="s">
        <v>3317</v>
      </c>
      <c r="B9" s="8">
        <f>'ALL 2024 H2 D80'!$B$2</f>
        <v>46114</v>
      </c>
      <c r="C9" s="8">
        <f>'ALL 2024 H2 D80'!$C$2</f>
        <v>46120</v>
      </c>
      <c r="D9" s="5">
        <v>3208</v>
      </c>
      <c r="E9" s="5">
        <v>320</v>
      </c>
      <c r="F9" s="5">
        <v>1</v>
      </c>
      <c r="G9" s="5">
        <v>1</v>
      </c>
      <c r="H9" s="5">
        <v>81044</v>
      </c>
      <c r="I9" s="5" t="s">
        <v>16</v>
      </c>
      <c r="J9" s="5">
        <v>21859536</v>
      </c>
      <c r="K9" s="5" t="s">
        <v>2672</v>
      </c>
      <c r="L9" s="5" t="s">
        <v>2673</v>
      </c>
      <c r="M9" s="6">
        <v>179900</v>
      </c>
      <c r="N9" s="7">
        <v>0.95</v>
      </c>
      <c r="O9" s="6">
        <f t="shared" si="0"/>
        <v>8995</v>
      </c>
      <c r="P9" s="5" t="s">
        <v>504</v>
      </c>
    </row>
    <row r="10" spans="1:16" x14ac:dyDescent="0.35">
      <c r="A10" s="5" t="s">
        <v>3317</v>
      </c>
      <c r="B10" s="8">
        <f>'ALL 2024 H2 D80'!$B$2</f>
        <v>46114</v>
      </c>
      <c r="C10" s="8">
        <f>'ALL 2024 H2 D80'!$C$2</f>
        <v>46120</v>
      </c>
      <c r="D10" s="5">
        <v>3208</v>
      </c>
      <c r="E10" s="5">
        <v>320</v>
      </c>
      <c r="F10" s="5">
        <v>1</v>
      </c>
      <c r="G10" s="5">
        <v>1</v>
      </c>
      <c r="H10" s="5">
        <v>81044</v>
      </c>
      <c r="I10" s="5" t="s">
        <v>16</v>
      </c>
      <c r="J10" s="5">
        <v>22554283</v>
      </c>
      <c r="K10" s="5" t="s">
        <v>2674</v>
      </c>
      <c r="L10" s="5" t="s">
        <v>2675</v>
      </c>
      <c r="M10" s="6">
        <v>179900</v>
      </c>
      <c r="N10" s="7">
        <v>0.95</v>
      </c>
      <c r="O10" s="6">
        <f t="shared" si="0"/>
        <v>8995</v>
      </c>
      <c r="P10" s="5" t="s">
        <v>504</v>
      </c>
    </row>
    <row r="11" spans="1:16" x14ac:dyDescent="0.35">
      <c r="A11" s="5" t="s">
        <v>3317</v>
      </c>
      <c r="B11" s="8">
        <f>'ALL 2024 H2 D80'!$B$2</f>
        <v>46114</v>
      </c>
      <c r="C11" s="8">
        <f>'ALL 2024 H2 D80'!$C$2</f>
        <v>46120</v>
      </c>
      <c r="D11" s="5">
        <v>3208</v>
      </c>
      <c r="E11" s="5">
        <v>320</v>
      </c>
      <c r="F11" s="5">
        <v>1</v>
      </c>
      <c r="G11" s="5">
        <v>1</v>
      </c>
      <c r="H11" s="5">
        <v>81044</v>
      </c>
      <c r="I11" s="5" t="s">
        <v>16</v>
      </c>
      <c r="J11" s="5">
        <v>22554292</v>
      </c>
      <c r="K11" s="5" t="s">
        <v>2674</v>
      </c>
      <c r="L11" s="5" t="s">
        <v>2676</v>
      </c>
      <c r="M11" s="6">
        <v>189900</v>
      </c>
      <c r="N11" s="7">
        <v>0.95</v>
      </c>
      <c r="O11" s="6">
        <f t="shared" si="0"/>
        <v>9495</v>
      </c>
      <c r="P11" s="5" t="s">
        <v>504</v>
      </c>
    </row>
    <row r="12" spans="1:16" x14ac:dyDescent="0.35">
      <c r="A12" s="5" t="s">
        <v>3317</v>
      </c>
      <c r="B12" s="8">
        <f>'ALL 2024 H2 D80'!$B$2</f>
        <v>46114</v>
      </c>
      <c r="C12" s="8">
        <f>'ALL 2024 H2 D80'!$C$2</f>
        <v>46120</v>
      </c>
      <c r="D12" s="5">
        <v>3208</v>
      </c>
      <c r="E12" s="5">
        <v>320</v>
      </c>
      <c r="F12" s="5">
        <v>1</v>
      </c>
      <c r="G12" s="5">
        <v>1</v>
      </c>
      <c r="H12" s="5">
        <v>81044</v>
      </c>
      <c r="I12" s="5" t="s">
        <v>16</v>
      </c>
      <c r="J12" s="5">
        <v>22823885</v>
      </c>
      <c r="K12" s="5" t="s">
        <v>2677</v>
      </c>
      <c r="L12" s="5" t="s">
        <v>2678</v>
      </c>
      <c r="M12" s="6">
        <v>169900</v>
      </c>
      <c r="N12" s="7">
        <v>0.95</v>
      </c>
      <c r="O12" s="6">
        <f t="shared" si="0"/>
        <v>8495</v>
      </c>
      <c r="P12" s="5" t="s">
        <v>504</v>
      </c>
    </row>
    <row r="13" spans="1:16" x14ac:dyDescent="0.35">
      <c r="A13" s="5" t="s">
        <v>3317</v>
      </c>
      <c r="B13" s="8">
        <f>'ALL 2024 H2 D80'!$B$2</f>
        <v>46114</v>
      </c>
      <c r="C13" s="8">
        <f>'ALL 2024 H2 D80'!$C$2</f>
        <v>46120</v>
      </c>
      <c r="D13" s="5">
        <v>3208</v>
      </c>
      <c r="E13" s="5">
        <v>320</v>
      </c>
      <c r="F13" s="5">
        <v>1</v>
      </c>
      <c r="G13" s="5">
        <v>1</v>
      </c>
      <c r="H13" s="5">
        <v>81044</v>
      </c>
      <c r="I13" s="5" t="s">
        <v>16</v>
      </c>
      <c r="J13" s="5">
        <v>23353159</v>
      </c>
      <c r="K13" s="5" t="s">
        <v>2442</v>
      </c>
      <c r="L13" s="5" t="s">
        <v>2443</v>
      </c>
      <c r="M13" s="6">
        <v>179900</v>
      </c>
      <c r="N13" s="7">
        <v>0.95</v>
      </c>
      <c r="O13" s="6">
        <f t="shared" si="0"/>
        <v>8995</v>
      </c>
      <c r="P13" s="5" t="s">
        <v>504</v>
      </c>
    </row>
    <row r="14" spans="1:16" x14ac:dyDescent="0.35">
      <c r="A14" s="5" t="s">
        <v>3317</v>
      </c>
      <c r="B14" s="8">
        <f>'ALL 2024 H2 D80'!$B$2</f>
        <v>46114</v>
      </c>
      <c r="C14" s="8">
        <f>'ALL 2024 H2 D80'!$C$2</f>
        <v>46120</v>
      </c>
      <c r="D14" s="5">
        <v>3208</v>
      </c>
      <c r="E14" s="5">
        <v>320</v>
      </c>
      <c r="F14" s="5">
        <v>1</v>
      </c>
      <c r="G14" s="5">
        <v>1</v>
      </c>
      <c r="H14" s="5">
        <v>81044</v>
      </c>
      <c r="I14" s="5" t="s">
        <v>16</v>
      </c>
      <c r="J14" s="5">
        <v>23353168</v>
      </c>
      <c r="K14" s="5" t="s">
        <v>2442</v>
      </c>
      <c r="L14" s="5" t="s">
        <v>2444</v>
      </c>
      <c r="M14" s="6">
        <v>199900</v>
      </c>
      <c r="N14" s="7">
        <v>0.95</v>
      </c>
      <c r="O14" s="6">
        <f t="shared" si="0"/>
        <v>9995</v>
      </c>
      <c r="P14" s="5" t="s">
        <v>504</v>
      </c>
    </row>
    <row r="15" spans="1:16" x14ac:dyDescent="0.35">
      <c r="A15" s="5" t="s">
        <v>3317</v>
      </c>
      <c r="B15" s="8">
        <f>'ALL 2024 H2 D80'!$B$2</f>
        <v>46114</v>
      </c>
      <c r="C15" s="8">
        <f>'ALL 2024 H2 D80'!$C$2</f>
        <v>46120</v>
      </c>
      <c r="D15" s="5">
        <v>3208</v>
      </c>
      <c r="E15" s="5">
        <v>320</v>
      </c>
      <c r="F15" s="5">
        <v>1</v>
      </c>
      <c r="G15" s="5">
        <v>1</v>
      </c>
      <c r="H15" s="5">
        <v>81044</v>
      </c>
      <c r="I15" s="5" t="s">
        <v>16</v>
      </c>
      <c r="J15" s="5">
        <v>23353177</v>
      </c>
      <c r="K15" s="5" t="s">
        <v>2442</v>
      </c>
      <c r="L15" s="5" t="s">
        <v>2445</v>
      </c>
      <c r="M15" s="6">
        <v>199900</v>
      </c>
      <c r="N15" s="7">
        <v>0.95</v>
      </c>
      <c r="O15" s="6">
        <f t="shared" si="0"/>
        <v>9995</v>
      </c>
      <c r="P15" s="5" t="s">
        <v>504</v>
      </c>
    </row>
    <row r="16" spans="1:16" x14ac:dyDescent="0.35">
      <c r="A16" s="5" t="s">
        <v>3317</v>
      </c>
      <c r="B16" s="8">
        <f>'ALL 2024 H2 D80'!$B$2</f>
        <v>46114</v>
      </c>
      <c r="C16" s="8">
        <f>'ALL 2024 H2 D80'!$C$2</f>
        <v>46120</v>
      </c>
      <c r="D16" s="5">
        <v>3208</v>
      </c>
      <c r="E16" s="5">
        <v>320</v>
      </c>
      <c r="F16" s="5">
        <v>1</v>
      </c>
      <c r="G16" s="5">
        <v>1</v>
      </c>
      <c r="H16" s="5">
        <v>81044</v>
      </c>
      <c r="I16" s="5" t="s">
        <v>16</v>
      </c>
      <c r="J16" s="5">
        <v>23353391</v>
      </c>
      <c r="K16" s="5" t="s">
        <v>2446</v>
      </c>
      <c r="L16" s="5" t="s">
        <v>2447</v>
      </c>
      <c r="M16" s="6">
        <v>179900</v>
      </c>
      <c r="N16" s="7">
        <v>0.95</v>
      </c>
      <c r="O16" s="6">
        <f t="shared" si="0"/>
        <v>8995</v>
      </c>
      <c r="P16" s="5" t="s">
        <v>504</v>
      </c>
    </row>
    <row r="17" spans="1:16" x14ac:dyDescent="0.35">
      <c r="A17" s="5" t="s">
        <v>3317</v>
      </c>
      <c r="B17" s="8">
        <f>'ALL 2024 H2 D80'!$B$2</f>
        <v>46114</v>
      </c>
      <c r="C17" s="8">
        <f>'ALL 2024 H2 D80'!$C$2</f>
        <v>46120</v>
      </c>
      <c r="D17" s="5">
        <v>3208</v>
      </c>
      <c r="E17" s="5">
        <v>320</v>
      </c>
      <c r="F17" s="5">
        <v>1</v>
      </c>
      <c r="G17" s="5">
        <v>1</v>
      </c>
      <c r="H17" s="5">
        <v>81044</v>
      </c>
      <c r="I17" s="5" t="s">
        <v>16</v>
      </c>
      <c r="J17" s="5">
        <v>23353408</v>
      </c>
      <c r="K17" s="5" t="s">
        <v>2446</v>
      </c>
      <c r="L17" s="5" t="s">
        <v>2448</v>
      </c>
      <c r="M17" s="6">
        <v>179900</v>
      </c>
      <c r="N17" s="7">
        <v>0.95</v>
      </c>
      <c r="O17" s="6">
        <f t="shared" si="0"/>
        <v>8995</v>
      </c>
      <c r="P17" s="5" t="s">
        <v>504</v>
      </c>
    </row>
    <row r="18" spans="1:16" x14ac:dyDescent="0.35">
      <c r="A18" s="5" t="s">
        <v>3317</v>
      </c>
      <c r="B18" s="8">
        <f>'ALL 2024 H2 D80'!$B$2</f>
        <v>46114</v>
      </c>
      <c r="C18" s="8">
        <f>'ALL 2024 H2 D80'!$C$2</f>
        <v>46120</v>
      </c>
      <c r="D18" s="5">
        <v>3208</v>
      </c>
      <c r="E18" s="5">
        <v>320</v>
      </c>
      <c r="F18" s="5">
        <v>1</v>
      </c>
      <c r="G18" s="5">
        <v>1</v>
      </c>
      <c r="H18" s="5">
        <v>81044</v>
      </c>
      <c r="I18" s="5" t="s">
        <v>16</v>
      </c>
      <c r="J18" s="5">
        <v>23353417</v>
      </c>
      <c r="K18" s="5" t="s">
        <v>2446</v>
      </c>
      <c r="L18" s="5" t="s">
        <v>2449</v>
      </c>
      <c r="M18" s="6">
        <v>179900</v>
      </c>
      <c r="N18" s="7">
        <v>0.95</v>
      </c>
      <c r="O18" s="6">
        <f t="shared" si="0"/>
        <v>8995</v>
      </c>
      <c r="P18" s="5" t="s">
        <v>504</v>
      </c>
    </row>
    <row r="19" spans="1:16" x14ac:dyDescent="0.35">
      <c r="A19" s="5" t="s">
        <v>3317</v>
      </c>
      <c r="B19" s="8">
        <f>'ALL 2024 H2 D80'!$B$2</f>
        <v>46114</v>
      </c>
      <c r="C19" s="8">
        <f>'ALL 2024 H2 D80'!$C$2</f>
        <v>46120</v>
      </c>
      <c r="D19" s="5">
        <v>3208</v>
      </c>
      <c r="E19" s="5">
        <v>320</v>
      </c>
      <c r="F19" s="5">
        <v>1</v>
      </c>
      <c r="G19" s="5">
        <v>1</v>
      </c>
      <c r="H19" s="5">
        <v>81044</v>
      </c>
      <c r="I19" s="5" t="s">
        <v>16</v>
      </c>
      <c r="J19" s="5">
        <v>23353426</v>
      </c>
      <c r="K19" s="5" t="s">
        <v>2446</v>
      </c>
      <c r="L19" s="5" t="s">
        <v>2450</v>
      </c>
      <c r="M19" s="6">
        <v>189900</v>
      </c>
      <c r="N19" s="7">
        <v>0.95</v>
      </c>
      <c r="O19" s="6">
        <f t="shared" si="0"/>
        <v>9495</v>
      </c>
      <c r="P19" s="5" t="s">
        <v>504</v>
      </c>
    </row>
    <row r="20" spans="1:16" x14ac:dyDescent="0.35">
      <c r="A20" s="5" t="s">
        <v>3317</v>
      </c>
      <c r="B20" s="8">
        <f>'ALL 2024 H2 D80'!$B$2</f>
        <v>46114</v>
      </c>
      <c r="C20" s="8">
        <f>'ALL 2024 H2 D80'!$C$2</f>
        <v>46120</v>
      </c>
      <c r="D20" s="5">
        <v>3208</v>
      </c>
      <c r="E20" s="5">
        <v>320</v>
      </c>
      <c r="F20" s="5">
        <v>1</v>
      </c>
      <c r="G20" s="5">
        <v>1</v>
      </c>
      <c r="H20" s="5">
        <v>81044</v>
      </c>
      <c r="I20" s="5" t="s">
        <v>16</v>
      </c>
      <c r="J20" s="5">
        <v>23436999</v>
      </c>
      <c r="K20" s="5" t="s">
        <v>2451</v>
      </c>
      <c r="L20" s="5" t="s">
        <v>2452</v>
      </c>
      <c r="M20" s="6">
        <v>179900</v>
      </c>
      <c r="N20" s="7">
        <v>0.95</v>
      </c>
      <c r="O20" s="6">
        <f t="shared" si="0"/>
        <v>8995</v>
      </c>
      <c r="P20" s="5" t="s">
        <v>504</v>
      </c>
    </row>
    <row r="21" spans="1:16" x14ac:dyDescent="0.35">
      <c r="A21" s="5" t="s">
        <v>3317</v>
      </c>
      <c r="B21" s="8">
        <f>'ALL 2024 H2 D80'!$B$2</f>
        <v>46114</v>
      </c>
      <c r="C21" s="8">
        <f>'ALL 2024 H2 D80'!$C$2</f>
        <v>46120</v>
      </c>
      <c r="D21" s="5">
        <v>3208</v>
      </c>
      <c r="E21" s="5">
        <v>320</v>
      </c>
      <c r="F21" s="5">
        <v>1</v>
      </c>
      <c r="G21" s="5">
        <v>1</v>
      </c>
      <c r="H21" s="5">
        <v>81044</v>
      </c>
      <c r="I21" s="5" t="s">
        <v>16</v>
      </c>
      <c r="J21" s="5">
        <v>23566312</v>
      </c>
      <c r="K21" s="5" t="s">
        <v>2453</v>
      </c>
      <c r="L21" s="5" t="s">
        <v>2454</v>
      </c>
      <c r="M21" s="6">
        <v>179900</v>
      </c>
      <c r="N21" s="7">
        <v>0.95</v>
      </c>
      <c r="O21" s="6">
        <f t="shared" si="0"/>
        <v>8995</v>
      </c>
      <c r="P21" s="5" t="s">
        <v>504</v>
      </c>
    </row>
    <row r="22" spans="1:16" x14ac:dyDescent="0.35">
      <c r="A22" s="5" t="s">
        <v>3317</v>
      </c>
      <c r="B22" s="8">
        <f>'ALL 2024 H2 D80'!$B$2</f>
        <v>46114</v>
      </c>
      <c r="C22" s="8">
        <f>'ALL 2024 H2 D80'!$C$2</f>
        <v>46120</v>
      </c>
      <c r="D22" s="5">
        <v>3208</v>
      </c>
      <c r="E22" s="5">
        <v>320</v>
      </c>
      <c r="F22" s="5">
        <v>1</v>
      </c>
      <c r="G22" s="5">
        <v>1</v>
      </c>
      <c r="H22" s="5">
        <v>81044</v>
      </c>
      <c r="I22" s="5" t="s">
        <v>16</v>
      </c>
      <c r="J22" s="5">
        <v>23673358</v>
      </c>
      <c r="K22" s="5" t="s">
        <v>2455</v>
      </c>
      <c r="L22" s="5" t="s">
        <v>2456</v>
      </c>
      <c r="M22" s="6">
        <v>179900</v>
      </c>
      <c r="N22" s="7">
        <v>0.95</v>
      </c>
      <c r="O22" s="6">
        <f t="shared" si="0"/>
        <v>8995</v>
      </c>
      <c r="P22" s="5" t="s">
        <v>504</v>
      </c>
    </row>
    <row r="23" spans="1:16" x14ac:dyDescent="0.35">
      <c r="A23" s="5" t="s">
        <v>3317</v>
      </c>
      <c r="B23" s="8">
        <f>'ALL 2024 H2 D80'!$B$2</f>
        <v>46114</v>
      </c>
      <c r="C23" s="8">
        <f>'ALL 2024 H2 D80'!$C$2</f>
        <v>46120</v>
      </c>
      <c r="D23" s="5">
        <v>3208</v>
      </c>
      <c r="E23" s="5">
        <v>320</v>
      </c>
      <c r="F23" s="5">
        <v>1</v>
      </c>
      <c r="G23" s="5">
        <v>1</v>
      </c>
      <c r="H23" s="5">
        <v>81044</v>
      </c>
      <c r="I23" s="5" t="s">
        <v>16</v>
      </c>
      <c r="J23" s="5">
        <v>24707506</v>
      </c>
      <c r="K23" s="5" t="s">
        <v>2457</v>
      </c>
      <c r="L23" s="5" t="s">
        <v>2458</v>
      </c>
      <c r="M23" s="6">
        <v>179900</v>
      </c>
      <c r="N23" s="7">
        <v>0.95</v>
      </c>
      <c r="O23" s="6">
        <f t="shared" si="0"/>
        <v>8995</v>
      </c>
      <c r="P23" s="5" t="s">
        <v>504</v>
      </c>
    </row>
    <row r="24" spans="1:16" x14ac:dyDescent="0.35">
      <c r="A24" s="5" t="s">
        <v>3317</v>
      </c>
      <c r="B24" s="8">
        <f>'ALL 2024 H2 D80'!$B$2</f>
        <v>46114</v>
      </c>
      <c r="C24" s="8">
        <f>'ALL 2024 H2 D80'!$C$2</f>
        <v>46120</v>
      </c>
      <c r="D24" s="5">
        <v>3208</v>
      </c>
      <c r="E24" s="5">
        <v>320</v>
      </c>
      <c r="F24" s="5">
        <v>1</v>
      </c>
      <c r="G24" s="5">
        <v>1</v>
      </c>
      <c r="H24" s="5">
        <v>81044</v>
      </c>
      <c r="I24" s="5" t="s">
        <v>16</v>
      </c>
      <c r="J24" s="5">
        <v>24898757</v>
      </c>
      <c r="K24" s="5" t="s">
        <v>2459</v>
      </c>
      <c r="L24" s="5" t="s">
        <v>2460</v>
      </c>
      <c r="M24" s="6">
        <v>189900</v>
      </c>
      <c r="N24" s="7">
        <v>0.95</v>
      </c>
      <c r="O24" s="6">
        <f t="shared" si="0"/>
        <v>9495</v>
      </c>
      <c r="P24" s="5" t="s">
        <v>504</v>
      </c>
    </row>
    <row r="25" spans="1:16" x14ac:dyDescent="0.35">
      <c r="A25" s="5" t="s">
        <v>3317</v>
      </c>
      <c r="B25" s="8">
        <f>'ALL 2024 H2 D80'!$B$2</f>
        <v>46114</v>
      </c>
      <c r="C25" s="8">
        <f>'ALL 2024 H2 D80'!$C$2</f>
        <v>46120</v>
      </c>
      <c r="D25" s="5">
        <v>3208</v>
      </c>
      <c r="E25" s="5">
        <v>320</v>
      </c>
      <c r="F25" s="5">
        <v>1</v>
      </c>
      <c r="G25" s="5">
        <v>1</v>
      </c>
      <c r="H25" s="5">
        <v>81044</v>
      </c>
      <c r="I25" s="5" t="s">
        <v>16</v>
      </c>
      <c r="J25" s="5">
        <v>25800466</v>
      </c>
      <c r="K25" s="5" t="s">
        <v>2461</v>
      </c>
      <c r="L25" s="5" t="s">
        <v>2462</v>
      </c>
      <c r="M25" s="6">
        <v>189900</v>
      </c>
      <c r="N25" s="7">
        <v>0.95</v>
      </c>
      <c r="O25" s="6">
        <f t="shared" si="0"/>
        <v>9495</v>
      </c>
      <c r="P25" s="5" t="s">
        <v>504</v>
      </c>
    </row>
    <row r="26" spans="1:16" x14ac:dyDescent="0.35">
      <c r="A26" s="5" t="s">
        <v>3317</v>
      </c>
      <c r="B26" s="8">
        <f>'ALL 2024 H2 D80'!$B$2</f>
        <v>46114</v>
      </c>
      <c r="C26" s="8">
        <f>'ALL 2024 H2 D80'!$C$2</f>
        <v>46120</v>
      </c>
      <c r="D26" s="5">
        <v>3208</v>
      </c>
      <c r="E26" s="5">
        <v>320</v>
      </c>
      <c r="F26" s="5">
        <v>1</v>
      </c>
      <c r="G26" s="5">
        <v>1</v>
      </c>
      <c r="H26" s="5">
        <v>5000</v>
      </c>
      <c r="I26" s="5" t="s">
        <v>16</v>
      </c>
      <c r="J26" s="5">
        <v>19985789</v>
      </c>
      <c r="K26" s="5" t="s">
        <v>2490</v>
      </c>
      <c r="L26" s="5" t="s">
        <v>2491</v>
      </c>
      <c r="M26" s="6">
        <v>189900</v>
      </c>
      <c r="N26" s="7">
        <v>0.95</v>
      </c>
      <c r="O26" s="6">
        <f t="shared" si="0"/>
        <v>9495</v>
      </c>
      <c r="P26" s="5" t="s">
        <v>504</v>
      </c>
    </row>
    <row r="27" spans="1:16" x14ac:dyDescent="0.35">
      <c r="A27" s="5" t="s">
        <v>3317</v>
      </c>
      <c r="B27" s="8">
        <f>'ALL 2024 H2 D80'!$B$2</f>
        <v>46114</v>
      </c>
      <c r="C27" s="8">
        <f>'ALL 2024 H2 D80'!$C$2</f>
        <v>46120</v>
      </c>
      <c r="D27" s="5">
        <v>3208</v>
      </c>
      <c r="E27" s="5">
        <v>320</v>
      </c>
      <c r="F27" s="5">
        <v>1</v>
      </c>
      <c r="G27" s="5">
        <v>1</v>
      </c>
      <c r="H27" s="5">
        <v>81495</v>
      </c>
      <c r="I27" s="5" t="s">
        <v>16</v>
      </c>
      <c r="J27" s="5">
        <v>17182088</v>
      </c>
      <c r="K27" s="5" t="s">
        <v>3643</v>
      </c>
      <c r="L27" s="5" t="s">
        <v>3644</v>
      </c>
      <c r="M27" s="6">
        <v>179900</v>
      </c>
      <c r="N27" s="7">
        <v>0.95</v>
      </c>
      <c r="O27" s="6">
        <f t="shared" si="0"/>
        <v>8995</v>
      </c>
      <c r="P27" s="5" t="s">
        <v>504</v>
      </c>
    </row>
    <row r="28" spans="1:16" x14ac:dyDescent="0.35">
      <c r="A28" s="5" t="s">
        <v>3317</v>
      </c>
      <c r="B28" s="8">
        <f>'ALL 2024 H2 D80'!$B$2</f>
        <v>46114</v>
      </c>
      <c r="C28" s="8">
        <f>'ALL 2024 H2 D80'!$C$2</f>
        <v>46120</v>
      </c>
      <c r="D28" s="5">
        <v>3208</v>
      </c>
      <c r="E28" s="5">
        <v>320</v>
      </c>
      <c r="F28" s="5">
        <v>1</v>
      </c>
      <c r="G28" s="5">
        <v>1</v>
      </c>
      <c r="H28" s="5">
        <v>81495</v>
      </c>
      <c r="I28" s="5" t="s">
        <v>16</v>
      </c>
      <c r="J28" s="5">
        <v>20701724</v>
      </c>
      <c r="K28" s="5" t="s">
        <v>2679</v>
      </c>
      <c r="L28" s="5" t="s">
        <v>2680</v>
      </c>
      <c r="M28" s="6">
        <v>179900</v>
      </c>
      <c r="N28" s="7">
        <v>0.95</v>
      </c>
      <c r="O28" s="6">
        <f t="shared" si="0"/>
        <v>8995</v>
      </c>
      <c r="P28" s="5" t="s">
        <v>504</v>
      </c>
    </row>
    <row r="29" spans="1:16" x14ac:dyDescent="0.35">
      <c r="A29" s="5" t="s">
        <v>3317</v>
      </c>
      <c r="B29" s="8">
        <f>'ALL 2024 H2 D80'!$B$2</f>
        <v>46114</v>
      </c>
      <c r="C29" s="8">
        <f>'ALL 2024 H2 D80'!$C$2</f>
        <v>46120</v>
      </c>
      <c r="D29" s="5">
        <v>3208</v>
      </c>
      <c r="E29" s="5">
        <v>320</v>
      </c>
      <c r="F29" s="5">
        <v>1</v>
      </c>
      <c r="G29" s="5">
        <v>1</v>
      </c>
      <c r="H29" s="5">
        <v>81495</v>
      </c>
      <c r="I29" s="5" t="s">
        <v>16</v>
      </c>
      <c r="J29" s="5">
        <v>21546034</v>
      </c>
      <c r="K29" s="5" t="s">
        <v>2681</v>
      </c>
      <c r="L29" s="5" t="s">
        <v>2682</v>
      </c>
      <c r="M29" s="6">
        <v>179900</v>
      </c>
      <c r="N29" s="7">
        <v>0.95</v>
      </c>
      <c r="O29" s="6">
        <f t="shared" si="0"/>
        <v>8995</v>
      </c>
      <c r="P29" s="5" t="s">
        <v>504</v>
      </c>
    </row>
    <row r="30" spans="1:16" x14ac:dyDescent="0.35">
      <c r="A30" s="5" t="s">
        <v>3317</v>
      </c>
      <c r="B30" s="8">
        <f>'ALL 2024 H2 D80'!$B$2</f>
        <v>46114</v>
      </c>
      <c r="C30" s="8">
        <f>'ALL 2024 H2 D80'!$C$2</f>
        <v>46120</v>
      </c>
      <c r="D30" s="5">
        <v>3208</v>
      </c>
      <c r="E30" s="5">
        <v>320</v>
      </c>
      <c r="F30" s="5">
        <v>1</v>
      </c>
      <c r="G30" s="5">
        <v>1</v>
      </c>
      <c r="H30" s="5">
        <v>81495</v>
      </c>
      <c r="I30" s="5" t="s">
        <v>16</v>
      </c>
      <c r="J30" s="5">
        <v>22646086</v>
      </c>
      <c r="K30" s="5" t="s">
        <v>2683</v>
      </c>
      <c r="L30" s="5" t="s">
        <v>2684</v>
      </c>
      <c r="M30" s="6">
        <v>179900</v>
      </c>
      <c r="N30" s="7">
        <v>0.95</v>
      </c>
      <c r="O30" s="6">
        <f t="shared" si="0"/>
        <v>8995</v>
      </c>
      <c r="P30" s="5" t="s">
        <v>504</v>
      </c>
    </row>
    <row r="31" spans="1:16" x14ac:dyDescent="0.35">
      <c r="A31" s="5" t="s">
        <v>3317</v>
      </c>
      <c r="B31" s="8">
        <f>'ALL 2024 H2 D80'!$B$2</f>
        <v>46114</v>
      </c>
      <c r="C31" s="8">
        <f>'ALL 2024 H2 D80'!$C$2</f>
        <v>46120</v>
      </c>
      <c r="D31" s="5">
        <v>3208</v>
      </c>
      <c r="E31" s="5">
        <v>320</v>
      </c>
      <c r="F31" s="5">
        <v>1</v>
      </c>
      <c r="G31" s="5">
        <v>1</v>
      </c>
      <c r="H31" s="5">
        <v>81515</v>
      </c>
      <c r="I31" s="5" t="s">
        <v>16</v>
      </c>
      <c r="J31" s="5">
        <v>16619073</v>
      </c>
      <c r="K31" s="5" t="s">
        <v>2501</v>
      </c>
      <c r="L31" s="5" t="s">
        <v>2502</v>
      </c>
      <c r="M31" s="6">
        <v>179900</v>
      </c>
      <c r="N31" s="7">
        <v>0.95</v>
      </c>
      <c r="O31" s="6">
        <f t="shared" si="0"/>
        <v>8995</v>
      </c>
      <c r="P31" s="5" t="s">
        <v>504</v>
      </c>
    </row>
    <row r="32" spans="1:16" x14ac:dyDescent="0.35">
      <c r="A32" s="5" t="s">
        <v>3317</v>
      </c>
      <c r="B32" s="8">
        <f>'ALL 2024 H2 D80'!$B$2</f>
        <v>46114</v>
      </c>
      <c r="C32" s="8">
        <f>'ALL 2024 H2 D80'!$C$2</f>
        <v>46120</v>
      </c>
      <c r="D32" s="5">
        <v>3208</v>
      </c>
      <c r="E32" s="5">
        <v>320</v>
      </c>
      <c r="F32" s="5">
        <v>1</v>
      </c>
      <c r="G32" s="5">
        <v>1</v>
      </c>
      <c r="H32" s="5">
        <v>81515</v>
      </c>
      <c r="I32" s="5" t="s">
        <v>16</v>
      </c>
      <c r="J32" s="5">
        <v>18670183</v>
      </c>
      <c r="K32" s="5" t="s">
        <v>2685</v>
      </c>
      <c r="L32" s="5" t="s">
        <v>2686</v>
      </c>
      <c r="M32" s="6">
        <v>179900</v>
      </c>
      <c r="N32" s="7">
        <v>0.95</v>
      </c>
      <c r="O32" s="6">
        <f t="shared" si="0"/>
        <v>8995</v>
      </c>
      <c r="P32" s="5" t="s">
        <v>504</v>
      </c>
    </row>
    <row r="33" spans="1:16" x14ac:dyDescent="0.35">
      <c r="A33" s="5" t="s">
        <v>3317</v>
      </c>
      <c r="B33" s="8">
        <f>'ALL 2024 H2 D80'!$B$2</f>
        <v>46114</v>
      </c>
      <c r="C33" s="8">
        <f>'ALL 2024 H2 D80'!$C$2</f>
        <v>46120</v>
      </c>
      <c r="D33" s="5">
        <v>3208</v>
      </c>
      <c r="E33" s="5">
        <v>320</v>
      </c>
      <c r="F33" s="5">
        <v>1</v>
      </c>
      <c r="G33" s="5">
        <v>1</v>
      </c>
      <c r="H33" s="5">
        <v>81666</v>
      </c>
      <c r="I33" s="5" t="s">
        <v>16</v>
      </c>
      <c r="J33" s="5">
        <v>24421412</v>
      </c>
      <c r="K33" s="5" t="s">
        <v>2503</v>
      </c>
      <c r="L33" s="5" t="s">
        <v>2504</v>
      </c>
      <c r="M33" s="6">
        <v>179900</v>
      </c>
      <c r="N33" s="7">
        <v>0.95</v>
      </c>
      <c r="O33" s="6">
        <f t="shared" si="0"/>
        <v>8995</v>
      </c>
      <c r="P33" s="5" t="s">
        <v>504</v>
      </c>
    </row>
    <row r="34" spans="1:16" x14ac:dyDescent="0.35">
      <c r="A34" s="5" t="s">
        <v>3317</v>
      </c>
      <c r="B34" s="8">
        <f>'ALL 2024 H2 D80'!$B$2</f>
        <v>46114</v>
      </c>
      <c r="C34" s="8">
        <f>'ALL 2024 H2 D80'!$C$2</f>
        <v>46120</v>
      </c>
      <c r="D34" s="5">
        <v>3208</v>
      </c>
      <c r="E34" s="5">
        <v>320</v>
      </c>
      <c r="F34" s="5">
        <v>1</v>
      </c>
      <c r="G34" s="5">
        <v>2</v>
      </c>
      <c r="H34" s="5">
        <v>81342</v>
      </c>
      <c r="I34" s="5" t="s">
        <v>16</v>
      </c>
      <c r="J34" s="5">
        <v>18296810</v>
      </c>
      <c r="K34" s="5" t="s">
        <v>2687</v>
      </c>
      <c r="L34" s="5" t="s">
        <v>2688</v>
      </c>
      <c r="M34" s="6">
        <v>179900</v>
      </c>
      <c r="N34" s="7">
        <v>0.95</v>
      </c>
      <c r="O34" s="6">
        <f t="shared" si="0"/>
        <v>8995</v>
      </c>
      <c r="P34" s="5" t="s">
        <v>504</v>
      </c>
    </row>
    <row r="35" spans="1:16" x14ac:dyDescent="0.35">
      <c r="A35" s="5" t="s">
        <v>3317</v>
      </c>
      <c r="B35" s="8">
        <f>'ALL 2024 H2 D80'!$B$2</f>
        <v>46114</v>
      </c>
      <c r="C35" s="8">
        <f>'ALL 2024 H2 D80'!$C$2</f>
        <v>46120</v>
      </c>
      <c r="D35" s="5">
        <v>3208</v>
      </c>
      <c r="E35" s="5">
        <v>320</v>
      </c>
      <c r="F35" s="5">
        <v>1</v>
      </c>
      <c r="G35" s="5">
        <v>2</v>
      </c>
      <c r="H35" s="5">
        <v>81456</v>
      </c>
      <c r="I35" s="5" t="s">
        <v>16</v>
      </c>
      <c r="J35" s="5">
        <v>17012207</v>
      </c>
      <c r="K35" s="5" t="s">
        <v>2689</v>
      </c>
      <c r="L35" s="5" t="s">
        <v>2690</v>
      </c>
      <c r="M35" s="6">
        <v>179900</v>
      </c>
      <c r="N35" s="7">
        <v>0.95</v>
      </c>
      <c r="O35" s="6">
        <f t="shared" si="0"/>
        <v>8995</v>
      </c>
      <c r="P35" s="5" t="s">
        <v>504</v>
      </c>
    </row>
    <row r="36" spans="1:16" x14ac:dyDescent="0.35">
      <c r="A36" s="5" t="s">
        <v>3317</v>
      </c>
      <c r="B36" s="8">
        <f>'ALL 2024 H2 D80'!$B$2</f>
        <v>46114</v>
      </c>
      <c r="C36" s="8">
        <f>'ALL 2024 H2 D80'!$C$2</f>
        <v>46120</v>
      </c>
      <c r="D36" s="5">
        <v>3208</v>
      </c>
      <c r="E36" s="5">
        <v>320</v>
      </c>
      <c r="F36" s="5">
        <v>1</v>
      </c>
      <c r="G36" s="5">
        <v>2</v>
      </c>
      <c r="H36" s="5">
        <v>81456</v>
      </c>
      <c r="I36" s="5" t="s">
        <v>16</v>
      </c>
      <c r="J36" s="5">
        <v>17317183</v>
      </c>
      <c r="K36" s="5" t="s">
        <v>2691</v>
      </c>
      <c r="L36" s="5" t="s">
        <v>2692</v>
      </c>
      <c r="M36" s="6">
        <v>179900</v>
      </c>
      <c r="N36" s="7">
        <v>0.95</v>
      </c>
      <c r="O36" s="6">
        <f t="shared" si="0"/>
        <v>8995</v>
      </c>
      <c r="P36" s="5" t="s">
        <v>504</v>
      </c>
    </row>
    <row r="37" spans="1:16" x14ac:dyDescent="0.35">
      <c r="A37" s="5" t="s">
        <v>3317</v>
      </c>
      <c r="B37" s="8">
        <f>'ALL 2024 H2 D80'!$B$2</f>
        <v>46114</v>
      </c>
      <c r="C37" s="8">
        <f>'ALL 2024 H2 D80'!$C$2</f>
        <v>46120</v>
      </c>
      <c r="D37" s="5">
        <v>3208</v>
      </c>
      <c r="E37" s="5">
        <v>320</v>
      </c>
      <c r="F37" s="5">
        <v>1</v>
      </c>
      <c r="G37" s="5">
        <v>2</v>
      </c>
      <c r="H37" s="5">
        <v>81456</v>
      </c>
      <c r="I37" s="5" t="s">
        <v>16</v>
      </c>
      <c r="J37" s="5">
        <v>18295900</v>
      </c>
      <c r="K37" s="5" t="s">
        <v>2505</v>
      </c>
      <c r="L37" s="5" t="s">
        <v>2506</v>
      </c>
      <c r="M37" s="6">
        <v>179900</v>
      </c>
      <c r="N37" s="7">
        <v>0.95</v>
      </c>
      <c r="O37" s="6">
        <f t="shared" si="0"/>
        <v>8995</v>
      </c>
      <c r="P37" s="5" t="s">
        <v>504</v>
      </c>
    </row>
    <row r="38" spans="1:16" x14ac:dyDescent="0.35">
      <c r="A38" s="5" t="s">
        <v>3317</v>
      </c>
      <c r="B38" s="8">
        <f>'ALL 2024 H2 D80'!$B$2</f>
        <v>46114</v>
      </c>
      <c r="C38" s="8">
        <f>'ALL 2024 H2 D80'!$C$2</f>
        <v>46120</v>
      </c>
      <c r="D38" s="5">
        <v>3208</v>
      </c>
      <c r="E38" s="5">
        <v>320</v>
      </c>
      <c r="F38" s="5">
        <v>1</v>
      </c>
      <c r="G38" s="5">
        <v>2</v>
      </c>
      <c r="H38" s="5">
        <v>81456</v>
      </c>
      <c r="I38" s="5" t="s">
        <v>16</v>
      </c>
      <c r="J38" s="5">
        <v>19152660</v>
      </c>
      <c r="K38" s="5" t="s">
        <v>2507</v>
      </c>
      <c r="L38" s="5" t="s">
        <v>2508</v>
      </c>
      <c r="M38" s="6">
        <v>179900</v>
      </c>
      <c r="N38" s="7">
        <v>0.95</v>
      </c>
      <c r="O38" s="6">
        <f t="shared" si="0"/>
        <v>8995</v>
      </c>
      <c r="P38" s="5" t="s">
        <v>504</v>
      </c>
    </row>
    <row r="39" spans="1:16" x14ac:dyDescent="0.35">
      <c r="A39" s="5" t="s">
        <v>3317</v>
      </c>
      <c r="B39" s="8">
        <f>'ALL 2024 H2 D80'!$B$2</f>
        <v>46114</v>
      </c>
      <c r="C39" s="8">
        <f>'ALL 2024 H2 D80'!$C$2</f>
        <v>46120</v>
      </c>
      <c r="D39" s="5">
        <v>3208</v>
      </c>
      <c r="E39" s="5">
        <v>320</v>
      </c>
      <c r="F39" s="5">
        <v>1</v>
      </c>
      <c r="G39" s="5">
        <v>2</v>
      </c>
      <c r="H39" s="5">
        <v>81456</v>
      </c>
      <c r="I39" s="5" t="s">
        <v>16</v>
      </c>
      <c r="J39" s="5">
        <v>19469819</v>
      </c>
      <c r="K39" s="5" t="s">
        <v>2509</v>
      </c>
      <c r="L39" s="5" t="s">
        <v>2510</v>
      </c>
      <c r="M39" s="6">
        <v>179900</v>
      </c>
      <c r="N39" s="7">
        <v>0.95</v>
      </c>
      <c r="O39" s="6">
        <f t="shared" si="0"/>
        <v>8995</v>
      </c>
      <c r="P39" s="5" t="s">
        <v>504</v>
      </c>
    </row>
    <row r="40" spans="1:16" x14ac:dyDescent="0.35">
      <c r="A40" s="5" t="s">
        <v>3317</v>
      </c>
      <c r="B40" s="8">
        <f>'ALL 2024 H2 D80'!$B$2</f>
        <v>46114</v>
      </c>
      <c r="C40" s="8">
        <f>'ALL 2024 H2 D80'!$C$2</f>
        <v>46120</v>
      </c>
      <c r="D40" s="5">
        <v>3208</v>
      </c>
      <c r="E40" s="5">
        <v>320</v>
      </c>
      <c r="F40" s="5">
        <v>1</v>
      </c>
      <c r="G40" s="5">
        <v>2</v>
      </c>
      <c r="H40" s="5">
        <v>81456</v>
      </c>
      <c r="I40" s="5" t="s">
        <v>16</v>
      </c>
      <c r="J40" s="5">
        <v>19490563</v>
      </c>
      <c r="K40" s="5" t="s">
        <v>2511</v>
      </c>
      <c r="L40" s="5" t="s">
        <v>2693</v>
      </c>
      <c r="M40" s="6">
        <v>189900</v>
      </c>
      <c r="N40" s="7">
        <v>0.95</v>
      </c>
      <c r="O40" s="6">
        <f t="shared" si="0"/>
        <v>9495</v>
      </c>
      <c r="P40" s="5" t="s">
        <v>504</v>
      </c>
    </row>
    <row r="41" spans="1:16" x14ac:dyDescent="0.35">
      <c r="A41" s="5" t="s">
        <v>3317</v>
      </c>
      <c r="B41" s="8">
        <f>'ALL 2024 H2 D80'!$B$2</f>
        <v>46114</v>
      </c>
      <c r="C41" s="8">
        <f>'ALL 2024 H2 D80'!$C$2</f>
        <v>46120</v>
      </c>
      <c r="D41" s="5">
        <v>3208</v>
      </c>
      <c r="E41" s="5">
        <v>320</v>
      </c>
      <c r="F41" s="5">
        <v>1</v>
      </c>
      <c r="G41" s="5">
        <v>2</v>
      </c>
      <c r="H41" s="5">
        <v>81456</v>
      </c>
      <c r="I41" s="5" t="s">
        <v>16</v>
      </c>
      <c r="J41" s="5">
        <v>20205949</v>
      </c>
      <c r="K41" s="5" t="s">
        <v>2694</v>
      </c>
      <c r="L41" s="5" t="s">
        <v>2695</v>
      </c>
      <c r="M41" s="6">
        <v>189900</v>
      </c>
      <c r="N41" s="7">
        <v>0.95</v>
      </c>
      <c r="O41" s="6">
        <f t="shared" si="0"/>
        <v>9495</v>
      </c>
      <c r="P41" s="5" t="s">
        <v>504</v>
      </c>
    </row>
    <row r="42" spans="1:16" x14ac:dyDescent="0.35">
      <c r="A42" s="5" t="s">
        <v>3317</v>
      </c>
      <c r="B42" s="8">
        <f>'ALL 2024 H2 D80'!$B$2</f>
        <v>46114</v>
      </c>
      <c r="C42" s="8">
        <f>'ALL 2024 H2 D80'!$C$2</f>
        <v>46120</v>
      </c>
      <c r="D42" s="5">
        <v>3208</v>
      </c>
      <c r="E42" s="5">
        <v>320</v>
      </c>
      <c r="F42" s="5">
        <v>1</v>
      </c>
      <c r="G42" s="5">
        <v>2</v>
      </c>
      <c r="H42" s="5">
        <v>81456</v>
      </c>
      <c r="I42" s="5" t="s">
        <v>16</v>
      </c>
      <c r="J42" s="5">
        <v>20766441</v>
      </c>
      <c r="K42" s="5" t="s">
        <v>2696</v>
      </c>
      <c r="L42" s="5" t="s">
        <v>2697</v>
      </c>
      <c r="M42" s="6">
        <v>189900</v>
      </c>
      <c r="N42" s="7">
        <v>0.95</v>
      </c>
      <c r="O42" s="6">
        <f t="shared" si="0"/>
        <v>9495</v>
      </c>
      <c r="P42" s="5" t="s">
        <v>504</v>
      </c>
    </row>
    <row r="43" spans="1:16" x14ac:dyDescent="0.35">
      <c r="A43" s="5" t="s">
        <v>3317</v>
      </c>
      <c r="B43" s="8">
        <f>'ALL 2024 H2 D80'!$B$2</f>
        <v>46114</v>
      </c>
      <c r="C43" s="8">
        <f>'ALL 2024 H2 D80'!$C$2</f>
        <v>46120</v>
      </c>
      <c r="D43" s="5">
        <v>3208</v>
      </c>
      <c r="E43" s="5">
        <v>320</v>
      </c>
      <c r="F43" s="5">
        <v>1</v>
      </c>
      <c r="G43" s="5">
        <v>2</v>
      </c>
      <c r="H43" s="5">
        <v>81456</v>
      </c>
      <c r="I43" s="5" t="s">
        <v>16</v>
      </c>
      <c r="J43" s="5">
        <v>22048393</v>
      </c>
      <c r="K43" s="5" t="s">
        <v>2698</v>
      </c>
      <c r="L43" s="5" t="s">
        <v>2699</v>
      </c>
      <c r="M43" s="6">
        <v>189900</v>
      </c>
      <c r="N43" s="7">
        <v>0.95</v>
      </c>
      <c r="O43" s="6">
        <f t="shared" si="0"/>
        <v>9495</v>
      </c>
      <c r="P43" s="5" t="s">
        <v>504</v>
      </c>
    </row>
    <row r="44" spans="1:16" x14ac:dyDescent="0.35">
      <c r="A44" s="5" t="s">
        <v>3317</v>
      </c>
      <c r="B44" s="8">
        <f>'ALL 2024 H2 D80'!$B$2</f>
        <v>46114</v>
      </c>
      <c r="C44" s="8">
        <f>'ALL 2024 H2 D80'!$C$2</f>
        <v>46120</v>
      </c>
      <c r="D44" s="5">
        <v>3208</v>
      </c>
      <c r="E44" s="5">
        <v>320</v>
      </c>
      <c r="F44" s="5">
        <v>1</v>
      </c>
      <c r="G44" s="5">
        <v>2</v>
      </c>
      <c r="H44" s="5">
        <v>81456</v>
      </c>
      <c r="I44" s="5" t="s">
        <v>16</v>
      </c>
      <c r="J44" s="5">
        <v>22190194</v>
      </c>
      <c r="K44" s="5" t="s">
        <v>2700</v>
      </c>
      <c r="L44" s="5" t="s">
        <v>2701</v>
      </c>
      <c r="M44" s="6">
        <v>189900</v>
      </c>
      <c r="N44" s="7">
        <v>0.95</v>
      </c>
      <c r="O44" s="6">
        <f t="shared" si="0"/>
        <v>9495</v>
      </c>
      <c r="P44" s="5" t="s">
        <v>504</v>
      </c>
    </row>
    <row r="45" spans="1:16" x14ac:dyDescent="0.35">
      <c r="A45" s="5" t="s">
        <v>3317</v>
      </c>
      <c r="B45" s="8">
        <f>'ALL 2024 H2 D80'!$B$2</f>
        <v>46114</v>
      </c>
      <c r="C45" s="8">
        <f>'ALL 2024 H2 D80'!$C$2</f>
        <v>46120</v>
      </c>
      <c r="D45" s="5">
        <v>3208</v>
      </c>
      <c r="E45" s="5">
        <v>320</v>
      </c>
      <c r="F45" s="5">
        <v>1</v>
      </c>
      <c r="G45" s="5">
        <v>2</v>
      </c>
      <c r="H45" s="5">
        <v>81456</v>
      </c>
      <c r="I45" s="5" t="s">
        <v>16</v>
      </c>
      <c r="J45" s="5">
        <v>22190201</v>
      </c>
      <c r="K45" s="5" t="s">
        <v>2700</v>
      </c>
      <c r="L45" s="5" t="s">
        <v>2702</v>
      </c>
      <c r="M45" s="6">
        <v>199900</v>
      </c>
      <c r="N45" s="7">
        <v>0.95</v>
      </c>
      <c r="O45" s="6">
        <f t="shared" si="0"/>
        <v>9995</v>
      </c>
      <c r="P45" s="5" t="s">
        <v>504</v>
      </c>
    </row>
    <row r="46" spans="1:16" x14ac:dyDescent="0.35">
      <c r="A46" s="5" t="s">
        <v>3317</v>
      </c>
      <c r="B46" s="8">
        <f>'ALL 2024 H2 D80'!$B$2</f>
        <v>46114</v>
      </c>
      <c r="C46" s="8">
        <f>'ALL 2024 H2 D80'!$C$2</f>
        <v>46120</v>
      </c>
      <c r="D46" s="5">
        <v>3208</v>
      </c>
      <c r="E46" s="5">
        <v>320</v>
      </c>
      <c r="F46" s="5">
        <v>1</v>
      </c>
      <c r="G46" s="5">
        <v>2</v>
      </c>
      <c r="H46" s="5">
        <v>81456</v>
      </c>
      <c r="I46" s="5" t="s">
        <v>16</v>
      </c>
      <c r="J46" s="5">
        <v>22646380</v>
      </c>
      <c r="K46" s="5" t="s">
        <v>2703</v>
      </c>
      <c r="L46" s="5" t="s">
        <v>2704</v>
      </c>
      <c r="M46" s="6">
        <v>199900</v>
      </c>
      <c r="N46" s="7">
        <v>0.95</v>
      </c>
      <c r="O46" s="6">
        <f t="shared" si="0"/>
        <v>9995</v>
      </c>
      <c r="P46" s="5" t="s">
        <v>504</v>
      </c>
    </row>
    <row r="47" spans="1:16" x14ac:dyDescent="0.35">
      <c r="A47" s="5" t="s">
        <v>3317</v>
      </c>
      <c r="B47" s="8">
        <f>'ALL 2024 H2 D80'!$B$2</f>
        <v>46114</v>
      </c>
      <c r="C47" s="8">
        <f>'ALL 2024 H2 D80'!$C$2</f>
        <v>46120</v>
      </c>
      <c r="D47" s="5">
        <v>3208</v>
      </c>
      <c r="E47" s="5">
        <v>320</v>
      </c>
      <c r="F47" s="5">
        <v>1</v>
      </c>
      <c r="G47" s="5">
        <v>2</v>
      </c>
      <c r="H47" s="5">
        <v>81456</v>
      </c>
      <c r="I47" s="5" t="s">
        <v>16</v>
      </c>
      <c r="J47" s="5">
        <v>23193171</v>
      </c>
      <c r="K47" s="5" t="s">
        <v>2512</v>
      </c>
      <c r="L47" s="5" t="s">
        <v>2513</v>
      </c>
      <c r="M47" s="6">
        <v>199900</v>
      </c>
      <c r="N47" s="7">
        <v>0.95</v>
      </c>
      <c r="O47" s="6">
        <f t="shared" si="0"/>
        <v>9995</v>
      </c>
      <c r="P47" s="5" t="s">
        <v>504</v>
      </c>
    </row>
    <row r="48" spans="1:16" x14ac:dyDescent="0.35">
      <c r="A48" s="5" t="s">
        <v>3317</v>
      </c>
      <c r="B48" s="8">
        <f>'ALL 2024 H2 D80'!$B$2</f>
        <v>46114</v>
      </c>
      <c r="C48" s="8">
        <f>'ALL 2024 H2 D80'!$C$2</f>
        <v>46120</v>
      </c>
      <c r="D48" s="5">
        <v>3208</v>
      </c>
      <c r="E48" s="5">
        <v>320</v>
      </c>
      <c r="F48" s="5">
        <v>1</v>
      </c>
      <c r="G48" s="5">
        <v>2</v>
      </c>
      <c r="H48" s="5">
        <v>81456</v>
      </c>
      <c r="I48" s="5" t="s">
        <v>16</v>
      </c>
      <c r="J48" s="5">
        <v>23441287</v>
      </c>
      <c r="K48" s="5" t="s">
        <v>2514</v>
      </c>
      <c r="L48" s="5" t="s">
        <v>2515</v>
      </c>
      <c r="M48" s="6">
        <v>199900</v>
      </c>
      <c r="N48" s="7">
        <v>0.95</v>
      </c>
      <c r="O48" s="6">
        <f t="shared" si="0"/>
        <v>9995</v>
      </c>
      <c r="P48" s="5" t="s">
        <v>504</v>
      </c>
    </row>
    <row r="49" spans="1:16" x14ac:dyDescent="0.35">
      <c r="A49" s="5" t="s">
        <v>3317</v>
      </c>
      <c r="B49" s="8">
        <f>'ALL 2024 H2 D80'!$B$2</f>
        <v>46114</v>
      </c>
      <c r="C49" s="8">
        <f>'ALL 2024 H2 D80'!$C$2</f>
        <v>46120</v>
      </c>
      <c r="D49" s="5">
        <v>3208</v>
      </c>
      <c r="E49" s="5">
        <v>320</v>
      </c>
      <c r="F49" s="5">
        <v>1</v>
      </c>
      <c r="G49" s="5">
        <v>2</v>
      </c>
      <c r="H49" s="5">
        <v>81456</v>
      </c>
      <c r="I49" s="5" t="s">
        <v>16</v>
      </c>
      <c r="J49" s="5">
        <v>23444159</v>
      </c>
      <c r="K49" s="5" t="s">
        <v>2516</v>
      </c>
      <c r="L49" s="5" t="s">
        <v>2517</v>
      </c>
      <c r="M49" s="6">
        <v>199900</v>
      </c>
      <c r="N49" s="7">
        <v>0.95</v>
      </c>
      <c r="O49" s="6">
        <f t="shared" si="0"/>
        <v>9995</v>
      </c>
      <c r="P49" s="5" t="s">
        <v>504</v>
      </c>
    </row>
    <row r="50" spans="1:16" x14ac:dyDescent="0.35">
      <c r="A50" s="5" t="s">
        <v>3317</v>
      </c>
      <c r="B50" s="8">
        <f>'ALL 2024 H2 D80'!$B$2</f>
        <v>46114</v>
      </c>
      <c r="C50" s="8">
        <f>'ALL 2024 H2 D80'!$C$2</f>
        <v>46120</v>
      </c>
      <c r="D50" s="5">
        <v>3208</v>
      </c>
      <c r="E50" s="5">
        <v>320</v>
      </c>
      <c r="F50" s="5">
        <v>1</v>
      </c>
      <c r="G50" s="5">
        <v>2</v>
      </c>
      <c r="H50" s="5">
        <v>81456</v>
      </c>
      <c r="I50" s="5" t="s">
        <v>16</v>
      </c>
      <c r="J50" s="5">
        <v>23473967</v>
      </c>
      <c r="K50" s="5" t="s">
        <v>2518</v>
      </c>
      <c r="L50" s="5" t="s">
        <v>2519</v>
      </c>
      <c r="M50" s="6">
        <v>199900</v>
      </c>
      <c r="N50" s="7">
        <v>0.95</v>
      </c>
      <c r="O50" s="6">
        <f t="shared" si="0"/>
        <v>9995</v>
      </c>
      <c r="P50" s="5" t="s">
        <v>504</v>
      </c>
    </row>
    <row r="51" spans="1:16" x14ac:dyDescent="0.35">
      <c r="A51" s="5" t="s">
        <v>3317</v>
      </c>
      <c r="B51" s="8">
        <f>'ALL 2024 H2 D80'!$B$2</f>
        <v>46114</v>
      </c>
      <c r="C51" s="8">
        <f>'ALL 2024 H2 D80'!$C$2</f>
        <v>46120</v>
      </c>
      <c r="D51" s="5">
        <v>3208</v>
      </c>
      <c r="E51" s="5">
        <v>320</v>
      </c>
      <c r="F51" s="5">
        <v>1</v>
      </c>
      <c r="G51" s="5">
        <v>2</v>
      </c>
      <c r="H51" s="5">
        <v>81456</v>
      </c>
      <c r="I51" s="5" t="s">
        <v>16</v>
      </c>
      <c r="J51" s="5">
        <v>23566027</v>
      </c>
      <c r="K51" s="5" t="s">
        <v>2705</v>
      </c>
      <c r="L51" s="5" t="s">
        <v>2706</v>
      </c>
      <c r="M51" s="6">
        <v>199900</v>
      </c>
      <c r="N51" s="7">
        <v>0.95</v>
      </c>
      <c r="O51" s="6">
        <f t="shared" si="0"/>
        <v>9995</v>
      </c>
      <c r="P51" s="5" t="s">
        <v>504</v>
      </c>
    </row>
    <row r="52" spans="1:16" x14ac:dyDescent="0.35">
      <c r="A52" s="5" t="s">
        <v>3317</v>
      </c>
      <c r="B52" s="8">
        <f>'ALL 2024 H2 D80'!$B$2</f>
        <v>46114</v>
      </c>
      <c r="C52" s="8">
        <f>'ALL 2024 H2 D80'!$C$2</f>
        <v>46120</v>
      </c>
      <c r="D52" s="5">
        <v>3208</v>
      </c>
      <c r="E52" s="5">
        <v>320</v>
      </c>
      <c r="F52" s="5">
        <v>1</v>
      </c>
      <c r="G52" s="5">
        <v>2</v>
      </c>
      <c r="H52" s="5">
        <v>81456</v>
      </c>
      <c r="I52" s="5" t="s">
        <v>16</v>
      </c>
      <c r="J52" s="5">
        <v>23666633</v>
      </c>
      <c r="K52" s="5" t="s">
        <v>2520</v>
      </c>
      <c r="L52" s="5" t="s">
        <v>2521</v>
      </c>
      <c r="M52" s="6">
        <v>199900</v>
      </c>
      <c r="N52" s="7">
        <v>0.95</v>
      </c>
      <c r="O52" s="6">
        <f t="shared" si="0"/>
        <v>9995</v>
      </c>
      <c r="P52" s="5" t="s">
        <v>504</v>
      </c>
    </row>
    <row r="53" spans="1:16" x14ac:dyDescent="0.35">
      <c r="A53" s="5" t="s">
        <v>3317</v>
      </c>
      <c r="B53" s="8">
        <f>'ALL 2024 H2 D80'!$B$2</f>
        <v>46114</v>
      </c>
      <c r="C53" s="8">
        <f>'ALL 2024 H2 D80'!$C$2</f>
        <v>46120</v>
      </c>
      <c r="D53" s="5">
        <v>3208</v>
      </c>
      <c r="E53" s="5">
        <v>320</v>
      </c>
      <c r="F53" s="5">
        <v>1</v>
      </c>
      <c r="G53" s="5">
        <v>2</v>
      </c>
      <c r="H53" s="5">
        <v>81456</v>
      </c>
      <c r="I53" s="5" t="s">
        <v>16</v>
      </c>
      <c r="J53" s="5">
        <v>23667801</v>
      </c>
      <c r="K53" s="5" t="s">
        <v>2522</v>
      </c>
      <c r="L53" s="5" t="s">
        <v>2523</v>
      </c>
      <c r="M53" s="6">
        <v>199900</v>
      </c>
      <c r="N53" s="7">
        <v>0.95</v>
      </c>
      <c r="O53" s="6">
        <f t="shared" si="0"/>
        <v>9995</v>
      </c>
      <c r="P53" s="5" t="s">
        <v>504</v>
      </c>
    </row>
    <row r="54" spans="1:16" x14ac:dyDescent="0.35">
      <c r="A54" s="5" t="s">
        <v>3317</v>
      </c>
      <c r="B54" s="8">
        <f>'ALL 2024 H2 D80'!$B$2</f>
        <v>46114</v>
      </c>
      <c r="C54" s="8">
        <f>'ALL 2024 H2 D80'!$C$2</f>
        <v>46120</v>
      </c>
      <c r="D54" s="5">
        <v>3208</v>
      </c>
      <c r="E54" s="5">
        <v>320</v>
      </c>
      <c r="F54" s="5">
        <v>1</v>
      </c>
      <c r="G54" s="5">
        <v>2</v>
      </c>
      <c r="H54" s="5">
        <v>81456</v>
      </c>
      <c r="I54" s="5" t="s">
        <v>16</v>
      </c>
      <c r="J54" s="5">
        <v>23667810</v>
      </c>
      <c r="K54" s="5" t="s">
        <v>2522</v>
      </c>
      <c r="L54" s="5" t="s">
        <v>2524</v>
      </c>
      <c r="M54" s="6">
        <v>199900</v>
      </c>
      <c r="N54" s="7">
        <v>0.95</v>
      </c>
      <c r="O54" s="6">
        <f t="shared" si="0"/>
        <v>9995</v>
      </c>
      <c r="P54" s="5" t="s">
        <v>504</v>
      </c>
    </row>
    <row r="55" spans="1:16" x14ac:dyDescent="0.35">
      <c r="A55" s="5" t="s">
        <v>3317</v>
      </c>
      <c r="B55" s="8">
        <f>'ALL 2024 H2 D80'!$B$2</f>
        <v>46114</v>
      </c>
      <c r="C55" s="8">
        <f>'ALL 2024 H2 D80'!$C$2</f>
        <v>46120</v>
      </c>
      <c r="D55" s="5">
        <v>3208</v>
      </c>
      <c r="E55" s="5">
        <v>320</v>
      </c>
      <c r="F55" s="5">
        <v>1</v>
      </c>
      <c r="G55" s="5">
        <v>2</v>
      </c>
      <c r="H55" s="5">
        <v>81456</v>
      </c>
      <c r="I55" s="5" t="s">
        <v>16</v>
      </c>
      <c r="J55" s="5">
        <v>23667829</v>
      </c>
      <c r="K55" s="5" t="s">
        <v>2522</v>
      </c>
      <c r="L55" s="5" t="s">
        <v>2525</v>
      </c>
      <c r="M55" s="6">
        <v>199900</v>
      </c>
      <c r="N55" s="7">
        <v>0.95</v>
      </c>
      <c r="O55" s="6">
        <f t="shared" si="0"/>
        <v>9995</v>
      </c>
      <c r="P55" s="5" t="s">
        <v>504</v>
      </c>
    </row>
    <row r="56" spans="1:16" x14ac:dyDescent="0.35">
      <c r="A56" s="5" t="s">
        <v>3317</v>
      </c>
      <c r="B56" s="8">
        <f>'ALL 2024 H2 D80'!$B$2</f>
        <v>46114</v>
      </c>
      <c r="C56" s="8">
        <f>'ALL 2024 H2 D80'!$C$2</f>
        <v>46120</v>
      </c>
      <c r="D56" s="5">
        <v>3208</v>
      </c>
      <c r="E56" s="5">
        <v>320</v>
      </c>
      <c r="F56" s="5">
        <v>1</v>
      </c>
      <c r="G56" s="5">
        <v>2</v>
      </c>
      <c r="H56" s="5">
        <v>81456</v>
      </c>
      <c r="I56" s="5" t="s">
        <v>16</v>
      </c>
      <c r="J56" s="5">
        <v>23667838</v>
      </c>
      <c r="K56" s="5" t="s">
        <v>2522</v>
      </c>
      <c r="L56" s="5" t="s">
        <v>2526</v>
      </c>
      <c r="M56" s="6">
        <v>199900</v>
      </c>
      <c r="N56" s="7">
        <v>0.95</v>
      </c>
      <c r="O56" s="6">
        <f t="shared" si="0"/>
        <v>9995</v>
      </c>
      <c r="P56" s="5" t="s">
        <v>504</v>
      </c>
    </row>
    <row r="57" spans="1:16" x14ac:dyDescent="0.35">
      <c r="A57" s="5" t="s">
        <v>3317</v>
      </c>
      <c r="B57" s="8">
        <f>'ALL 2024 H2 D80'!$B$2</f>
        <v>46114</v>
      </c>
      <c r="C57" s="8">
        <f>'ALL 2024 H2 D80'!$C$2</f>
        <v>46120</v>
      </c>
      <c r="D57" s="5">
        <v>3208</v>
      </c>
      <c r="E57" s="5">
        <v>320</v>
      </c>
      <c r="F57" s="5">
        <v>1</v>
      </c>
      <c r="G57" s="5">
        <v>2</v>
      </c>
      <c r="H57" s="5">
        <v>81456</v>
      </c>
      <c r="I57" s="5" t="s">
        <v>16</v>
      </c>
      <c r="J57" s="5">
        <v>23669961</v>
      </c>
      <c r="K57" s="5" t="s">
        <v>2527</v>
      </c>
      <c r="L57" s="5" t="s">
        <v>2528</v>
      </c>
      <c r="M57" s="6">
        <v>199900</v>
      </c>
      <c r="N57" s="7">
        <v>0.95</v>
      </c>
      <c r="O57" s="6">
        <f t="shared" si="0"/>
        <v>9995</v>
      </c>
      <c r="P57" s="5" t="s">
        <v>504</v>
      </c>
    </row>
    <row r="58" spans="1:16" x14ac:dyDescent="0.35">
      <c r="A58" s="5" t="s">
        <v>3317</v>
      </c>
      <c r="B58" s="8">
        <f>'ALL 2024 H2 D80'!$B$2</f>
        <v>46114</v>
      </c>
      <c r="C58" s="8">
        <f>'ALL 2024 H2 D80'!$C$2</f>
        <v>46120</v>
      </c>
      <c r="D58" s="5">
        <v>3208</v>
      </c>
      <c r="E58" s="5">
        <v>320</v>
      </c>
      <c r="F58" s="5">
        <v>1</v>
      </c>
      <c r="G58" s="5">
        <v>2</v>
      </c>
      <c r="H58" s="5">
        <v>81456</v>
      </c>
      <c r="I58" s="5" t="s">
        <v>16</v>
      </c>
      <c r="J58" s="5">
        <v>24199351</v>
      </c>
      <c r="K58" s="5" t="s">
        <v>2529</v>
      </c>
      <c r="L58" s="5" t="s">
        <v>2707</v>
      </c>
      <c r="M58" s="6">
        <v>199900</v>
      </c>
      <c r="N58" s="7">
        <v>0.95</v>
      </c>
      <c r="O58" s="6">
        <f t="shared" si="0"/>
        <v>9995</v>
      </c>
      <c r="P58" s="5" t="s">
        <v>504</v>
      </c>
    </row>
    <row r="59" spans="1:16" x14ac:dyDescent="0.35">
      <c r="A59" s="5" t="s">
        <v>3317</v>
      </c>
      <c r="B59" s="8">
        <f>'ALL 2024 H2 D80'!$B$2</f>
        <v>46114</v>
      </c>
      <c r="C59" s="8">
        <f>'ALL 2024 H2 D80'!$C$2</f>
        <v>46120</v>
      </c>
      <c r="D59" s="5">
        <v>3208</v>
      </c>
      <c r="E59" s="5">
        <v>320</v>
      </c>
      <c r="F59" s="5">
        <v>1</v>
      </c>
      <c r="G59" s="5">
        <v>2</v>
      </c>
      <c r="H59" s="5">
        <v>81456</v>
      </c>
      <c r="I59" s="5" t="s">
        <v>16</v>
      </c>
      <c r="J59" s="5">
        <v>24436728</v>
      </c>
      <c r="K59" s="5" t="s">
        <v>2530</v>
      </c>
      <c r="L59" s="5" t="s">
        <v>2531</v>
      </c>
      <c r="M59" s="6">
        <v>199900</v>
      </c>
      <c r="N59" s="7">
        <v>0.95</v>
      </c>
      <c r="O59" s="6">
        <f t="shared" si="0"/>
        <v>9995</v>
      </c>
      <c r="P59" s="5" t="s">
        <v>504</v>
      </c>
    </row>
    <row r="60" spans="1:16" x14ac:dyDescent="0.35">
      <c r="A60" s="5" t="s">
        <v>3317</v>
      </c>
      <c r="B60" s="8">
        <f>'ALL 2024 H2 D80'!$B$2</f>
        <v>46114</v>
      </c>
      <c r="C60" s="8">
        <f>'ALL 2024 H2 D80'!$C$2</f>
        <v>46120</v>
      </c>
      <c r="D60" s="5">
        <v>3208</v>
      </c>
      <c r="E60" s="5">
        <v>320</v>
      </c>
      <c r="F60" s="5">
        <v>1</v>
      </c>
      <c r="G60" s="5">
        <v>2</v>
      </c>
      <c r="H60" s="5">
        <v>81456</v>
      </c>
      <c r="I60" s="5" t="s">
        <v>16</v>
      </c>
      <c r="J60" s="5">
        <v>24443265</v>
      </c>
      <c r="K60" s="5" t="s">
        <v>2532</v>
      </c>
      <c r="L60" s="5" t="s">
        <v>2533</v>
      </c>
      <c r="M60" s="6">
        <v>199900</v>
      </c>
      <c r="N60" s="7">
        <v>0.95</v>
      </c>
      <c r="O60" s="6">
        <f t="shared" si="0"/>
        <v>9995</v>
      </c>
      <c r="P60" s="5" t="s">
        <v>504</v>
      </c>
    </row>
    <row r="61" spans="1:16" x14ac:dyDescent="0.35">
      <c r="A61" s="5" t="s">
        <v>3317</v>
      </c>
      <c r="B61" s="8">
        <f>'ALL 2024 H2 D80'!$B$2</f>
        <v>46114</v>
      </c>
      <c r="C61" s="8">
        <f>'ALL 2024 H2 D80'!$C$2</f>
        <v>46120</v>
      </c>
      <c r="D61" s="5">
        <v>3208</v>
      </c>
      <c r="E61" s="5">
        <v>320</v>
      </c>
      <c r="F61" s="5">
        <v>1</v>
      </c>
      <c r="G61" s="5">
        <v>2</v>
      </c>
      <c r="H61" s="5">
        <v>81456</v>
      </c>
      <c r="I61" s="5" t="s">
        <v>16</v>
      </c>
      <c r="J61" s="5">
        <v>24891129</v>
      </c>
      <c r="K61" s="5" t="s">
        <v>2534</v>
      </c>
      <c r="L61" s="5" t="s">
        <v>2535</v>
      </c>
      <c r="M61" s="6">
        <v>199900</v>
      </c>
      <c r="N61" s="7">
        <v>0.95</v>
      </c>
      <c r="O61" s="6">
        <f t="shared" si="0"/>
        <v>9995</v>
      </c>
      <c r="P61" s="5" t="s">
        <v>504</v>
      </c>
    </row>
    <row r="62" spans="1:16" x14ac:dyDescent="0.35">
      <c r="A62" s="5" t="s">
        <v>3317</v>
      </c>
      <c r="B62" s="8">
        <f>'ALL 2024 H2 D80'!$B$2</f>
        <v>46114</v>
      </c>
      <c r="C62" s="8">
        <f>'ALL 2024 H2 D80'!$C$2</f>
        <v>46120</v>
      </c>
      <c r="D62" s="5">
        <v>3208</v>
      </c>
      <c r="E62" s="5">
        <v>320</v>
      </c>
      <c r="F62" s="5">
        <v>1</v>
      </c>
      <c r="G62" s="5">
        <v>2</v>
      </c>
      <c r="H62" s="5">
        <v>81456</v>
      </c>
      <c r="I62" s="5" t="s">
        <v>16</v>
      </c>
      <c r="J62" s="5">
        <v>24891138</v>
      </c>
      <c r="K62" s="5" t="s">
        <v>2534</v>
      </c>
      <c r="L62" s="5" t="s">
        <v>2536</v>
      </c>
      <c r="M62" s="6">
        <v>199900</v>
      </c>
      <c r="N62" s="7">
        <v>0.95</v>
      </c>
      <c r="O62" s="6">
        <f t="shared" si="0"/>
        <v>9995</v>
      </c>
      <c r="P62" s="5" t="s">
        <v>504</v>
      </c>
    </row>
    <row r="63" spans="1:16" x14ac:dyDescent="0.35">
      <c r="A63" s="5" t="s">
        <v>3317</v>
      </c>
      <c r="B63" s="8">
        <f>'ALL 2024 H2 D80'!$B$2</f>
        <v>46114</v>
      </c>
      <c r="C63" s="8">
        <f>'ALL 2024 H2 D80'!$C$2</f>
        <v>46120</v>
      </c>
      <c r="D63" s="5">
        <v>3208</v>
      </c>
      <c r="E63" s="5">
        <v>320</v>
      </c>
      <c r="F63" s="5">
        <v>1</v>
      </c>
      <c r="G63" s="5">
        <v>2</v>
      </c>
      <c r="H63" s="5">
        <v>81456</v>
      </c>
      <c r="I63" s="5" t="s">
        <v>16</v>
      </c>
      <c r="J63" s="5">
        <v>24898284</v>
      </c>
      <c r="K63" s="5" t="s">
        <v>2537</v>
      </c>
      <c r="L63" s="5" t="s">
        <v>3645</v>
      </c>
      <c r="M63" s="6">
        <v>199900</v>
      </c>
      <c r="N63" s="7">
        <v>0.95</v>
      </c>
      <c r="O63" s="6">
        <f t="shared" si="0"/>
        <v>9995</v>
      </c>
      <c r="P63" s="5" t="s">
        <v>504</v>
      </c>
    </row>
    <row r="64" spans="1:16" x14ac:dyDescent="0.35">
      <c r="A64" s="5" t="s">
        <v>3317</v>
      </c>
      <c r="B64" s="8">
        <f>'ALL 2024 H2 D80'!$B$2</f>
        <v>46114</v>
      </c>
      <c r="C64" s="8">
        <f>'ALL 2024 H2 D80'!$C$2</f>
        <v>46120</v>
      </c>
      <c r="D64" s="5">
        <v>3208</v>
      </c>
      <c r="E64" s="5">
        <v>320</v>
      </c>
      <c r="F64" s="5">
        <v>1</v>
      </c>
      <c r="G64" s="5">
        <v>2</v>
      </c>
      <c r="H64" s="5">
        <v>81427</v>
      </c>
      <c r="I64" s="5" t="s">
        <v>16</v>
      </c>
      <c r="J64" s="5">
        <v>20814504</v>
      </c>
      <c r="K64" s="5" t="s">
        <v>2708</v>
      </c>
      <c r="L64" s="5" t="s">
        <v>2709</v>
      </c>
      <c r="M64" s="6">
        <v>199900</v>
      </c>
      <c r="N64" s="7">
        <v>0.95</v>
      </c>
      <c r="O64" s="6">
        <f t="shared" si="0"/>
        <v>9995</v>
      </c>
      <c r="P64" s="5" t="s">
        <v>504</v>
      </c>
    </row>
    <row r="65" spans="1:16" x14ac:dyDescent="0.35">
      <c r="A65" s="5" t="s">
        <v>3317</v>
      </c>
      <c r="B65" s="8">
        <f>'ALL 2024 H2 D80'!$B$2</f>
        <v>46114</v>
      </c>
      <c r="C65" s="8">
        <f>'ALL 2024 H2 D80'!$C$2</f>
        <v>46120</v>
      </c>
      <c r="D65" s="5">
        <v>3208</v>
      </c>
      <c r="E65" s="5">
        <v>320</v>
      </c>
      <c r="F65" s="5">
        <v>1</v>
      </c>
      <c r="G65" s="5">
        <v>2</v>
      </c>
      <c r="H65" s="5">
        <v>81427</v>
      </c>
      <c r="I65" s="5" t="s">
        <v>16</v>
      </c>
      <c r="J65" s="5">
        <v>23352801</v>
      </c>
      <c r="K65" s="5" t="s">
        <v>2538</v>
      </c>
      <c r="L65" s="5" t="s">
        <v>2539</v>
      </c>
      <c r="M65" s="6">
        <v>189900</v>
      </c>
      <c r="N65" s="7">
        <v>0.95</v>
      </c>
      <c r="O65" s="6">
        <f t="shared" si="0"/>
        <v>9495</v>
      </c>
      <c r="P65" s="5" t="s">
        <v>504</v>
      </c>
    </row>
    <row r="66" spans="1:16" x14ac:dyDescent="0.35">
      <c r="A66" s="5" t="s">
        <v>3317</v>
      </c>
      <c r="B66" s="8">
        <f>'ALL 2024 H2 D80'!$B$2</f>
        <v>46114</v>
      </c>
      <c r="C66" s="8">
        <f>'ALL 2024 H2 D80'!$C$2</f>
        <v>46120</v>
      </c>
      <c r="D66" s="5">
        <v>3208</v>
      </c>
      <c r="E66" s="5">
        <v>320</v>
      </c>
      <c r="F66" s="5">
        <v>1</v>
      </c>
      <c r="G66" s="5">
        <v>2</v>
      </c>
      <c r="H66" s="5">
        <v>81427</v>
      </c>
      <c r="I66" s="5" t="s">
        <v>16</v>
      </c>
      <c r="J66" s="5">
        <v>24373582</v>
      </c>
      <c r="K66" s="5" t="s">
        <v>2540</v>
      </c>
      <c r="L66" s="5" t="s">
        <v>2541</v>
      </c>
      <c r="M66" s="6">
        <v>189900</v>
      </c>
      <c r="N66" s="7">
        <v>0.95</v>
      </c>
      <c r="O66" s="6">
        <f t="shared" ref="O66:O88" si="1">M66-(M66*N66)</f>
        <v>9495</v>
      </c>
      <c r="P66" s="5" t="s">
        <v>504</v>
      </c>
    </row>
    <row r="67" spans="1:16" x14ac:dyDescent="0.35">
      <c r="A67" s="5" t="s">
        <v>3317</v>
      </c>
      <c r="B67" s="8">
        <f>'ALL 2024 H2 D80'!$B$2</f>
        <v>46114</v>
      </c>
      <c r="C67" s="8">
        <f>'ALL 2024 H2 D80'!$C$2</f>
        <v>46120</v>
      </c>
      <c r="D67" s="5">
        <v>3208</v>
      </c>
      <c r="E67" s="5">
        <v>320</v>
      </c>
      <c r="F67" s="5">
        <v>1</v>
      </c>
      <c r="G67" s="5">
        <v>2</v>
      </c>
      <c r="H67" s="5">
        <v>81666</v>
      </c>
      <c r="I67" s="5" t="s">
        <v>16</v>
      </c>
      <c r="J67" s="5">
        <v>23673545</v>
      </c>
      <c r="K67" s="5" t="s">
        <v>2542</v>
      </c>
      <c r="L67" s="5" t="s">
        <v>2543</v>
      </c>
      <c r="M67" s="6">
        <v>189900</v>
      </c>
      <c r="N67" s="7">
        <v>0.95</v>
      </c>
      <c r="O67" s="6">
        <f t="shared" si="1"/>
        <v>9495</v>
      </c>
      <c r="P67" s="5" t="s">
        <v>504</v>
      </c>
    </row>
    <row r="68" spans="1:16" x14ac:dyDescent="0.35">
      <c r="A68" s="5" t="s">
        <v>3317</v>
      </c>
      <c r="B68" s="8">
        <f>'ALL 2024 H2 D80'!$B$2</f>
        <v>46114</v>
      </c>
      <c r="C68" s="8">
        <f>'ALL 2024 H2 D80'!$C$2</f>
        <v>46120</v>
      </c>
      <c r="D68" s="5">
        <v>3208</v>
      </c>
      <c r="E68" s="5">
        <v>320</v>
      </c>
      <c r="F68" s="5">
        <v>1</v>
      </c>
      <c r="G68" s="5">
        <v>2</v>
      </c>
      <c r="H68" s="5">
        <v>81666</v>
      </c>
      <c r="I68" s="5" t="s">
        <v>16</v>
      </c>
      <c r="J68" s="5">
        <v>24024977</v>
      </c>
      <c r="K68" s="5" t="s">
        <v>2544</v>
      </c>
      <c r="L68" s="5" t="s">
        <v>2545</v>
      </c>
      <c r="M68" s="6">
        <v>189900</v>
      </c>
      <c r="N68" s="7">
        <v>0.95</v>
      </c>
      <c r="O68" s="6">
        <f t="shared" si="1"/>
        <v>9495</v>
      </c>
      <c r="P68" s="5" t="s">
        <v>504</v>
      </c>
    </row>
    <row r="69" spans="1:16" x14ac:dyDescent="0.35">
      <c r="A69" s="5" t="s">
        <v>3317</v>
      </c>
      <c r="B69" s="8">
        <f>'ALL 2024 H2 D80'!$B$2</f>
        <v>46114</v>
      </c>
      <c r="C69" s="8">
        <f>'ALL 2024 H2 D80'!$C$2</f>
        <v>46120</v>
      </c>
      <c r="D69" s="5">
        <v>3208</v>
      </c>
      <c r="E69" s="5">
        <v>320</v>
      </c>
      <c r="F69" s="5">
        <v>1</v>
      </c>
      <c r="G69" s="5">
        <v>2</v>
      </c>
      <c r="H69" s="5">
        <v>81666</v>
      </c>
      <c r="I69" s="5" t="s">
        <v>16</v>
      </c>
      <c r="J69" s="5">
        <v>24024986</v>
      </c>
      <c r="K69" s="5" t="s">
        <v>2544</v>
      </c>
      <c r="L69" s="5" t="s">
        <v>2546</v>
      </c>
      <c r="M69" s="6">
        <v>189900</v>
      </c>
      <c r="N69" s="7">
        <v>0.95</v>
      </c>
      <c r="O69" s="6">
        <f t="shared" si="1"/>
        <v>9495</v>
      </c>
      <c r="P69" s="5" t="s">
        <v>504</v>
      </c>
    </row>
    <row r="70" spans="1:16" x14ac:dyDescent="0.35">
      <c r="A70" s="5" t="s">
        <v>3317</v>
      </c>
      <c r="B70" s="8">
        <f>'ALL 2024 H2 D80'!$B$2</f>
        <v>46114</v>
      </c>
      <c r="C70" s="8">
        <f>'ALL 2024 H2 D80'!$C$2</f>
        <v>46120</v>
      </c>
      <c r="D70" s="5">
        <v>3208</v>
      </c>
      <c r="E70" s="5">
        <v>320</v>
      </c>
      <c r="F70" s="5">
        <v>1</v>
      </c>
      <c r="G70" s="5">
        <v>2</v>
      </c>
      <c r="H70" s="5">
        <v>81666</v>
      </c>
      <c r="I70" s="5" t="s">
        <v>16</v>
      </c>
      <c r="J70" s="5">
        <v>24025001</v>
      </c>
      <c r="K70" s="5" t="s">
        <v>2544</v>
      </c>
      <c r="L70" s="5" t="s">
        <v>2547</v>
      </c>
      <c r="M70" s="6">
        <v>189900</v>
      </c>
      <c r="N70" s="7">
        <v>0.95</v>
      </c>
      <c r="O70" s="6">
        <f t="shared" si="1"/>
        <v>9495</v>
      </c>
      <c r="P70" s="5" t="s">
        <v>504</v>
      </c>
    </row>
    <row r="71" spans="1:16" x14ac:dyDescent="0.35">
      <c r="A71" s="5" t="s">
        <v>3317</v>
      </c>
      <c r="B71" s="8">
        <f>'ALL 2024 H2 D80'!$B$2</f>
        <v>46114</v>
      </c>
      <c r="C71" s="8">
        <f>'ALL 2024 H2 D80'!$C$2</f>
        <v>46120</v>
      </c>
      <c r="D71" s="5">
        <v>3208</v>
      </c>
      <c r="E71" s="5">
        <v>320</v>
      </c>
      <c r="F71" s="5">
        <v>1</v>
      </c>
      <c r="G71" s="5">
        <v>3</v>
      </c>
      <c r="H71" s="5">
        <v>81044</v>
      </c>
      <c r="I71" s="5" t="s">
        <v>16</v>
      </c>
      <c r="J71" s="5">
        <v>21470697</v>
      </c>
      <c r="K71" s="5" t="s">
        <v>2710</v>
      </c>
      <c r="L71" s="5" t="s">
        <v>2711</v>
      </c>
      <c r="M71" s="6">
        <v>189900</v>
      </c>
      <c r="N71" s="7">
        <v>0.95</v>
      </c>
      <c r="O71" s="6">
        <f t="shared" si="1"/>
        <v>9495</v>
      </c>
      <c r="P71" s="5" t="s">
        <v>504</v>
      </c>
    </row>
    <row r="72" spans="1:16" x14ac:dyDescent="0.35">
      <c r="A72" s="5" t="s">
        <v>3317</v>
      </c>
      <c r="B72" s="8">
        <f>'ALL 2024 H2 D80'!$B$2</f>
        <v>46114</v>
      </c>
      <c r="C72" s="8">
        <f>'ALL 2024 H2 D80'!$C$2</f>
        <v>46120</v>
      </c>
      <c r="D72" s="5">
        <v>3208</v>
      </c>
      <c r="E72" s="5">
        <v>320</v>
      </c>
      <c r="F72" s="5">
        <v>1</v>
      </c>
      <c r="G72" s="5">
        <v>3</v>
      </c>
      <c r="H72" s="5">
        <v>81044</v>
      </c>
      <c r="I72" s="5" t="s">
        <v>16</v>
      </c>
      <c r="J72" s="5">
        <v>22867070</v>
      </c>
      <c r="K72" s="5" t="s">
        <v>2712</v>
      </c>
      <c r="L72" s="5" t="s">
        <v>2713</v>
      </c>
      <c r="M72" s="6">
        <v>189900</v>
      </c>
      <c r="N72" s="7">
        <v>0.95</v>
      </c>
      <c r="O72" s="6">
        <f t="shared" si="1"/>
        <v>9495</v>
      </c>
      <c r="P72" s="5" t="s">
        <v>504</v>
      </c>
    </row>
    <row r="73" spans="1:16" x14ac:dyDescent="0.35">
      <c r="A73" s="5" t="s">
        <v>3317</v>
      </c>
      <c r="B73" s="8">
        <f>'ALL 2024 H2 D80'!$B$2</f>
        <v>46114</v>
      </c>
      <c r="C73" s="8">
        <f>'ALL 2024 H2 D80'!$C$2</f>
        <v>46120</v>
      </c>
      <c r="D73" s="5">
        <v>3208</v>
      </c>
      <c r="E73" s="5">
        <v>320</v>
      </c>
      <c r="F73" s="5">
        <v>1</v>
      </c>
      <c r="G73" s="5">
        <v>3</v>
      </c>
      <c r="H73" s="5">
        <v>81044</v>
      </c>
      <c r="I73" s="5" t="s">
        <v>16</v>
      </c>
      <c r="J73" s="5">
        <v>22867089</v>
      </c>
      <c r="K73" s="5" t="s">
        <v>2712</v>
      </c>
      <c r="L73" s="5" t="s">
        <v>2714</v>
      </c>
      <c r="M73" s="6">
        <v>189900</v>
      </c>
      <c r="N73" s="7">
        <v>0.95</v>
      </c>
      <c r="O73" s="6">
        <f t="shared" si="1"/>
        <v>9495</v>
      </c>
      <c r="P73" s="5" t="s">
        <v>504</v>
      </c>
    </row>
    <row r="74" spans="1:16" x14ac:dyDescent="0.35">
      <c r="A74" s="5" t="s">
        <v>3317</v>
      </c>
      <c r="B74" s="8">
        <f>'ALL 2024 H2 D80'!$B$2</f>
        <v>46114</v>
      </c>
      <c r="C74" s="8">
        <f>'ALL 2024 H2 D80'!$C$2</f>
        <v>46120</v>
      </c>
      <c r="D74" s="5">
        <v>3208</v>
      </c>
      <c r="E74" s="5">
        <v>320</v>
      </c>
      <c r="F74" s="5">
        <v>1</v>
      </c>
      <c r="G74" s="5">
        <v>3</v>
      </c>
      <c r="H74" s="5">
        <v>81044</v>
      </c>
      <c r="I74" s="5" t="s">
        <v>16</v>
      </c>
      <c r="J74" s="5">
        <v>22867098</v>
      </c>
      <c r="K74" s="5" t="s">
        <v>2712</v>
      </c>
      <c r="L74" s="5" t="s">
        <v>2715</v>
      </c>
      <c r="M74" s="6">
        <v>189900</v>
      </c>
      <c r="N74" s="7">
        <v>0.95</v>
      </c>
      <c r="O74" s="6">
        <f t="shared" si="1"/>
        <v>9495</v>
      </c>
      <c r="P74" s="5" t="s">
        <v>504</v>
      </c>
    </row>
    <row r="75" spans="1:16" x14ac:dyDescent="0.35">
      <c r="A75" s="5" t="s">
        <v>3317</v>
      </c>
      <c r="B75" s="8">
        <f>'ALL 2024 H2 D80'!$B$2</f>
        <v>46114</v>
      </c>
      <c r="C75" s="8">
        <f>'ALL 2024 H2 D80'!$C$2</f>
        <v>46120</v>
      </c>
      <c r="D75" s="5">
        <v>3208</v>
      </c>
      <c r="E75" s="5">
        <v>320</v>
      </c>
      <c r="F75" s="5">
        <v>1</v>
      </c>
      <c r="G75" s="5">
        <v>3</v>
      </c>
      <c r="H75" s="5">
        <v>81044</v>
      </c>
      <c r="I75" s="5" t="s">
        <v>16</v>
      </c>
      <c r="J75" s="5">
        <v>22867105</v>
      </c>
      <c r="K75" s="5" t="s">
        <v>2712</v>
      </c>
      <c r="L75" s="5" t="s">
        <v>2716</v>
      </c>
      <c r="M75" s="6">
        <v>189900</v>
      </c>
      <c r="N75" s="7">
        <v>0.95</v>
      </c>
      <c r="O75" s="6">
        <f t="shared" si="1"/>
        <v>9495</v>
      </c>
      <c r="P75" s="5" t="s">
        <v>504</v>
      </c>
    </row>
    <row r="76" spans="1:16" x14ac:dyDescent="0.35">
      <c r="A76" s="5" t="s">
        <v>3317</v>
      </c>
      <c r="B76" s="8">
        <f>'ALL 2024 H2 D80'!$B$2</f>
        <v>46114</v>
      </c>
      <c r="C76" s="8">
        <f>'ALL 2024 H2 D80'!$C$2</f>
        <v>46120</v>
      </c>
      <c r="D76" s="5">
        <v>3208</v>
      </c>
      <c r="E76" s="5">
        <v>320</v>
      </c>
      <c r="F76" s="5">
        <v>1</v>
      </c>
      <c r="G76" s="5">
        <v>3</v>
      </c>
      <c r="H76" s="5">
        <v>81342</v>
      </c>
      <c r="I76" s="5" t="s">
        <v>16</v>
      </c>
      <c r="J76" s="5">
        <v>17451199</v>
      </c>
      <c r="K76" s="5" t="s">
        <v>2717</v>
      </c>
      <c r="L76" s="5" t="s">
        <v>2718</v>
      </c>
      <c r="M76" s="6">
        <v>179900</v>
      </c>
      <c r="N76" s="7">
        <v>0.95</v>
      </c>
      <c r="O76" s="6">
        <f t="shared" si="1"/>
        <v>8995</v>
      </c>
      <c r="P76" s="5" t="s">
        <v>504</v>
      </c>
    </row>
    <row r="77" spans="1:16" x14ac:dyDescent="0.35">
      <c r="A77" s="5" t="s">
        <v>3317</v>
      </c>
      <c r="B77" s="8">
        <f>'ALL 2024 H2 D80'!$B$2</f>
        <v>46114</v>
      </c>
      <c r="C77" s="8">
        <f>'ALL 2024 H2 D80'!$C$2</f>
        <v>46120</v>
      </c>
      <c r="D77" s="5">
        <v>3208</v>
      </c>
      <c r="E77" s="5">
        <v>320</v>
      </c>
      <c r="F77" s="5">
        <v>1</v>
      </c>
      <c r="G77" s="5">
        <v>4</v>
      </c>
      <c r="H77" s="5">
        <v>81044</v>
      </c>
      <c r="I77" s="5" t="s">
        <v>16</v>
      </c>
      <c r="J77" s="5">
        <v>22645694</v>
      </c>
      <c r="K77" s="5" t="s">
        <v>2719</v>
      </c>
      <c r="L77" s="5" t="s">
        <v>2720</v>
      </c>
      <c r="M77" s="6">
        <v>179900</v>
      </c>
      <c r="N77" s="7">
        <v>0.95</v>
      </c>
      <c r="O77" s="6">
        <f t="shared" si="1"/>
        <v>8995</v>
      </c>
      <c r="P77" s="5" t="s">
        <v>504</v>
      </c>
    </row>
    <row r="78" spans="1:16" x14ac:dyDescent="0.35">
      <c r="A78" s="5" t="s">
        <v>3317</v>
      </c>
      <c r="B78" s="8">
        <f>'ALL 2024 H2 D80'!$B$2</f>
        <v>46114</v>
      </c>
      <c r="C78" s="8">
        <f>'ALL 2024 H2 D80'!$C$2</f>
        <v>46120</v>
      </c>
      <c r="D78" s="5">
        <v>3208</v>
      </c>
      <c r="E78" s="5">
        <v>320</v>
      </c>
      <c r="F78" s="5">
        <v>1</v>
      </c>
      <c r="G78" s="5">
        <v>4</v>
      </c>
      <c r="H78" s="5">
        <v>81044</v>
      </c>
      <c r="I78" s="5" t="s">
        <v>16</v>
      </c>
      <c r="J78" s="5">
        <v>24707640</v>
      </c>
      <c r="K78" s="5" t="s">
        <v>2594</v>
      </c>
      <c r="L78" s="5" t="s">
        <v>2595</v>
      </c>
      <c r="M78" s="6">
        <v>179900</v>
      </c>
      <c r="N78" s="7">
        <v>0.95</v>
      </c>
      <c r="O78" s="6">
        <f t="shared" si="1"/>
        <v>8995</v>
      </c>
      <c r="P78" s="5" t="s">
        <v>504</v>
      </c>
    </row>
    <row r="79" spans="1:16" x14ac:dyDescent="0.35">
      <c r="A79" s="5" t="s">
        <v>3317</v>
      </c>
      <c r="B79" s="8">
        <f>'ALL 2024 H2 D80'!$B$2</f>
        <v>46114</v>
      </c>
      <c r="C79" s="8">
        <f>'ALL 2024 H2 D80'!$C$2</f>
        <v>46120</v>
      </c>
      <c r="D79" s="5">
        <v>3208</v>
      </c>
      <c r="E79" s="5">
        <v>320</v>
      </c>
      <c r="F79" s="5">
        <v>1</v>
      </c>
      <c r="G79" s="5">
        <v>4</v>
      </c>
      <c r="H79" s="5">
        <v>81456</v>
      </c>
      <c r="I79" s="5" t="s">
        <v>16</v>
      </c>
      <c r="J79" s="5">
        <v>18670781</v>
      </c>
      <c r="K79" s="5" t="s">
        <v>2721</v>
      </c>
      <c r="L79" s="5" t="s">
        <v>2722</v>
      </c>
      <c r="M79" s="6">
        <v>179900</v>
      </c>
      <c r="N79" s="7">
        <v>0.95</v>
      </c>
      <c r="O79" s="6">
        <f t="shared" si="1"/>
        <v>8995</v>
      </c>
      <c r="P79" s="5" t="s">
        <v>504</v>
      </c>
    </row>
    <row r="80" spans="1:16" x14ac:dyDescent="0.35">
      <c r="A80" s="5" t="s">
        <v>3317</v>
      </c>
      <c r="B80" s="8">
        <f>'ALL 2024 H2 D80'!$B$2</f>
        <v>46114</v>
      </c>
      <c r="C80" s="8">
        <f>'ALL 2024 H2 D80'!$C$2</f>
        <v>46120</v>
      </c>
      <c r="D80" s="5">
        <v>3208</v>
      </c>
      <c r="E80" s="5">
        <v>320</v>
      </c>
      <c r="F80" s="5">
        <v>1</v>
      </c>
      <c r="G80" s="5">
        <v>4</v>
      </c>
      <c r="H80" s="5">
        <v>81456</v>
      </c>
      <c r="I80" s="5" t="s">
        <v>16</v>
      </c>
      <c r="J80" s="5">
        <v>23960387</v>
      </c>
      <c r="K80" s="5" t="s">
        <v>2609</v>
      </c>
      <c r="L80" s="5" t="s">
        <v>2610</v>
      </c>
      <c r="M80" s="6">
        <v>189900</v>
      </c>
      <c r="N80" s="7">
        <v>0.95</v>
      </c>
      <c r="O80" s="6">
        <f t="shared" si="1"/>
        <v>9495</v>
      </c>
      <c r="P80" s="5" t="s">
        <v>504</v>
      </c>
    </row>
    <row r="81" spans="1:16" x14ac:dyDescent="0.35">
      <c r="A81" s="5" t="s">
        <v>3317</v>
      </c>
      <c r="B81" s="8">
        <f>'ALL 2024 H2 D80'!$B$2</f>
        <v>46114</v>
      </c>
      <c r="C81" s="8">
        <f>'ALL 2024 H2 D80'!$C$2</f>
        <v>46120</v>
      </c>
      <c r="D81" s="5">
        <v>3208</v>
      </c>
      <c r="E81" s="5">
        <v>320</v>
      </c>
      <c r="F81" s="5">
        <v>1</v>
      </c>
      <c r="G81" s="5">
        <v>4</v>
      </c>
      <c r="H81" s="5">
        <v>81456</v>
      </c>
      <c r="I81" s="5" t="s">
        <v>16</v>
      </c>
      <c r="J81" s="5">
        <v>23960421</v>
      </c>
      <c r="K81" s="5" t="s">
        <v>2609</v>
      </c>
      <c r="L81" s="5" t="s">
        <v>2611</v>
      </c>
      <c r="M81" s="6">
        <v>159900</v>
      </c>
      <c r="N81" s="7">
        <v>0.95</v>
      </c>
      <c r="O81" s="6">
        <f t="shared" si="1"/>
        <v>7995</v>
      </c>
      <c r="P81" s="5" t="s">
        <v>504</v>
      </c>
    </row>
    <row r="82" spans="1:16" x14ac:dyDescent="0.35">
      <c r="A82" s="5" t="s">
        <v>3317</v>
      </c>
      <c r="B82" s="8">
        <f>'ALL 2024 H2 D80'!$B$2</f>
        <v>46114</v>
      </c>
      <c r="C82" s="8">
        <f>'ALL 2024 H2 D80'!$C$2</f>
        <v>46120</v>
      </c>
      <c r="D82" s="5">
        <v>3208</v>
      </c>
      <c r="E82" s="5">
        <v>320</v>
      </c>
      <c r="F82" s="5">
        <v>1</v>
      </c>
      <c r="G82" s="5">
        <v>5</v>
      </c>
      <c r="H82" s="5">
        <v>81044</v>
      </c>
      <c r="I82" s="5" t="s">
        <v>16</v>
      </c>
      <c r="J82" s="5">
        <v>21007901</v>
      </c>
      <c r="K82" s="5" t="s">
        <v>2615</v>
      </c>
      <c r="L82" s="5" t="s">
        <v>2616</v>
      </c>
      <c r="M82" s="6">
        <v>199900</v>
      </c>
      <c r="N82" s="7">
        <v>0.95</v>
      </c>
      <c r="O82" s="6">
        <f t="shared" si="1"/>
        <v>9995</v>
      </c>
      <c r="P82" s="5" t="s">
        <v>504</v>
      </c>
    </row>
    <row r="83" spans="1:16" x14ac:dyDescent="0.35">
      <c r="A83" s="5" t="s">
        <v>3317</v>
      </c>
      <c r="B83" s="8">
        <f>'ALL 2024 H2 D80'!$B$2</f>
        <v>46114</v>
      </c>
      <c r="C83" s="8">
        <f>'ALL 2024 H2 D80'!$C$2</f>
        <v>46120</v>
      </c>
      <c r="D83" s="5">
        <v>3208</v>
      </c>
      <c r="E83" s="5">
        <v>320</v>
      </c>
      <c r="F83" s="5">
        <v>1</v>
      </c>
      <c r="G83" s="5">
        <v>5</v>
      </c>
      <c r="H83" s="5">
        <v>81044</v>
      </c>
      <c r="I83" s="5" t="s">
        <v>16</v>
      </c>
      <c r="J83" s="5">
        <v>22646648</v>
      </c>
      <c r="K83" s="5" t="s">
        <v>2723</v>
      </c>
      <c r="L83" s="5" t="s">
        <v>2724</v>
      </c>
      <c r="M83" s="6">
        <v>199900</v>
      </c>
      <c r="N83" s="7">
        <v>0.95</v>
      </c>
      <c r="O83" s="6">
        <f t="shared" si="1"/>
        <v>9995</v>
      </c>
      <c r="P83" s="5" t="s">
        <v>504</v>
      </c>
    </row>
    <row r="84" spans="1:16" x14ac:dyDescent="0.35">
      <c r="A84" s="5" t="s">
        <v>3317</v>
      </c>
      <c r="B84" s="8">
        <f>'ALL 2024 H2 D80'!$B$2</f>
        <v>46114</v>
      </c>
      <c r="C84" s="8">
        <f>'ALL 2024 H2 D80'!$C$2</f>
        <v>46120</v>
      </c>
      <c r="D84" s="5">
        <v>3208</v>
      </c>
      <c r="E84" s="5">
        <v>320</v>
      </c>
      <c r="F84" s="5">
        <v>1</v>
      </c>
      <c r="G84" s="5">
        <v>5</v>
      </c>
      <c r="H84" s="5">
        <v>81044</v>
      </c>
      <c r="I84" s="5" t="s">
        <v>16</v>
      </c>
      <c r="J84" s="5">
        <v>23653683</v>
      </c>
      <c r="K84" s="5" t="s">
        <v>2617</v>
      </c>
      <c r="L84" s="5" t="s">
        <v>2618</v>
      </c>
      <c r="M84" s="6">
        <v>199900</v>
      </c>
      <c r="N84" s="7">
        <v>0.95</v>
      </c>
      <c r="O84" s="6">
        <f t="shared" si="1"/>
        <v>9995</v>
      </c>
      <c r="P84" s="5" t="s">
        <v>504</v>
      </c>
    </row>
    <row r="85" spans="1:16" x14ac:dyDescent="0.35">
      <c r="A85" s="5" t="s">
        <v>3317</v>
      </c>
      <c r="B85" s="8">
        <f>'ALL 2024 H2 D80'!$B$2</f>
        <v>46114</v>
      </c>
      <c r="C85" s="8">
        <f>'ALL 2024 H2 D80'!$C$2</f>
        <v>46120</v>
      </c>
      <c r="D85" s="5">
        <v>3208</v>
      </c>
      <c r="E85" s="5">
        <v>320</v>
      </c>
      <c r="F85" s="5">
        <v>1</v>
      </c>
      <c r="G85" s="5">
        <v>7</v>
      </c>
      <c r="H85" s="5">
        <v>81044</v>
      </c>
      <c r="I85" s="5" t="s">
        <v>16</v>
      </c>
      <c r="J85" s="5">
        <v>21413052</v>
      </c>
      <c r="K85" s="5" t="s">
        <v>3646</v>
      </c>
      <c r="L85" s="5" t="s">
        <v>3647</v>
      </c>
      <c r="M85" s="6">
        <v>199900</v>
      </c>
      <c r="N85" s="7">
        <v>0.95</v>
      </c>
      <c r="O85" s="6">
        <f t="shared" si="1"/>
        <v>9995</v>
      </c>
      <c r="P85" s="5" t="s">
        <v>504</v>
      </c>
    </row>
    <row r="86" spans="1:16" x14ac:dyDescent="0.35">
      <c r="A86" s="5" t="s">
        <v>3317</v>
      </c>
      <c r="B86" s="8">
        <f>'ALL 2024 H2 D80'!$B$2</f>
        <v>46114</v>
      </c>
      <c r="C86" s="8">
        <f>'ALL 2024 H2 D80'!$C$2</f>
        <v>46120</v>
      </c>
      <c r="D86" s="5">
        <v>3208</v>
      </c>
      <c r="E86" s="5">
        <v>320</v>
      </c>
      <c r="F86" s="5">
        <v>1</v>
      </c>
      <c r="G86" s="5">
        <v>8</v>
      </c>
      <c r="H86" s="5">
        <v>81456</v>
      </c>
      <c r="I86" s="5" t="s">
        <v>16</v>
      </c>
      <c r="J86" s="5">
        <v>17037299</v>
      </c>
      <c r="K86" s="5" t="s">
        <v>3648</v>
      </c>
      <c r="L86" s="5" t="s">
        <v>3649</v>
      </c>
      <c r="M86" s="6">
        <v>199900</v>
      </c>
      <c r="N86" s="7">
        <v>0.95</v>
      </c>
      <c r="O86" s="6">
        <f t="shared" si="1"/>
        <v>9995</v>
      </c>
      <c r="P86" s="5" t="s">
        <v>504</v>
      </c>
    </row>
    <row r="87" spans="1:16" x14ac:dyDescent="0.35">
      <c r="A87" s="5" t="s">
        <v>3317</v>
      </c>
      <c r="B87" s="8">
        <f>'ALL 2024 H2 D80'!$B$2</f>
        <v>46114</v>
      </c>
      <c r="C87" s="8">
        <f>'ALL 2024 H2 D80'!$C$2</f>
        <v>46120</v>
      </c>
      <c r="D87" s="5">
        <v>3208</v>
      </c>
      <c r="E87" s="5">
        <v>320</v>
      </c>
      <c r="F87" s="5">
        <v>1</v>
      </c>
      <c r="G87" s="5">
        <v>8</v>
      </c>
      <c r="H87" s="5">
        <v>81456</v>
      </c>
      <c r="I87" s="5" t="s">
        <v>16</v>
      </c>
      <c r="J87" s="5">
        <v>17128182</v>
      </c>
      <c r="K87" s="5" t="s">
        <v>3650</v>
      </c>
      <c r="L87" s="5" t="s">
        <v>3651</v>
      </c>
      <c r="M87" s="6">
        <v>199900</v>
      </c>
      <c r="N87" s="7">
        <v>0.95</v>
      </c>
      <c r="O87" s="6">
        <f t="shared" si="1"/>
        <v>9995</v>
      </c>
      <c r="P87" s="5" t="s">
        <v>504</v>
      </c>
    </row>
    <row r="88" spans="1:16" x14ac:dyDescent="0.35">
      <c r="A88" s="5" t="s">
        <v>3317</v>
      </c>
      <c r="B88" s="8">
        <f>'ALL 2024 H2 D80'!$B$2</f>
        <v>46114</v>
      </c>
      <c r="C88" s="8">
        <f>'ALL 2024 H2 D80'!$C$2</f>
        <v>46120</v>
      </c>
      <c r="D88" s="5">
        <v>3208</v>
      </c>
      <c r="E88" s="5">
        <v>320</v>
      </c>
      <c r="F88" s="5">
        <v>1</v>
      </c>
      <c r="G88" s="5">
        <v>8</v>
      </c>
      <c r="H88" s="5">
        <v>81456</v>
      </c>
      <c r="I88" s="5" t="s">
        <v>16</v>
      </c>
      <c r="J88" s="5">
        <v>18303507</v>
      </c>
      <c r="K88" s="5" t="s">
        <v>3652</v>
      </c>
      <c r="L88" s="5" t="s">
        <v>3653</v>
      </c>
      <c r="M88" s="6">
        <v>199900</v>
      </c>
      <c r="N88" s="7">
        <v>0.95</v>
      </c>
      <c r="O88" s="6">
        <f t="shared" si="1"/>
        <v>9995</v>
      </c>
      <c r="P88" s="5" t="s">
        <v>504</v>
      </c>
    </row>
  </sheetData>
  <conditionalFormatting sqref="J1:J104857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2024 H2 D80</vt:lpstr>
      <vt:lpstr>2024 H1 D90</vt:lpstr>
      <vt:lpstr>2024 LEB24 D90</vt:lpstr>
      <vt:lpstr>2023 H2 ALL D90</vt:lpstr>
      <vt:lpstr>2023 LEB23 D90</vt:lpstr>
      <vt:lpstr>2023 H1 ALL D90</vt:lpstr>
      <vt:lpstr>2022 ALL D90</vt:lpstr>
      <vt:lpstr>2021 ALL D90</vt:lpstr>
      <vt:lpstr>2020 ALL D90</vt:lpstr>
      <vt:lpstr>2019-OLDER ALL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Imelda</dc:creator>
  <cp:lastModifiedBy>Ina Novalin M. Goa</cp:lastModifiedBy>
  <dcterms:created xsi:type="dcterms:W3CDTF">2024-02-13T04:07:51Z</dcterms:created>
  <dcterms:modified xsi:type="dcterms:W3CDTF">2026-03-31T06:17:53Z</dcterms:modified>
</cp:coreProperties>
</file>