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4/"/>
    </mc:Choice>
  </mc:AlternateContent>
  <xr:revisionPtr revIDLastSave="90" documentId="11_D2F5B15AA98C9FCB5F66EEE906A0EC35164FA6B0" xr6:coauthVersionLast="47" xr6:coauthVersionMax="47" xr10:uidLastSave="{675D81F1-0CE6-4093-82FA-9A9B5587A5C8}"/>
  <bookViews>
    <workbookView xWindow="-110" yWindow="-110" windowWidth="19420" windowHeight="10300" firstSheet="2" activeTab="2" xr2:uid="{00000000-000D-0000-FFFF-FFFF00000000}"/>
  </bookViews>
  <sheets>
    <sheet name="2025 H1 SUKO HOMECO SP15K" sheetId="3" r:id="rId1"/>
    <sheet name="2025 H1 SUKO HOMECO SP25K" sheetId="8" r:id="rId2"/>
    <sheet name="2025 H1 HOME LIVING SP199K" sheetId="12" r:id="rId3"/>
    <sheet name="2025 H1 HOME LIVING SP59K" sheetId="11" r:id="rId4"/>
    <sheet name="2025 H1 SUKO TUMBLER SP59K" sheetId="9" r:id="rId5"/>
    <sheet name="2025 H1 SUKO TUMBLER SP99K" sheetId="10" r:id="rId6"/>
  </sheets>
  <definedNames>
    <definedName name="_xlnm._FilterDatabase" localSheetId="0" hidden="1">'2025 H1 SUKO HOMECO SP15K'!$A$1:$P$8</definedName>
    <definedName name="_xlnm._FilterDatabase" localSheetId="1" hidden="1">'2025 H1 SUKO HOMECO SP25K'!$A$1:$P$5</definedName>
    <definedName name="_xlnm._FilterDatabase" localSheetId="4" hidden="1">'2025 H1 SUKO TUMBLER SP59K'!$A$1:$P$8</definedName>
    <definedName name="_xlnm._FilterDatabase" localSheetId="5" hidden="1">'2025 H1 SUKO TUMBLER SP99K'!$A$1:$P$6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2" l="1"/>
  <c r="C2" i="12"/>
  <c r="C6" i="11"/>
  <c r="C5" i="11"/>
  <c r="C4" i="11"/>
  <c r="C3" i="11"/>
  <c r="C2" i="11"/>
  <c r="C6" i="10" l="1"/>
  <c r="C5" i="10"/>
  <c r="C4" i="10"/>
  <c r="C3" i="10"/>
  <c r="C2" i="10"/>
  <c r="C8" i="9"/>
  <c r="C7" i="9"/>
  <c r="C6" i="9"/>
  <c r="C5" i="9"/>
  <c r="C4" i="9"/>
  <c r="C3" i="9"/>
  <c r="C2" i="9"/>
  <c r="C5" i="8"/>
  <c r="C4" i="8"/>
  <c r="C3" i="8"/>
  <c r="C2" i="8"/>
  <c r="C8" i="3"/>
  <c r="B8" i="3"/>
  <c r="C7" i="3"/>
  <c r="B7" i="3"/>
  <c r="C6" i="3"/>
  <c r="B6" i="3"/>
  <c r="C5" i="3"/>
  <c r="B5" i="3"/>
  <c r="C4" i="3"/>
  <c r="B4" i="3"/>
  <c r="C3" i="3"/>
  <c r="B3" i="3"/>
  <c r="B5" i="8" l="1"/>
  <c r="B6" i="11"/>
  <c r="B5" i="11"/>
  <c r="B2" i="11"/>
  <c r="B2" i="12"/>
  <c r="B4" i="11"/>
  <c r="B3" i="11"/>
  <c r="B3" i="12"/>
  <c r="B3" i="9"/>
  <c r="B8" i="9"/>
  <c r="B2" i="10"/>
  <c r="B4" i="10"/>
  <c r="B5" i="10"/>
  <c r="B2" i="9"/>
  <c r="B3" i="10"/>
  <c r="B5" i="9"/>
  <c r="B6" i="9"/>
  <c r="B6" i="10"/>
  <c r="B4" i="9"/>
  <c r="B2" i="8"/>
  <c r="B7" i="9"/>
  <c r="B3" i="8"/>
  <c r="B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501BD9E-9441-4D93-97DB-9C3F957D0617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E28814-E8A7-4F24-824D-AF68D3079D38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D374774F-8BAC-494F-8F2D-C189F8C6A4B5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19BCC670-882F-4A79-89CA-E8BE2777B297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23865441-524B-445B-9FD2-5F99E5B55CD4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98E1B58B-3240-427E-93B8-4B3F3235F81D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7F9DCE0A-8AEF-425F-9FB8-F8A04082783C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32B5197D-DB23-4B99-95DE-B70DCFD1FE71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10017B5-6EA0-4294-8B42-6AA5F9DF367F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E8E3BF8F-87A8-4DEA-9199-0C3FEF6A7123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C4697644-FAFE-4A10-BFF9-5E8C06C898E9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40A4F32E-2F45-4A8C-B167-8E39A4638F0A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AEEBE082-5D26-4F98-9468-CBE8D2A6DC93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20653CEE-B7FB-4318-8E58-0B8534F08A0F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E70E59B-2374-4547-85A8-FD4150FBE731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8DB84F-4615-41DC-992E-F02691ABF535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9E7C56A9-414E-4AF0-846C-8A2B83E24CC5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2F1662A-786B-4599-96B2-F2B102E875FC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B8A10EF1-E0A1-48DD-A212-FDE4E53367F2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EC159B95-265E-4F40-9035-06A192995293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20BC938-85ED-4ACF-9FAC-8EC55C10B209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9EF1F635-1DDD-4364-8A95-0A55C0924E04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DE9D46A5-FF2D-4934-B52C-7076113E2304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55BAA6A2-7630-4C49-9BC7-6FBB141A1707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F1D49A80-B063-42E5-93CF-E1F101E44204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4C2AE438-9B16-4A81-B94B-8ECC342A73D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E4A97AEC-7DBE-4483-BDF2-B9EA5300B706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CFDE0355-D9FA-43B4-89C7-C82CE055F9C2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<sst xmlns="http://schemas.openxmlformats.org/spreadsheetml/2006/main" count="269" uniqueCount="80">
  <si>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</si>
  <si>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</si>
  <si>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</si>
  <si>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</si>
  <si>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</si>
  <si>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</si>
  <si>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</si>
  <si>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</si>
  <si>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</si>
  <si>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</si>
  <si>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</si>
  <si>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</si>
  <si>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</si>
  <si>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</si>
  <si>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</si>
  <si>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</si>
  <si>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HOMECO SP15K</t>
  </si>
  <si>
    <t>HOMECO LIVING</t>
  </si>
  <si>
    <t>CLRDBWL</t>
  </si>
  <si>
    <t>BOWLS COLORED BOWL 6 CLRDBWL:ASSORTIVE COLOR:F:PRINT:BOWLS</t>
  </si>
  <si>
    <t>SP</t>
  </si>
  <si>
    <t>SPECIAL PRICE</t>
  </si>
  <si>
    <t>MGBLCK</t>
  </si>
  <si>
    <t>MUG MUG COFFEE BLACK 11OZ MGBLCK:BLACK:F:PRINT:MUG</t>
  </si>
  <si>
    <t>CLRDPTL</t>
  </si>
  <si>
    <t>PLATE COLORED PLATE 825 CLRDPTL:ASSORTIVE COLOR:F:PRINT:PLATE</t>
  </si>
  <si>
    <t>TWTNSBWL</t>
  </si>
  <si>
    <t>BOWLS TWO TONES BOWL 55 TWTNSBWL:ASSORTIVE COLOR:F:SOLID:BOWLS</t>
  </si>
  <si>
    <t>TWTNSMG</t>
  </si>
  <si>
    <t>MUG TWO TONES MUG 11OZ TWTNSMG:ASSORTIVE COLOR:F:SOLID:MUG</t>
  </si>
  <si>
    <t>CLRDMG</t>
  </si>
  <si>
    <t>MUG COLORED MUG COLOR 11 OZ CLRDMG:ASSORTIVE COLOR:F:PRINT:MUG</t>
  </si>
  <si>
    <t>SKMGEMJ</t>
  </si>
  <si>
    <t>MUG SK MUG EMOJI 11 OZ SKMGEMJ:ASSORTIVE COLOR:F:PRINT:MUG</t>
  </si>
  <si>
    <t>2025 H1 SUKO HOMECO SP25K</t>
  </si>
  <si>
    <t>MGBLCKBOS</t>
  </si>
  <si>
    <t>MUG MUG BOSS BLACK WITH LID MGBLCKBOS:BLACK:F:PRINT:MUG</t>
  </si>
  <si>
    <t>MGWHTBOS</t>
  </si>
  <si>
    <t>MUG MUG BOSS WHITE WITH LID MGWHTBOS:WHITE:F:PRINT:MUG</t>
  </si>
  <si>
    <t>MG45D</t>
  </si>
  <si>
    <t>MUG MUG 45D 11OZ MG45D:ASSORTIVE COLOR:F:SOLID:MUG</t>
  </si>
  <si>
    <t>SKMDEBOSSQT</t>
  </si>
  <si>
    <t>MUG SK MUG DEBOSS METANOIA QUOTES WITH SLEEVE 12OZ SKMDEBOSSQT:ASSORTIVE COLOR:F:PRINT:MUG</t>
  </si>
  <si>
    <t>SUKO</t>
  </si>
  <si>
    <t>SKTMBLR600ML</t>
  </si>
  <si>
    <t>THERMAL TUMBLER SUKO SKTMBLR600ML:PASTEL LAVENDER:F:SOLID:THERMAL TUMBLER</t>
  </si>
  <si>
    <t>THERMAL TUMBLER SUKO SKTMBLR600ML:WHITE:F:SOLID:THERMAL TUMBLER</t>
  </si>
  <si>
    <t>SKTMBLR1000ML</t>
  </si>
  <si>
    <t>THERMAL TUMBLER SUKO SKTMBLR1000ML:ASSORTIVE COLOR:F:SOLID:THERMAL TUMBLER</t>
  </si>
  <si>
    <t>SKTMBLR2060</t>
  </si>
  <si>
    <t>TUMBLER SUKO 2060 500ML SKTMBLR2060:BLACK:F:SOLID:TUMBLER</t>
  </si>
  <si>
    <t>TUMBLER SUKO 2060 500ML SKTMBLR2060:WHITE:F:SOLID:TUMBLER</t>
  </si>
  <si>
    <t>TUMBLER SUKO 2060 500ML SKTMBLR2060:NAVY BLUE:F:SOLID:TUMBLER</t>
  </si>
  <si>
    <t>SKTMBLR2366</t>
  </si>
  <si>
    <t>TUMBLER SUKO 2366 500ML SKTMBLR2366:BLACK:F:SOLID:TUMBLER</t>
  </si>
  <si>
    <t>SCNTMBL450</t>
  </si>
  <si>
    <t>THERMAL TUMBLER SCANDIC VACUUM 450ML SCNTMBL450:ASSORTIVE COLOR:F:SOLID:THERMAL TUMBLER</t>
  </si>
  <si>
    <t>SKTMBLR6601</t>
  </si>
  <si>
    <t>THERMAL TUMBLER SUKO TUMBLER 6601 1300ML SKTMBLR6601:BLACK:F:SOLID:THERMAL TUMBLER</t>
  </si>
  <si>
    <t>THERMAL TUMBLER SUKO TUMBLER 6601 1300ML SKTMBLR6601:MISTY LIGHT GREY:F:SOLID:THERMAL TUMBLER</t>
  </si>
  <si>
    <t>THERMAL TUMBLER SUKO TUMBLER 6601 1300ML SKTMBLR6601:NAVY BLUE:F:SOLID:THERMAL TUMBLER</t>
  </si>
  <si>
    <t>THERMAL TUMBLER SUKO TUMBLER 6601 1300ML SKTMBLR6601:WHITE:F:SOLID:THERMAL TUMBLER</t>
  </si>
  <si>
    <t>2025 H1 SUKO TUMBLER SP99K</t>
  </si>
  <si>
    <t>2025 H1 SUKO TUMBLER SP59K</t>
  </si>
  <si>
    <t>DSNYMATGR2</t>
  </si>
  <si>
    <t>DSNYMATGR3</t>
  </si>
  <si>
    <t>DSNYMATGR1</t>
  </si>
  <si>
    <t>SARBAN</t>
  </si>
  <si>
    <t>SARGUL</t>
  </si>
  <si>
    <t>MAT DISNEY GROGU CURIOUS CHILD INSIDE 40 X 60 CM DSNYMATGR2:SAND:F:GRAPHIC:MAT</t>
  </si>
  <si>
    <t>MAT DISNEY GROGU WELCOME TO THE CUTE SIDE 40 X 60 CM DSNYMATGR3:NAVY BLUE:F:GRAPHIC:MAT</t>
  </si>
  <si>
    <t>MAT DISNEY GROGU IM ALL EARS 40X 60 CM DSNYMATGR1:GRASS GREEN:F:GRAPHIC:MAT</t>
  </si>
  <si>
    <t>PILLOW BOLSTER SET SARUNG BANTAL SUTRA MICRO TENCEL 50X70CM 2PCS SARBAN:MISTY LIGHT BROWN:F:SOLID:PI</t>
  </si>
  <si>
    <t>PILLOW BOLSTER SET SARUNG GULING SUTRA MICRO TENCEL 36X100CM 2PCS SARGUL:MISTY LIGHT BROWN:F:SOLID:P</t>
  </si>
  <si>
    <t>2025 H1 HOME LIVING SP59K</t>
  </si>
  <si>
    <t>BSHTMC180</t>
  </si>
  <si>
    <t>BSHTMC120</t>
  </si>
  <si>
    <t>FITTED SHEET BEDSHEET MICROSILK FULL KANTONG KAIN SALUR 180X200X40CM BSHTMC180:MISTY LIGHT BROWN:F:S</t>
  </si>
  <si>
    <t>FITTED SHEET BEDSHEET MICROSILK FULL KANTONG KAIN SALUR 120X200X40CM BSHTMC120:MISTY LIGHT BROWN:F:S</t>
  </si>
  <si>
    <t>2025 H1 HOME LIVING SP199K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</si>
</sst>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2" applyNumberFormat="1" applyFont="1" applyFill="1" applyBorder="1" applyAlignment="1">
      <alignment horizontal="center" vertical="center"/>
    </xf>
    <xf numFmtId="43" fontId="0" fillId="0" borderId="1" xfId="1" applyFont="1" applyBorder="1">
      <alignment vertical="center"/>
    </xf>
    <xf numFmtId="43" fontId="2" fillId="0" borderId="1" xfId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3" fontId="2" fillId="0" borderId="1" xfId="0" applyNumberFormat="1" applyFont="1" applyFill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165" fontId="0" fillId="0" borderId="1" xfId="1" applyNumberFormat="1" applyFont="1" applyBorder="1">
      <alignment vertical="center"/>
    </xf>
    <xf numFmtId="165" fontId="1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165" fontId="0" fillId="0" borderId="0" xfId="1" applyNumberFormat="1" applyFo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zoomScale="55" zoomScaleNormal="55" workbookViewId="0">
      <selection activeCell="C3" sqref="C3"/>
    </sheetView>
  </sheetViews>
  <sheetFormatPr defaultColWidth="8.7265625" defaultRowHeight="14.5"/>
  <cols>
    <col min="1" max="1" width="31.36328125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6.08984375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16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3</v>
      </c>
      <c r="H2" s="9">
        <v>81832</v>
      </c>
      <c r="I2" s="9" t="s">
        <v>17</v>
      </c>
      <c r="J2" s="16">
        <v>52239095</v>
      </c>
      <c r="K2" s="16" t="s">
        <v>18</v>
      </c>
      <c r="L2" s="16" t="s">
        <v>19</v>
      </c>
      <c r="M2" s="17">
        <v>29900</v>
      </c>
      <c r="N2" s="15" t="s">
        <v>20</v>
      </c>
      <c r="O2" s="18">
        <v>15000</v>
      </c>
      <c r="P2" s="15" t="s">
        <v>21</v>
      </c>
    </row>
    <row r="3" spans="1:16">
      <c r="A3" s="7" t="s">
        <v>16</v>
      </c>
      <c r="B3" s="8">
        <f>$B$2</f>
        <v>46114</v>
      </c>
      <c r="C3" s="8">
        <f>$C$2</f>
        <v>46120</v>
      </c>
      <c r="D3" s="9">
        <v>3357</v>
      </c>
      <c r="E3" s="9">
        <v>340</v>
      </c>
      <c r="F3" s="9">
        <v>6</v>
      </c>
      <c r="G3" s="9">
        <v>3</v>
      </c>
      <c r="H3" s="9">
        <v>81832</v>
      </c>
      <c r="I3" s="9" t="s">
        <v>17</v>
      </c>
      <c r="J3" s="16">
        <v>52239120</v>
      </c>
      <c r="K3" s="16" t="s">
        <v>22</v>
      </c>
      <c r="L3" s="16" t="s">
        <v>23</v>
      </c>
      <c r="M3" s="17">
        <v>29900</v>
      </c>
      <c r="N3" s="15" t="s">
        <v>20</v>
      </c>
      <c r="O3" s="18">
        <v>15000</v>
      </c>
      <c r="P3" s="15" t="s">
        <v>21</v>
      </c>
    </row>
    <row r="4" spans="1:16">
      <c r="A4" s="7" t="s">
        <v>16</v>
      </c>
      <c r="B4" s="8">
        <f t="shared" ref="B4:B8" si="0">$B$2</f>
        <v>46114</v>
      </c>
      <c r="C4" s="8">
        <f t="shared" ref="C4:C8" si="1">$C$2</f>
        <v>46120</v>
      </c>
      <c r="D4" s="9">
        <v>3357</v>
      </c>
      <c r="E4" s="9">
        <v>340</v>
      </c>
      <c r="F4" s="9">
        <v>6</v>
      </c>
      <c r="G4" s="9">
        <v>3</v>
      </c>
      <c r="H4" s="9">
        <v>81832</v>
      </c>
      <c r="I4" s="9" t="s">
        <v>17</v>
      </c>
      <c r="J4" s="16">
        <v>52239086</v>
      </c>
      <c r="K4" s="16" t="s">
        <v>24</v>
      </c>
      <c r="L4" s="16" t="s">
        <v>25</v>
      </c>
      <c r="M4" s="17">
        <v>29900</v>
      </c>
      <c r="N4" s="15" t="s">
        <v>20</v>
      </c>
      <c r="O4" s="18">
        <v>15000</v>
      </c>
      <c r="P4" s="15" t="s">
        <v>21</v>
      </c>
    </row>
    <row r="5" spans="1:16">
      <c r="A5" s="7" t="s">
        <v>16</v>
      </c>
      <c r="B5" s="8">
        <f t="shared" si="0"/>
        <v>46114</v>
      </c>
      <c r="C5" s="8">
        <f t="shared" si="1"/>
        <v>46120</v>
      </c>
      <c r="D5" s="9">
        <v>3357</v>
      </c>
      <c r="E5" s="9">
        <v>340</v>
      </c>
      <c r="F5" s="9">
        <v>6</v>
      </c>
      <c r="G5" s="9">
        <v>3</v>
      </c>
      <c r="H5" s="9">
        <v>81832</v>
      </c>
      <c r="I5" s="9" t="s">
        <v>17</v>
      </c>
      <c r="J5" s="16">
        <v>52239004</v>
      </c>
      <c r="K5" s="16" t="s">
        <v>26</v>
      </c>
      <c r="L5" s="16" t="s">
        <v>27</v>
      </c>
      <c r="M5" s="17">
        <v>29900</v>
      </c>
      <c r="N5" s="15" t="s">
        <v>20</v>
      </c>
      <c r="O5" s="18">
        <v>15000</v>
      </c>
      <c r="P5" s="15" t="s">
        <v>21</v>
      </c>
    </row>
    <row r="6" spans="1:16">
      <c r="A6" s="7" t="s">
        <v>16</v>
      </c>
      <c r="B6" s="8">
        <f t="shared" si="0"/>
        <v>46114</v>
      </c>
      <c r="C6" s="8">
        <f t="shared" si="1"/>
        <v>46120</v>
      </c>
      <c r="D6" s="9">
        <v>3357</v>
      </c>
      <c r="E6" s="9">
        <v>340</v>
      </c>
      <c r="F6" s="9">
        <v>6</v>
      </c>
      <c r="G6" s="9">
        <v>3</v>
      </c>
      <c r="H6" s="9">
        <v>81832</v>
      </c>
      <c r="I6" s="9" t="s">
        <v>17</v>
      </c>
      <c r="J6" s="16">
        <v>52239013</v>
      </c>
      <c r="K6" s="16" t="s">
        <v>28</v>
      </c>
      <c r="L6" s="16" t="s">
        <v>29</v>
      </c>
      <c r="M6" s="17">
        <v>29900</v>
      </c>
      <c r="N6" s="15" t="s">
        <v>20</v>
      </c>
      <c r="O6" s="18">
        <v>15000</v>
      </c>
      <c r="P6" s="15" t="s">
        <v>21</v>
      </c>
    </row>
    <row r="7" spans="1:16">
      <c r="A7" s="7" t="s">
        <v>16</v>
      </c>
      <c r="B7" s="8">
        <f t="shared" si="0"/>
        <v>46114</v>
      </c>
      <c r="C7" s="8">
        <f t="shared" si="1"/>
        <v>46120</v>
      </c>
      <c r="D7" s="9">
        <v>3357</v>
      </c>
      <c r="E7" s="9">
        <v>340</v>
      </c>
      <c r="F7" s="9">
        <v>6</v>
      </c>
      <c r="G7" s="9">
        <v>3</v>
      </c>
      <c r="H7" s="9">
        <v>81832</v>
      </c>
      <c r="I7" s="9" t="s">
        <v>17</v>
      </c>
      <c r="J7" s="16">
        <v>52239102</v>
      </c>
      <c r="K7" s="16" t="s">
        <v>30</v>
      </c>
      <c r="L7" s="16" t="s">
        <v>31</v>
      </c>
      <c r="M7" s="17">
        <v>29900</v>
      </c>
      <c r="N7" s="15" t="s">
        <v>20</v>
      </c>
      <c r="O7" s="18">
        <v>15000</v>
      </c>
      <c r="P7" s="15" t="s">
        <v>21</v>
      </c>
    </row>
    <row r="8" spans="1:16">
      <c r="A8" s="7" t="s">
        <v>16</v>
      </c>
      <c r="B8" s="8">
        <f t="shared" si="0"/>
        <v>46114</v>
      </c>
      <c r="C8" s="8">
        <f t="shared" si="1"/>
        <v>46120</v>
      </c>
      <c r="D8" s="9">
        <v>3357</v>
      </c>
      <c r="E8" s="9">
        <v>340</v>
      </c>
      <c r="F8" s="9">
        <v>6</v>
      </c>
      <c r="G8" s="9">
        <v>3</v>
      </c>
      <c r="H8" s="9">
        <v>81832</v>
      </c>
      <c r="I8" s="9" t="s">
        <v>17</v>
      </c>
      <c r="J8" s="19">
        <v>54440612</v>
      </c>
      <c r="K8" s="19" t="s">
        <v>32</v>
      </c>
      <c r="L8" s="20" t="s">
        <v>33</v>
      </c>
      <c r="M8" s="17">
        <v>29900</v>
      </c>
      <c r="N8" s="15" t="s">
        <v>20</v>
      </c>
      <c r="O8" s="18">
        <v>15000</v>
      </c>
      <c r="P8" s="15" t="s">
        <v>21</v>
      </c>
    </row>
  </sheetData>
  <conditionalFormatting sqref="J1:J7">
    <cfRule type="duplicateValues" dxfId="16" priority="5"/>
  </conditionalFormatting>
  <conditionalFormatting sqref="J1:J1048576">
    <cfRule type="duplicateValues" dxfId="15" priority="1"/>
  </conditionalFormatting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zoomScale="55" zoomScaleNormal="55" workbookViewId="0">
      <selection sqref="A1:XFD1"/>
    </sheetView>
  </sheetViews>
  <sheetFormatPr defaultColWidth="8.7265625" defaultRowHeight="14.5"/>
  <cols>
    <col min="1" max="1" width="31.36328125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6.08984375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34</v>
      </c>
      <c r="B2" s="8">
        <f>'2025 H1 SUKO HOMECO SP15K'!$B$3</f>
        <v>46114</v>
      </c>
      <c r="C2" s="8">
        <f>'2025 H1 SUKO HOMECO SP15K'!$C$2</f>
        <v>46120</v>
      </c>
      <c r="D2" s="9">
        <v>3357</v>
      </c>
      <c r="E2" s="9">
        <v>340</v>
      </c>
      <c r="F2" s="9">
        <v>6</v>
      </c>
      <c r="G2" s="9">
        <v>3</v>
      </c>
      <c r="H2" s="9">
        <v>81832</v>
      </c>
      <c r="I2" s="9" t="s">
        <v>17</v>
      </c>
      <c r="J2" s="16">
        <v>52238989</v>
      </c>
      <c r="K2" s="16" t="s">
        <v>35</v>
      </c>
      <c r="L2" s="16" t="s">
        <v>36</v>
      </c>
      <c r="M2" s="17">
        <v>49900</v>
      </c>
      <c r="N2" s="15" t="s">
        <v>20</v>
      </c>
      <c r="O2" s="18">
        <v>25000</v>
      </c>
      <c r="P2" s="15" t="s">
        <v>21</v>
      </c>
    </row>
    <row r="3" spans="1:16">
      <c r="A3" s="7" t="s">
        <v>34</v>
      </c>
      <c r="B3" s="8">
        <f>'2025 H1 SUKO HOMECO SP15K'!$B$3</f>
        <v>46114</v>
      </c>
      <c r="C3" s="8">
        <f>'2025 H1 SUKO HOMECO SP15K'!$C$2</f>
        <v>46120</v>
      </c>
      <c r="D3" s="9">
        <v>3357</v>
      </c>
      <c r="E3" s="9">
        <v>340</v>
      </c>
      <c r="F3" s="9">
        <v>6</v>
      </c>
      <c r="G3" s="9">
        <v>3</v>
      </c>
      <c r="H3" s="9">
        <v>81832</v>
      </c>
      <c r="I3" s="9" t="s">
        <v>17</v>
      </c>
      <c r="J3" s="16">
        <v>52238998</v>
      </c>
      <c r="K3" s="16" t="s">
        <v>37</v>
      </c>
      <c r="L3" s="16" t="s">
        <v>38</v>
      </c>
      <c r="M3" s="17">
        <v>49900</v>
      </c>
      <c r="N3" s="15" t="s">
        <v>20</v>
      </c>
      <c r="O3" s="18">
        <v>25000</v>
      </c>
      <c r="P3" s="15" t="s">
        <v>21</v>
      </c>
    </row>
    <row r="4" spans="1:16">
      <c r="A4" s="7" t="s">
        <v>34</v>
      </c>
      <c r="B4" s="8">
        <f>'2025 H1 SUKO HOMECO SP15K'!$B$3</f>
        <v>46114</v>
      </c>
      <c r="C4" s="8">
        <f>'2025 H1 SUKO HOMECO SP15K'!$C$2</f>
        <v>46120</v>
      </c>
      <c r="D4" s="9">
        <v>3357</v>
      </c>
      <c r="E4" s="9">
        <v>340</v>
      </c>
      <c r="F4" s="9">
        <v>6</v>
      </c>
      <c r="G4" s="9">
        <v>3</v>
      </c>
      <c r="H4" s="9">
        <v>81832</v>
      </c>
      <c r="I4" s="9" t="s">
        <v>17</v>
      </c>
      <c r="J4" s="16">
        <v>52239077</v>
      </c>
      <c r="K4" s="16" t="s">
        <v>39</v>
      </c>
      <c r="L4" s="16" t="s">
        <v>40</v>
      </c>
      <c r="M4" s="17">
        <v>49900</v>
      </c>
      <c r="N4" s="15" t="s">
        <v>20</v>
      </c>
      <c r="O4" s="18">
        <v>25000</v>
      </c>
      <c r="P4" s="15" t="s">
        <v>21</v>
      </c>
    </row>
    <row r="5" spans="1:16">
      <c r="A5" s="7" t="s">
        <v>34</v>
      </c>
      <c r="B5" s="8">
        <f>'2025 H1 SUKO HOMECO SP15K'!$B$3</f>
        <v>46114</v>
      </c>
      <c r="C5" s="8">
        <f>'2025 H1 SUKO HOMECO SP15K'!$C$2</f>
        <v>46120</v>
      </c>
      <c r="D5" s="9">
        <v>3357</v>
      </c>
      <c r="E5" s="9">
        <v>340</v>
      </c>
      <c r="F5" s="9">
        <v>6</v>
      </c>
      <c r="G5" s="9">
        <v>3</v>
      </c>
      <c r="H5" s="9">
        <v>81832</v>
      </c>
      <c r="I5" s="9" t="s">
        <v>17</v>
      </c>
      <c r="J5" s="19">
        <v>54433693</v>
      </c>
      <c r="K5" s="19" t="s">
        <v>41</v>
      </c>
      <c r="L5" s="20" t="s">
        <v>42</v>
      </c>
      <c r="M5" s="17">
        <v>49900</v>
      </c>
      <c r="N5" s="15" t="s">
        <v>20</v>
      </c>
      <c r="O5" s="18">
        <v>25000</v>
      </c>
      <c r="P5" s="15" t="s">
        <v>21</v>
      </c>
    </row>
  </sheetData>
  <conditionalFormatting sqref="J1">
    <cfRule type="duplicateValues" dxfId="14" priority="4"/>
  </conditionalFormatting>
  <conditionalFormatting sqref="J1:J1048576">
    <cfRule type="duplicateValues" dxfId="13" priority="1"/>
  </conditionalFormatting>
  <conditionalFormatting sqref="J2:J3">
    <cfRule type="duplicateValues" dxfId="12" priority="3"/>
  </conditionalFormatting>
  <conditionalFormatting sqref="J4">
    <cfRule type="duplicateValues" dxfId="11" priority="2"/>
  </conditionalFormatting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3106-D90E-48DB-8831-CAA189C8F134}">
  <sheetPr>
    <tabColor rgb="FF92D050"/>
  </sheetPr>
  <dimension ref="A1:P3"/>
  <sheetViews>
    <sheetView tabSelected="1" topLeftCell="B1" zoomScale="70" zoomScaleNormal="70" workbookViewId="0">
      <selection activeCell="K2" sqref="K2"/>
    </sheetView>
  </sheetViews>
  <sheetFormatPr defaultRowHeight="14.5"/>
  <cols>
    <col min="1" max="1" width="26.7265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12.54296875" bestFit="1" customWidth="1"/>
    <col min="12" max="12" width="100.81640625" bestFit="1" customWidth="1"/>
    <col min="13" max="13" width="14.81640625" style="24" bestFit="1" customWidth="1"/>
    <col min="14" max="14" width="7.26953125" bestFit="1" customWidth="1"/>
    <col min="15" max="15" width="14" style="24" bestFit="1" customWidth="1"/>
    <col min="16" max="16" width="14.1796875" bestFit="1" customWidth="1"/>
  </cols>
  <sheetData>
    <row r="1" spans="1:16" s="1" customFormat="1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2" t="s">
        <v>12</v>
      </c>
      <c r="N1" s="12" t="s">
        <v>13</v>
      </c>
      <c r="O1" s="22" t="s">
        <v>14</v>
      </c>
      <c r="P1" s="5" t="s">
        <v>15</v>
      </c>
    </row>
    <row r="2" spans="1:16">
      <c r="A2" s="7" t="s">
        <v>79</v>
      </c>
      <c r="B2" s="8">
        <f>'2025 H1 SUKO HOMECO SP15K'!$B$3</f>
        <v>46114</v>
      </c>
      <c r="C2" s="8">
        <f>'2025 H1 SUKO HOMECO SP15K'!$C$2</f>
        <v>46120</v>
      </c>
      <c r="D2" s="10">
        <v>3357</v>
      </c>
      <c r="E2" s="10">
        <v>340</v>
      </c>
      <c r="F2" s="10">
        <v>6</v>
      </c>
      <c r="G2" s="10">
        <v>5</v>
      </c>
      <c r="H2" s="10">
        <v>81830</v>
      </c>
      <c r="I2" s="10"/>
      <c r="J2" s="10">
        <v>54412607</v>
      </c>
      <c r="K2" s="10" t="s">
        <v>75</v>
      </c>
      <c r="L2" s="10" t="s">
        <v>77</v>
      </c>
      <c r="M2" s="21">
        <v>329000</v>
      </c>
      <c r="N2" s="10" t="s">
        <v>20</v>
      </c>
      <c r="O2" s="21">
        <v>119000</v>
      </c>
      <c r="P2" s="10" t="s">
        <v>21</v>
      </c>
    </row>
    <row r="3" spans="1:16">
      <c r="A3" s="7" t="s">
        <v>79</v>
      </c>
      <c r="B3" s="8">
        <f>'2025 H1 SUKO HOMECO SP15K'!$B$3</f>
        <v>46114</v>
      </c>
      <c r="C3" s="8">
        <f>'2025 H1 SUKO HOMECO SP15K'!$C$2</f>
        <v>46120</v>
      </c>
      <c r="D3" s="10">
        <v>3357</v>
      </c>
      <c r="E3" s="10">
        <v>340</v>
      </c>
      <c r="F3" s="10">
        <v>6</v>
      </c>
      <c r="G3" s="10">
        <v>5</v>
      </c>
      <c r="H3" s="10">
        <v>81830</v>
      </c>
      <c r="I3" s="10"/>
      <c r="J3" s="10">
        <v>54412661</v>
      </c>
      <c r="K3" s="10" t="s">
        <v>76</v>
      </c>
      <c r="L3" s="10" t="s">
        <v>78</v>
      </c>
      <c r="M3" s="21">
        <v>249000</v>
      </c>
      <c r="N3" s="10" t="s">
        <v>20</v>
      </c>
      <c r="O3" s="21">
        <v>119000</v>
      </c>
      <c r="P3" s="10" t="s">
        <v>21</v>
      </c>
    </row>
  </sheetData>
  <conditionalFormatting sqref="J1">
    <cfRule type="duplicateValues" dxfId="10" priority="1"/>
    <cfRule type="duplicateValues" dxfId="9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4E44-DF28-4EDB-9B3C-9DFDCDDCAB1B}">
  <sheetPr>
    <tabColor rgb="FF92D050"/>
  </sheetPr>
  <dimension ref="A1:P6"/>
  <sheetViews>
    <sheetView topLeftCell="B1" zoomScale="70" zoomScaleNormal="70" workbookViewId="0">
      <selection activeCell="L15" sqref="L15"/>
    </sheetView>
  </sheetViews>
  <sheetFormatPr defaultRowHeight="14.5"/>
  <cols>
    <col min="1" max="1" width="26.7265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12.54296875" bestFit="1" customWidth="1"/>
    <col min="12" max="12" width="100.81640625" bestFit="1" customWidth="1"/>
    <col min="13" max="13" width="14.81640625" style="24" bestFit="1" customWidth="1"/>
    <col min="14" max="14" width="7.26953125" bestFit="1" customWidth="1"/>
    <col min="15" max="15" width="14" style="24" bestFit="1" customWidth="1"/>
    <col min="16" max="16" width="14.1796875" bestFit="1" customWidth="1"/>
  </cols>
  <sheetData>
    <row r="1" spans="1:16" s="1" customFormat="1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2" t="s">
        <v>12</v>
      </c>
      <c r="N1" s="12" t="s">
        <v>13</v>
      </c>
      <c r="O1" s="22" t="s">
        <v>14</v>
      </c>
      <c r="P1" s="5" t="s">
        <v>15</v>
      </c>
    </row>
    <row r="2" spans="1:16">
      <c r="A2" s="7" t="s">
        <v>74</v>
      </c>
      <c r="B2" s="8">
        <f>'2025 H1 SUKO HOMECO SP15K'!$B$3</f>
        <v>46114</v>
      </c>
      <c r="C2" s="8">
        <f>'2025 H1 SUKO HOMECO SP15K'!$C$2</f>
        <v>46120</v>
      </c>
      <c r="D2" s="10">
        <v>3357</v>
      </c>
      <c r="E2" s="10">
        <v>340</v>
      </c>
      <c r="F2" s="10">
        <v>6</v>
      </c>
      <c r="G2" s="10">
        <v>5</v>
      </c>
      <c r="H2" s="10">
        <v>81825</v>
      </c>
      <c r="I2" s="10"/>
      <c r="J2" s="10">
        <v>52311014</v>
      </c>
      <c r="K2" s="10" t="s">
        <v>64</v>
      </c>
      <c r="L2" s="10" t="s">
        <v>69</v>
      </c>
      <c r="M2" s="21">
        <v>89900</v>
      </c>
      <c r="N2" s="10" t="s">
        <v>20</v>
      </c>
      <c r="O2" s="21">
        <v>59000</v>
      </c>
      <c r="P2" s="10" t="s">
        <v>21</v>
      </c>
    </row>
    <row r="3" spans="1:16">
      <c r="A3" s="7" t="s">
        <v>74</v>
      </c>
      <c r="B3" s="8">
        <f>'2025 H1 SUKO HOMECO SP15K'!$B$3</f>
        <v>46114</v>
      </c>
      <c r="C3" s="8">
        <f>'2025 H1 SUKO HOMECO SP15K'!$C$2</f>
        <v>46120</v>
      </c>
      <c r="D3" s="10">
        <v>3357</v>
      </c>
      <c r="E3" s="10">
        <v>340</v>
      </c>
      <c r="F3" s="10">
        <v>6</v>
      </c>
      <c r="G3" s="10">
        <v>5</v>
      </c>
      <c r="H3" s="10">
        <v>81825</v>
      </c>
      <c r="I3" s="10"/>
      <c r="J3" s="10">
        <v>52311023</v>
      </c>
      <c r="K3" s="10" t="s">
        <v>65</v>
      </c>
      <c r="L3" s="10" t="s">
        <v>70</v>
      </c>
      <c r="M3" s="21">
        <v>89900</v>
      </c>
      <c r="N3" s="10" t="s">
        <v>20</v>
      </c>
      <c r="O3" s="21">
        <v>59000</v>
      </c>
      <c r="P3" s="10" t="s">
        <v>21</v>
      </c>
    </row>
    <row r="4" spans="1:16">
      <c r="A4" s="7" t="s">
        <v>74</v>
      </c>
      <c r="B4" s="8">
        <f>'2025 H1 SUKO HOMECO SP15K'!$B$3</f>
        <v>46114</v>
      </c>
      <c r="C4" s="8">
        <f>'2025 H1 SUKO HOMECO SP15K'!$C$2</f>
        <v>46120</v>
      </c>
      <c r="D4" s="10">
        <v>3357</v>
      </c>
      <c r="E4" s="10">
        <v>340</v>
      </c>
      <c r="F4" s="10">
        <v>6</v>
      </c>
      <c r="G4" s="10">
        <v>5</v>
      </c>
      <c r="H4" s="10">
        <v>81825</v>
      </c>
      <c r="I4" s="10"/>
      <c r="J4" s="10">
        <v>52323681</v>
      </c>
      <c r="K4" s="10" t="s">
        <v>66</v>
      </c>
      <c r="L4" s="10" t="s">
        <v>71</v>
      </c>
      <c r="M4" s="21">
        <v>89900</v>
      </c>
      <c r="N4" s="10" t="s">
        <v>20</v>
      </c>
      <c r="O4" s="21">
        <v>59000</v>
      </c>
      <c r="P4" s="10" t="s">
        <v>21</v>
      </c>
    </row>
    <row r="5" spans="1:16">
      <c r="A5" s="7" t="s">
        <v>74</v>
      </c>
      <c r="B5" s="8">
        <f>'2025 H1 SUKO HOMECO SP15K'!$B$3</f>
        <v>46114</v>
      </c>
      <c r="C5" s="8">
        <f>'2025 H1 SUKO HOMECO SP15K'!$C$2</f>
        <v>46120</v>
      </c>
      <c r="D5" s="10">
        <v>3357</v>
      </c>
      <c r="E5" s="10">
        <v>340</v>
      </c>
      <c r="F5" s="10">
        <v>6</v>
      </c>
      <c r="G5" s="10">
        <v>5</v>
      </c>
      <c r="H5" s="10">
        <v>81830</v>
      </c>
      <c r="I5" s="10"/>
      <c r="J5" s="10">
        <v>54568057</v>
      </c>
      <c r="K5" s="10" t="s">
        <v>67</v>
      </c>
      <c r="L5" s="10" t="s">
        <v>72</v>
      </c>
      <c r="M5" s="21">
        <v>89900</v>
      </c>
      <c r="N5" s="10" t="s">
        <v>20</v>
      </c>
      <c r="O5" s="21">
        <v>59000</v>
      </c>
      <c r="P5" s="10" t="s">
        <v>21</v>
      </c>
    </row>
    <row r="6" spans="1:16">
      <c r="A6" s="7" t="s">
        <v>74</v>
      </c>
      <c r="B6" s="8">
        <f>'2025 H1 SUKO HOMECO SP15K'!$B$3</f>
        <v>46114</v>
      </c>
      <c r="C6" s="8">
        <f>'2025 H1 SUKO HOMECO SP15K'!$C$2</f>
        <v>46120</v>
      </c>
      <c r="D6" s="10">
        <v>3357</v>
      </c>
      <c r="E6" s="10">
        <v>340</v>
      </c>
      <c r="F6" s="10">
        <v>6</v>
      </c>
      <c r="G6" s="10">
        <v>5</v>
      </c>
      <c r="H6" s="10">
        <v>81830</v>
      </c>
      <c r="I6" s="10"/>
      <c r="J6" s="10">
        <v>54568084</v>
      </c>
      <c r="K6" s="10" t="s">
        <v>68</v>
      </c>
      <c r="L6" s="10" t="s">
        <v>73</v>
      </c>
      <c r="M6" s="21">
        <v>99900</v>
      </c>
      <c r="N6" s="10" t="s">
        <v>20</v>
      </c>
      <c r="O6" s="21">
        <v>59000</v>
      </c>
      <c r="P6" s="10" t="s">
        <v>21</v>
      </c>
    </row>
  </sheetData>
  <conditionalFormatting sqref="J1">
    <cfRule type="duplicateValues" dxfId="8" priority="1"/>
    <cfRule type="duplicateValues" dxfId="7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"/>
  <sheetViews>
    <sheetView zoomScale="55" zoomScaleNormal="55" workbookViewId="0">
      <selection activeCell="A2" sqref="A2:C3"/>
    </sheetView>
  </sheetViews>
  <sheetFormatPr defaultColWidth="8.7265625" defaultRowHeight="14.5"/>
  <cols>
    <col min="1" max="1" width="31.36328125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6.08984375" style="1" customWidth="1"/>
    <col min="10" max="10" width="9.1796875" style="1" customWidth="1"/>
    <col min="11" max="11" width="15.453125" style="1" bestFit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2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22" t="s">
        <v>14</v>
      </c>
      <c r="P1" s="5" t="s">
        <v>15</v>
      </c>
    </row>
    <row r="2" spans="1:16">
      <c r="A2" s="7" t="s">
        <v>63</v>
      </c>
      <c r="B2" s="8">
        <f>'2025 H1 SUKO HOMECO SP15K'!$B$3</f>
        <v>46114</v>
      </c>
      <c r="C2" s="8">
        <f>'2025 H1 SUKO HOMECO SP15K'!$C$2</f>
        <v>46120</v>
      </c>
      <c r="D2" s="9">
        <v>3357</v>
      </c>
      <c r="E2" s="9">
        <v>340</v>
      </c>
      <c r="F2" s="9">
        <v>6</v>
      </c>
      <c r="G2" s="9">
        <v>3</v>
      </c>
      <c r="H2" s="10">
        <v>81837</v>
      </c>
      <c r="I2" s="9" t="s">
        <v>43</v>
      </c>
      <c r="J2" s="10">
        <v>52569461</v>
      </c>
      <c r="K2" s="10" t="s">
        <v>44</v>
      </c>
      <c r="L2" s="10" t="s">
        <v>45</v>
      </c>
      <c r="M2" s="13">
        <v>149900</v>
      </c>
      <c r="N2" s="14" t="s">
        <v>20</v>
      </c>
      <c r="O2" s="21">
        <v>59000</v>
      </c>
      <c r="P2" s="15" t="s">
        <v>21</v>
      </c>
    </row>
    <row r="3" spans="1:16">
      <c r="A3" s="7" t="s">
        <v>63</v>
      </c>
      <c r="B3" s="8">
        <f>'2025 H1 SUKO HOMECO SP15K'!$B$3</f>
        <v>46114</v>
      </c>
      <c r="C3" s="8">
        <f>'2025 H1 SUKO HOMECO SP15K'!$C$2</f>
        <v>46120</v>
      </c>
      <c r="D3" s="9">
        <v>3357</v>
      </c>
      <c r="E3" s="9">
        <v>340</v>
      </c>
      <c r="F3" s="9">
        <v>6</v>
      </c>
      <c r="G3" s="9">
        <v>3</v>
      </c>
      <c r="H3" s="10">
        <v>81837</v>
      </c>
      <c r="I3" s="9" t="s">
        <v>43</v>
      </c>
      <c r="J3" s="10">
        <v>52569470</v>
      </c>
      <c r="K3" s="10" t="s">
        <v>44</v>
      </c>
      <c r="L3" s="10" t="s">
        <v>46</v>
      </c>
      <c r="M3" s="13">
        <v>149900</v>
      </c>
      <c r="N3" s="14" t="s">
        <v>20</v>
      </c>
      <c r="O3" s="21">
        <v>59000</v>
      </c>
      <c r="P3" s="15" t="s">
        <v>21</v>
      </c>
    </row>
    <row r="4" spans="1:16">
      <c r="A4" s="7" t="s">
        <v>63</v>
      </c>
      <c r="B4" s="8">
        <f>'2025 H1 SUKO HOMECO SP15K'!$B$3</f>
        <v>46114</v>
      </c>
      <c r="C4" s="8">
        <f>'2025 H1 SUKO HOMECO SP15K'!$C$2</f>
        <v>46120</v>
      </c>
      <c r="D4" s="9">
        <v>3357</v>
      </c>
      <c r="E4" s="9">
        <v>340</v>
      </c>
      <c r="F4" s="9">
        <v>6</v>
      </c>
      <c r="G4" s="9">
        <v>3</v>
      </c>
      <c r="H4" s="10">
        <v>81837</v>
      </c>
      <c r="I4" s="9" t="s">
        <v>43</v>
      </c>
      <c r="J4" s="10">
        <v>52569489</v>
      </c>
      <c r="K4" s="10" t="s">
        <v>47</v>
      </c>
      <c r="L4" s="10" t="s">
        <v>48</v>
      </c>
      <c r="M4" s="13">
        <v>199900</v>
      </c>
      <c r="N4" s="14" t="s">
        <v>20</v>
      </c>
      <c r="O4" s="21">
        <v>59000</v>
      </c>
      <c r="P4" s="15" t="s">
        <v>21</v>
      </c>
    </row>
    <row r="5" spans="1:16">
      <c r="A5" s="7" t="s">
        <v>63</v>
      </c>
      <c r="B5" s="8">
        <f>'2025 H1 SUKO HOMECO SP15K'!$B$3</f>
        <v>46114</v>
      </c>
      <c r="C5" s="8">
        <f>'2025 H1 SUKO HOMECO SP15K'!$C$2</f>
        <v>46120</v>
      </c>
      <c r="D5" s="9">
        <v>3357</v>
      </c>
      <c r="E5" s="9">
        <v>340</v>
      </c>
      <c r="F5" s="9">
        <v>6</v>
      </c>
      <c r="G5" s="9">
        <v>3</v>
      </c>
      <c r="H5" s="10">
        <v>81837</v>
      </c>
      <c r="I5" s="9" t="s">
        <v>43</v>
      </c>
      <c r="J5" s="10">
        <v>53340679</v>
      </c>
      <c r="K5" s="10" t="s">
        <v>49</v>
      </c>
      <c r="L5" s="10" t="s">
        <v>50</v>
      </c>
      <c r="M5" s="13">
        <v>169900</v>
      </c>
      <c r="N5" s="14" t="s">
        <v>20</v>
      </c>
      <c r="O5" s="21">
        <v>59000</v>
      </c>
      <c r="P5" s="15" t="s">
        <v>21</v>
      </c>
    </row>
    <row r="6" spans="1:16">
      <c r="A6" s="7" t="s">
        <v>63</v>
      </c>
      <c r="B6" s="8">
        <f>'2025 H1 SUKO HOMECO SP15K'!$B$3</f>
        <v>46114</v>
      </c>
      <c r="C6" s="8">
        <f>'2025 H1 SUKO HOMECO SP15K'!$C$2</f>
        <v>46120</v>
      </c>
      <c r="D6" s="9">
        <v>3357</v>
      </c>
      <c r="E6" s="9">
        <v>340</v>
      </c>
      <c r="F6" s="9">
        <v>6</v>
      </c>
      <c r="G6" s="9">
        <v>3</v>
      </c>
      <c r="H6" s="10">
        <v>81837</v>
      </c>
      <c r="I6" s="9" t="s">
        <v>43</v>
      </c>
      <c r="J6" s="10">
        <v>53340688</v>
      </c>
      <c r="K6" s="10" t="s">
        <v>49</v>
      </c>
      <c r="L6" s="10" t="s">
        <v>51</v>
      </c>
      <c r="M6" s="13">
        <v>169900</v>
      </c>
      <c r="N6" s="14" t="s">
        <v>20</v>
      </c>
      <c r="O6" s="21">
        <v>59000</v>
      </c>
      <c r="P6" s="15" t="s">
        <v>21</v>
      </c>
    </row>
    <row r="7" spans="1:16">
      <c r="A7" s="7" t="s">
        <v>63</v>
      </c>
      <c r="B7" s="8">
        <f>'2025 H1 SUKO HOMECO SP15K'!$B$3</f>
        <v>46114</v>
      </c>
      <c r="C7" s="8">
        <f>'2025 H1 SUKO HOMECO SP15K'!$C$2</f>
        <v>46120</v>
      </c>
      <c r="D7" s="9">
        <v>3357</v>
      </c>
      <c r="E7" s="9">
        <v>340</v>
      </c>
      <c r="F7" s="9">
        <v>6</v>
      </c>
      <c r="G7" s="9">
        <v>3</v>
      </c>
      <c r="H7" s="10">
        <v>81837</v>
      </c>
      <c r="I7" s="9" t="s">
        <v>43</v>
      </c>
      <c r="J7" s="10">
        <v>53340697</v>
      </c>
      <c r="K7" s="10" t="s">
        <v>49</v>
      </c>
      <c r="L7" s="10" t="s">
        <v>52</v>
      </c>
      <c r="M7" s="13">
        <v>169900</v>
      </c>
      <c r="N7" s="14" t="s">
        <v>20</v>
      </c>
      <c r="O7" s="21">
        <v>59000</v>
      </c>
      <c r="P7" s="15" t="s">
        <v>21</v>
      </c>
    </row>
    <row r="8" spans="1:16">
      <c r="A8" s="7" t="s">
        <v>63</v>
      </c>
      <c r="B8" s="8">
        <f>'2025 H1 SUKO HOMECO SP15K'!$B$3</f>
        <v>46114</v>
      </c>
      <c r="C8" s="8">
        <f>'2025 H1 SUKO HOMECO SP15K'!$C$2</f>
        <v>46120</v>
      </c>
      <c r="D8" s="9">
        <v>3357</v>
      </c>
      <c r="E8" s="9">
        <v>340</v>
      </c>
      <c r="F8" s="9">
        <v>6</v>
      </c>
      <c r="G8" s="9">
        <v>3</v>
      </c>
      <c r="H8" s="10">
        <v>81837</v>
      </c>
      <c r="I8" s="9" t="s">
        <v>43</v>
      </c>
      <c r="J8" s="10">
        <v>53340704</v>
      </c>
      <c r="K8" s="10" t="s">
        <v>53</v>
      </c>
      <c r="L8" s="10" t="s">
        <v>54</v>
      </c>
      <c r="M8" s="13">
        <v>169900</v>
      </c>
      <c r="N8" s="14" t="s">
        <v>20</v>
      </c>
      <c r="O8" s="21">
        <v>59000</v>
      </c>
      <c r="P8" s="15" t="s">
        <v>21</v>
      </c>
    </row>
  </sheetData>
  <conditionalFormatting sqref="J1">
    <cfRule type="duplicateValues" dxfId="6" priority="4"/>
  </conditionalFormatting>
  <conditionalFormatting sqref="J1:J1048576">
    <cfRule type="duplicateValues" dxfId="5" priority="1"/>
  </conditionalFormatting>
  <conditionalFormatting sqref="J2">
    <cfRule type="duplicateValues" dxfId="4" priority="3"/>
  </conditionalFormatting>
  <conditionalFormatting sqref="J3">
    <cfRule type="duplicateValues" dxfId="3" priority="2"/>
  </conditionalFormatting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6"/>
  <sheetViews>
    <sheetView zoomScale="55" zoomScaleNormal="55" workbookViewId="0">
      <selection activeCell="L2" sqref="L2"/>
    </sheetView>
  </sheetViews>
  <sheetFormatPr defaultColWidth="8.7265625" defaultRowHeight="14.5"/>
  <cols>
    <col min="1" max="1" width="31.36328125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6.08984375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62</v>
      </c>
      <c r="B2" s="8">
        <f>'2025 H1 SUKO HOMECO SP15K'!$B$3</f>
        <v>46114</v>
      </c>
      <c r="C2" s="8">
        <f>'2025 H1 SUKO HOMECO SP15K'!$C$2</f>
        <v>46120</v>
      </c>
      <c r="D2" s="9">
        <v>3357</v>
      </c>
      <c r="E2" s="9">
        <v>340</v>
      </c>
      <c r="F2" s="9">
        <v>6</v>
      </c>
      <c r="G2" s="9">
        <v>3</v>
      </c>
      <c r="H2" s="10">
        <v>81832</v>
      </c>
      <c r="I2" s="9" t="s">
        <v>43</v>
      </c>
      <c r="J2" s="10">
        <v>52475222</v>
      </c>
      <c r="K2" s="10" t="s">
        <v>55</v>
      </c>
      <c r="L2" s="10" t="s">
        <v>56</v>
      </c>
      <c r="M2" s="13">
        <v>249000</v>
      </c>
      <c r="N2" s="14" t="s">
        <v>20</v>
      </c>
      <c r="O2" s="21">
        <v>99000</v>
      </c>
      <c r="P2" s="15" t="s">
        <v>21</v>
      </c>
    </row>
    <row r="3" spans="1:16">
      <c r="A3" s="7" t="s">
        <v>62</v>
      </c>
      <c r="B3" s="8">
        <f>'2025 H1 SUKO HOMECO SP15K'!$B$3</f>
        <v>46114</v>
      </c>
      <c r="C3" s="8">
        <f>'2025 H1 SUKO HOMECO SP15K'!$C$2</f>
        <v>46120</v>
      </c>
      <c r="D3" s="9">
        <v>3357</v>
      </c>
      <c r="E3" s="9">
        <v>340</v>
      </c>
      <c r="F3" s="9">
        <v>6</v>
      </c>
      <c r="G3" s="9">
        <v>3</v>
      </c>
      <c r="H3" s="10">
        <v>81837</v>
      </c>
      <c r="I3" s="9" t="s">
        <v>43</v>
      </c>
      <c r="J3" s="10">
        <v>54560242</v>
      </c>
      <c r="K3" s="10" t="s">
        <v>57</v>
      </c>
      <c r="L3" s="10" t="s">
        <v>58</v>
      </c>
      <c r="M3" s="13">
        <v>279900</v>
      </c>
      <c r="N3" s="14" t="s">
        <v>20</v>
      </c>
      <c r="O3" s="21">
        <v>99000</v>
      </c>
      <c r="P3" s="15" t="s">
        <v>21</v>
      </c>
    </row>
    <row r="4" spans="1:16">
      <c r="A4" s="7" t="s">
        <v>62</v>
      </c>
      <c r="B4" s="8">
        <f>'2025 H1 SUKO HOMECO SP15K'!$B$3</f>
        <v>46114</v>
      </c>
      <c r="C4" s="8">
        <f>'2025 H1 SUKO HOMECO SP15K'!$C$2</f>
        <v>46120</v>
      </c>
      <c r="D4" s="9">
        <v>3357</v>
      </c>
      <c r="E4" s="9">
        <v>340</v>
      </c>
      <c r="F4" s="9">
        <v>6</v>
      </c>
      <c r="G4" s="9">
        <v>3</v>
      </c>
      <c r="H4" s="10">
        <v>81837</v>
      </c>
      <c r="I4" s="9" t="s">
        <v>43</v>
      </c>
      <c r="J4" s="10">
        <v>54560251</v>
      </c>
      <c r="K4" s="10" t="s">
        <v>57</v>
      </c>
      <c r="L4" s="10" t="s">
        <v>59</v>
      </c>
      <c r="M4" s="13">
        <v>279900</v>
      </c>
      <c r="N4" s="14" t="s">
        <v>20</v>
      </c>
      <c r="O4" s="21">
        <v>99000</v>
      </c>
      <c r="P4" s="15" t="s">
        <v>21</v>
      </c>
    </row>
    <row r="5" spans="1:16">
      <c r="A5" s="7" t="s">
        <v>62</v>
      </c>
      <c r="B5" s="8">
        <f>'2025 H1 SUKO HOMECO SP15K'!$B$3</f>
        <v>46114</v>
      </c>
      <c r="C5" s="8">
        <f>'2025 H1 SUKO HOMECO SP15K'!$C$2</f>
        <v>46120</v>
      </c>
      <c r="D5" s="9">
        <v>3357</v>
      </c>
      <c r="E5" s="9">
        <v>340</v>
      </c>
      <c r="F5" s="9">
        <v>6</v>
      </c>
      <c r="G5" s="9">
        <v>3</v>
      </c>
      <c r="H5" s="10">
        <v>81837</v>
      </c>
      <c r="I5" s="9" t="s">
        <v>43</v>
      </c>
      <c r="J5" s="10">
        <v>54560260</v>
      </c>
      <c r="K5" s="10" t="s">
        <v>57</v>
      </c>
      <c r="L5" s="10" t="s">
        <v>60</v>
      </c>
      <c r="M5" s="13">
        <v>279900</v>
      </c>
      <c r="N5" s="14" t="s">
        <v>20</v>
      </c>
      <c r="O5" s="21">
        <v>99000</v>
      </c>
      <c r="P5" s="15" t="s">
        <v>21</v>
      </c>
    </row>
    <row r="6" spans="1:16">
      <c r="A6" s="7" t="s">
        <v>62</v>
      </c>
      <c r="B6" s="8">
        <f>'2025 H1 SUKO HOMECO SP15K'!$B$3</f>
        <v>46114</v>
      </c>
      <c r="C6" s="8">
        <f>'2025 H1 SUKO HOMECO SP15K'!$C$2</f>
        <v>46120</v>
      </c>
      <c r="D6" s="9">
        <v>3357</v>
      </c>
      <c r="E6" s="9">
        <v>340</v>
      </c>
      <c r="F6" s="9">
        <v>6</v>
      </c>
      <c r="G6" s="9">
        <v>3</v>
      </c>
      <c r="H6" s="10">
        <v>81837</v>
      </c>
      <c r="I6" s="9" t="s">
        <v>43</v>
      </c>
      <c r="J6" s="10">
        <v>54560279</v>
      </c>
      <c r="K6" s="10" t="s">
        <v>57</v>
      </c>
      <c r="L6" s="10" t="s">
        <v>61</v>
      </c>
      <c r="M6" s="13">
        <v>279900</v>
      </c>
      <c r="N6" s="14" t="s">
        <v>20</v>
      </c>
      <c r="O6" s="21">
        <v>99000</v>
      </c>
      <c r="P6" s="15" t="s">
        <v>21</v>
      </c>
    </row>
  </sheetData>
  <conditionalFormatting sqref="J1">
    <cfRule type="duplicateValues" dxfId="2" priority="4"/>
  </conditionalFormatting>
  <conditionalFormatting sqref="J1:J1048576">
    <cfRule type="duplicateValues" dxfId="1" priority="1"/>
  </conditionalFormatting>
  <conditionalFormatting sqref="J2">
    <cfRule type="duplicateValues" dxfId="0" priority="3"/>
  </conditionalFormatting>
  <pageMargins left="0.7" right="0.7" top="0.75" bottom="0.75" header="0.3" footer="0.3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A6F357-3EA2-4B3D-B529-012C2C29971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00B6BD6A-7CF5-4B36-943B-9A5D9AACE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CE8203-9443-4CBF-ADB9-3AD8CEF77D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H1 SUKO HOMECO SP15K</vt:lpstr>
      <vt:lpstr>2025 H1 SUKO HOMECO SP25K</vt:lpstr>
      <vt:lpstr>2025 H1 HOME LIVING SP199K</vt:lpstr>
      <vt:lpstr>2025 H1 HOME LIVING SP59K</vt:lpstr>
      <vt:lpstr>2025 H1 SUKO TUMBLER SP59K</vt:lpstr>
      <vt:lpstr>2025 H1 SUKO TUMBLER SP99K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M201970</dc:creator>
  <cp:lastModifiedBy>Diva Inchristy Fabiola Tileng</cp:lastModifiedBy>
  <dcterms:created xsi:type="dcterms:W3CDTF">2025-06-03T04:41:00Z</dcterms:created>
  <dcterms:modified xsi:type="dcterms:W3CDTF">2026-03-30T11:41:07Z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FC10BD5FE77F4D85929B68F6F17B8EDE_13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0x010100ECFFBE92503E754D94F539423CCECE70</vt:lpwstr>
  </property>
  <property fmtid="{D5CDD505-2E9C-101B-9397-08002B2CF9AE}" pid="5" name="MediaServiceImageTags">
    <vt:lpwstr/>
  </property>
</Properties>
</file>