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GMS/WK 14/"/>
    </mc:Choice>
  </mc:AlternateContent>
  <xr:revisionPtr revIDLastSave="69" documentId="11_39B0D06FE819F4A9252447943717BEC8F14989BE" xr6:coauthVersionLast="47" xr6:coauthVersionMax="47" xr10:uidLastSave="{51F52C85-3753-4E7D-91C2-7E6378F0D57E}"/>
  <bookViews>
    <workbookView xWindow="-110" yWindow="-110" windowWidth="19420" windowHeight="10300" xr2:uid="{00000000-000D-0000-FFFF-FFFF00000000}"/>
  </bookViews>
  <sheets>
    <sheet name="2025 H1 SUKO B1D60" sheetId="6" r:id="rId1"/>
    <sheet name="2025 H1 SUKO B1D50" sheetId="1" r:id="rId2"/>
    <sheet name="2024 H2 TOWEL SUKO B1D20 B2G1" sheetId="2" r:id="rId3"/>
    <sheet name="2025 H1 TOWEL SUKO B1D20 B2G1" sheetId="4" r:id="rId4"/>
    <sheet name="2025 H2 TOWEL SUKO B1D20 B2G1" sheetId="5" r:id="rId5"/>
  </sheets>
  <definedNames>
    <definedName name="_xlnm._FilterDatabase" localSheetId="2" hidden="1">'2024 H2 TOWEL SUKO B1D20 B2G1'!$A$1:$P$10</definedName>
    <definedName name="_xlnm._FilterDatabase" localSheetId="1" hidden="1">'2025 H1 SUKO B1D50'!$A$1:$P$7</definedName>
    <definedName name="_xlnm._FilterDatabase" localSheetId="0" hidden="1">'2025 H1 SUKO B1D60'!$A$1:$P$10</definedName>
    <definedName name="_xlnm._FilterDatabase" localSheetId="3" hidden="1">'2025 H1 TOWEL SUKO B1D20 B2G1'!$A$1:$P$5</definedName>
    <definedName name="_xlnm._FilterDatabase" localSheetId="4" hidden="1">'2025 H2 TOWEL SUKO B1D20 B2G1'!$A$1:$P$11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" i="6" l="1"/>
  <c r="O9" i="6"/>
  <c r="O8" i="6"/>
  <c r="O7" i="6"/>
  <c r="O6" i="6"/>
  <c r="O5" i="6"/>
  <c r="O4" i="6"/>
  <c r="O3" i="6"/>
  <c r="O2" i="6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<sst xmlns="http://schemas.openxmlformats.org/spreadsheetml/2006/main" count="316" uniqueCount="93">
  <si>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</si>
  <si>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</si>
  <si>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</si>
  <si>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</si>
  <si>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</si>
  <si>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</si>
  <si>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</si>
  <si>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</si>
  <si>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</si>
  <si>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</si>
  <si>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</si>
  <si>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</si>
  <si>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</si>
  <si>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</si>
  <si>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</si>
  <si>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</si>
  <si>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SUKO CT B1D50</t>
  </si>
  <si>
    <t>SUKO</t>
  </si>
  <si>
    <t>FDCNT280</t>
  </si>
  <si>
    <t>CONTAINER FOOD CONTAINER 280ML FDCNT280:ASSORTIVE COLOR:F:SOLID:CONTAINER</t>
  </si>
  <si>
    <t>PERCENTAGE</t>
  </si>
  <si>
    <t>FDCNT750ML</t>
  </si>
  <si>
    <t>CONTAINER FOOD CONTAINER SEGI 750 ML FDCNT750ML:ASSORTIVE COLOR:F:SOLID:CONTAINER</t>
  </si>
  <si>
    <t>FDCNT800</t>
  </si>
  <si>
    <t>CONTAINER FOOD CONTAINER SEGI 800 ML FDCNT800:ASSORTIVE COLOR:F:SOLID:CONTAINER</t>
  </si>
  <si>
    <t>FDCNT700</t>
  </si>
  <si>
    <t>CONTAINER FOOD 700ML FDCNT700:ASSORTIVE COLOR:F:SOLID:CONTAINER</t>
  </si>
  <si>
    <t>FDCNT620</t>
  </si>
  <si>
    <t>CONTAINER FOOD CONTAINER 620ML FDCNT620:ASSORTIVE COLOR:F:SOLID:CONTAINER</t>
  </si>
  <si>
    <t>FDCNTSET</t>
  </si>
  <si>
    <t>CONTAINER FOOD CONTAINER SET FDCNTSET:ASSORTIVE COLOR:F:SOLID:CONTAINER</t>
  </si>
  <si>
    <t>FDCNT</t>
  </si>
  <si>
    <t>CONTAINER FOOD 7365 FDCNT:ASSORTIVE COLOR:F:SOLID:CONTAINER</t>
  </si>
  <si>
    <t>FDCNT1020</t>
  </si>
  <si>
    <t>CONTAINER FOOD CONTAINER 1020ML FDCNT1020:ASSORTIVE COLOR:F:SOLID:CONTAINER</t>
  </si>
  <si>
    <t>FDCNT750</t>
  </si>
  <si>
    <t>CONTAINER FOOD CONTAINER 750ML FDCNT750:ASSORTIVE COLOR:F:SOLID:CONTAINER</t>
  </si>
  <si>
    <t>STGBOX900</t>
  </si>
  <si>
    <t>STORAGE ORGANIZER BOX 900ML STGBOX900:ASSORTIVE COLOR:F:SOLID:STORAGE</t>
  </si>
  <si>
    <t>STGBOX1700</t>
  </si>
  <si>
    <t>STORAGE ORGANIZER BOX 1700ML STGBOX1700:ASSORTIVE COLOR:F:SOLID:STORAGE</t>
  </si>
  <si>
    <t>STGBON3100</t>
  </si>
  <si>
    <t>STORAGE ORGANIZER BOX 3100ML STGBON3100:ASSORTIVE COLOR:F:SOLID:STORAGE</t>
  </si>
  <si>
    <t>LNCHKT</t>
  </si>
  <si>
    <t>LUNCH BOX SOFT LUNCH KIT LNCHKT:ASSORTIVE COLOR:F:SOLID:LUNCH BOX</t>
  </si>
  <si>
    <t>TMSMP</t>
  </si>
  <si>
    <t>BIN TEMPAT SAMPAH 1200ML TMSMP:ASSORTIVE COLOR:F:SOLID:BIN</t>
  </si>
  <si>
    <t>DSTBN45</t>
  </si>
  <si>
    <t>BIN DUSTBIN 4 5L DSTBN45:ASSORTIVE COLOR:F:SOLID:BIN</t>
  </si>
  <si>
    <t>2024 H2 TOWEL SUKO B1D20 B2G1</t>
  </si>
  <si>
    <t>SKTWPNK</t>
  </si>
  <si>
    <t>TOWEL SUKO TRAVEL 360GSM DOBBY PD SKTWPNK:DUSTY PINK:F:SOLID:TOWEL</t>
  </si>
  <si>
    <t>BXGY</t>
  </si>
  <si>
    <t xml:space="preserve"> B1D20%/B2G1</t>
  </si>
  <si>
    <t>SKTWNVY</t>
  </si>
  <si>
    <t>TOWEL SUKO TRAVEL 360GSM DOBBY PD SKTWNVY:NAVY BLUE:F:SOLID:TOWEL</t>
  </si>
  <si>
    <t>SKBTGRN</t>
  </si>
  <si>
    <t>TOWEL SUKO BATH 360GSM DOBBY PD SKBTGRN:CLASSIC GREEN:F:SOLID:TOWEL</t>
  </si>
  <si>
    <t>SKTWGRY</t>
  </si>
  <si>
    <t>TOWEL SUKO TRAVEL 360GSM DOBBY PD SKTWGRY:PASTEL GREY:F:SOLID:TOWEL</t>
  </si>
  <si>
    <t>SKBTNVY</t>
  </si>
  <si>
    <t>TOWEL SUKO BATH 360GSM DOBBY PD SKBTNVY:NAVY BLUE:F:SOLID:TOWEL</t>
  </si>
  <si>
    <t>SKTWGRN</t>
  </si>
  <si>
    <t>TOWEL SUKO TRAVEL TOWEL 360GSM DOBBY PD SKTWGRN:CLASSIC GREEN:F:SOLID:TOWEL</t>
  </si>
  <si>
    <t>SKBTPNK</t>
  </si>
  <si>
    <t>TOWEL SUKO BATH 360GSM DOBBY PD SKBTPNK:DUSTY PINK:F:SOLID:TOWEL</t>
  </si>
  <si>
    <t>SKBTGRY</t>
  </si>
  <si>
    <t>TOWEL SUKO BATH 360GSM DOBBY PD SKBTGRY:PASTEL GREY:F:SOLID:TOWEL</t>
  </si>
  <si>
    <t>SKBTWHT</t>
  </si>
  <si>
    <t>TOWEL SUKO BATH 360GSM DOBBY PD SKBTWHT:WHITE:F:SOLID:TOWEL</t>
  </si>
  <si>
    <t>2025 H1 TOWEL SUKO B1D20 B2G1</t>
  </si>
  <si>
    <t>SKBTDRKGR</t>
  </si>
  <si>
    <t>TOWEL SUKO BATH TOWEL 360GSM DOBBY PD SKBTDRKGR:MISTY DARK GREY:F:SOLID:TOWEL</t>
  </si>
  <si>
    <t>SKTWDRKGR</t>
  </si>
  <si>
    <t>TOWEL SUKO TRAVEL TOWEL 360GSM DOBBY PD SKTWDRKGR:MISTY DARK GREY:F:SOLID:TOWEL</t>
  </si>
  <si>
    <t>SKBTMRN</t>
  </si>
  <si>
    <t>TOWEL SUKO BATH TOWEL 360GSM DOBBY PD SKBTMRN:MAROON:F:SOLID:TOWEL</t>
  </si>
  <si>
    <t>SKTWMRN</t>
  </si>
  <si>
    <t>TOWEL SUKO TRAVEL TOWEL 360GSM DOBBY PD SKTWMRN:MAROON:F:SOLID:TOWEL</t>
  </si>
  <si>
    <t>2025 H2 TOWEL SUKO B1D20 B2G1</t>
  </si>
  <si>
    <t>SKBT</t>
  </si>
  <si>
    <t>TOWEL SK BATH TOWEL 500GSM DOBBY PD SKBT:SAND:F:SOLID:TOWEL</t>
  </si>
  <si>
    <t>TOWEL SK BATH TOWEL 500GSM DOBBY PD SKBT:PASTEL GREY:F:SOLID:TOWEL</t>
  </si>
  <si>
    <t>TOWEL SK BATH TOWEL 500GSM DOBBY PD SKBT:LIGHT BROWN:F:SOLID:TOWEL</t>
  </si>
  <si>
    <t>TOWEL SK BATH TOWEL 500GSM DOBBY PD SKBT:WOOD BROWN:F:SOLID:TOWEL</t>
  </si>
  <si>
    <t>SKST</t>
  </si>
  <si>
    <t>TOWEL SUKO SPORT TOWEL 360GSM DOBBY PD SKST:PASTEL GREY:F:SOLID:TOWEL</t>
  </si>
  <si>
    <t>TOWEL SUKO SPORT TOWEL 360GSM DOBBY PD SKST:NAVY BLUE:F:SOLID:TOWEL</t>
  </si>
  <si>
    <t>TOWEL SUKO SPORT TOWEL 360GSM DOBBY PD SKST:DUSTY PINK:F:SOLID:TOWEL</t>
  </si>
  <si>
    <t>TOWEL SUKO SPORT TOWEL 360GSM DOBBY PD SKST:CLASSIC GREEN:F:SOLID:TOWEL</t>
  </si>
  <si>
    <t>TOWEL SUKO SPORT TOWEL 360GSM DOBBY PD SKST:MISTY DARK GREY:F:SOLID:TOWEL</t>
  </si>
  <si>
    <t>TOWEL SUKO SPORT TOWEL 360GSM DOBBY PD SKST:WHITE:F:SOLID:TOWEL</t>
  </si>
  <si>
    <t>2025 H1 SUKO CT B1D60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</si>
</sst>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 * #,##0_ ;_ * \-#,##0_ ;_ * &quot;-&quot;_ ;_ @_ 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/>
    <xf numFmtId="43" fontId="0" fillId="0" borderId="1" xfId="1" applyFont="1" applyFill="1" applyBorder="1" applyAlignment="1">
      <alignment horizontal="center" vertical="center"/>
    </xf>
    <xf numFmtId="9" fontId="3" fillId="0" borderId="1" xfId="2" applyFont="1" applyFill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1" xfId="1" applyFont="1" applyBorder="1" applyAlignment="1"/>
    <xf numFmtId="22" fontId="4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43" fontId="0" fillId="0" borderId="1" xfId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/>
    </xf>
    <xf numFmtId="43" fontId="4" fillId="0" borderId="1" xfId="1" applyFont="1" applyBorder="1" applyAlignment="1">
      <alignment horizontal="right"/>
    </xf>
    <xf numFmtId="0" fontId="0" fillId="0" borderId="1" xfId="0" applyFont="1" applyBorder="1" applyAlignment="1">
      <alignment horizontal="left" vertical="center"/>
    </xf>
    <xf numFmtId="43" fontId="0" fillId="0" borderId="1" xfId="1" applyFont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166" fontId="0" fillId="0" borderId="1" xfId="0" applyNumberFormat="1" applyBorder="1"/>
  </cellXfs>
  <cellStyles count="15">
    <cellStyle name="Comma" xfId="1" builtinId="3"/>
    <cellStyle name="Comma [0] 2" xfId="3" xr:uid="{00000000-0005-0000-0000-000031000000}"/>
    <cellStyle name="Comma [0] 2 2" xfId="4" xr:uid="{00000000-0005-0000-0000-000032000000}"/>
    <cellStyle name="Comma [0] 3 2" xfId="5" xr:uid="{00000000-0005-0000-0000-000033000000}"/>
    <cellStyle name="Comma 16 3" xfId="6" xr:uid="{00000000-0005-0000-0000-000034000000}"/>
    <cellStyle name="Comma 2" xfId="7" xr:uid="{00000000-0005-0000-0000-000035000000}"/>
    <cellStyle name="Comma 5 2" xfId="8" xr:uid="{00000000-0005-0000-0000-000036000000}"/>
    <cellStyle name="Comma 5 2 2" xfId="9" xr:uid="{00000000-0005-0000-0000-000037000000}"/>
    <cellStyle name="Comma 7 2" xfId="10" xr:uid="{00000000-0005-0000-0000-000038000000}"/>
    <cellStyle name="Normal" xfId="0" builtinId="0"/>
    <cellStyle name="Normal 2" xfId="11" xr:uid="{00000000-0005-0000-0000-000039000000}"/>
    <cellStyle name="Normal 2 2" xfId="12" xr:uid="{00000000-0005-0000-0000-00003A000000}"/>
    <cellStyle name="Normal 3" xfId="13" xr:uid="{00000000-0005-0000-0000-00003B000000}"/>
    <cellStyle name="Normal 4 3" xfId="14" xr:uid="{00000000-0005-0000-0000-00003C000000}"/>
    <cellStyle name="Percent" xfId="2" builtinId="5"/>
  </cellStyles>
  <dxfs count="6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5E08-1380-401E-A9F2-1E6C9638C1FD}">
  <sheetPr>
    <tabColor rgb="FF92D050"/>
  </sheetPr>
  <dimension ref="A1:P10"/>
  <sheetViews>
    <sheetView tabSelected="1" zoomScale="55" zoomScaleNormal="55" workbookViewId="0">
      <selection activeCell="B2" sqref="B2:C10"/>
    </sheetView>
  </sheetViews>
  <sheetFormatPr defaultColWidth="8.81640625" defaultRowHeight="14.5"/>
  <cols>
    <col min="1" max="1" width="37.1796875" customWidth="1"/>
    <col min="2" max="2" width="11.36328125" customWidth="1"/>
    <col min="3" max="3" width="13.08984375" customWidth="1"/>
    <col min="4" max="4" width="8.453125" customWidth="1"/>
    <col min="5" max="5" width="13.08984375" customWidth="1"/>
    <col min="6" max="6" width="8.81640625" customWidth="1"/>
    <col min="7" max="7" width="11.6328125" customWidth="1"/>
    <col min="8" max="8" width="12.81640625" customWidth="1"/>
    <col min="9" max="9" width="24.81640625" customWidth="1"/>
    <col min="10" max="10" width="14.6328125" customWidth="1"/>
    <col min="11" max="11" width="21.453125" customWidth="1"/>
    <col min="12" max="12" width="73.81640625" customWidth="1"/>
    <col min="13" max="13" width="15.453125" customWidth="1"/>
    <col min="14" max="14" width="11.6328125" customWidth="1"/>
    <col min="15" max="15" width="14.08984375" customWidth="1"/>
    <col min="16" max="16" width="1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21" t="s">
        <v>92</v>
      </c>
      <c r="B2" s="22">
        <v>46114</v>
      </c>
      <c r="C2" s="22">
        <v>46120</v>
      </c>
      <c r="D2" s="3">
        <v>3357</v>
      </c>
      <c r="E2" s="3">
        <v>340</v>
      </c>
      <c r="F2" s="3">
        <v>6</v>
      </c>
      <c r="G2" s="3">
        <v>3</v>
      </c>
      <c r="H2" s="3">
        <v>81832</v>
      </c>
      <c r="I2" s="3" t="s">
        <v>17</v>
      </c>
      <c r="J2" s="14">
        <v>52239022</v>
      </c>
      <c r="K2" s="14" t="s">
        <v>18</v>
      </c>
      <c r="L2" s="15" t="s">
        <v>19</v>
      </c>
      <c r="M2" s="5">
        <v>29900</v>
      </c>
      <c r="N2" s="6">
        <v>0.6</v>
      </c>
      <c r="O2" s="7">
        <f t="shared" ref="O2:O10" si="0">M2*(1-N2)</f>
        <v>11960</v>
      </c>
      <c r="P2" s="3" t="s">
        <v>20</v>
      </c>
    </row>
    <row r="3" spans="1:16">
      <c r="A3" s="21" t="s">
        <v>92</v>
      </c>
      <c r="B3" s="22">
        <v>46114</v>
      </c>
      <c r="C3" s="22">
        <v>46120</v>
      </c>
      <c r="D3" s="3">
        <v>3357</v>
      </c>
      <c r="E3" s="3">
        <v>340</v>
      </c>
      <c r="F3" s="3">
        <v>6</v>
      </c>
      <c r="G3" s="3">
        <v>3</v>
      </c>
      <c r="H3" s="10">
        <v>81834</v>
      </c>
      <c r="I3" s="3" t="s">
        <v>17</v>
      </c>
      <c r="J3" s="14">
        <v>52547770</v>
      </c>
      <c r="K3" s="14" t="s">
        <v>21</v>
      </c>
      <c r="L3" s="15" t="s">
        <v>22</v>
      </c>
      <c r="M3" s="16">
        <v>29900</v>
      </c>
      <c r="N3" s="6">
        <v>0.6</v>
      </c>
      <c r="O3" s="7">
        <f t="shared" si="0"/>
        <v>11960</v>
      </c>
      <c r="P3" s="3" t="s">
        <v>20</v>
      </c>
    </row>
    <row r="4" spans="1:16">
      <c r="A4" s="21" t="s">
        <v>92</v>
      </c>
      <c r="B4" s="22">
        <v>46114</v>
      </c>
      <c r="C4" s="22">
        <v>46120</v>
      </c>
      <c r="D4" s="3">
        <v>3357</v>
      </c>
      <c r="E4" s="3">
        <v>340</v>
      </c>
      <c r="F4" s="3">
        <v>6</v>
      </c>
      <c r="G4" s="3">
        <v>3</v>
      </c>
      <c r="H4" s="10">
        <v>81834</v>
      </c>
      <c r="I4" s="3" t="s">
        <v>17</v>
      </c>
      <c r="J4" s="14">
        <v>52547789</v>
      </c>
      <c r="K4" s="14" t="s">
        <v>23</v>
      </c>
      <c r="L4" s="15" t="s">
        <v>24</v>
      </c>
      <c r="M4" s="16">
        <v>32900</v>
      </c>
      <c r="N4" s="6">
        <v>0.6</v>
      </c>
      <c r="O4" s="7">
        <f t="shared" si="0"/>
        <v>13160</v>
      </c>
      <c r="P4" s="3" t="s">
        <v>20</v>
      </c>
    </row>
    <row r="5" spans="1:16">
      <c r="A5" s="21" t="s">
        <v>92</v>
      </c>
      <c r="B5" s="22">
        <v>46114</v>
      </c>
      <c r="C5" s="22">
        <v>46120</v>
      </c>
      <c r="D5" s="3">
        <v>3357</v>
      </c>
      <c r="E5" s="3">
        <v>340</v>
      </c>
      <c r="F5" s="3">
        <v>6</v>
      </c>
      <c r="G5" s="3">
        <v>3</v>
      </c>
      <c r="H5" s="11">
        <v>81824</v>
      </c>
      <c r="I5" s="3" t="s">
        <v>17</v>
      </c>
      <c r="J5" s="14">
        <v>52238925</v>
      </c>
      <c r="K5" s="14" t="s">
        <v>25</v>
      </c>
      <c r="L5" s="15" t="s">
        <v>26</v>
      </c>
      <c r="M5" s="16">
        <v>39900</v>
      </c>
      <c r="N5" s="6">
        <v>0.6</v>
      </c>
      <c r="O5" s="7">
        <f t="shared" si="0"/>
        <v>15960</v>
      </c>
      <c r="P5" s="3" t="s">
        <v>20</v>
      </c>
    </row>
    <row r="6" spans="1:16">
      <c r="A6" s="21" t="s">
        <v>92</v>
      </c>
      <c r="B6" s="22">
        <v>46114</v>
      </c>
      <c r="C6" s="22">
        <v>46120</v>
      </c>
      <c r="D6" s="3">
        <v>3357</v>
      </c>
      <c r="E6" s="3">
        <v>340</v>
      </c>
      <c r="F6" s="3">
        <v>6</v>
      </c>
      <c r="G6" s="3">
        <v>3</v>
      </c>
      <c r="H6" s="3">
        <v>81832</v>
      </c>
      <c r="I6" s="3" t="s">
        <v>17</v>
      </c>
      <c r="J6" s="14">
        <v>52239031</v>
      </c>
      <c r="K6" s="14" t="s">
        <v>27</v>
      </c>
      <c r="L6" s="15" t="s">
        <v>28</v>
      </c>
      <c r="M6" s="16">
        <v>39900</v>
      </c>
      <c r="N6" s="6">
        <v>0.6</v>
      </c>
      <c r="O6" s="7">
        <f t="shared" si="0"/>
        <v>15960</v>
      </c>
      <c r="P6" s="3" t="s">
        <v>20</v>
      </c>
    </row>
    <row r="7" spans="1:16">
      <c r="A7" s="21" t="s">
        <v>92</v>
      </c>
      <c r="B7" s="22">
        <v>46114</v>
      </c>
      <c r="C7" s="22">
        <v>46120</v>
      </c>
      <c r="D7" s="3">
        <v>3357</v>
      </c>
      <c r="E7" s="3">
        <v>340</v>
      </c>
      <c r="F7" s="3">
        <v>6</v>
      </c>
      <c r="G7" s="3">
        <v>3</v>
      </c>
      <c r="H7" s="10">
        <v>81834</v>
      </c>
      <c r="I7" s="3" t="s">
        <v>17</v>
      </c>
      <c r="J7" s="14">
        <v>52547798</v>
      </c>
      <c r="K7" s="14" t="s">
        <v>29</v>
      </c>
      <c r="L7" s="15" t="s">
        <v>30</v>
      </c>
      <c r="M7" s="16">
        <v>39900</v>
      </c>
      <c r="N7" s="6">
        <v>0.6</v>
      </c>
      <c r="O7" s="7">
        <f t="shared" si="0"/>
        <v>15960</v>
      </c>
      <c r="P7" s="3" t="s">
        <v>20</v>
      </c>
    </row>
    <row r="8" spans="1:16">
      <c r="A8" s="21" t="s">
        <v>92</v>
      </c>
      <c r="B8" s="22">
        <v>46114</v>
      </c>
      <c r="C8" s="22">
        <v>46120</v>
      </c>
      <c r="D8" s="3">
        <v>3357</v>
      </c>
      <c r="E8" s="3">
        <v>340</v>
      </c>
      <c r="F8" s="3">
        <v>6</v>
      </c>
      <c r="G8" s="3">
        <v>3</v>
      </c>
      <c r="H8" s="11">
        <v>81824</v>
      </c>
      <c r="I8" s="3" t="s">
        <v>17</v>
      </c>
      <c r="J8" s="14">
        <v>52238916</v>
      </c>
      <c r="K8" s="14" t="s">
        <v>31</v>
      </c>
      <c r="L8" s="15" t="s">
        <v>32</v>
      </c>
      <c r="M8" s="16">
        <v>49900</v>
      </c>
      <c r="N8" s="6">
        <v>0.6</v>
      </c>
      <c r="O8" s="7">
        <f t="shared" si="0"/>
        <v>19960</v>
      </c>
      <c r="P8" s="3" t="s">
        <v>20</v>
      </c>
    </row>
    <row r="9" spans="1:16">
      <c r="A9" s="21" t="s">
        <v>92</v>
      </c>
      <c r="B9" s="22">
        <v>46114</v>
      </c>
      <c r="C9" s="22">
        <v>46120</v>
      </c>
      <c r="D9" s="3">
        <v>3357</v>
      </c>
      <c r="E9" s="3">
        <v>340</v>
      </c>
      <c r="F9" s="3">
        <v>6</v>
      </c>
      <c r="G9" s="3">
        <v>3</v>
      </c>
      <c r="H9" s="3">
        <v>81832</v>
      </c>
      <c r="I9" s="3" t="s">
        <v>17</v>
      </c>
      <c r="J9" s="14">
        <v>52239040</v>
      </c>
      <c r="K9" s="14" t="s">
        <v>33</v>
      </c>
      <c r="L9" s="15" t="s">
        <v>34</v>
      </c>
      <c r="M9" s="16">
        <v>46900</v>
      </c>
      <c r="N9" s="6">
        <v>0.6</v>
      </c>
      <c r="O9" s="7">
        <f t="shared" si="0"/>
        <v>18760</v>
      </c>
      <c r="P9" s="3" t="s">
        <v>20</v>
      </c>
    </row>
    <row r="10" spans="1:16">
      <c r="A10" s="21" t="s">
        <v>92</v>
      </c>
      <c r="B10" s="22">
        <v>46114</v>
      </c>
      <c r="C10" s="22">
        <v>46120</v>
      </c>
      <c r="D10" s="3">
        <v>3357</v>
      </c>
      <c r="E10" s="3">
        <v>340</v>
      </c>
      <c r="F10" s="3">
        <v>6</v>
      </c>
      <c r="G10" s="3">
        <v>3</v>
      </c>
      <c r="H10" s="3">
        <v>81832</v>
      </c>
      <c r="I10" s="3" t="s">
        <v>17</v>
      </c>
      <c r="J10" s="14">
        <v>52239059</v>
      </c>
      <c r="K10" s="14" t="s">
        <v>35</v>
      </c>
      <c r="L10" s="15" t="s">
        <v>36</v>
      </c>
      <c r="M10" s="16">
        <v>42900</v>
      </c>
      <c r="N10" s="6">
        <v>0.6</v>
      </c>
      <c r="O10" s="7">
        <f t="shared" si="0"/>
        <v>17160</v>
      </c>
      <c r="P10" s="3" t="s">
        <v>20</v>
      </c>
    </row>
  </sheetData>
  <conditionalFormatting sqref="J1:J1048576">
    <cfRule type="duplicateValues" dxfId="5" priority="2"/>
  </conditionalFormatting>
  <conditionalFormatting sqref="K2:K10">
    <cfRule type="duplicateValues" dxfId="4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zoomScale="55" zoomScaleNormal="55" workbookViewId="0">
      <selection activeCell="B7" sqref="B2:C7"/>
    </sheetView>
  </sheetViews>
  <sheetFormatPr defaultColWidth="8.81640625" defaultRowHeight="14.5"/>
  <cols>
    <col min="1" max="1" width="37.1796875" customWidth="1"/>
    <col min="2" max="2" width="11.36328125" customWidth="1"/>
    <col min="3" max="3" width="13.08984375" customWidth="1"/>
    <col min="4" max="4" width="8.453125" customWidth="1"/>
    <col min="5" max="5" width="13.08984375" customWidth="1"/>
    <col min="6" max="6" width="8.81640625" customWidth="1"/>
    <col min="7" max="7" width="11.6328125" customWidth="1"/>
    <col min="8" max="8" width="12.81640625" customWidth="1"/>
    <col min="9" max="9" width="24.81640625" customWidth="1"/>
    <col min="10" max="10" width="14.6328125" customWidth="1"/>
    <col min="11" max="11" width="21.453125" customWidth="1"/>
    <col min="12" max="12" width="73.81640625" customWidth="1"/>
    <col min="13" max="13" width="15.453125" customWidth="1"/>
    <col min="14" max="14" width="11.6328125" customWidth="1"/>
    <col min="15" max="15" width="14.08984375" customWidth="1"/>
    <col min="16" max="16" width="1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22">
        <v>46114</v>
      </c>
      <c r="C2" s="22">
        <v>46120</v>
      </c>
      <c r="D2" s="3">
        <v>3357</v>
      </c>
      <c r="E2" s="3">
        <v>340</v>
      </c>
      <c r="F2" s="3">
        <v>6</v>
      </c>
      <c r="G2" s="12">
        <v>1</v>
      </c>
      <c r="H2" s="12">
        <v>81824</v>
      </c>
      <c r="I2" s="3" t="s">
        <v>17</v>
      </c>
      <c r="J2" s="14">
        <v>52238934</v>
      </c>
      <c r="K2" s="12" t="s">
        <v>37</v>
      </c>
      <c r="L2" s="17" t="s">
        <v>38</v>
      </c>
      <c r="M2" s="18">
        <v>24900</v>
      </c>
      <c r="N2" s="6">
        <v>0.5</v>
      </c>
      <c r="O2" s="7">
        <f t="shared" ref="O2:O7" si="0">M2*(1-N2)</f>
        <v>12450</v>
      </c>
      <c r="P2" s="3" t="s">
        <v>20</v>
      </c>
    </row>
    <row r="3" spans="1:16">
      <c r="A3" s="3" t="s">
        <v>16</v>
      </c>
      <c r="B3" s="22">
        <v>46114</v>
      </c>
      <c r="C3" s="22">
        <v>46120</v>
      </c>
      <c r="D3" s="3">
        <v>3357</v>
      </c>
      <c r="E3" s="3">
        <v>340</v>
      </c>
      <c r="F3" s="3">
        <v>6</v>
      </c>
      <c r="G3" s="12">
        <v>1</v>
      </c>
      <c r="H3" s="12">
        <v>81824</v>
      </c>
      <c r="I3" s="3" t="s">
        <v>17</v>
      </c>
      <c r="J3" s="14">
        <v>52238943</v>
      </c>
      <c r="K3" s="12" t="s">
        <v>39</v>
      </c>
      <c r="L3" s="17" t="s">
        <v>40</v>
      </c>
      <c r="M3" s="18">
        <v>34900</v>
      </c>
      <c r="N3" s="6">
        <v>0.5</v>
      </c>
      <c r="O3" s="7">
        <f t="shared" si="0"/>
        <v>17450</v>
      </c>
      <c r="P3" s="3" t="s">
        <v>20</v>
      </c>
    </row>
    <row r="4" spans="1:16">
      <c r="A4" s="3" t="s">
        <v>16</v>
      </c>
      <c r="B4" s="22">
        <v>46114</v>
      </c>
      <c r="C4" s="22">
        <v>46120</v>
      </c>
      <c r="D4" s="3">
        <v>3357</v>
      </c>
      <c r="E4" s="3">
        <v>340</v>
      </c>
      <c r="F4" s="3">
        <v>6</v>
      </c>
      <c r="G4" s="12">
        <v>1</v>
      </c>
      <c r="H4" s="12">
        <v>81824</v>
      </c>
      <c r="I4" s="3" t="s">
        <v>17</v>
      </c>
      <c r="J4" s="14">
        <v>52238952</v>
      </c>
      <c r="K4" s="12" t="s">
        <v>41</v>
      </c>
      <c r="L4" s="17" t="s">
        <v>42</v>
      </c>
      <c r="M4" s="18">
        <v>54900</v>
      </c>
      <c r="N4" s="6">
        <v>0.5</v>
      </c>
      <c r="O4" s="7">
        <f t="shared" si="0"/>
        <v>27450</v>
      </c>
      <c r="P4" s="3" t="s">
        <v>20</v>
      </c>
    </row>
    <row r="5" spans="1:16">
      <c r="A5" s="3" t="s">
        <v>16</v>
      </c>
      <c r="B5" s="22">
        <v>46114</v>
      </c>
      <c r="C5" s="22">
        <v>46120</v>
      </c>
      <c r="D5" s="3">
        <v>3357</v>
      </c>
      <c r="E5" s="3">
        <v>340</v>
      </c>
      <c r="F5" s="3">
        <v>6</v>
      </c>
      <c r="G5" s="12">
        <v>3</v>
      </c>
      <c r="H5" s="12">
        <v>81832</v>
      </c>
      <c r="I5" s="3" t="s">
        <v>17</v>
      </c>
      <c r="J5" s="14">
        <v>52239148</v>
      </c>
      <c r="K5" s="12" t="s">
        <v>43</v>
      </c>
      <c r="L5" s="17" t="s">
        <v>44</v>
      </c>
      <c r="M5" s="18">
        <v>179900</v>
      </c>
      <c r="N5" s="6">
        <v>0.5</v>
      </c>
      <c r="O5" s="7">
        <f t="shared" si="0"/>
        <v>89950</v>
      </c>
      <c r="P5" s="3" t="s">
        <v>20</v>
      </c>
    </row>
    <row r="6" spans="1:16" s="1" customFormat="1">
      <c r="A6" s="3" t="s">
        <v>16</v>
      </c>
      <c r="B6" s="22">
        <v>46114</v>
      </c>
      <c r="C6" s="22">
        <v>46120</v>
      </c>
      <c r="D6" s="13">
        <v>3357</v>
      </c>
      <c r="E6" s="13">
        <v>340</v>
      </c>
      <c r="F6" s="13">
        <v>6</v>
      </c>
      <c r="G6" s="13">
        <v>1</v>
      </c>
      <c r="H6" s="13">
        <v>81824</v>
      </c>
      <c r="I6" s="13" t="s">
        <v>17</v>
      </c>
      <c r="J6" s="13">
        <v>52238961</v>
      </c>
      <c r="K6" s="13" t="s">
        <v>45</v>
      </c>
      <c r="L6" s="19" t="s">
        <v>46</v>
      </c>
      <c r="M6" s="20">
        <v>29900</v>
      </c>
      <c r="N6" s="6">
        <v>0.5</v>
      </c>
      <c r="O6" s="7">
        <f t="shared" si="0"/>
        <v>14950</v>
      </c>
      <c r="P6" s="3" t="s">
        <v>20</v>
      </c>
    </row>
    <row r="7" spans="1:16" s="1" customFormat="1">
      <c r="A7" s="3" t="s">
        <v>16</v>
      </c>
      <c r="B7" s="22">
        <v>46114</v>
      </c>
      <c r="C7" s="22">
        <v>46120</v>
      </c>
      <c r="D7" s="13">
        <v>3357</v>
      </c>
      <c r="E7" s="13">
        <v>340</v>
      </c>
      <c r="F7" s="13">
        <v>6</v>
      </c>
      <c r="G7" s="13">
        <v>3</v>
      </c>
      <c r="H7" s="13">
        <v>81832</v>
      </c>
      <c r="I7" s="13" t="s">
        <v>17</v>
      </c>
      <c r="J7" s="13">
        <v>52239068</v>
      </c>
      <c r="K7" s="13" t="s">
        <v>47</v>
      </c>
      <c r="L7" s="19" t="s">
        <v>48</v>
      </c>
      <c r="M7" s="20">
        <v>39900</v>
      </c>
      <c r="N7" s="6">
        <v>0.5</v>
      </c>
      <c r="O7" s="7">
        <f t="shared" si="0"/>
        <v>19950</v>
      </c>
      <c r="P7" s="3" t="s">
        <v>20</v>
      </c>
    </row>
  </sheetData>
  <conditionalFormatting sqref="J1:J1048576">
    <cfRule type="duplicateValues" dxfId="3" priority="4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zoomScale="55" zoomScaleNormal="55" workbookViewId="0">
      <selection activeCell="B10" sqref="B2:C10"/>
    </sheetView>
  </sheetViews>
  <sheetFormatPr defaultColWidth="8.81640625" defaultRowHeight="14.5"/>
  <cols>
    <col min="1" max="1" width="37.1796875" customWidth="1"/>
    <col min="2" max="2" width="11.36328125" customWidth="1"/>
    <col min="3" max="3" width="13.08984375" customWidth="1"/>
    <col min="4" max="4" width="8.453125" customWidth="1"/>
    <col min="5" max="5" width="13.08984375" customWidth="1"/>
    <col min="6" max="6" width="8.81640625" customWidth="1"/>
    <col min="7" max="7" width="11.6328125" customWidth="1"/>
    <col min="8" max="8" width="12.81640625" customWidth="1"/>
    <col min="9" max="9" width="24.81640625" customWidth="1"/>
    <col min="10" max="10" width="14.6328125" customWidth="1"/>
    <col min="11" max="11" width="12.54296875" customWidth="1"/>
    <col min="12" max="12" width="73.81640625" customWidth="1"/>
    <col min="13" max="13" width="15.453125" customWidth="1"/>
    <col min="14" max="14" width="11.6328125" customWidth="1"/>
    <col min="15" max="15" width="14.08984375" customWidth="1"/>
    <col min="16" max="16" width="1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9" t="s">
        <v>49</v>
      </c>
      <c r="B2" s="22">
        <v>46114</v>
      </c>
      <c r="C2" s="22">
        <v>46120</v>
      </c>
      <c r="D2" s="3">
        <v>3357</v>
      </c>
      <c r="E2" s="3">
        <v>340</v>
      </c>
      <c r="F2" s="3">
        <v>6</v>
      </c>
      <c r="G2" s="3">
        <v>5</v>
      </c>
      <c r="H2" s="3">
        <v>721</v>
      </c>
      <c r="I2" s="3" t="s">
        <v>17</v>
      </c>
      <c r="J2" s="4">
        <v>52177974</v>
      </c>
      <c r="K2" s="4" t="s">
        <v>50</v>
      </c>
      <c r="L2" s="4" t="s">
        <v>51</v>
      </c>
      <c r="M2" s="8">
        <v>59900</v>
      </c>
      <c r="N2" s="6" t="s">
        <v>52</v>
      </c>
      <c r="O2" s="7" t="s">
        <v>53</v>
      </c>
      <c r="P2" s="3" t="s">
        <v>52</v>
      </c>
    </row>
    <row r="3" spans="1:16">
      <c r="A3" s="9" t="s">
        <v>49</v>
      </c>
      <c r="B3" s="22">
        <v>46114</v>
      </c>
      <c r="C3" s="22">
        <v>46120</v>
      </c>
      <c r="D3" s="3">
        <v>3357</v>
      </c>
      <c r="E3" s="3">
        <v>340</v>
      </c>
      <c r="F3" s="3">
        <v>6</v>
      </c>
      <c r="G3" s="3">
        <v>5</v>
      </c>
      <c r="H3" s="3">
        <v>721</v>
      </c>
      <c r="I3" s="3" t="s">
        <v>17</v>
      </c>
      <c r="J3" s="4">
        <v>52177983</v>
      </c>
      <c r="K3" s="4" t="s">
        <v>54</v>
      </c>
      <c r="L3" s="4" t="s">
        <v>55</v>
      </c>
      <c r="M3" s="8">
        <v>59900</v>
      </c>
      <c r="N3" s="6" t="s">
        <v>52</v>
      </c>
      <c r="O3" s="7" t="s">
        <v>53</v>
      </c>
      <c r="P3" s="3" t="s">
        <v>52</v>
      </c>
    </row>
    <row r="4" spans="1:16">
      <c r="A4" s="9" t="s">
        <v>49</v>
      </c>
      <c r="B4" s="22">
        <v>46114</v>
      </c>
      <c r="C4" s="22">
        <v>46120</v>
      </c>
      <c r="D4" s="3">
        <v>3357</v>
      </c>
      <c r="E4" s="3">
        <v>340</v>
      </c>
      <c r="F4" s="3">
        <v>6</v>
      </c>
      <c r="G4" s="3">
        <v>5</v>
      </c>
      <c r="H4" s="3">
        <v>721</v>
      </c>
      <c r="I4" s="3" t="s">
        <v>17</v>
      </c>
      <c r="J4" s="4">
        <v>52177938</v>
      </c>
      <c r="K4" s="4" t="s">
        <v>56</v>
      </c>
      <c r="L4" s="4" t="s">
        <v>57</v>
      </c>
      <c r="M4" s="8">
        <v>89900</v>
      </c>
      <c r="N4" s="6" t="s">
        <v>52</v>
      </c>
      <c r="O4" s="7" t="s">
        <v>53</v>
      </c>
      <c r="P4" s="3" t="s">
        <v>52</v>
      </c>
    </row>
    <row r="5" spans="1:16">
      <c r="A5" s="9" t="s">
        <v>49</v>
      </c>
      <c r="B5" s="22">
        <v>46114</v>
      </c>
      <c r="C5" s="22">
        <v>46120</v>
      </c>
      <c r="D5" s="3">
        <v>3357</v>
      </c>
      <c r="E5" s="3">
        <v>340</v>
      </c>
      <c r="F5" s="3">
        <v>6</v>
      </c>
      <c r="G5" s="3">
        <v>5</v>
      </c>
      <c r="H5" s="3">
        <v>721</v>
      </c>
      <c r="I5" s="3" t="s">
        <v>17</v>
      </c>
      <c r="J5" s="4">
        <v>52177965</v>
      </c>
      <c r="K5" s="4" t="s">
        <v>58</v>
      </c>
      <c r="L5" s="4" t="s">
        <v>59</v>
      </c>
      <c r="M5" s="8">
        <v>59900</v>
      </c>
      <c r="N5" s="6" t="s">
        <v>52</v>
      </c>
      <c r="O5" s="7" t="s">
        <v>53</v>
      </c>
      <c r="P5" s="3" t="s">
        <v>52</v>
      </c>
    </row>
    <row r="6" spans="1:16">
      <c r="A6" s="9" t="s">
        <v>49</v>
      </c>
      <c r="B6" s="22">
        <v>46114</v>
      </c>
      <c r="C6" s="22">
        <v>46120</v>
      </c>
      <c r="D6" s="3">
        <v>3357</v>
      </c>
      <c r="E6" s="3">
        <v>340</v>
      </c>
      <c r="F6" s="3">
        <v>6</v>
      </c>
      <c r="G6" s="3">
        <v>5</v>
      </c>
      <c r="H6" s="3">
        <v>721</v>
      </c>
      <c r="I6" s="3" t="s">
        <v>17</v>
      </c>
      <c r="J6" s="4">
        <v>52177947</v>
      </c>
      <c r="K6" s="4" t="s">
        <v>60</v>
      </c>
      <c r="L6" s="4" t="s">
        <v>61</v>
      </c>
      <c r="M6" s="8">
        <v>89900</v>
      </c>
      <c r="N6" s="6" t="s">
        <v>52</v>
      </c>
      <c r="O6" s="7" t="s">
        <v>53</v>
      </c>
      <c r="P6" s="3" t="s">
        <v>52</v>
      </c>
    </row>
    <row r="7" spans="1:16">
      <c r="A7" s="9" t="s">
        <v>49</v>
      </c>
      <c r="B7" s="22">
        <v>46114</v>
      </c>
      <c r="C7" s="22">
        <v>46120</v>
      </c>
      <c r="D7" s="3">
        <v>3357</v>
      </c>
      <c r="E7" s="3">
        <v>340</v>
      </c>
      <c r="F7" s="3">
        <v>6</v>
      </c>
      <c r="G7" s="3">
        <v>5</v>
      </c>
      <c r="H7" s="3">
        <v>721</v>
      </c>
      <c r="I7" s="3" t="s">
        <v>17</v>
      </c>
      <c r="J7" s="4">
        <v>52177992</v>
      </c>
      <c r="K7" s="4" t="s">
        <v>62</v>
      </c>
      <c r="L7" s="4" t="s">
        <v>63</v>
      </c>
      <c r="M7" s="8">
        <v>59900</v>
      </c>
      <c r="N7" s="6" t="s">
        <v>52</v>
      </c>
      <c r="O7" s="7" t="s">
        <v>53</v>
      </c>
      <c r="P7" s="3" t="s">
        <v>52</v>
      </c>
    </row>
    <row r="8" spans="1:16">
      <c r="A8" s="9" t="s">
        <v>49</v>
      </c>
      <c r="B8" s="22">
        <v>46114</v>
      </c>
      <c r="C8" s="22">
        <v>46120</v>
      </c>
      <c r="D8" s="3">
        <v>3357</v>
      </c>
      <c r="E8" s="3">
        <v>340</v>
      </c>
      <c r="F8" s="3">
        <v>6</v>
      </c>
      <c r="G8" s="3">
        <v>5</v>
      </c>
      <c r="H8" s="3">
        <v>721</v>
      </c>
      <c r="I8" s="3" t="s">
        <v>17</v>
      </c>
      <c r="J8" s="4">
        <v>52177929</v>
      </c>
      <c r="K8" s="4" t="s">
        <v>64</v>
      </c>
      <c r="L8" s="4" t="s">
        <v>65</v>
      </c>
      <c r="M8" s="8">
        <v>89900</v>
      </c>
      <c r="N8" s="6" t="s">
        <v>52</v>
      </c>
      <c r="O8" s="7" t="s">
        <v>53</v>
      </c>
      <c r="P8" s="3" t="s">
        <v>52</v>
      </c>
    </row>
    <row r="9" spans="1:16">
      <c r="A9" s="9" t="s">
        <v>49</v>
      </c>
      <c r="B9" s="22">
        <v>46114</v>
      </c>
      <c r="C9" s="22">
        <v>46120</v>
      </c>
      <c r="D9" s="3">
        <v>3357</v>
      </c>
      <c r="E9" s="3">
        <v>340</v>
      </c>
      <c r="F9" s="3">
        <v>6</v>
      </c>
      <c r="G9" s="3">
        <v>5</v>
      </c>
      <c r="H9" s="3">
        <v>721</v>
      </c>
      <c r="I9" s="3" t="s">
        <v>17</v>
      </c>
      <c r="J9" s="4">
        <v>52177910</v>
      </c>
      <c r="K9" s="4" t="s">
        <v>66</v>
      </c>
      <c r="L9" s="4" t="s">
        <v>67</v>
      </c>
      <c r="M9" s="8">
        <v>89900</v>
      </c>
      <c r="N9" s="6" t="s">
        <v>52</v>
      </c>
      <c r="O9" s="7" t="s">
        <v>53</v>
      </c>
      <c r="P9" s="3" t="s">
        <v>52</v>
      </c>
    </row>
    <row r="10" spans="1:16">
      <c r="A10" s="9" t="s">
        <v>49</v>
      </c>
      <c r="B10" s="22">
        <v>46114</v>
      </c>
      <c r="C10" s="22">
        <v>46120</v>
      </c>
      <c r="D10" s="3">
        <v>3357</v>
      </c>
      <c r="E10" s="3">
        <v>340</v>
      </c>
      <c r="F10" s="3">
        <v>6</v>
      </c>
      <c r="G10" s="3">
        <v>5</v>
      </c>
      <c r="H10" s="3">
        <v>721</v>
      </c>
      <c r="I10" s="3" t="s">
        <v>17</v>
      </c>
      <c r="J10" s="4">
        <v>52177956</v>
      </c>
      <c r="K10" s="4" t="s">
        <v>68</v>
      </c>
      <c r="L10" s="4" t="s">
        <v>69</v>
      </c>
      <c r="M10" s="8">
        <v>89900</v>
      </c>
      <c r="N10" s="6" t="s">
        <v>52</v>
      </c>
      <c r="O10" s="7" t="s">
        <v>53</v>
      </c>
      <c r="P10" s="3" t="s">
        <v>52</v>
      </c>
    </row>
  </sheetData>
  <conditionalFormatting sqref="J1:J1048576">
    <cfRule type="duplicateValues" dxfId="2" priority="1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zoomScale="55" zoomScaleNormal="55" workbookViewId="0">
      <selection activeCell="B2" sqref="B2:C5"/>
    </sheetView>
  </sheetViews>
  <sheetFormatPr defaultColWidth="8.81640625" defaultRowHeight="14.5"/>
  <cols>
    <col min="1" max="1" width="37.1796875" customWidth="1"/>
    <col min="2" max="2" width="11.36328125" customWidth="1"/>
    <col min="3" max="3" width="13.08984375" customWidth="1"/>
    <col min="4" max="4" width="8.453125" customWidth="1"/>
    <col min="5" max="5" width="13.08984375" customWidth="1"/>
    <col min="6" max="6" width="8.81640625" customWidth="1"/>
    <col min="7" max="7" width="11.6328125" customWidth="1"/>
    <col min="8" max="8" width="12.81640625" customWidth="1"/>
    <col min="9" max="9" width="24.81640625" customWidth="1"/>
    <col min="10" max="10" width="14.6328125" customWidth="1"/>
    <col min="11" max="11" width="12.54296875" customWidth="1"/>
    <col min="12" max="12" width="73.81640625" customWidth="1"/>
    <col min="13" max="13" width="15.453125" customWidth="1"/>
    <col min="14" max="14" width="11.6328125" customWidth="1"/>
    <col min="15" max="15" width="14.08984375" customWidth="1"/>
    <col min="16" max="16" width="1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9" t="s">
        <v>70</v>
      </c>
      <c r="B2" s="22">
        <v>46114</v>
      </c>
      <c r="C2" s="22">
        <v>46120</v>
      </c>
      <c r="D2" s="3">
        <v>3357</v>
      </c>
      <c r="E2" s="3">
        <v>340</v>
      </c>
      <c r="F2" s="3">
        <v>6</v>
      </c>
      <c r="G2" s="3">
        <v>5</v>
      </c>
      <c r="H2" s="3">
        <v>721</v>
      </c>
      <c r="I2" s="3" t="s">
        <v>17</v>
      </c>
      <c r="J2" s="4">
        <v>54188959</v>
      </c>
      <c r="K2" s="4" t="s">
        <v>71</v>
      </c>
      <c r="L2" s="4" t="s">
        <v>72</v>
      </c>
      <c r="M2" s="8">
        <v>89900</v>
      </c>
      <c r="N2" s="6" t="s">
        <v>52</v>
      </c>
      <c r="O2" s="7" t="s">
        <v>53</v>
      </c>
      <c r="P2" s="3" t="s">
        <v>52</v>
      </c>
    </row>
    <row r="3" spans="1:16">
      <c r="A3" s="9" t="s">
        <v>70</v>
      </c>
      <c r="B3" s="22">
        <v>46114</v>
      </c>
      <c r="C3" s="22">
        <v>46120</v>
      </c>
      <c r="D3" s="3">
        <v>3357</v>
      </c>
      <c r="E3" s="3">
        <v>340</v>
      </c>
      <c r="F3" s="3">
        <v>6</v>
      </c>
      <c r="G3" s="3">
        <v>5</v>
      </c>
      <c r="H3" s="3">
        <v>721</v>
      </c>
      <c r="I3" s="3" t="s">
        <v>17</v>
      </c>
      <c r="J3" s="4">
        <v>54188968</v>
      </c>
      <c r="K3" s="4" t="s">
        <v>73</v>
      </c>
      <c r="L3" s="4" t="s">
        <v>74</v>
      </c>
      <c r="M3" s="8">
        <v>59900</v>
      </c>
      <c r="N3" s="6" t="s">
        <v>52</v>
      </c>
      <c r="O3" s="7" t="s">
        <v>53</v>
      </c>
      <c r="P3" s="3" t="s">
        <v>52</v>
      </c>
    </row>
    <row r="4" spans="1:16">
      <c r="A4" s="9" t="s">
        <v>70</v>
      </c>
      <c r="B4" s="22">
        <v>46114</v>
      </c>
      <c r="C4" s="22">
        <v>46120</v>
      </c>
      <c r="D4" s="3">
        <v>3357</v>
      </c>
      <c r="E4" s="3">
        <v>340</v>
      </c>
      <c r="F4" s="3">
        <v>6</v>
      </c>
      <c r="G4" s="3">
        <v>5</v>
      </c>
      <c r="H4" s="3">
        <v>721</v>
      </c>
      <c r="I4" s="3" t="s">
        <v>17</v>
      </c>
      <c r="J4" s="4">
        <v>54743312</v>
      </c>
      <c r="K4" s="4" t="s">
        <v>75</v>
      </c>
      <c r="L4" s="4" t="s">
        <v>76</v>
      </c>
      <c r="M4" s="8">
        <v>89900</v>
      </c>
      <c r="N4" s="6" t="s">
        <v>52</v>
      </c>
      <c r="O4" s="7" t="s">
        <v>53</v>
      </c>
      <c r="P4" s="3" t="s">
        <v>52</v>
      </c>
    </row>
    <row r="5" spans="1:16">
      <c r="A5" s="9" t="s">
        <v>70</v>
      </c>
      <c r="B5" s="22">
        <v>46114</v>
      </c>
      <c r="C5" s="22">
        <v>46120</v>
      </c>
      <c r="D5" s="3">
        <v>3357</v>
      </c>
      <c r="E5" s="3">
        <v>340</v>
      </c>
      <c r="F5" s="3">
        <v>6</v>
      </c>
      <c r="G5" s="3">
        <v>5</v>
      </c>
      <c r="H5" s="3">
        <v>721</v>
      </c>
      <c r="I5" s="3" t="s">
        <v>17</v>
      </c>
      <c r="J5" s="4">
        <v>54743321</v>
      </c>
      <c r="K5" s="4" t="s">
        <v>77</v>
      </c>
      <c r="L5" s="4" t="s">
        <v>78</v>
      </c>
      <c r="M5" s="8">
        <v>59900</v>
      </c>
      <c r="N5" s="6" t="s">
        <v>52</v>
      </c>
      <c r="O5" s="7" t="s">
        <v>53</v>
      </c>
      <c r="P5" s="3" t="s">
        <v>52</v>
      </c>
    </row>
  </sheetData>
  <conditionalFormatting sqref="J1:J1048576">
    <cfRule type="duplicateValues" dxfId="1" priority="1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zoomScale="55" zoomScaleNormal="55" workbookViewId="0">
      <selection activeCell="C2" sqref="B2:C11"/>
    </sheetView>
  </sheetViews>
  <sheetFormatPr defaultColWidth="8.81640625" defaultRowHeight="14.5"/>
  <cols>
    <col min="1" max="1" width="37.1796875" customWidth="1"/>
    <col min="2" max="2" width="11.36328125" customWidth="1"/>
    <col min="3" max="3" width="13.08984375" customWidth="1"/>
    <col min="4" max="4" width="8.453125" customWidth="1"/>
    <col min="5" max="5" width="13.08984375" customWidth="1"/>
    <col min="6" max="6" width="8.81640625" customWidth="1"/>
    <col min="7" max="7" width="11.6328125" customWidth="1"/>
    <col min="8" max="8" width="12.81640625" customWidth="1"/>
    <col min="9" max="9" width="24.81640625" customWidth="1"/>
    <col min="10" max="10" width="14.6328125" customWidth="1"/>
    <col min="11" max="11" width="12.54296875" customWidth="1"/>
    <col min="12" max="12" width="73.81640625" customWidth="1"/>
    <col min="13" max="13" width="15.453125" customWidth="1"/>
    <col min="14" max="14" width="11.6328125" customWidth="1"/>
    <col min="15" max="15" width="14.08984375" customWidth="1"/>
    <col min="16" max="16" width="1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1" customFormat="1">
      <c r="A2" s="3" t="s">
        <v>79</v>
      </c>
      <c r="B2" s="22">
        <v>46114</v>
      </c>
      <c r="C2" s="22">
        <v>46120</v>
      </c>
      <c r="D2" s="3">
        <v>3357</v>
      </c>
      <c r="E2" s="3">
        <v>340</v>
      </c>
      <c r="F2" s="3">
        <v>6</v>
      </c>
      <c r="G2" s="3">
        <v>5</v>
      </c>
      <c r="H2" s="3">
        <v>721</v>
      </c>
      <c r="I2" s="3" t="s">
        <v>17</v>
      </c>
      <c r="J2" s="4">
        <v>63074984</v>
      </c>
      <c r="K2" s="4" t="s">
        <v>80</v>
      </c>
      <c r="L2" s="4" t="s">
        <v>81</v>
      </c>
      <c r="M2" s="5">
        <v>179900</v>
      </c>
      <c r="N2" s="6" t="s">
        <v>52</v>
      </c>
      <c r="O2" s="7" t="s">
        <v>53</v>
      </c>
      <c r="P2" s="3" t="s">
        <v>52</v>
      </c>
    </row>
    <row r="3" spans="1:16" s="1" customFormat="1">
      <c r="A3" s="3" t="s">
        <v>79</v>
      </c>
      <c r="B3" s="22">
        <v>46114</v>
      </c>
      <c r="C3" s="22">
        <v>46120</v>
      </c>
      <c r="D3" s="3">
        <v>3357</v>
      </c>
      <c r="E3" s="3">
        <v>340</v>
      </c>
      <c r="F3" s="3">
        <v>6</v>
      </c>
      <c r="G3" s="3">
        <v>5</v>
      </c>
      <c r="H3" s="3">
        <v>721</v>
      </c>
      <c r="I3" s="3" t="s">
        <v>17</v>
      </c>
      <c r="J3" s="4">
        <v>63075009</v>
      </c>
      <c r="K3" s="4" t="s">
        <v>80</v>
      </c>
      <c r="L3" s="4" t="s">
        <v>82</v>
      </c>
      <c r="M3" s="5">
        <v>179900</v>
      </c>
      <c r="N3" s="6" t="s">
        <v>52</v>
      </c>
      <c r="O3" s="7" t="s">
        <v>53</v>
      </c>
      <c r="P3" s="3" t="s">
        <v>52</v>
      </c>
    </row>
    <row r="4" spans="1:16">
      <c r="A4" s="3" t="s">
        <v>79</v>
      </c>
      <c r="B4" s="22">
        <v>46114</v>
      </c>
      <c r="C4" s="22">
        <v>46120</v>
      </c>
      <c r="D4" s="3">
        <v>3357</v>
      </c>
      <c r="E4" s="3">
        <v>340</v>
      </c>
      <c r="F4" s="3">
        <v>6</v>
      </c>
      <c r="G4" s="3">
        <v>5</v>
      </c>
      <c r="H4" s="3">
        <v>721</v>
      </c>
      <c r="I4" s="3" t="s">
        <v>17</v>
      </c>
      <c r="J4" s="4">
        <v>63074993</v>
      </c>
      <c r="K4" s="4" t="s">
        <v>80</v>
      </c>
      <c r="L4" s="4" t="s">
        <v>83</v>
      </c>
      <c r="M4" s="5">
        <v>179900</v>
      </c>
      <c r="N4" s="6" t="s">
        <v>52</v>
      </c>
      <c r="O4" s="7" t="s">
        <v>53</v>
      </c>
      <c r="P4" s="3" t="s">
        <v>52</v>
      </c>
    </row>
    <row r="5" spans="1:16">
      <c r="A5" s="3" t="s">
        <v>79</v>
      </c>
      <c r="B5" s="22">
        <v>46114</v>
      </c>
      <c r="C5" s="22">
        <v>46120</v>
      </c>
      <c r="D5" s="3">
        <v>3357</v>
      </c>
      <c r="E5" s="3">
        <v>340</v>
      </c>
      <c r="F5" s="3">
        <v>6</v>
      </c>
      <c r="G5" s="3">
        <v>5</v>
      </c>
      <c r="H5" s="3">
        <v>721</v>
      </c>
      <c r="I5" s="3" t="s">
        <v>17</v>
      </c>
      <c r="J5" s="4">
        <v>63075018</v>
      </c>
      <c r="K5" s="4" t="s">
        <v>80</v>
      </c>
      <c r="L5" s="4" t="s">
        <v>84</v>
      </c>
      <c r="M5" s="5">
        <v>179900</v>
      </c>
      <c r="N5" s="6" t="s">
        <v>52</v>
      </c>
      <c r="O5" s="7" t="s">
        <v>53</v>
      </c>
      <c r="P5" s="3" t="s">
        <v>52</v>
      </c>
    </row>
    <row r="6" spans="1:16">
      <c r="A6" s="3" t="s">
        <v>79</v>
      </c>
      <c r="B6" s="22">
        <v>46114</v>
      </c>
      <c r="C6" s="22">
        <v>46120</v>
      </c>
      <c r="D6" s="3">
        <v>3357</v>
      </c>
      <c r="E6" s="3">
        <v>340</v>
      </c>
      <c r="F6" s="3">
        <v>6</v>
      </c>
      <c r="G6" s="3">
        <v>5</v>
      </c>
      <c r="H6" s="3">
        <v>721</v>
      </c>
      <c r="I6" s="3" t="s">
        <v>17</v>
      </c>
      <c r="J6" s="4">
        <v>61974649</v>
      </c>
      <c r="K6" s="4" t="s">
        <v>85</v>
      </c>
      <c r="L6" s="4" t="s">
        <v>86</v>
      </c>
      <c r="M6" s="8">
        <v>39900</v>
      </c>
      <c r="N6" s="6" t="s">
        <v>52</v>
      </c>
      <c r="O6" s="7" t="s">
        <v>53</v>
      </c>
      <c r="P6" s="3" t="s">
        <v>52</v>
      </c>
    </row>
    <row r="7" spans="1:16">
      <c r="A7" s="3" t="s">
        <v>79</v>
      </c>
      <c r="B7" s="22">
        <v>46114</v>
      </c>
      <c r="C7" s="22">
        <v>46120</v>
      </c>
      <c r="D7" s="3">
        <v>3357</v>
      </c>
      <c r="E7" s="3">
        <v>340</v>
      </c>
      <c r="F7" s="3">
        <v>6</v>
      </c>
      <c r="G7" s="3">
        <v>5</v>
      </c>
      <c r="H7" s="3">
        <v>721</v>
      </c>
      <c r="I7" s="3" t="s">
        <v>17</v>
      </c>
      <c r="J7" s="4">
        <v>61974676</v>
      </c>
      <c r="K7" s="4" t="s">
        <v>85</v>
      </c>
      <c r="L7" s="4" t="s">
        <v>87</v>
      </c>
      <c r="M7" s="8">
        <v>39900</v>
      </c>
      <c r="N7" s="6" t="s">
        <v>52</v>
      </c>
      <c r="O7" s="7" t="s">
        <v>53</v>
      </c>
      <c r="P7" s="3" t="s">
        <v>52</v>
      </c>
    </row>
    <row r="8" spans="1:16">
      <c r="A8" s="3" t="s">
        <v>79</v>
      </c>
      <c r="B8" s="22">
        <v>46114</v>
      </c>
      <c r="C8" s="22">
        <v>46120</v>
      </c>
      <c r="D8" s="3">
        <v>3357</v>
      </c>
      <c r="E8" s="3">
        <v>340</v>
      </c>
      <c r="F8" s="3">
        <v>6</v>
      </c>
      <c r="G8" s="3">
        <v>5</v>
      </c>
      <c r="H8" s="3">
        <v>721</v>
      </c>
      <c r="I8" s="3" t="s">
        <v>17</v>
      </c>
      <c r="J8" s="4">
        <v>61974658</v>
      </c>
      <c r="K8" s="4" t="s">
        <v>85</v>
      </c>
      <c r="L8" s="4" t="s">
        <v>88</v>
      </c>
      <c r="M8" s="8">
        <v>39900</v>
      </c>
      <c r="N8" s="6" t="s">
        <v>52</v>
      </c>
      <c r="O8" s="7" t="s">
        <v>53</v>
      </c>
      <c r="P8" s="3" t="s">
        <v>52</v>
      </c>
    </row>
    <row r="9" spans="1:16">
      <c r="A9" s="3" t="s">
        <v>79</v>
      </c>
      <c r="B9" s="22">
        <v>46114</v>
      </c>
      <c r="C9" s="22">
        <v>46120</v>
      </c>
      <c r="D9" s="3">
        <v>3357</v>
      </c>
      <c r="E9" s="3">
        <v>340</v>
      </c>
      <c r="F9" s="3">
        <v>6</v>
      </c>
      <c r="G9" s="3">
        <v>5</v>
      </c>
      <c r="H9" s="3">
        <v>721</v>
      </c>
      <c r="I9" s="3" t="s">
        <v>17</v>
      </c>
      <c r="J9" s="4">
        <v>61974667</v>
      </c>
      <c r="K9" s="4" t="s">
        <v>85</v>
      </c>
      <c r="L9" s="4" t="s">
        <v>89</v>
      </c>
      <c r="M9" s="8">
        <v>39900</v>
      </c>
      <c r="N9" s="6" t="s">
        <v>52</v>
      </c>
      <c r="O9" s="7" t="s">
        <v>53</v>
      </c>
      <c r="P9" s="3" t="s">
        <v>52</v>
      </c>
    </row>
    <row r="10" spans="1:16">
      <c r="A10" s="3" t="s">
        <v>79</v>
      </c>
      <c r="B10" s="22">
        <v>46114</v>
      </c>
      <c r="C10" s="22">
        <v>46120</v>
      </c>
      <c r="D10" s="3">
        <v>3357</v>
      </c>
      <c r="E10" s="3">
        <v>340</v>
      </c>
      <c r="F10" s="3">
        <v>6</v>
      </c>
      <c r="G10" s="3">
        <v>5</v>
      </c>
      <c r="H10" s="3">
        <v>721</v>
      </c>
      <c r="I10" s="3" t="s">
        <v>17</v>
      </c>
      <c r="J10" s="4">
        <v>61974685</v>
      </c>
      <c r="K10" s="4" t="s">
        <v>85</v>
      </c>
      <c r="L10" s="4" t="s">
        <v>90</v>
      </c>
      <c r="M10" s="8">
        <v>39900</v>
      </c>
      <c r="N10" s="6" t="s">
        <v>52</v>
      </c>
      <c r="O10" s="7" t="s">
        <v>53</v>
      </c>
      <c r="P10" s="3" t="s">
        <v>52</v>
      </c>
    </row>
    <row r="11" spans="1:16">
      <c r="A11" s="3" t="s">
        <v>79</v>
      </c>
      <c r="B11" s="22">
        <v>46114</v>
      </c>
      <c r="C11" s="22">
        <v>46120</v>
      </c>
      <c r="D11" s="3">
        <v>3357</v>
      </c>
      <c r="E11" s="3">
        <v>340</v>
      </c>
      <c r="F11" s="3">
        <v>6</v>
      </c>
      <c r="G11" s="3">
        <v>5</v>
      </c>
      <c r="H11" s="3">
        <v>721</v>
      </c>
      <c r="I11" s="3" t="s">
        <v>17</v>
      </c>
      <c r="J11" s="4">
        <v>61974694</v>
      </c>
      <c r="K11" s="4" t="s">
        <v>85</v>
      </c>
      <c r="L11" s="4" t="s">
        <v>91</v>
      </c>
      <c r="M11" s="8">
        <v>39900</v>
      </c>
      <c r="N11" s="6" t="s">
        <v>52</v>
      </c>
      <c r="O11" s="7" t="s">
        <v>53</v>
      </c>
      <c r="P11" s="3" t="s">
        <v>52</v>
      </c>
    </row>
  </sheetData>
  <conditionalFormatting sqref="J1:J1048576">
    <cfRule type="duplicateValues" dxfId="0" priority="1"/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94B88F-27AC-4E4D-84E9-854C1EE85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D1C6DA-E52B-4ACB-96FA-4345240694F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C5FD193A-A674-474E-B1FD-E4C2351A01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H1 SUKO B1D60</vt:lpstr>
      <vt:lpstr>2025 H1 SUKO B1D50</vt:lpstr>
      <vt:lpstr>2024 H2 TOWEL SUKO B1D20 B2G1</vt:lpstr>
      <vt:lpstr>2025 H1 TOWEL SUKO B1D20 B2G1</vt:lpstr>
      <vt:lpstr>2025 H2 TOWEL SUKO B1D20 B2G1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dcterms:created xsi:type="dcterms:W3CDTF">2023-12-06T09:25:00Z</dcterms:created>
  <dcterms:modified xsi:type="dcterms:W3CDTF">2026-03-30T11:39:48Z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17AE885ABBA94442B1662D33B54367FB_13</vt:lpwstr>
  </property>
  <property fmtid="{D5CDD505-2E9C-101B-9397-08002B2CF9AE}" pid="3" name="KSOProductBuildVer">
    <vt:lpwstr>1033-12.2.0.23196</vt:lpwstr>
  </property>
  <property fmtid="{D5CDD505-2E9C-101B-9397-08002B2CF9AE}" pid="4" name="ContentTypeId">
    <vt:lpwstr>0x010100ECFFBE92503E754D94F539423CCECE70</vt:lpwstr>
  </property>
  <property fmtid="{D5CDD505-2E9C-101B-9397-08002B2CF9AE}" pid="5" name="MediaServiceImageTags">
    <vt:lpwstr/>
  </property>
</Properties>
</file>