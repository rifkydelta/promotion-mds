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60471_matahari_com/Documents/Matahari/Merchandising/NEVADA DISNEY (Dewinta)/DISNEY/PMT/PROMO WEEKLY/"/>
    </mc:Choice>
  </mc:AlternateContent>
  <xr:revisionPtr revIDLastSave="14" documentId="8_{4EFE2E4B-7AC8-4F4C-A4A2-9453E1D5D701}" xr6:coauthVersionLast="47" xr6:coauthVersionMax="47" xr10:uidLastSave="{D8DEA69F-0E45-4F36-B4E2-99DF9F069989}"/>
  <bookViews>
    <workbookView xWindow="-108" yWindow="-108" windowWidth="23256" windowHeight="12456" firstSheet="8" activeTab="10" xr2:uid="{00000000-000D-0000-FFFF-FFFF00000000}"/>
  </bookViews>
  <sheets>
    <sheet name="ALL CROCS SANDALS SP20K" sheetId="34" r:id="rId1"/>
    <sheet name="2019 OLDER D95" sheetId="13" r:id="rId2"/>
    <sheet name="2020 D90" sheetId="14" r:id="rId3"/>
    <sheet name="2021 D90" sheetId="15" r:id="rId4"/>
    <sheet name="2022 D90" sheetId="16" r:id="rId5"/>
    <sheet name="2023 D90" sheetId="17" r:id="rId6"/>
    <sheet name="2024 HANGING B1 NORMAL, B2 100K" sheetId="38" r:id="rId7"/>
    <sheet name="2024 B1 NORMAL, B2 100K" sheetId="35" r:id="rId8"/>
    <sheet name="2025 H1 B1 NORMAL, B2 150K" sheetId="33" r:id="rId9"/>
    <sheet name="2025 Q3 SP 179K" sheetId="44" r:id="rId10"/>
    <sheet name="2025 Q4 SP 179K" sheetId="46" r:id="rId11"/>
    <sheet name="2025 Q4 BUY 3 D10" sheetId="39" r:id="rId12"/>
    <sheet name="2025 Q1 HANGING B2 100K" sheetId="45" r:id="rId13"/>
    <sheet name="2025 Q2 H2 HANGING B2 150K" sheetId="41" r:id="rId14"/>
    <sheet name="2026 Q1 BUY 3 D10" sheetId="42" r:id="rId15"/>
    <sheet name="2026 HANGING BUY 3 D10" sheetId="43" r:id="rId16"/>
  </sheets>
  <externalReferences>
    <externalReference r:id="rId17"/>
    <externalReference r:id="rId18"/>
  </externalReferences>
  <definedNames>
    <definedName name="_xlnm._FilterDatabase" localSheetId="1" hidden="1">'2019 OLDER D95'!$A$1:$P$246</definedName>
    <definedName name="_xlnm._FilterDatabase" localSheetId="2" hidden="1">'2020 D90'!$A$1:$P$131</definedName>
    <definedName name="_xlnm._FilterDatabase" localSheetId="3" hidden="1">'2021 D90'!$A$1:$P$287</definedName>
    <definedName name="_xlnm._FilterDatabase" localSheetId="4" hidden="1">'2022 D90'!$A$1:$P$374</definedName>
    <definedName name="_xlnm._FilterDatabase" localSheetId="5" hidden="1">'2023 D90'!$A$1:$P$500</definedName>
    <definedName name="_xlnm._FilterDatabase" localSheetId="7" hidden="1">'2024 B1 NORMAL, B2 100K'!$A$1:$Q$101</definedName>
    <definedName name="_xlnm._FilterDatabase" localSheetId="6" hidden="1">'2024 HANGING B1 NORMAL, B2 100K'!$A$1:$P$1</definedName>
    <definedName name="_xlnm._FilterDatabase" localSheetId="8" hidden="1">'2025 H1 B1 NORMAL, B2 150K'!$A$1:$P$91</definedName>
    <definedName name="_xlnm._FilterDatabase" localSheetId="12" hidden="1">'2025 Q1 HANGING B2 100K'!$A$1:$P$78</definedName>
    <definedName name="_xlnm._FilterDatabase" localSheetId="13" hidden="1">'2025 Q2 H2 HANGING B2 150K'!$A$1:$P$92</definedName>
    <definedName name="_xlnm._FilterDatabase" localSheetId="9" hidden="1">'2025 Q3 SP 179K'!$A$1:$P$56</definedName>
    <definedName name="_xlnm._FilterDatabase" localSheetId="11" hidden="1">'2025 Q4 BUY 3 D10'!$A$1:$P$106</definedName>
    <definedName name="_xlnm._FilterDatabase" localSheetId="10" hidden="1">'2025 Q4 SP 179K'!$A$1:$P$1</definedName>
    <definedName name="_xlnm._FilterDatabase" localSheetId="15" hidden="1">'2026 HANGING BUY 3 D10'!$A$1:$Q$1</definedName>
    <definedName name="_xlnm._FilterDatabase" localSheetId="14" hidden="1">'2026 Q1 BUY 3 D10'!$A$1:$Q$1</definedName>
    <definedName name="A" localSheetId="8">#REF!</definedName>
    <definedName name="A" localSheetId="12">#REF!</definedName>
    <definedName name="A" localSheetId="13">#REF!</definedName>
    <definedName name="A" localSheetId="9">#REF!</definedName>
    <definedName name="A" localSheetId="11">#REF!</definedName>
    <definedName name="A" localSheetId="10">#REF!</definedName>
    <definedName name="A" localSheetId="15">#REF!</definedName>
    <definedName name="A" localSheetId="14">#REF!</definedName>
    <definedName name="A">#REF!</definedName>
    <definedName name="AA" localSheetId="8">#REF!</definedName>
    <definedName name="AA" localSheetId="12">#REF!</definedName>
    <definedName name="AA" localSheetId="13">#REF!</definedName>
    <definedName name="AA" localSheetId="9">#REF!</definedName>
    <definedName name="AA" localSheetId="11">#REF!</definedName>
    <definedName name="AA" localSheetId="10">#REF!</definedName>
    <definedName name="AA" localSheetId="15">#REF!</definedName>
    <definedName name="AA" localSheetId="14">#REF!</definedName>
    <definedName name="AA">#REF!</definedName>
    <definedName name="AAAA" localSheetId="8">#REF!</definedName>
    <definedName name="AAAA" localSheetId="12">#REF!</definedName>
    <definedName name="AAAA" localSheetId="13">#REF!</definedName>
    <definedName name="AAAA" localSheetId="9">#REF!</definedName>
    <definedName name="AAAA" localSheetId="11">#REF!</definedName>
    <definedName name="AAAA" localSheetId="10">#REF!</definedName>
    <definedName name="AAAA" localSheetId="15">#REF!</definedName>
    <definedName name="AAAA" localSheetId="14">#REF!</definedName>
    <definedName name="AAAA">#REF!</definedName>
    <definedName name="all" localSheetId="1">#REF!</definedName>
    <definedName name="all" localSheetId="2">#REF!</definedName>
    <definedName name="all" localSheetId="3">#REF!</definedName>
    <definedName name="all" localSheetId="4">#REF!</definedName>
    <definedName name="all" localSheetId="5">#REF!</definedName>
    <definedName name="all" localSheetId="8">#REF!</definedName>
    <definedName name="all" localSheetId="12">#REF!</definedName>
    <definedName name="all" localSheetId="13">#REF!</definedName>
    <definedName name="all" localSheetId="9">#REF!</definedName>
    <definedName name="all" localSheetId="11">#REF!</definedName>
    <definedName name="all" localSheetId="10">#REF!</definedName>
    <definedName name="all" localSheetId="15">#REF!</definedName>
    <definedName name="all" localSheetId="14">#REF!</definedName>
    <definedName name="all">#REF!</definedName>
    <definedName name="COLE" localSheetId="1">#REF!</definedName>
    <definedName name="COLE" localSheetId="2">#REF!</definedName>
    <definedName name="COLE" localSheetId="3">#REF!</definedName>
    <definedName name="COLE" localSheetId="4">#REF!</definedName>
    <definedName name="COLE" localSheetId="5">#REF!</definedName>
    <definedName name="COLE" localSheetId="8">#REF!</definedName>
    <definedName name="COLE" localSheetId="12">#REF!</definedName>
    <definedName name="COLE" localSheetId="13">#REF!</definedName>
    <definedName name="COLE" localSheetId="9">#REF!</definedName>
    <definedName name="COLE" localSheetId="11">#REF!</definedName>
    <definedName name="COLE" localSheetId="10">#REF!</definedName>
    <definedName name="COLE" localSheetId="15">#REF!</definedName>
    <definedName name="COLE" localSheetId="14">#REF!</definedName>
    <definedName name="COLE">#REF!</definedName>
    <definedName name="des" localSheetId="1">#REF!</definedName>
    <definedName name="des" localSheetId="2">#REF!</definedName>
    <definedName name="des" localSheetId="3">#REF!</definedName>
    <definedName name="des" localSheetId="4">#REF!</definedName>
    <definedName name="des" localSheetId="5">#REF!</definedName>
    <definedName name="des" localSheetId="8">#REF!</definedName>
    <definedName name="des" localSheetId="12">#REF!</definedName>
    <definedName name="des" localSheetId="13">#REF!</definedName>
    <definedName name="des" localSheetId="9">#REF!</definedName>
    <definedName name="des" localSheetId="11">#REF!</definedName>
    <definedName name="des" localSheetId="10">#REF!</definedName>
    <definedName name="des" localSheetId="15">#REF!</definedName>
    <definedName name="des" localSheetId="14">#REF!</definedName>
    <definedName name="des">#REF!</definedName>
    <definedName name="K2K" localSheetId="1">#REF!</definedName>
    <definedName name="K2K" localSheetId="2">#REF!</definedName>
    <definedName name="K2K" localSheetId="3">#REF!</definedName>
    <definedName name="K2K" localSheetId="4">#REF!</definedName>
    <definedName name="K2K" localSheetId="5">#REF!</definedName>
    <definedName name="K2K" localSheetId="8">#REF!</definedName>
    <definedName name="K2K" localSheetId="12">#REF!</definedName>
    <definedName name="K2K" localSheetId="13">#REF!</definedName>
    <definedName name="K2K" localSheetId="9">#REF!</definedName>
    <definedName name="K2K" localSheetId="11">#REF!</definedName>
    <definedName name="K2K" localSheetId="10">#REF!</definedName>
    <definedName name="K2K" localSheetId="15">#REF!</definedName>
    <definedName name="K2K" localSheetId="14">#REF!</definedName>
    <definedName name="K2K">#REF!</definedName>
    <definedName name="komStor" localSheetId="1">#REF!</definedName>
    <definedName name="komStor" localSheetId="2">#REF!</definedName>
    <definedName name="komStor" localSheetId="3">#REF!</definedName>
    <definedName name="komStor" localSheetId="4">#REF!</definedName>
    <definedName name="komStor" localSheetId="5">#REF!</definedName>
    <definedName name="komStor" localSheetId="8">#REF!</definedName>
    <definedName name="komStor" localSheetId="12">#REF!</definedName>
    <definedName name="komStor" localSheetId="13">#REF!</definedName>
    <definedName name="komStor" localSheetId="9">#REF!</definedName>
    <definedName name="komStor" localSheetId="11">#REF!</definedName>
    <definedName name="komStor" localSheetId="10">#REF!</definedName>
    <definedName name="komStor" localSheetId="15">#REF!</definedName>
    <definedName name="komStor" localSheetId="14">#REF!</definedName>
    <definedName name="komStor">#REF!</definedName>
    <definedName name="mar" localSheetId="1">#REF!</definedName>
    <definedName name="mar" localSheetId="2">#REF!</definedName>
    <definedName name="mar" localSheetId="3">#REF!</definedName>
    <definedName name="mar" localSheetId="4">#REF!</definedName>
    <definedName name="mar" localSheetId="5">#REF!</definedName>
    <definedName name="mar" localSheetId="8">#REF!</definedName>
    <definedName name="mar" localSheetId="12">#REF!</definedName>
    <definedName name="mar" localSheetId="13">#REF!</definedName>
    <definedName name="mar" localSheetId="9">#REF!</definedName>
    <definedName name="mar" localSheetId="11">#REF!</definedName>
    <definedName name="mar" localSheetId="10">#REF!</definedName>
    <definedName name="mar" localSheetId="15">#REF!</definedName>
    <definedName name="mar" localSheetId="14">#REF!</definedName>
    <definedName name="mar">#REF!</definedName>
    <definedName name="SCV">[1]CV!$AI$4:$AT$68,[1]CV!$AI$72:$AT$75,[1]CV!$AI$77:$AT$79,[1]CV!$AI$87:$AT$96,[1]CV!$AI$107:$AT$110</definedName>
    <definedName name="SDP">[1]DP!$AI$4:$AT$68,[1]DP!$AI$72:$AT$75,[1]DP!$AI$77:$AT$79,[1]DP!$AI$87:$AT$96,[1]DP!$AI$107:$AT$110</definedName>
    <definedName name="sls_cv">[1]CV!$T$4:$AE$68,[1]CV!$T$72:$AE$75,[1]CV!$T$79:$AE$79,[1]CV!$T$87:$AE$96,[1]CV!$T$107:$AE$110</definedName>
    <definedName name="sls_dp">[1]DP!$T$4:$AE$68,[1]DP!$T$72:$AE$75,[1]DP!$T$79:$AE$79,[1]DP!$T$87:$AE$96,[1]DP!$T$107:$AE$110</definedName>
    <definedName name="supp">[2]supplier!$A:$IV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91" i="15" l="1"/>
  <c r="O290" i="15"/>
  <c r="O289" i="15"/>
  <c r="O288" i="15"/>
  <c r="O543" i="17" l="1"/>
  <c r="O542" i="17"/>
  <c r="O541" i="17"/>
  <c r="O540" i="17"/>
  <c r="O539" i="17"/>
  <c r="O538" i="17"/>
  <c r="O537" i="17"/>
  <c r="O536" i="17"/>
  <c r="O535" i="17"/>
  <c r="O534" i="17"/>
  <c r="O533" i="17"/>
  <c r="O532" i="17"/>
  <c r="O531" i="17"/>
  <c r="O530" i="17"/>
  <c r="O529" i="17"/>
  <c r="O528" i="17"/>
  <c r="O527" i="17"/>
  <c r="O526" i="17"/>
  <c r="O525" i="17"/>
  <c r="O501" i="17" l="1"/>
  <c r="O502" i="17"/>
  <c r="O503" i="17"/>
  <c r="O504" i="17"/>
  <c r="O505" i="17"/>
  <c r="O506" i="17"/>
  <c r="O507" i="17"/>
  <c r="O508" i="17"/>
  <c r="O509" i="17"/>
  <c r="O510" i="17"/>
  <c r="O511" i="17"/>
  <c r="O512" i="17"/>
  <c r="O513" i="17"/>
  <c r="O514" i="17"/>
  <c r="O515" i="17"/>
  <c r="O516" i="17"/>
  <c r="O517" i="17"/>
  <c r="O518" i="17"/>
  <c r="O519" i="17"/>
  <c r="O520" i="17"/>
  <c r="O521" i="17"/>
  <c r="O522" i="17"/>
  <c r="O523" i="17"/>
  <c r="O524" i="17"/>
  <c r="O276" i="17" l="1"/>
  <c r="O277" i="17"/>
  <c r="O278" i="17"/>
  <c r="O279" i="17"/>
  <c r="O280" i="17"/>
  <c r="O281" i="17"/>
  <c r="O282" i="17"/>
  <c r="O283" i="17"/>
  <c r="O284" i="17"/>
  <c r="O285" i="17"/>
  <c r="O286" i="17"/>
  <c r="O287" i="17"/>
  <c r="O288" i="17"/>
  <c r="O289" i="17"/>
  <c r="O290" i="17"/>
  <c r="O291" i="17"/>
  <c r="O292" i="17"/>
  <c r="O293" i="17"/>
  <c r="O294" i="17"/>
  <c r="O295" i="17"/>
  <c r="O296" i="17"/>
  <c r="O297" i="17"/>
  <c r="O298" i="17"/>
  <c r="O299" i="17"/>
  <c r="O300" i="17"/>
  <c r="O301" i="17"/>
  <c r="O302" i="17"/>
  <c r="O303" i="17"/>
  <c r="O304" i="17"/>
  <c r="O305" i="17"/>
  <c r="O306" i="17"/>
  <c r="O307" i="17"/>
  <c r="O308" i="17"/>
  <c r="O309" i="17"/>
  <c r="O310" i="17"/>
  <c r="O311" i="17"/>
  <c r="O312" i="17"/>
  <c r="O313" i="17"/>
  <c r="O314" i="17"/>
  <c r="O315" i="17"/>
  <c r="O316" i="17"/>
  <c r="O317" i="17"/>
  <c r="O318" i="17"/>
  <c r="O319" i="17"/>
  <c r="O320" i="17"/>
  <c r="O321" i="17"/>
  <c r="O322" i="17"/>
  <c r="O323" i="17"/>
  <c r="O324" i="17"/>
  <c r="O325" i="17"/>
  <c r="O326" i="17"/>
  <c r="O327" i="17"/>
  <c r="O328" i="17"/>
  <c r="O329" i="17"/>
  <c r="O330" i="17"/>
  <c r="O331" i="17"/>
  <c r="O332" i="17"/>
  <c r="O333" i="17"/>
  <c r="O334" i="17"/>
  <c r="O335" i="17"/>
  <c r="O336" i="17"/>
  <c r="O337" i="17"/>
  <c r="O338" i="17"/>
  <c r="O339" i="17"/>
  <c r="O340" i="17"/>
  <c r="O341" i="17"/>
  <c r="O342" i="17"/>
  <c r="O343" i="17"/>
  <c r="O344" i="17"/>
  <c r="O345" i="17"/>
  <c r="O346" i="17"/>
  <c r="O347" i="17"/>
  <c r="O348" i="17"/>
  <c r="O349" i="17"/>
  <c r="O350" i="17"/>
  <c r="O351" i="17"/>
  <c r="O352" i="17"/>
  <c r="O353" i="17"/>
  <c r="O354" i="17"/>
  <c r="O355" i="17"/>
  <c r="O356" i="17"/>
  <c r="O357" i="17"/>
  <c r="O358" i="17"/>
  <c r="O359" i="17"/>
  <c r="O360" i="17"/>
  <c r="O361" i="17"/>
  <c r="O362" i="17"/>
  <c r="O363" i="17"/>
  <c r="O364" i="17"/>
  <c r="O365" i="17"/>
  <c r="O366" i="17"/>
  <c r="O367" i="17"/>
  <c r="O368" i="17"/>
  <c r="O369" i="17"/>
  <c r="O370" i="17"/>
  <c r="O371" i="17"/>
  <c r="O372" i="17"/>
  <c r="O373" i="17"/>
  <c r="O374" i="17"/>
  <c r="O375" i="17"/>
  <c r="O376" i="17"/>
  <c r="O377" i="17"/>
  <c r="O378" i="17"/>
  <c r="O379" i="17"/>
  <c r="O380" i="17"/>
  <c r="O381" i="17"/>
  <c r="O382" i="17"/>
  <c r="O383" i="17"/>
  <c r="O384" i="17"/>
  <c r="O385" i="17"/>
  <c r="O386" i="17"/>
  <c r="O387" i="17"/>
  <c r="O388" i="17"/>
  <c r="O389" i="17"/>
  <c r="O390" i="17"/>
  <c r="O391" i="17"/>
  <c r="O392" i="17"/>
  <c r="O393" i="17"/>
  <c r="O394" i="17"/>
  <c r="O395" i="17"/>
  <c r="O396" i="17"/>
  <c r="O397" i="17"/>
  <c r="O398" i="17"/>
  <c r="O399" i="17"/>
  <c r="O400" i="17"/>
  <c r="O401" i="17"/>
  <c r="O402" i="17"/>
  <c r="O403" i="17"/>
  <c r="O404" i="17"/>
  <c r="O405" i="17"/>
  <c r="O406" i="17"/>
  <c r="O407" i="17"/>
  <c r="O408" i="17"/>
  <c r="O409" i="17"/>
  <c r="O410" i="17"/>
  <c r="O411" i="17"/>
  <c r="O412" i="17"/>
  <c r="O413" i="17"/>
  <c r="O414" i="17"/>
  <c r="O415" i="17"/>
  <c r="O416" i="17"/>
  <c r="O417" i="17"/>
  <c r="O418" i="17"/>
  <c r="O419" i="17"/>
  <c r="O420" i="17"/>
  <c r="O421" i="17"/>
  <c r="O422" i="17"/>
  <c r="O423" i="17"/>
  <c r="O424" i="17"/>
  <c r="O425" i="17"/>
  <c r="O426" i="17"/>
  <c r="O427" i="17"/>
  <c r="O428" i="17"/>
  <c r="O429" i="17"/>
  <c r="O430" i="17"/>
  <c r="O431" i="17"/>
  <c r="O432" i="17"/>
  <c r="O433" i="17"/>
  <c r="O434" i="17"/>
  <c r="O435" i="17"/>
  <c r="O436" i="17"/>
  <c r="O437" i="17"/>
  <c r="O438" i="17"/>
  <c r="O439" i="17"/>
  <c r="O440" i="17"/>
  <c r="O441" i="17"/>
  <c r="O442" i="17"/>
  <c r="O443" i="17"/>
  <c r="O444" i="17"/>
  <c r="O445" i="17"/>
  <c r="O446" i="17"/>
  <c r="O447" i="17"/>
  <c r="O448" i="17"/>
  <c r="O449" i="17"/>
  <c r="O450" i="17"/>
  <c r="O451" i="17"/>
  <c r="O452" i="17"/>
  <c r="O453" i="17"/>
  <c r="O454" i="17"/>
  <c r="O455" i="17"/>
  <c r="O456" i="17"/>
  <c r="O457" i="17"/>
  <c r="O458" i="17"/>
  <c r="O459" i="17"/>
  <c r="O460" i="17"/>
  <c r="O461" i="17"/>
  <c r="O462" i="17"/>
  <c r="O463" i="17"/>
  <c r="O464" i="17"/>
  <c r="O465" i="17"/>
  <c r="O466" i="17"/>
  <c r="O467" i="17"/>
  <c r="O468" i="17"/>
  <c r="O469" i="17"/>
  <c r="O470" i="17"/>
  <c r="O471" i="17"/>
  <c r="O472" i="17"/>
  <c r="O473" i="17"/>
  <c r="O474" i="17"/>
  <c r="O475" i="17"/>
  <c r="O476" i="17"/>
  <c r="O477" i="17"/>
  <c r="O478" i="17"/>
  <c r="O479" i="17"/>
  <c r="O480" i="17"/>
  <c r="O481" i="17"/>
  <c r="O482" i="17"/>
  <c r="O483" i="17"/>
  <c r="O484" i="17"/>
  <c r="O485" i="17"/>
  <c r="O486" i="17"/>
  <c r="O487" i="17"/>
  <c r="O488" i="17"/>
  <c r="O489" i="17"/>
  <c r="O490" i="17"/>
  <c r="O491" i="17"/>
  <c r="O492" i="17"/>
  <c r="O493" i="17"/>
  <c r="O494" i="17"/>
  <c r="O495" i="17"/>
  <c r="O496" i="17"/>
  <c r="O497" i="17"/>
  <c r="O498" i="17"/>
  <c r="O499" i="17"/>
  <c r="O500" i="17"/>
  <c r="P6" i="34" l="1"/>
  <c r="N6" i="34"/>
  <c r="O3" i="17"/>
  <c r="O4" i="17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5" i="17"/>
  <c r="O86" i="17"/>
  <c r="O87" i="17"/>
  <c r="O88" i="17"/>
  <c r="O89" i="17"/>
  <c r="O90" i="17"/>
  <c r="O91" i="17"/>
  <c r="O92" i="17"/>
  <c r="O93" i="17"/>
  <c r="O94" i="17"/>
  <c r="O95" i="17"/>
  <c r="O96" i="17"/>
  <c r="O97" i="17"/>
  <c r="O98" i="17"/>
  <c r="O99" i="17"/>
  <c r="O100" i="17"/>
  <c r="O101" i="17"/>
  <c r="O102" i="17"/>
  <c r="O103" i="17"/>
  <c r="O104" i="17"/>
  <c r="O105" i="17"/>
  <c r="O106" i="17"/>
  <c r="O107" i="17"/>
  <c r="O108" i="17"/>
  <c r="O109" i="17"/>
  <c r="O110" i="17"/>
  <c r="O111" i="17"/>
  <c r="O112" i="17"/>
  <c r="O113" i="17"/>
  <c r="O114" i="17"/>
  <c r="O115" i="17"/>
  <c r="O116" i="17"/>
  <c r="O117" i="17"/>
  <c r="O118" i="17"/>
  <c r="O119" i="17"/>
  <c r="O120" i="17"/>
  <c r="O121" i="17"/>
  <c r="O122" i="17"/>
  <c r="O123" i="17"/>
  <c r="O124" i="17"/>
  <c r="O125" i="17"/>
  <c r="O126" i="17"/>
  <c r="O127" i="17"/>
  <c r="O128" i="17"/>
  <c r="O129" i="17"/>
  <c r="O130" i="17"/>
  <c r="O131" i="17"/>
  <c r="O132" i="17"/>
  <c r="O133" i="17"/>
  <c r="O134" i="17"/>
  <c r="O135" i="17"/>
  <c r="O136" i="17"/>
  <c r="O137" i="17"/>
  <c r="O138" i="17"/>
  <c r="O139" i="17"/>
  <c r="O140" i="17"/>
  <c r="O141" i="17"/>
  <c r="O142" i="17"/>
  <c r="O143" i="17"/>
  <c r="O144" i="17"/>
  <c r="O145" i="17"/>
  <c r="O146" i="17"/>
  <c r="O147" i="17"/>
  <c r="O148" i="17"/>
  <c r="O149" i="17"/>
  <c r="O150" i="17"/>
  <c r="O151" i="17"/>
  <c r="O152" i="17"/>
  <c r="O153" i="17"/>
  <c r="O154" i="17"/>
  <c r="O155" i="17"/>
  <c r="O156" i="17"/>
  <c r="O157" i="17"/>
  <c r="O158" i="17"/>
  <c r="O159" i="17"/>
  <c r="O160" i="17"/>
  <c r="O161" i="17"/>
  <c r="O162" i="17"/>
  <c r="O163" i="17"/>
  <c r="O164" i="17"/>
  <c r="O165" i="17"/>
  <c r="O166" i="17"/>
  <c r="O167" i="17"/>
  <c r="O168" i="17"/>
  <c r="O169" i="17"/>
  <c r="O170" i="17"/>
  <c r="O171" i="17"/>
  <c r="O172" i="17"/>
  <c r="O173" i="17"/>
  <c r="O174" i="17"/>
  <c r="O175" i="17"/>
  <c r="O176" i="17"/>
  <c r="O177" i="17"/>
  <c r="O178" i="17"/>
  <c r="O179" i="17"/>
  <c r="O180" i="17"/>
  <c r="O181" i="17"/>
  <c r="O182" i="17"/>
  <c r="O183" i="17"/>
  <c r="O184" i="17"/>
  <c r="O185" i="17"/>
  <c r="O186" i="17"/>
  <c r="O187" i="17"/>
  <c r="O188" i="17"/>
  <c r="O189" i="17"/>
  <c r="O190" i="17"/>
  <c r="O191" i="17"/>
  <c r="O192" i="17"/>
  <c r="O193" i="17"/>
  <c r="O194" i="17"/>
  <c r="O195" i="17"/>
  <c r="O196" i="17"/>
  <c r="O197" i="17"/>
  <c r="O198" i="17"/>
  <c r="O199" i="17"/>
  <c r="O200" i="17"/>
  <c r="O201" i="17"/>
  <c r="O202" i="17"/>
  <c r="O203" i="17"/>
  <c r="O204" i="17"/>
  <c r="O205" i="17"/>
  <c r="O206" i="17"/>
  <c r="O207" i="17"/>
  <c r="O208" i="17"/>
  <c r="O209" i="17"/>
  <c r="O210" i="17"/>
  <c r="O211" i="17"/>
  <c r="O212" i="17"/>
  <c r="O213" i="17"/>
  <c r="O214" i="17"/>
  <c r="O215" i="17"/>
  <c r="O216" i="17"/>
  <c r="O217" i="17"/>
  <c r="O218" i="17"/>
  <c r="O219" i="17"/>
  <c r="O220" i="17"/>
  <c r="O221" i="17"/>
  <c r="O222" i="17"/>
  <c r="O223" i="17"/>
  <c r="O224" i="17"/>
  <c r="O225" i="17"/>
  <c r="O226" i="17"/>
  <c r="O227" i="17"/>
  <c r="O228" i="17"/>
  <c r="O229" i="17"/>
  <c r="O230" i="17"/>
  <c r="O231" i="17"/>
  <c r="O232" i="17"/>
  <c r="O233" i="17"/>
  <c r="O234" i="17"/>
  <c r="O235" i="17"/>
  <c r="O236" i="17"/>
  <c r="O237" i="17"/>
  <c r="O238" i="17"/>
  <c r="O239" i="17"/>
  <c r="O240" i="17"/>
  <c r="O241" i="17"/>
  <c r="O242" i="17"/>
  <c r="O243" i="17"/>
  <c r="O244" i="17"/>
  <c r="O245" i="17"/>
  <c r="O246" i="17"/>
  <c r="O247" i="17"/>
  <c r="O248" i="17"/>
  <c r="O249" i="17"/>
  <c r="O250" i="17"/>
  <c r="O251" i="17"/>
  <c r="O252" i="17"/>
  <c r="O253" i="17"/>
  <c r="O254" i="17"/>
  <c r="O255" i="17"/>
  <c r="O256" i="17"/>
  <c r="O257" i="17"/>
  <c r="O258" i="17"/>
  <c r="O259" i="17"/>
  <c r="O260" i="17"/>
  <c r="O261" i="17"/>
  <c r="O262" i="17"/>
  <c r="O263" i="17"/>
  <c r="O264" i="17"/>
  <c r="O265" i="17"/>
  <c r="O266" i="17"/>
  <c r="O267" i="17"/>
  <c r="O268" i="17"/>
  <c r="O269" i="17"/>
  <c r="O270" i="17"/>
  <c r="O271" i="17"/>
  <c r="O272" i="17"/>
  <c r="O273" i="17"/>
  <c r="O274" i="17"/>
  <c r="O275" i="17"/>
  <c r="O2" i="17"/>
  <c r="N3" i="34" l="1"/>
  <c r="N4" i="34" s="1"/>
  <c r="N5" i="34" s="1"/>
  <c r="P3" i="34"/>
  <c r="P4" i="34" s="1"/>
  <c r="P5" i="34" s="1"/>
  <c r="O375" i="16" l="1"/>
  <c r="O376" i="16"/>
  <c r="O377" i="16"/>
  <c r="O378" i="16"/>
  <c r="O379" i="16"/>
  <c r="O3" i="16"/>
  <c r="O4" i="16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14" i="16"/>
  <c r="O115" i="16"/>
  <c r="O116" i="16"/>
  <c r="O117" i="16"/>
  <c r="O118" i="16"/>
  <c r="O119" i="16"/>
  <c r="O120" i="16"/>
  <c r="O121" i="16"/>
  <c r="O122" i="16"/>
  <c r="O123" i="16"/>
  <c r="O124" i="16"/>
  <c r="O125" i="16"/>
  <c r="O126" i="16"/>
  <c r="O127" i="16"/>
  <c r="O128" i="16"/>
  <c r="O129" i="16"/>
  <c r="O130" i="16"/>
  <c r="O131" i="16"/>
  <c r="O132" i="16"/>
  <c r="O133" i="16"/>
  <c r="O134" i="16"/>
  <c r="O135" i="16"/>
  <c r="O136" i="16"/>
  <c r="O137" i="16"/>
  <c r="O138" i="16"/>
  <c r="O139" i="16"/>
  <c r="O140" i="16"/>
  <c r="O141" i="16"/>
  <c r="O142" i="16"/>
  <c r="O143" i="16"/>
  <c r="O144" i="16"/>
  <c r="O145" i="16"/>
  <c r="O146" i="16"/>
  <c r="O147" i="16"/>
  <c r="O148" i="16"/>
  <c r="O149" i="16"/>
  <c r="O150" i="16"/>
  <c r="O151" i="16"/>
  <c r="O152" i="16"/>
  <c r="O153" i="16"/>
  <c r="O154" i="16"/>
  <c r="O155" i="16"/>
  <c r="O156" i="16"/>
  <c r="O157" i="16"/>
  <c r="O158" i="16"/>
  <c r="O159" i="16"/>
  <c r="O160" i="16"/>
  <c r="O161" i="16"/>
  <c r="O162" i="16"/>
  <c r="O163" i="16"/>
  <c r="O164" i="16"/>
  <c r="O165" i="16"/>
  <c r="O166" i="16"/>
  <c r="O167" i="16"/>
  <c r="O168" i="16"/>
  <c r="O169" i="16"/>
  <c r="O170" i="16"/>
  <c r="O171" i="16"/>
  <c r="O172" i="16"/>
  <c r="O173" i="16"/>
  <c r="O174" i="16"/>
  <c r="O175" i="16"/>
  <c r="O176" i="16"/>
  <c r="O177" i="16"/>
  <c r="O178" i="16"/>
  <c r="O179" i="16"/>
  <c r="O180" i="16"/>
  <c r="O181" i="16"/>
  <c r="O182" i="16"/>
  <c r="O183" i="16"/>
  <c r="O184" i="16"/>
  <c r="O185" i="16"/>
  <c r="O186" i="16"/>
  <c r="O187" i="16"/>
  <c r="O188" i="16"/>
  <c r="O189" i="16"/>
  <c r="O190" i="16"/>
  <c r="O191" i="16"/>
  <c r="O192" i="16"/>
  <c r="O193" i="16"/>
  <c r="O194" i="16"/>
  <c r="O195" i="16"/>
  <c r="O196" i="16"/>
  <c r="O197" i="16"/>
  <c r="O198" i="16"/>
  <c r="O199" i="16"/>
  <c r="O200" i="16"/>
  <c r="O201" i="16"/>
  <c r="O202" i="16"/>
  <c r="O203" i="16"/>
  <c r="O204" i="16"/>
  <c r="O205" i="16"/>
  <c r="O206" i="16"/>
  <c r="O207" i="16"/>
  <c r="O208" i="16"/>
  <c r="O209" i="16"/>
  <c r="O210" i="16"/>
  <c r="O211" i="16"/>
  <c r="O212" i="16"/>
  <c r="O213" i="16"/>
  <c r="O214" i="16"/>
  <c r="O215" i="16"/>
  <c r="O216" i="16"/>
  <c r="O217" i="16"/>
  <c r="O218" i="16"/>
  <c r="O219" i="16"/>
  <c r="O220" i="16"/>
  <c r="O221" i="16"/>
  <c r="O222" i="16"/>
  <c r="O223" i="16"/>
  <c r="O224" i="16"/>
  <c r="O225" i="16"/>
  <c r="O226" i="16"/>
  <c r="O227" i="16"/>
  <c r="O228" i="16"/>
  <c r="O229" i="16"/>
  <c r="O230" i="16"/>
  <c r="O231" i="16"/>
  <c r="O232" i="16"/>
  <c r="O233" i="16"/>
  <c r="O234" i="16"/>
  <c r="O235" i="16"/>
  <c r="O236" i="16"/>
  <c r="O237" i="16"/>
  <c r="O238" i="16"/>
  <c r="O239" i="16"/>
  <c r="O240" i="16"/>
  <c r="O241" i="16"/>
  <c r="O242" i="16"/>
  <c r="O243" i="16"/>
  <c r="O244" i="16"/>
  <c r="O245" i="16"/>
  <c r="O246" i="16"/>
  <c r="O247" i="16"/>
  <c r="O248" i="16"/>
  <c r="O249" i="16"/>
  <c r="O250" i="16"/>
  <c r="O251" i="16"/>
  <c r="O252" i="16"/>
  <c r="O253" i="16"/>
  <c r="O254" i="16"/>
  <c r="O255" i="16"/>
  <c r="O256" i="16"/>
  <c r="O257" i="16"/>
  <c r="O258" i="16"/>
  <c r="O259" i="16"/>
  <c r="O260" i="16"/>
  <c r="O261" i="16"/>
  <c r="O262" i="16"/>
  <c r="O263" i="16"/>
  <c r="O264" i="16"/>
  <c r="O265" i="16"/>
  <c r="O266" i="16"/>
  <c r="O267" i="16"/>
  <c r="O268" i="16"/>
  <c r="O269" i="16"/>
  <c r="O270" i="16"/>
  <c r="O271" i="16"/>
  <c r="O272" i="16"/>
  <c r="O273" i="16"/>
  <c r="O274" i="16"/>
  <c r="O275" i="16"/>
  <c r="O276" i="16"/>
  <c r="O277" i="16"/>
  <c r="O278" i="16"/>
  <c r="O279" i="16"/>
  <c r="O280" i="16"/>
  <c r="O281" i="16"/>
  <c r="O282" i="16"/>
  <c r="O283" i="16"/>
  <c r="O284" i="16"/>
  <c r="O285" i="16"/>
  <c r="O286" i="16"/>
  <c r="O287" i="16"/>
  <c r="O288" i="16"/>
  <c r="O289" i="16"/>
  <c r="O290" i="16"/>
  <c r="O291" i="16"/>
  <c r="O292" i="16"/>
  <c r="O293" i="16"/>
  <c r="O294" i="16"/>
  <c r="O295" i="16"/>
  <c r="O296" i="16"/>
  <c r="O297" i="16"/>
  <c r="O298" i="16"/>
  <c r="O299" i="16"/>
  <c r="O300" i="16"/>
  <c r="O301" i="16"/>
  <c r="O302" i="16"/>
  <c r="O303" i="16"/>
  <c r="O304" i="16"/>
  <c r="O305" i="16"/>
  <c r="O306" i="16"/>
  <c r="O307" i="16"/>
  <c r="O308" i="16"/>
  <c r="O309" i="16"/>
  <c r="O310" i="16"/>
  <c r="O311" i="16"/>
  <c r="O312" i="16"/>
  <c r="O313" i="16"/>
  <c r="O314" i="16"/>
  <c r="O315" i="16"/>
  <c r="O316" i="16"/>
  <c r="O317" i="16"/>
  <c r="O318" i="16"/>
  <c r="O319" i="16"/>
  <c r="O320" i="16"/>
  <c r="O321" i="16"/>
  <c r="O322" i="16"/>
  <c r="O323" i="16"/>
  <c r="O324" i="16"/>
  <c r="O325" i="16"/>
  <c r="O326" i="16"/>
  <c r="O327" i="16"/>
  <c r="O328" i="16"/>
  <c r="O329" i="16"/>
  <c r="O330" i="16"/>
  <c r="O331" i="16"/>
  <c r="O332" i="16"/>
  <c r="O333" i="16"/>
  <c r="O334" i="16"/>
  <c r="O335" i="16"/>
  <c r="O336" i="16"/>
  <c r="O337" i="16"/>
  <c r="O338" i="16"/>
  <c r="O339" i="16"/>
  <c r="O340" i="16"/>
  <c r="O341" i="16"/>
  <c r="O342" i="16"/>
  <c r="O343" i="16"/>
  <c r="O344" i="16"/>
  <c r="O345" i="16"/>
  <c r="O346" i="16"/>
  <c r="O347" i="16"/>
  <c r="O348" i="16"/>
  <c r="O349" i="16"/>
  <c r="O350" i="16"/>
  <c r="O351" i="16"/>
  <c r="O352" i="16"/>
  <c r="O353" i="16"/>
  <c r="O354" i="16"/>
  <c r="O355" i="16"/>
  <c r="O356" i="16"/>
  <c r="O357" i="16"/>
  <c r="O358" i="16"/>
  <c r="O359" i="16"/>
  <c r="O360" i="16"/>
  <c r="O361" i="16"/>
  <c r="O362" i="16"/>
  <c r="O363" i="16"/>
  <c r="O364" i="16"/>
  <c r="O365" i="16"/>
  <c r="O366" i="16"/>
  <c r="O367" i="16"/>
  <c r="O368" i="16"/>
  <c r="O369" i="16"/>
  <c r="O370" i="16"/>
  <c r="O371" i="16"/>
  <c r="O372" i="16"/>
  <c r="O373" i="16"/>
  <c r="O374" i="16"/>
  <c r="O2" i="16"/>
  <c r="O3" i="13"/>
  <c r="O4" i="13"/>
  <c r="O5" i="13"/>
  <c r="O6" i="13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65" i="13"/>
  <c r="O66" i="13"/>
  <c r="O67" i="13"/>
  <c r="O68" i="13"/>
  <c r="O69" i="13"/>
  <c r="O70" i="13"/>
  <c r="O71" i="13"/>
  <c r="O72" i="13"/>
  <c r="O73" i="13"/>
  <c r="O74" i="13"/>
  <c r="O75" i="13"/>
  <c r="O76" i="13"/>
  <c r="O77" i="13"/>
  <c r="O78" i="13"/>
  <c r="O79" i="13"/>
  <c r="O80" i="13"/>
  <c r="O81" i="13"/>
  <c r="O82" i="13"/>
  <c r="O83" i="13"/>
  <c r="O84" i="13"/>
  <c r="O85" i="13"/>
  <c r="O86" i="13"/>
  <c r="O87" i="13"/>
  <c r="O88" i="13"/>
  <c r="O89" i="13"/>
  <c r="O90" i="13"/>
  <c r="O91" i="13"/>
  <c r="O92" i="13"/>
  <c r="O93" i="13"/>
  <c r="O94" i="13"/>
  <c r="O95" i="13"/>
  <c r="O96" i="13"/>
  <c r="O97" i="13"/>
  <c r="O98" i="13"/>
  <c r="O99" i="13"/>
  <c r="O100" i="13"/>
  <c r="O101" i="13"/>
  <c r="O102" i="13"/>
  <c r="O103" i="13"/>
  <c r="O104" i="13"/>
  <c r="O105" i="13"/>
  <c r="O106" i="13"/>
  <c r="O107" i="13"/>
  <c r="O108" i="13"/>
  <c r="O109" i="13"/>
  <c r="O110" i="13"/>
  <c r="O111" i="13"/>
  <c r="O112" i="13"/>
  <c r="O113" i="13"/>
  <c r="O114" i="13"/>
  <c r="O115" i="13"/>
  <c r="O116" i="13"/>
  <c r="O117" i="13"/>
  <c r="O118" i="13"/>
  <c r="O119" i="13"/>
  <c r="O120" i="13"/>
  <c r="O121" i="13"/>
  <c r="O122" i="13"/>
  <c r="O123" i="13"/>
  <c r="O124" i="13"/>
  <c r="O125" i="13"/>
  <c r="O126" i="13"/>
  <c r="O127" i="13"/>
  <c r="O128" i="13"/>
  <c r="O129" i="13"/>
  <c r="O130" i="13"/>
  <c r="O131" i="13"/>
  <c r="O132" i="13"/>
  <c r="O133" i="13"/>
  <c r="O134" i="13"/>
  <c r="O135" i="13"/>
  <c r="O136" i="13"/>
  <c r="O137" i="13"/>
  <c r="O138" i="13"/>
  <c r="O139" i="13"/>
  <c r="O140" i="13"/>
  <c r="O141" i="13"/>
  <c r="O142" i="13"/>
  <c r="O143" i="13"/>
  <c r="O144" i="13"/>
  <c r="O145" i="13"/>
  <c r="O146" i="13"/>
  <c r="O147" i="13"/>
  <c r="O148" i="13"/>
  <c r="O149" i="13"/>
  <c r="O150" i="13"/>
  <c r="O151" i="13"/>
  <c r="O152" i="13"/>
  <c r="O153" i="13"/>
  <c r="O154" i="13"/>
  <c r="O155" i="13"/>
  <c r="O156" i="13"/>
  <c r="O157" i="13"/>
  <c r="O158" i="13"/>
  <c r="O159" i="13"/>
  <c r="O160" i="13"/>
  <c r="O161" i="13"/>
  <c r="O162" i="13"/>
  <c r="O163" i="13"/>
  <c r="O164" i="13"/>
  <c r="O165" i="13"/>
  <c r="O166" i="13"/>
  <c r="O167" i="13"/>
  <c r="O168" i="13"/>
  <c r="O169" i="13"/>
  <c r="O170" i="13"/>
  <c r="O171" i="13"/>
  <c r="O172" i="13"/>
  <c r="O173" i="13"/>
  <c r="O174" i="13"/>
  <c r="O175" i="13"/>
  <c r="O176" i="13"/>
  <c r="O177" i="13"/>
  <c r="O178" i="13"/>
  <c r="O179" i="13"/>
  <c r="O180" i="13"/>
  <c r="O181" i="13"/>
  <c r="O182" i="13"/>
  <c r="O183" i="13"/>
  <c r="O184" i="13"/>
  <c r="O185" i="13"/>
  <c r="O186" i="13"/>
  <c r="O187" i="13"/>
  <c r="O188" i="13"/>
  <c r="O189" i="13"/>
  <c r="O190" i="13"/>
  <c r="O191" i="13"/>
  <c r="O192" i="13"/>
  <c r="O193" i="13"/>
  <c r="O194" i="13"/>
  <c r="O195" i="13"/>
  <c r="O196" i="13"/>
  <c r="O197" i="13"/>
  <c r="O198" i="13"/>
  <c r="O199" i="13"/>
  <c r="O200" i="13"/>
  <c r="O201" i="13"/>
  <c r="O202" i="13"/>
  <c r="O203" i="13"/>
  <c r="O204" i="13"/>
  <c r="O205" i="13"/>
  <c r="O206" i="13"/>
  <c r="O207" i="13"/>
  <c r="O208" i="13"/>
  <c r="O209" i="13"/>
  <c r="O210" i="13"/>
  <c r="O211" i="13"/>
  <c r="O212" i="13"/>
  <c r="O213" i="13"/>
  <c r="O214" i="13"/>
  <c r="O215" i="13"/>
  <c r="O216" i="13"/>
  <c r="O217" i="13"/>
  <c r="O218" i="13"/>
  <c r="O219" i="13"/>
  <c r="O220" i="13"/>
  <c r="O221" i="13"/>
  <c r="O222" i="13"/>
  <c r="O223" i="13"/>
  <c r="O224" i="13"/>
  <c r="O225" i="13"/>
  <c r="O226" i="13"/>
  <c r="O227" i="13"/>
  <c r="O228" i="13"/>
  <c r="O229" i="13"/>
  <c r="O230" i="13"/>
  <c r="O231" i="13"/>
  <c r="O232" i="13"/>
  <c r="O233" i="13"/>
  <c r="O234" i="13"/>
  <c r="O235" i="13"/>
  <c r="O236" i="13"/>
  <c r="O237" i="13"/>
  <c r="O238" i="13"/>
  <c r="O239" i="13"/>
  <c r="O240" i="13"/>
  <c r="O241" i="13"/>
  <c r="O242" i="13"/>
  <c r="O243" i="13"/>
  <c r="O244" i="13"/>
  <c r="O245" i="13"/>
  <c r="O246" i="13"/>
  <c r="O2" i="13"/>
  <c r="O3" i="14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2" i="14"/>
  <c r="O53" i="14"/>
  <c r="O54" i="14"/>
  <c r="O55" i="14"/>
  <c r="O56" i="14"/>
  <c r="O57" i="14"/>
  <c r="O58" i="14"/>
  <c r="O59" i="14"/>
  <c r="O60" i="14"/>
  <c r="O61" i="14"/>
  <c r="O62" i="14"/>
  <c r="O63" i="14"/>
  <c r="O64" i="14"/>
  <c r="O65" i="14"/>
  <c r="O66" i="14"/>
  <c r="O67" i="14"/>
  <c r="O68" i="14"/>
  <c r="O69" i="14"/>
  <c r="O70" i="14"/>
  <c r="O71" i="14"/>
  <c r="O72" i="14"/>
  <c r="O73" i="14"/>
  <c r="O74" i="14"/>
  <c r="O75" i="14"/>
  <c r="O76" i="14"/>
  <c r="O77" i="14"/>
  <c r="O78" i="14"/>
  <c r="O79" i="14"/>
  <c r="O80" i="14"/>
  <c r="O81" i="14"/>
  <c r="O82" i="14"/>
  <c r="O83" i="14"/>
  <c r="O84" i="14"/>
  <c r="O85" i="14"/>
  <c r="O86" i="14"/>
  <c r="O87" i="14"/>
  <c r="O88" i="14"/>
  <c r="O89" i="14"/>
  <c r="O90" i="14"/>
  <c r="O91" i="14"/>
  <c r="O92" i="14"/>
  <c r="O93" i="14"/>
  <c r="O94" i="14"/>
  <c r="O95" i="14"/>
  <c r="O96" i="14"/>
  <c r="O97" i="14"/>
  <c r="O98" i="14"/>
  <c r="O99" i="14"/>
  <c r="O100" i="14"/>
  <c r="O101" i="14"/>
  <c r="O102" i="14"/>
  <c r="O103" i="14"/>
  <c r="O104" i="14"/>
  <c r="O105" i="14"/>
  <c r="O106" i="14"/>
  <c r="O107" i="14"/>
  <c r="O108" i="14"/>
  <c r="O109" i="14"/>
  <c r="O110" i="14"/>
  <c r="O111" i="14"/>
  <c r="O112" i="14"/>
  <c r="O113" i="14"/>
  <c r="O114" i="14"/>
  <c r="O115" i="14"/>
  <c r="O116" i="14"/>
  <c r="O117" i="14"/>
  <c r="O118" i="14"/>
  <c r="O119" i="14"/>
  <c r="O120" i="14"/>
  <c r="O121" i="14"/>
  <c r="O122" i="14"/>
  <c r="O123" i="14"/>
  <c r="O124" i="14"/>
  <c r="O125" i="14"/>
  <c r="O126" i="14"/>
  <c r="O127" i="14"/>
  <c r="O128" i="14"/>
  <c r="O129" i="14"/>
  <c r="O130" i="14"/>
  <c r="O131" i="14"/>
  <c r="O2" i="14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O112" i="15"/>
  <c r="O113" i="15"/>
  <c r="O114" i="15"/>
  <c r="O115" i="15"/>
  <c r="O116" i="15"/>
  <c r="O117" i="15"/>
  <c r="O118" i="15"/>
  <c r="O119" i="15"/>
  <c r="O120" i="15"/>
  <c r="O121" i="15"/>
  <c r="O122" i="15"/>
  <c r="O123" i="15"/>
  <c r="O124" i="15"/>
  <c r="O125" i="15"/>
  <c r="O126" i="15"/>
  <c r="O127" i="15"/>
  <c r="O128" i="15"/>
  <c r="O129" i="15"/>
  <c r="O130" i="15"/>
  <c r="O131" i="15"/>
  <c r="O132" i="15"/>
  <c r="O133" i="15"/>
  <c r="O134" i="15"/>
  <c r="O135" i="15"/>
  <c r="O136" i="15"/>
  <c r="O137" i="15"/>
  <c r="O138" i="15"/>
  <c r="O139" i="15"/>
  <c r="O140" i="15"/>
  <c r="O141" i="15"/>
  <c r="O142" i="15"/>
  <c r="O143" i="15"/>
  <c r="O144" i="15"/>
  <c r="O145" i="15"/>
  <c r="O146" i="15"/>
  <c r="O147" i="15"/>
  <c r="O148" i="15"/>
  <c r="O149" i="15"/>
  <c r="O150" i="15"/>
  <c r="O151" i="15"/>
  <c r="O152" i="15"/>
  <c r="O153" i="15"/>
  <c r="O154" i="15"/>
  <c r="O155" i="15"/>
  <c r="O156" i="15"/>
  <c r="O157" i="15"/>
  <c r="O158" i="15"/>
  <c r="O159" i="15"/>
  <c r="O160" i="15"/>
  <c r="O161" i="15"/>
  <c r="O162" i="15"/>
  <c r="O163" i="15"/>
  <c r="O164" i="15"/>
  <c r="O165" i="15"/>
  <c r="O166" i="15"/>
  <c r="O167" i="15"/>
  <c r="O168" i="15"/>
  <c r="O169" i="15"/>
  <c r="O170" i="15"/>
  <c r="O171" i="15"/>
  <c r="O172" i="15"/>
  <c r="O173" i="15"/>
  <c r="O174" i="15"/>
  <c r="O175" i="15"/>
  <c r="O176" i="15"/>
  <c r="O177" i="15"/>
  <c r="O178" i="15"/>
  <c r="O179" i="15"/>
  <c r="O180" i="15"/>
  <c r="O181" i="15"/>
  <c r="O182" i="15"/>
  <c r="O183" i="15"/>
  <c r="O184" i="15"/>
  <c r="O185" i="15"/>
  <c r="O186" i="15"/>
  <c r="O187" i="15"/>
  <c r="O188" i="15"/>
  <c r="O189" i="15"/>
  <c r="O190" i="15"/>
  <c r="O191" i="15"/>
  <c r="O192" i="15"/>
  <c r="O193" i="15"/>
  <c r="O194" i="15"/>
  <c r="O195" i="15"/>
  <c r="O196" i="15"/>
  <c r="O197" i="15"/>
  <c r="O198" i="15"/>
  <c r="O199" i="15"/>
  <c r="O200" i="15"/>
  <c r="O201" i="15"/>
  <c r="O202" i="15"/>
  <c r="O203" i="15"/>
  <c r="O204" i="15"/>
  <c r="O205" i="15"/>
  <c r="O206" i="15"/>
  <c r="O207" i="15"/>
  <c r="O208" i="15"/>
  <c r="O209" i="15"/>
  <c r="O210" i="15"/>
  <c r="O211" i="15"/>
  <c r="O212" i="15"/>
  <c r="O213" i="15"/>
  <c r="O214" i="15"/>
  <c r="O215" i="15"/>
  <c r="O216" i="15"/>
  <c r="O217" i="15"/>
  <c r="O218" i="15"/>
  <c r="O219" i="15"/>
  <c r="O220" i="15"/>
  <c r="O221" i="15"/>
  <c r="O222" i="15"/>
  <c r="O223" i="15"/>
  <c r="O224" i="15"/>
  <c r="O225" i="15"/>
  <c r="O226" i="15"/>
  <c r="O227" i="15"/>
  <c r="O228" i="15"/>
  <c r="O229" i="15"/>
  <c r="O230" i="15"/>
  <c r="O231" i="15"/>
  <c r="O232" i="15"/>
  <c r="O233" i="15"/>
  <c r="O234" i="15"/>
  <c r="O235" i="15"/>
  <c r="O236" i="15"/>
  <c r="O237" i="15"/>
  <c r="O238" i="15"/>
  <c r="O239" i="15"/>
  <c r="O240" i="15"/>
  <c r="O241" i="15"/>
  <c r="O242" i="15"/>
  <c r="O243" i="15"/>
  <c r="O244" i="15"/>
  <c r="O245" i="15"/>
  <c r="O246" i="15"/>
  <c r="O247" i="15"/>
  <c r="O248" i="15"/>
  <c r="O249" i="15"/>
  <c r="O250" i="15"/>
  <c r="O251" i="15"/>
  <c r="O252" i="15"/>
  <c r="O253" i="15"/>
  <c r="O254" i="15"/>
  <c r="O255" i="15"/>
  <c r="O256" i="15"/>
  <c r="O257" i="15"/>
  <c r="O258" i="15"/>
  <c r="O259" i="15"/>
  <c r="O260" i="15"/>
  <c r="O261" i="15"/>
  <c r="O262" i="15"/>
  <c r="O263" i="15"/>
  <c r="O264" i="15"/>
  <c r="O265" i="15"/>
  <c r="O266" i="15"/>
  <c r="O267" i="15"/>
  <c r="O268" i="15"/>
  <c r="O269" i="15"/>
  <c r="O270" i="15"/>
  <c r="O271" i="15"/>
  <c r="O272" i="15"/>
  <c r="O273" i="15"/>
  <c r="O274" i="15"/>
  <c r="O275" i="15"/>
  <c r="O276" i="15"/>
  <c r="O277" i="15"/>
  <c r="O278" i="15"/>
  <c r="O279" i="15"/>
  <c r="O280" i="15"/>
  <c r="O281" i="15"/>
  <c r="O282" i="15"/>
  <c r="O283" i="15"/>
  <c r="O284" i="15"/>
  <c r="O285" i="15"/>
  <c r="O286" i="15"/>
  <c r="O287" i="15"/>
  <c r="O2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871CF86-6629-4B5B-ABC7-8D6EBC92FE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CD97836-30F0-4EE1-899B-8AFB576742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7B6F7A9-837F-41DE-AEA5-7748511CEF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627C885-72A5-4F16-9349-EA8EF41AC8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660AC9E-7C07-4FBB-9EAE-21F4CD5872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F7CFCC2-42FE-4069-BB0D-3FB9245088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DBF5575-02C0-4495-939E-CCE3606AF7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6FACD06-0737-4F22-9317-7222783BAC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4017C48-9E75-45F2-AB95-082B83E886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D5611F6-7DFC-40C9-9640-B8015C8C0C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435E7EA-4A4B-4A98-9628-91316E7624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F710F71-6534-4293-BB91-A7D1B4FAC0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3FCFF91-2ED0-4204-8A70-33F9F80CE5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AF6A4CE-0D3E-4C7A-8F44-7FD2321D78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34531AB-AB76-4FD0-BEEF-9A30F90301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9761AA0-698A-4F02-B5AD-2F5251A089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3CB7DC2-1FC3-40FF-9C68-DAA64230FA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8EA423C-A69C-4387-9804-29011EB191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2DBEAD5-A235-486F-A464-B9BD7CFDCE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3528023-28DF-4C98-9B00-5C867EAE5F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47B6B32-74B5-4949-BE42-655F75EAC7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ED69DA4-8A47-4222-B38F-5377AF52AD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4070055-9B0D-422F-BFAB-8860A4718F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12662CF-4CA8-42EF-BB9A-CE8CB05128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177A47D-8D5E-4B49-9B87-956487EC27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694F550-9229-4695-8F9A-C0FD4FF88F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3DA979F-EDB8-4C92-A168-83297B46BD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8962CF2-7E18-4DB8-A59F-50FC6348F9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D3874A2-0DCF-4903-B438-B1936DD030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0818063-4459-4F48-8285-57F93C0C05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971352D-2D46-487C-A7F1-3EBD2D870B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28C58AF-EB23-45FE-B36F-6F532C227A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8CFBC52-1411-4940-BAC7-321C17D812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E04562B-86CD-4D62-8E9E-66BAD5E364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5FFCB70-E8A6-43F4-913B-B708CCD68B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20595C2-7FE8-42D3-A47C-A1C9F9E48B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E6E9913-D428-428F-ADCB-392684E4B6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519BE60-CA6D-448C-AB7F-81C796C9A2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5F80C97-3A2C-4AD2-BB87-967EE975D3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B6873A7-EA0B-4A02-AA16-1DA700EC33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0CEBEC4-F9F9-4DA7-B963-BBCAAE875E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6C4878E-A0AE-4B19-B11D-0CC4DCC458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E5E5677-180A-4845-BD54-2AA186A032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E204A7D-41FF-4F00-B0FE-761FBE2D86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51641C2-FDD3-4142-B027-689E14E81A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2A14F5A-3535-4C5F-B160-0B6AC57926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768D5DC-9A4D-41C0-9F4D-FD533250D7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9E09A2E-8C68-4554-922D-4793C68F84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4DF0821-1612-46BD-B62D-37DEF30508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A3A357C-34C8-41D3-B38C-F0BB47B6B1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17362EB-6413-4C9D-ADC4-278F1BE73D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009D327-B153-42D5-8CDA-977A5FFFF4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65751EE-A46C-4ECE-9E65-DAF8514164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CE801A5-E7A0-493B-B2EA-58C0004997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66E194C-05DE-4D2E-B07F-4CAD6F78DB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03F2862-79EE-42F0-B535-779B9F4622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3EFC3B9-0CFD-484A-8448-C49EA5A625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E6F499C-8A78-490F-97C5-2380055A0A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F6A8B15-61DE-4095-BA46-5EB3A7152B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B1FFBF0-0DC9-4509-8EC9-06AE9ACB02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A08136A-11E7-4338-BB60-85B4CB4F0A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384F2A6-748E-40B9-8BDA-618533BA43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AFE0574-A1D9-45BB-9BA7-A08A8DADBE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6CD136C-E394-4736-B3F4-80A1BB48F1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0F0E6ED-627A-40EC-98E5-3E7CCA1584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41B28E1-E3C0-43ED-A321-21A7BBD753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4CCA2D0-0BA3-456B-AA06-DE09E5429A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84FCE5B-14DA-4081-83FB-A47126F9CD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54E389A-7860-4DB0-835E-F43B780668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DB16791-98EE-4FCC-8221-F1471C061A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B803FFC-B924-4191-8DD7-4697F9E501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311CAF6-7AFE-42EB-BAE0-2FA9A2ECA2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60D4C63-F7C1-45FE-A243-733824E257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3ED52CA-324B-4D02-A418-CD771CD724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6387E92-170D-4FE9-91F1-06A028DF43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A8145C3-C900-4206-9DE4-0E7342A7B8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B687DCA-D0CF-41AF-85D2-C7E54FF7DF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01679DC-AA5A-4C53-9B24-67184B705C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6F2CAC5-D20B-4557-810B-35A8A0C7BC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A2A1AC1-556C-41E5-8956-C9C75F6E3F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C8CE6AB-58D5-478F-8305-0217FB5C61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875E715-EDAE-49D4-AE20-5145A6062B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81A0C3F-3067-4D07-9D0D-E0D865EF3B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104AC5-C863-4037-A197-32964DE102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DF696C-6943-4B47-AEBA-CE9D05336A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DB446CB-3A88-4019-99C1-ACB3EEDBF1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D8C91B0-A1E6-4124-9EE8-EB192B3146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B91F1E3-30E3-4410-82CC-CD04B68FC8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5716052-525F-4763-BAB3-0A3D2127AD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C1AA027-8341-4AD7-9B34-90BE6DA9BA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475AE8C-A37B-452E-9199-522F8E8ACA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8D346AC-E6F7-45EA-B496-D54CC627CC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AB710AB-1FA0-40E4-9A8A-5CB3202ECD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FD1B8B1-7BD0-47DC-B310-FA58620EB0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9A23936-1D4B-47F9-92B1-F910AB9AD7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FBDABE0-6359-42F7-BB35-C19A084EC1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051DC73-CAF0-4889-9BA3-2E0A818131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429C58C-3A19-4CBB-A47E-9FFF02CC6A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F350340-623A-4C9C-8969-1694FABE2C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92E7B99-88DC-402E-B3A7-B1574260C1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43B7A03-1E05-48F4-A79D-9AFC639BCE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2D9BDC6-FEDA-40E8-9677-30889297A4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868757B-6558-4FE4-B2AB-F2381F025E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FE02C4C-BB4A-4192-A4F1-57F0FB2FB5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76E9359-FBD7-438C-9838-1CB65AA8F7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44D3945-E05C-4C84-A843-BE31014944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F727F21-E059-4BB3-BDE4-72BB26A07B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ED63286-6E2A-4644-B67A-64D406217A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4974750-F0E3-4A41-A1A0-E75FAACFC5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35007FF-FA1E-4EA3-96C7-50FD37984B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FC50DE6-97B7-468C-A608-A0E8863E0B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9591E25-5CA2-48CB-9DC2-2C5C6DB816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7190D8B-8086-4207-B81F-3C84576EC9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BBB5235-A5F1-42E8-8B35-9B1AA499A5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C170479-B721-4393-A34F-1312127464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74ED2B6-6F4A-4445-9E27-F3EF352B18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91964B5-8201-457D-9C84-15F4812E44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FDE5123-6AF3-4CBC-954F-4CD3B90E82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F2F1CA2-A4F3-44C0-BF56-DA577ADC17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039CF63-ED26-4979-85AC-BD9507647A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F11F53F-C91E-4C5E-A197-8B4BC01A5D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3BE14F0-88D5-4EBC-A4BD-7D261FC8F3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231B9FE-95D0-4796-842C-F3FC0E3471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8B51655-59A1-430F-8C29-FD4E11856C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4F21838-B2F9-4249-A051-EA7EEB5567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9ED4968-59A4-4489-AE13-8B92281E99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1025382-007D-4948-9560-6F9A741BA2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BBB5F86-AC55-43A6-8CA1-D12E9E988A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FC62CBA-192F-4D79-B503-5D5E793AF2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CCF0F0B-3790-4E85-9A4D-7C9BD3FB70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8B61EFF-2AD6-4A67-884B-CF9591E466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BDE1C7E-ECFA-4CE5-A4CC-9DA67A29FB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AADA23D-0209-48DC-985F-1F854AF88B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765A957-3385-49A3-B47B-094E730FC3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49E1152-FD03-4824-B19A-5E5D21B232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D8B21DB-2819-4049-8094-75E3642CD6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6F5277D-D0E5-43E4-B52B-82EE21F192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BF9EB07-D7D6-4CC8-A342-D0695EF810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5AC1E5C-B7ED-4E0E-99D6-30816316CE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31B46F1-F812-4B19-BCCB-E14CDE463F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<sst xmlns="http://schemas.openxmlformats.org/spreadsheetml/2006/main" count="16466" uniqueCount="3228">
  <si>
    <t>PERCENTAGE</t>
  </si>
  <si>
    <t>DISCOUNT TYPE</t>
  </si>
  <si>
    <t>HARGA PROMO</t>
  </si>
  <si>
    <t>DISKON</t>
  </si>
  <si>
    <t>HARGA NORMAL</t>
  </si>
  <si>
    <t>DESCRIPTION</t>
  </si>
  <si>
    <t>ARTICLE</t>
  </si>
  <si>
    <t>SKU</t>
  </si>
  <si>
    <t>BRAND</t>
  </si>
  <si>
    <t>SUPPLIER</t>
  </si>
  <si>
    <t>CLASS</t>
  </si>
  <si>
    <t>DIVISION</t>
  </si>
  <si>
    <t>WORLD</t>
  </si>
  <si>
    <t>DEPT</t>
  </si>
  <si>
    <t>TO DATE</t>
  </si>
  <si>
    <t>FROM DATE</t>
  </si>
  <si>
    <t>ACARA</t>
  </si>
  <si>
    <t>DISNEY</t>
  </si>
  <si>
    <t>MKBAS20</t>
  </si>
  <si>
    <t>MARB111</t>
  </si>
  <si>
    <t>SLIPPER SANDALS WOMEN MARB111:KHAKI:36:PRINT:SLIPPER SANDALS</t>
  </si>
  <si>
    <t>SLIPPER SANDALS WOMEN MARB111:KHAKI:37:PRINT:SLIPPER SANDALS</t>
  </si>
  <si>
    <t>SLIPPER SANDALS WOMEN MARB111:KHAKI:38:PRINT:SLIPPER SANDALS</t>
  </si>
  <si>
    <t>SLIPPER SANDALS WOMEN MARB111:KHAKI:39:PRINT:SLIPPER SANDALS</t>
  </si>
  <si>
    <t>SLIPPER SANDALS WOMEN MARB111:KHAKI:40:PRINT:SLIPPER SANDALS</t>
  </si>
  <si>
    <t>SLIPPER SANDALS WOMEN MARB111:LIGHT BLUE:36:PRINT:SLIPPER SANDALS</t>
  </si>
  <si>
    <t>SLIPPER SANDALS WOMEN MARB111:LIGHT BLUE:37:PRINT:SLIPPER SANDALS</t>
  </si>
  <si>
    <t>SLIPPER SANDALS WOMEN MARB111:LIGHT BLUE:38:PRINT:SLIPPER SANDALS</t>
  </si>
  <si>
    <t>SLIPPER SANDALS WOMEN MARB111:LIGHT BLUE:39:PRINT:SLIPPER SANDALS</t>
  </si>
  <si>
    <t>SLIPPER SANDALS WOMEN MARB111:LIGHT BLUE:40:PRINT:SLIPPER SANDALS</t>
  </si>
  <si>
    <t>MK2216</t>
  </si>
  <si>
    <t>MKBAS34</t>
  </si>
  <si>
    <t>MN07NV</t>
  </si>
  <si>
    <t>67450101MIN SP SD MN07:NAVY BLUE:XL</t>
  </si>
  <si>
    <t>TS1706CO</t>
  </si>
  <si>
    <t>67450101TTN WG SP TS1706:BROWN SUGAR:40</t>
  </si>
  <si>
    <t>TS1706PK</t>
  </si>
  <si>
    <t>67450101TTN WG SP TS1706:PASTEL PINK:38</t>
  </si>
  <si>
    <t>MKAH1PT</t>
  </si>
  <si>
    <t>67450101MIC SD SP MKAH1:WHITE:XL</t>
  </si>
  <si>
    <t>TS1716KU</t>
  </si>
  <si>
    <t>67450101TTN FL SP TS1716:MUSTARD:M</t>
  </si>
  <si>
    <t>67450101TTN FL SP TS1716:MUSTARD:XL</t>
  </si>
  <si>
    <t>MK08-K</t>
  </si>
  <si>
    <t>67450101 SP MK08:CLASSIC YELLOW:S</t>
  </si>
  <si>
    <t>67450101 SP MK08:CLASSIC YELLOW:M</t>
  </si>
  <si>
    <t>MK08-PK</t>
  </si>
  <si>
    <t>67450101 SP MK08:PASTEL PINK:XL</t>
  </si>
  <si>
    <t>TS1803-N</t>
  </si>
  <si>
    <t>67450101TTN TS1803:NAVY BLUE:M</t>
  </si>
  <si>
    <t>TS1803-PK</t>
  </si>
  <si>
    <t>67450101TTN TS1803:PASTEL PINK:S</t>
  </si>
  <si>
    <t>67450101TTN TS1803:PASTEL PINK:M</t>
  </si>
  <si>
    <t>67450101TTN TS1803:PASTEL PINK:L</t>
  </si>
  <si>
    <t>TS1803-P</t>
  </si>
  <si>
    <t>67450101TTN TS1803:WHITE:S</t>
  </si>
  <si>
    <t>67450101TTN TS1803:WHITE:M</t>
  </si>
  <si>
    <t>67450101TTN TS1803:WHITE:L</t>
  </si>
  <si>
    <t>67450101TTN TS1803:WHITE:XL</t>
  </si>
  <si>
    <t>MK09-H</t>
  </si>
  <si>
    <t>SANDAL FLAT Y-GIRL MK09:BLACK:S</t>
  </si>
  <si>
    <t>SANDAL FLAT Y-GIRL MK09:BLACK:XL</t>
  </si>
  <si>
    <t>MK09-PK</t>
  </si>
  <si>
    <t>SANDAL FLAT Y-GIRL MK09:PASTEL PINK:S</t>
  </si>
  <si>
    <t>SANDAL FLAT Y-GIRL MK09:PASTEL PINK:M</t>
  </si>
  <si>
    <t>SANDAL FLAT Y-GIRL MK09:PASTEL PINK:L</t>
  </si>
  <si>
    <t>SANDAL FLAT Y-GIRL MK09:PASTEL PINK:XL</t>
  </si>
  <si>
    <t>TS1904-K</t>
  </si>
  <si>
    <t>SANDAL FLAT Y-GIRL TS1904:CLASSIC YELLOW:S</t>
  </si>
  <si>
    <t>TS1904-N</t>
  </si>
  <si>
    <t>SANDAL FLAT Y-GIRL TS1904:NAVY BLUE:S</t>
  </si>
  <si>
    <t>SANDAL FLAT Y-GIRL TS1904:NAVY BLUE:M</t>
  </si>
  <si>
    <t>SANDAL FLAT Y-GIRL TS1904:NAVY BLUE:XL</t>
  </si>
  <si>
    <t>TS1904-CR</t>
  </si>
  <si>
    <t>SANDAL FLAT Y-GIRL TS1904:CORAL:S</t>
  </si>
  <si>
    <t>SANDAL FLAT Y-GIRL TS1904:CORAL:M</t>
  </si>
  <si>
    <t>SANDAL FLAT Y-GIRL TS1904:CORAL:L</t>
  </si>
  <si>
    <t>SANDAL FLAT Y-GIRL TS1904:CORAL:XL</t>
  </si>
  <si>
    <t>MK10-H</t>
  </si>
  <si>
    <t>SANDAL FLAT Y-GIRL MK10:BLACK:M</t>
  </si>
  <si>
    <t>SANDAL FLAT Y-GIRL MK10:BLACK:XL</t>
  </si>
  <si>
    <t>MK10-U</t>
  </si>
  <si>
    <t>SANDAL FLAT Y-GIRL MK10:PASTEL PURPLE:S</t>
  </si>
  <si>
    <t>SANDAL FLAT Y-GIRL MK10:PASTEL PURPLE:M</t>
  </si>
  <si>
    <t>SANDAL FLAT Y-GIRL MK10:PASTEL PURPLE:XL</t>
  </si>
  <si>
    <t>MK10-PK</t>
  </si>
  <si>
    <t>SANDAL FLAT Y-GIRL MK10:PASTEL PINK:S</t>
  </si>
  <si>
    <t>SANDAL FLAT Y-GIRL MK10:PASTEL PINK:XL</t>
  </si>
  <si>
    <t>TS1905-KH</t>
  </si>
  <si>
    <t>SANDAL FLAT Y-GIRL TS1905:KHAKI:S</t>
  </si>
  <si>
    <t>SANDAL FLAT Y-GIRL TS1905:KHAKI:M</t>
  </si>
  <si>
    <t>SANDAL FLAT Y-GIRL TS1905:KHAKI:L</t>
  </si>
  <si>
    <t>SANDAL FLAT Y-GIRL TS1905:KHAKI:XL</t>
  </si>
  <si>
    <t>TS1905-TC</t>
  </si>
  <si>
    <t>SANDAL FLAT Y-GIRL TS1905:TURQUOISE:S</t>
  </si>
  <si>
    <t>SANDAL FLAT Y-GIRL TS1905:TURQUOISE:M</t>
  </si>
  <si>
    <t>SANDAL FLAT Y-GIRL TS1905:TURQUOISE:L</t>
  </si>
  <si>
    <t>SANDAL FLAT Y-GIRL TS1905:TURQUOISE:XL</t>
  </si>
  <si>
    <t>MK11W-H</t>
  </si>
  <si>
    <t>SANDAL WEDGES Y-GIRL:BLACK:M</t>
  </si>
  <si>
    <t>MK11W-F</t>
  </si>
  <si>
    <t>SANDAL WEDGES Y-GIRL:FUSCHIA:M</t>
  </si>
  <si>
    <t>SANDAL WEDGES Y-GIRL:FUSCHIA:L</t>
  </si>
  <si>
    <t>MK09-N</t>
  </si>
  <si>
    <t>SANDAL FLAT Y-GIRL MK09:NAVY BLUE:S</t>
  </si>
  <si>
    <t>SANDAL FLAT Y-GIRL MK09:NAVY BLUE:XL</t>
  </si>
  <si>
    <t>MN08-H</t>
  </si>
  <si>
    <t>SANDAL FLAT Y-GIRL MN08:BLACK:S</t>
  </si>
  <si>
    <t>SANDAL FLAT Y-GIRL MN08:BLACK:M</t>
  </si>
  <si>
    <t>SANDAL FLAT Y-GIRL MN08:BLACK:XL</t>
  </si>
  <si>
    <t>MN08-N</t>
  </si>
  <si>
    <t>SANDAL FLAT Y-GIRL MN08:NAVY BLUE:S</t>
  </si>
  <si>
    <t>SANDAL FLAT Y-GIRL MN08:NAVY BLUE:M</t>
  </si>
  <si>
    <t>SANDAL FLAT Y-GIRL MN08:NAVY BLUE:L</t>
  </si>
  <si>
    <t>SANDAL FLAT Y-GIRL MN08:NAVY BLUE:XL</t>
  </si>
  <si>
    <t>MN08-M</t>
  </si>
  <si>
    <t>SANDAL FLAT Y-GIRL MN08:CLASSIC RED:S</t>
  </si>
  <si>
    <t>SANDAL FLAT Y-GIRL MN08:CLASSIC RED:M</t>
  </si>
  <si>
    <t>SANDAL FLAT Y-GIRL MN08:CLASSIC RED:L</t>
  </si>
  <si>
    <t>SANDAL FLAT Y-GIRL MN08:CLASSIC RED:XL</t>
  </si>
  <si>
    <t>MC01-N</t>
  </si>
  <si>
    <t>SANDAL FLAT Y-GIRL MC01:NAVY BLUE:M</t>
  </si>
  <si>
    <t>MC01-B</t>
  </si>
  <si>
    <t>SANDAL FLAT Y-GIRL MC01:LIGHT BLUE:M</t>
  </si>
  <si>
    <t>MC01-F</t>
  </si>
  <si>
    <t>SANDAL FLAT Y-GIRL MC01:FUSCHIA:M</t>
  </si>
  <si>
    <t>SANDAL FLAT Y-GIRL MC01:FUSCHIA:XL</t>
  </si>
  <si>
    <t>TS1906-H</t>
  </si>
  <si>
    <t>SANDAL FLAT Y-GIRL TS1906:BLACK:S</t>
  </si>
  <si>
    <t>SANDAL FLAT Y-GIRL TS1906:BLACK:M</t>
  </si>
  <si>
    <t>SANDAL FLAT Y-GIRL TS1906:BLACK:L</t>
  </si>
  <si>
    <t>SANDAL FLAT Y-GIRL TS1906:BLACK:XL</t>
  </si>
  <si>
    <t>TS1906-HJ</t>
  </si>
  <si>
    <t>SANDAL FLAT Y-GIRL TS1906:PASTEL GREEN:S</t>
  </si>
  <si>
    <t>SANDAL FLAT Y-GIRL TS1906:PASTEL GREEN:M</t>
  </si>
  <si>
    <t>SANDAL FLAT Y-GIRL TS1906:PASTEL GREEN:L</t>
  </si>
  <si>
    <t>SANDAL FLAT Y-GIRL TS1906:PASTEL GREEN:XL</t>
  </si>
  <si>
    <t>TS1906-N</t>
  </si>
  <si>
    <t>SANDAL FLAT Y-GIRL TS1906:NAVY BLUE:S</t>
  </si>
  <si>
    <t>SANDAL FLAT Y-GIRL TS1906:NAVY BLUE:M</t>
  </si>
  <si>
    <t>SANDAL FLAT Y-GIRL TS1906:NAVY BLUE:L</t>
  </si>
  <si>
    <t>SANDAL FLAT Y-GIRL TS1906:NAVY BLUE:XL</t>
  </si>
  <si>
    <t>TS1906-U</t>
  </si>
  <si>
    <t>SANDAL FLAT Y-GIRL TS1906:CLASSIC PURPLE:S</t>
  </si>
  <si>
    <t>SANDAL FLAT Y-GIRL TS1906:CLASSIC PURPLE:M</t>
  </si>
  <si>
    <t>SANDAL FLAT Y-GIRL TS1906:CLASSIC PURPLE:L</t>
  </si>
  <si>
    <t>SANDAL FLAT Y-GIRL TS1906:CLASSIC PURPLE:XL</t>
  </si>
  <si>
    <t>TS1906-PK</t>
  </si>
  <si>
    <t>SANDAL FLAT Y-GIRL TS1906:PASTEL PINK:S</t>
  </si>
  <si>
    <t>SANDAL FLAT Y-GIRL TS1906:PASTEL PINK:M</t>
  </si>
  <si>
    <t>SANDAL FLAT Y-GIRL TS1906:PASTEL PINK:XL</t>
  </si>
  <si>
    <t>MN08-O</t>
  </si>
  <si>
    <t>SANDAL FLAT Y-GIRL MN08:OLIVE:S</t>
  </si>
  <si>
    <t>SANDAL FLAT Y-GIRL MN08:OLIVE:XL</t>
  </si>
  <si>
    <t>PRC3-N</t>
  </si>
  <si>
    <t>67450101PRN PRC3:NAVY BLUE:XL</t>
  </si>
  <si>
    <t>PRC3-F</t>
  </si>
  <si>
    <t>67450101PRN PRC3:FUSCHIA:M</t>
  </si>
  <si>
    <t>MK13-PK</t>
  </si>
  <si>
    <t>67450101MIC MK13:PASTEL PINK:L</t>
  </si>
  <si>
    <t>TS1703NV</t>
  </si>
  <si>
    <t>67450101TTN FL SP TS1703:NAVY BLUE:S</t>
  </si>
  <si>
    <t>67450101TTN FL SP TS1703:NAVY BLUE:M</t>
  </si>
  <si>
    <t>TS1703HT</t>
  </si>
  <si>
    <t>67450101TTN FL SP TS1703:BLACK:M</t>
  </si>
  <si>
    <t>67450101TTN FL SP TS1703:BLACK:L</t>
  </si>
  <si>
    <t>TS1703ME</t>
  </si>
  <si>
    <t>67450101TTN FL SP TS1703:CLASSIC RED:S</t>
  </si>
  <si>
    <t>67450101TTN FL SP TS1703:CLASSIC RED:M</t>
  </si>
  <si>
    <t>67450101TTN FL SP TS1703:CLASSIC RED:XL</t>
  </si>
  <si>
    <t>TS1703PT</t>
  </si>
  <si>
    <t>67450101TTN FL SP TS1703:WHITE:S</t>
  </si>
  <si>
    <t>67450101TTN FL SP TS1703:WHITE:XL</t>
  </si>
  <si>
    <t>TS1703-PK</t>
  </si>
  <si>
    <t>67450101TTN FL SP TS1703:PASTEL PINK:XL</t>
  </si>
  <si>
    <t>TSZ2-N</t>
  </si>
  <si>
    <t>SANDAL FLAT Y-GIRL TSZ2:NAVY BLUE:L</t>
  </si>
  <si>
    <t>SANDAL FLAT Y-GIRL TSZ2:NAVY BLUE:XL</t>
  </si>
  <si>
    <t>TSZ2-CO</t>
  </si>
  <si>
    <t>SANDAL FLAT Y-GIRL TSZ2:BROWN SUGAR:S</t>
  </si>
  <si>
    <t>SANDAL FLAT Y-GIRL TSZ2:BROWN SUGAR:M</t>
  </si>
  <si>
    <t>SANDAL FLAT Y-GIRL TSZ2:BROWN SUGAR:L</t>
  </si>
  <si>
    <t>TSZ2-PK</t>
  </si>
  <si>
    <t>SANDAL FLAT Y-GIRL TSZ2:PASTEL PINK:S</t>
  </si>
  <si>
    <t>SANDAL FLAT Y-GIRL TSZ2:PASTEL PINK:M</t>
  </si>
  <si>
    <t>SANDAL FLAT Y-GIRL TSZ2:PASTEL PINK:L</t>
  </si>
  <si>
    <t>SANDAL FLAT Y-GIRL TSZ2:PASTEL PINK:XL</t>
  </si>
  <si>
    <t>TSZ2-M</t>
  </si>
  <si>
    <t>SANDAL FLAT Y-GIRL TSZ2:CLASSIC RED:S</t>
  </si>
  <si>
    <t>SANDAL FLAT Y-GIRL TSZ2:CLASSIC RED:M</t>
  </si>
  <si>
    <t>SANDAL FLAT Y-GIRL TSZ2:CLASSIC RED:L</t>
  </si>
  <si>
    <t>SANDAL FLAT Y-GIRL TSZ2:CLASSIC RED:XL</t>
  </si>
  <si>
    <t>TSZ3-TC</t>
  </si>
  <si>
    <t xml:space="preserve"> SANDAL FLAT Y-GIRL TSZ3:TURQUOISE:S</t>
  </si>
  <si>
    <t xml:space="preserve"> SANDAL FLAT Y-GIRL TSZ3:TURQUOISE:M</t>
  </si>
  <si>
    <t>TSZ3-PK</t>
  </si>
  <si>
    <t xml:space="preserve"> SANDAL FLAT Y-GIRL TSZ3:PASTEL PINK:XL</t>
  </si>
  <si>
    <t>TSS2-P</t>
  </si>
  <si>
    <t>67450101 MIN TSS2:WHITE:38</t>
  </si>
  <si>
    <t>TSS7-N</t>
  </si>
  <si>
    <t>67060101MIC TSS7:NAVY BLUE:36</t>
  </si>
  <si>
    <t>67060101MIC TSS7:NAVY BLUE:38</t>
  </si>
  <si>
    <t>TSS5-N</t>
  </si>
  <si>
    <t>67450101MIC TSS5:NAVY BLUE:36</t>
  </si>
  <si>
    <t>TSS5-P</t>
  </si>
  <si>
    <t>67450101MIC TSS5:WHITE:36</t>
  </si>
  <si>
    <t>67450101MIC TSS5:WHITE:39</t>
  </si>
  <si>
    <t>TSS9-P</t>
  </si>
  <si>
    <t>67060101MIC TSS9:WHITE:37</t>
  </si>
  <si>
    <t>67060101MIC TSS9:WHITE:40</t>
  </si>
  <si>
    <t>TSS6-N</t>
  </si>
  <si>
    <t>67450101MIC TSS6:NAVY BLUE:36</t>
  </si>
  <si>
    <t>67450101MIC TSS6:NAVY BLUE:38</t>
  </si>
  <si>
    <t>TSS6-P</t>
  </si>
  <si>
    <t>67450101MIC TSS6:WHITE:39</t>
  </si>
  <si>
    <t>SS01-N</t>
  </si>
  <si>
    <t>67060101MIC SS01:NAVY BLUE:38</t>
  </si>
  <si>
    <t>SS01-P</t>
  </si>
  <si>
    <t>67060101MIC SS01:WHITE:36</t>
  </si>
  <si>
    <t>67060101MIC SS01:WHITE:37</t>
  </si>
  <si>
    <t>67060101MIC SS01:WHITE:38</t>
  </si>
  <si>
    <t>TSS4-P</t>
  </si>
  <si>
    <t>SANDAL FLAT Y-GIRL TSS4:WHITE:38</t>
  </si>
  <si>
    <t>SS02-H</t>
  </si>
  <si>
    <t>SEPATU SANDALS Y-GIRLS SS02:BLACK:36</t>
  </si>
  <si>
    <t>SEPATU SANDALS Y-GIRLS SS02:BLACK:37</t>
  </si>
  <si>
    <t>SS02-P</t>
  </si>
  <si>
    <t>SEPATU SANDALS Y-GIRLS SS02:WHITE:37</t>
  </si>
  <si>
    <t>SEPATU SANDALS Y-GIRLS SS02:WHITE:38</t>
  </si>
  <si>
    <t>SEPATU SANDALS Y-GIRLS SS02:WHITE:39</t>
  </si>
  <si>
    <t>SEPATU SANDALS Y-GIRLS SS02:WHITE:40</t>
  </si>
  <si>
    <t>GCS1-H</t>
  </si>
  <si>
    <t>SANDAL WEDGES GCS1:BLACK:36</t>
  </si>
  <si>
    <t>SANDAL WEDGES GCS1:BLACK:37</t>
  </si>
  <si>
    <t>GCS2-H</t>
  </si>
  <si>
    <t>SANDAL WEDGES GCS2:BLACK:36</t>
  </si>
  <si>
    <t>SANDAL WEDGES GCS2:BLACK:37</t>
  </si>
  <si>
    <t>TSS11-P</t>
  </si>
  <si>
    <t>SANDAL ANATOMI TSS11:WHITE:36</t>
  </si>
  <si>
    <t>SANDAL ANATOMI TSS11:WHITE:39</t>
  </si>
  <si>
    <t>SANDAL ANATOMI TSS11:WHITE:40</t>
  </si>
  <si>
    <t>TSS11-N</t>
  </si>
  <si>
    <t>SANDAL ANATOMI TSS11:NAVY BLUE:37</t>
  </si>
  <si>
    <t>SANDAL ANATOMI TSS11:NAVY BLUE:38</t>
  </si>
  <si>
    <t>MKBAS2-P</t>
  </si>
  <si>
    <t>SANDAL FLAT-MKBAS2:WHITE:36</t>
  </si>
  <si>
    <t>SANDAL FLAT-MKBAS2:WHITE:37</t>
  </si>
  <si>
    <t>SANDAL FLAT-MKBAS2:WHITE:40</t>
  </si>
  <si>
    <t>MKBAS2-PK</t>
  </si>
  <si>
    <t>SANDAL FLAT-MKBAS2:PASTEL PINK:37</t>
  </si>
  <si>
    <t>SANDAL FLAT-MKBAS2:PASTEL PINK:40</t>
  </si>
  <si>
    <t>TSS12-P</t>
  </si>
  <si>
    <t>SANDAL FLAT-TSS12:WHITE:36</t>
  </si>
  <si>
    <t>TSS12-PK</t>
  </si>
  <si>
    <t>SANDAL FLAT-TSS12:PASTEL PINK:36</t>
  </si>
  <si>
    <t>SANDAL FLAT-TSS12:PASTEL PINK:37</t>
  </si>
  <si>
    <t>SANDAL FLAT-TSS12:PASTEL PINK:39</t>
  </si>
  <si>
    <t>TSS11-PK</t>
  </si>
  <si>
    <t>SANDAL ANATOMI TSS11:PASTEL PINK:38</t>
  </si>
  <si>
    <t>MKBAS1-P</t>
  </si>
  <si>
    <t>SANDAL FLAT-MKBAS1:WHITE:37</t>
  </si>
  <si>
    <t>SANDAL FLAT-MKBAS1:WHITE:38</t>
  </si>
  <si>
    <t>MKBAS1-CO</t>
  </si>
  <si>
    <t>SANDAL FLAT-MKBAS1:WOOD BROWN:36</t>
  </si>
  <si>
    <t>SANDAL FLAT-MKBAS1:WOOD BROWN:37</t>
  </si>
  <si>
    <t>SANDAL FLAT-MKBAS1:WOOD BROWN:38</t>
  </si>
  <si>
    <t>SANDAL FLAT-MKBAS1:WOOD BROWN:39</t>
  </si>
  <si>
    <t>SANDAL FLAT-MKBAS1:WOOD BROWN:40</t>
  </si>
  <si>
    <t>GCS3-H</t>
  </si>
  <si>
    <t>SANDAL WEDGES- GCS3:BLACK:36</t>
  </si>
  <si>
    <t>SANDAL WEDGES- GCS3:BLACK:37</t>
  </si>
  <si>
    <t>SANDAL WEDGES- GCS3:BLACK:38</t>
  </si>
  <si>
    <t>GCS3-P</t>
  </si>
  <si>
    <t>SANDAL WEDGES- GCS3:WHITE:39</t>
  </si>
  <si>
    <t>SANDAL WEDGES- GCS3:WHITE:40</t>
  </si>
  <si>
    <t>TSS10-PK</t>
  </si>
  <si>
    <t>SANDAL ANATOMI TSS10:PASTEL PINK:36</t>
  </si>
  <si>
    <t>SANDAL ANATOMI TSS10:PASTEL PINK:38</t>
  </si>
  <si>
    <t>SANDAL ANATOMI TSS10:PASTEL PINK:40</t>
  </si>
  <si>
    <t>SS02-KH</t>
  </si>
  <si>
    <t>SEPATU SANDALS Y-GIRLS SS02:KHAKI:37</t>
  </si>
  <si>
    <t>SEPATU SANDALS Y-GIRLS SS02:KHAKI:39</t>
  </si>
  <si>
    <t>SS03-P</t>
  </si>
  <si>
    <t>SEPATU SANDALS Y-GIRLS SS03:WHITE:38</t>
  </si>
  <si>
    <t>SS03-PK</t>
  </si>
  <si>
    <t>SEPATU SANDALS Y-GIRLS SS03:PASTEL PINK:38</t>
  </si>
  <si>
    <t>SEPATU SANDALS Y-GIRLS SS03:PASTEL PINK:40</t>
  </si>
  <si>
    <t>SS04-H</t>
  </si>
  <si>
    <t>SEPATU SANDALS Y-GIRLS SS04:BLACK:37</t>
  </si>
  <si>
    <t>SEPATU SANDALS Y-GIRLS SS04:BLACK:38</t>
  </si>
  <si>
    <t>SEPATU SANDALS Y-GIRLS SS04:BLACK:40</t>
  </si>
  <si>
    <t>SS04-P</t>
  </si>
  <si>
    <t>SEPATU SANDALS Y-GIRLS SS04:WHITE:36</t>
  </si>
  <si>
    <t>SEPATU SANDALS Y-GIRLS SS04:WHITE:37</t>
  </si>
  <si>
    <t>SEPATU SANDALS Y-GIRLS SS04:WHITE:38</t>
  </si>
  <si>
    <t>SEPATU SANDALS Y-GIRLS SS04:WHITE:39</t>
  </si>
  <si>
    <t>SEPATU SANDALS Y-GIRLS SS04:WHITE:40</t>
  </si>
  <si>
    <t>MNBAS1-H</t>
  </si>
  <si>
    <t>SANDAL SLIP ON MNBAS1:BLACK:37</t>
  </si>
  <si>
    <t>SANDAL SLIP ON MNBAS1:BLACK:38</t>
  </si>
  <si>
    <t>MNBAS1-P</t>
  </si>
  <si>
    <t>SANDAL SLIP ON MNBAS1:WHITE:37</t>
  </si>
  <si>
    <t>SANDAL SLIP ON MNBAS1:WHITE:38</t>
  </si>
  <si>
    <t>TSBAS1-P</t>
  </si>
  <si>
    <t>SANDAL FLAT Y-GIRL TSBAS1:WHITE:38</t>
  </si>
  <si>
    <t>TSBAS1-PK</t>
  </si>
  <si>
    <t>SANDAL FLAT Y-GIRL TSBAS1:FUSCHIA:37</t>
  </si>
  <si>
    <t>SANDAL FLAT Y-GIRL TSBAS1:FUSCHIA:39</t>
  </si>
  <si>
    <t>MNBAS1-PK</t>
  </si>
  <si>
    <t>SANDAL SLIP ON MNBAS1:DUSTY PINK:38</t>
  </si>
  <si>
    <t>TSS1-N</t>
  </si>
  <si>
    <t>67450101TTN TSS1:NAVY BLUE:38</t>
  </si>
  <si>
    <t>TSS1-PK</t>
  </si>
  <si>
    <t>67450101TTN TSS1:PASTEL PINK:38</t>
  </si>
  <si>
    <t>DS002PT</t>
  </si>
  <si>
    <t>67450101MIC SN SBLN PGR DS002:WHITE:36</t>
  </si>
  <si>
    <t>67450101MIC SN SBLN PGR DS002:WHITE:38</t>
  </si>
  <si>
    <t>67450101MIC SN SBLN PGR DS002:WHITE:39</t>
  </si>
  <si>
    <t>DS003HT</t>
  </si>
  <si>
    <t>67450101TTN FL SH DS003:BLACK:37</t>
  </si>
  <si>
    <t>67450101TTN FL SH DS003:BLACK:38</t>
  </si>
  <si>
    <t>67450101TTN FL SH DS003:BLACK:40</t>
  </si>
  <si>
    <t>DS003PT</t>
  </si>
  <si>
    <t>67450101TTN FL SH DS003:WHITE:37</t>
  </si>
  <si>
    <t>67450101TTN FL SH DS003:WHITE:38</t>
  </si>
  <si>
    <t>67450101TTN FL SH DS003:WHITE:39</t>
  </si>
  <si>
    <t>67450101TTN FL SH DS003:WHITE:40</t>
  </si>
  <si>
    <t>DS10-P</t>
  </si>
  <si>
    <t>MICKEY90 DS10:WHITE:36</t>
  </si>
  <si>
    <t>MICKEY90 DS10:WHITE:37</t>
  </si>
  <si>
    <t>MICKEY90 DS10:WHITE:38</t>
  </si>
  <si>
    <t>MICKEY90 DS10:WHITE:39</t>
  </si>
  <si>
    <t>MICKEY90 DS10:WHITE:40</t>
  </si>
  <si>
    <t>DS14-P</t>
  </si>
  <si>
    <t>SEPATU TSUM2 DS14:WHITE:36</t>
  </si>
  <si>
    <t>SEPATU TSUM2 DS14:WHITE:37</t>
  </si>
  <si>
    <t>SEPATU TSUM2 DS14:WHITE:38</t>
  </si>
  <si>
    <t>SEPATU TSUM2 DS14:WHITE:39</t>
  </si>
  <si>
    <t>SEPATU TSUM2 DS14:WHITE:40</t>
  </si>
  <si>
    <t>DSX1-H</t>
  </si>
  <si>
    <t>SEPATU FP DSX1:BLACK:36</t>
  </si>
  <si>
    <t>SEPATU FP DSX1:BLACK:37</t>
  </si>
  <si>
    <t>SEPATU FP DSX1:BLACK:38</t>
  </si>
  <si>
    <t>SEPATU FP DSX1:BLACK:39</t>
  </si>
  <si>
    <t>SEPATU FP DSX1:BLACK:40</t>
  </si>
  <si>
    <t>MNFLT1-H</t>
  </si>
  <si>
    <t>FLAT SHOES MNFLT1:BLACK:37</t>
  </si>
  <si>
    <t>FLAT SHOES MNFLT1:BLACK:38</t>
  </si>
  <si>
    <t>FLAT SHOES MNFLT1:BLACK:40</t>
  </si>
  <si>
    <t>MNFLT1-KH</t>
  </si>
  <si>
    <t>FLAT SHOES MNFLT1:KHAKI:36</t>
  </si>
  <si>
    <t>FLAT SHOES MNFLT1:KHAKI:37</t>
  </si>
  <si>
    <t>FLAT SHOES MNFLT1:KHAKI:40</t>
  </si>
  <si>
    <t>DS15-P</t>
  </si>
  <si>
    <t>SEPATU Y-GIRL DS15:WHITE:36</t>
  </si>
  <si>
    <t>SEPATU Y-GIRL DS15:WHITE:37</t>
  </si>
  <si>
    <t>SEPATU Y-GIRL DS15:WHITE:38</t>
  </si>
  <si>
    <t>SEPATU Y-GIRL DS15:WHITE:39</t>
  </si>
  <si>
    <t>SEPATU Y-GIRL DS15:WHITE:40</t>
  </si>
  <si>
    <t>DS11-PK</t>
  </si>
  <si>
    <t>MICKEY90 DS11:PASTEL PINK:37</t>
  </si>
  <si>
    <t>MICKEY90 DS11:PASTEL PINK:38</t>
  </si>
  <si>
    <t>MICKEY90 DS11:PASTEL PINK:39</t>
  </si>
  <si>
    <t>DS11-P</t>
  </si>
  <si>
    <t>MICKEY90 DS11:WHITE:37</t>
  </si>
  <si>
    <t>MICKEY90 DS11:WHITE:38</t>
  </si>
  <si>
    <t>MICKEY90 DS11:WHITE:39</t>
  </si>
  <si>
    <t>MICKEY90 DS11:WHITE:40</t>
  </si>
  <si>
    <t>DS07-N</t>
  </si>
  <si>
    <t>67450101MIN DS07:NAVY BLUE:38</t>
  </si>
  <si>
    <t>67450101MIN DS07:NAVY BLUE:39</t>
  </si>
  <si>
    <t>DS07-PK</t>
  </si>
  <si>
    <t>67450101MIN DS07:PASTEL PINK:37</t>
  </si>
  <si>
    <t>67450101MIN DS07:PASTEL PINK:38</t>
  </si>
  <si>
    <t>67450101MIN DS07:PASTEL PINK:39</t>
  </si>
  <si>
    <t>DS07-P</t>
  </si>
  <si>
    <t>67450101MIN DS07:WHITE:38</t>
  </si>
  <si>
    <t>67450101MIN DS07:WHITE:40</t>
  </si>
  <si>
    <t>MK12</t>
  </si>
  <si>
    <t>FLIP FLOPS MICKEY MINNIE MK12:WHITE:L:SOLID:FLIP FLOPS</t>
  </si>
  <si>
    <t>FLIP FLOPS MICKEY MINNIE MK12:WHITE:XL:SOLID:FLIP FLOPS</t>
  </si>
  <si>
    <t>FLIP FLOPS MICKEY MINNIE MK12:PASTEL PINK:S:SOLID:FLIP FLOPS</t>
  </si>
  <si>
    <t>FLIP FLOPS MICKEY MINNIE MK12:PASTEL PINK:M:SOLID:FLIP FLOPS</t>
  </si>
  <si>
    <t>FLIP FLOPS MICKEY MINNIE MK12:PASTEL PINK:L:SOLID:FLIP FLOPS</t>
  </si>
  <si>
    <t>FLIP FLOPS MICKEY MINNIE MK12:PASTEL PINK:XL:SOLID:FLIP FLOPS</t>
  </si>
  <si>
    <t>MK11W</t>
  </si>
  <si>
    <t>FLIP FLOPS MICKEY MOUSE MK11W:BLACK:S:SOLID:FLIP FLOPS</t>
  </si>
  <si>
    <t>FLIP FLOPS MICKEY MOUSE MK11W:BLACK:M:SOLID:FLIP FLOPS</t>
  </si>
  <si>
    <t>FLIP FLOPS MICKEY MOUSE MK11W:BLACK:L:SOLID:FLIP FLOPS</t>
  </si>
  <si>
    <t>FLIP FLOPS MICKEY MOUSE MK11W:BLACK:XL:SOLID:FLIP FLOPS</t>
  </si>
  <si>
    <t>FLIP FLOPS MICKEY MOUSE MK11W:NAVY BLUE:S:SOLID:FLIP FLOPS</t>
  </si>
  <si>
    <t>FLIP FLOPS MICKEY MOUSE MK11W:NAVY BLUE:M:SOLID:FLIP FLOPS</t>
  </si>
  <si>
    <t>FLIP FLOPS MICKEY MOUSE MK11W:NAVY BLUE:L:SOLID:FLIP FLOPS</t>
  </si>
  <si>
    <t>TSZ3-N</t>
  </si>
  <si>
    <t xml:space="preserve"> SANDAL FLAT Y-GIRL TSZ3:NAVY BLUE:S</t>
  </si>
  <si>
    <t xml:space="preserve"> SANDAL FLAT Y-GIRL TSZ3:NAVY BLUE:M</t>
  </si>
  <si>
    <t xml:space="preserve"> SANDAL FLAT Y-GIRL TSZ3:NAVY BLUE:L</t>
  </si>
  <si>
    <t xml:space="preserve"> SANDAL FLAT Y-GIRL TSZ3:NAVY BLUE:XL</t>
  </si>
  <si>
    <t>MKBAS7 - H</t>
  </si>
  <si>
    <t>SANDAL FLAT SLINGBACK MKBAS7:BLACK:36</t>
  </si>
  <si>
    <t>SANDAL FLAT SLINGBACK MKBAS7:BLACK:37</t>
  </si>
  <si>
    <t>SANDAL FLAT SLINGBACK MKBAS7:BLACK:38</t>
  </si>
  <si>
    <t>SANDAL FLAT SLINGBACK MKBAS7:BLACK:39</t>
  </si>
  <si>
    <t>SANDAL FLAT SLINGBACK MKBAS7:BLACK:40</t>
  </si>
  <si>
    <t>MKBAS7 - PK</t>
  </si>
  <si>
    <t>SANDAL FLAT SLINGBACK MKBAS7:PASTEL PINK:36</t>
  </si>
  <si>
    <t>SANDAL FLAT SLINGBACK MKBAS7:PASTEL PINK:37</t>
  </si>
  <si>
    <t>SANDAL FLAT SLINGBACK MKBAS7:PASTEL PINK:38</t>
  </si>
  <si>
    <t>SANDAL FLAT SLINGBACK MKBAS7:PASTEL PINK:39</t>
  </si>
  <si>
    <t>SANDAL FLAT SLINGBACK MKBAS7:PASTEL PINK:40</t>
  </si>
  <si>
    <t>MKBAS8 - H</t>
  </si>
  <si>
    <t>SANDAL JEPIT FLAT MKBAS8:BLACK:36</t>
  </si>
  <si>
    <t>SANDAL JEPIT FLAT MKBAS8:BLACK:37</t>
  </si>
  <si>
    <t>SANDAL JEPIT FLAT MKBAS8:BLACK:38</t>
  </si>
  <si>
    <t>SANDAL JEPIT FLAT MKBAS8:BLACK:39</t>
  </si>
  <si>
    <t>SANDAL JEPIT FLAT MKBAS8:BLACK:40</t>
  </si>
  <si>
    <t>MKBAS8 - PK</t>
  </si>
  <si>
    <t>SANDAL JEPIT FLAT MKBAS8:PASTEL PINK:36</t>
  </si>
  <si>
    <t>SANDAL JEPIT FLAT MKBAS8:PASTEL PINK:37</t>
  </si>
  <si>
    <t>SANDAL JEPIT FLAT MKBAS8:PASTEL PINK:38</t>
  </si>
  <si>
    <t>SANDAL JEPIT FLAT MKBAS8:PASTEL PINK:39</t>
  </si>
  <si>
    <t>SANDAL JEPIT FLAT MKBAS8:PASTEL PINK:40</t>
  </si>
  <si>
    <t>MKBAS8 - P</t>
  </si>
  <si>
    <t>SANDAL JEPIT FLAT MKBAS8:WHITE:36</t>
  </si>
  <si>
    <t>SANDAL JEPIT FLAT MKBAS8:WHITE:37</t>
  </si>
  <si>
    <t>SANDAL JEPIT FLAT MKBAS8:WHITE:38</t>
  </si>
  <si>
    <t>SANDAL JEPIT FLAT MKBAS8:WHITE:39</t>
  </si>
  <si>
    <t>SANDAL JEPIT FLAT MKBAS8:WHITE:40</t>
  </si>
  <si>
    <t>MKBAS9 - CO</t>
  </si>
  <si>
    <t>SANDAL WEDGES SLINDBACK MKBAS9:BROWN SUGAR:36</t>
  </si>
  <si>
    <t>SANDAL WEDGES SLINDBACK MKBAS9:BROWN SUGAR:37</t>
  </si>
  <si>
    <t>SANDAL WEDGES SLINDBACK MKBAS9:BROWN SUGAR:38</t>
  </si>
  <si>
    <t>SANDAL WEDGES SLINDBACK MKBAS9:BROWN SUGAR:39</t>
  </si>
  <si>
    <t>SANDAL WEDGES SLINDBACK MKBAS9:BROWN SUGAR:40</t>
  </si>
  <si>
    <t>MKBAS9 - H</t>
  </si>
  <si>
    <t>SANDAL WEDGES SLINDBACK MKBAS9:BLACK:36</t>
  </si>
  <si>
    <t>SANDAL WEDGES SLINDBACK MKBAS9:BLACK:37</t>
  </si>
  <si>
    <t>SANDAL WEDGES SLINDBACK MKBAS9:BLACK:39</t>
  </si>
  <si>
    <t>SANDAL WEDGES SLINDBACK MKBAS9:BLACK:40</t>
  </si>
  <si>
    <t>MKBAS11 - H</t>
  </si>
  <si>
    <t>SANDAL SLIP ON MKBAS11:BLACK:36</t>
  </si>
  <si>
    <t>SANDAL SLIP ON MKBAS11:BLACK:37</t>
  </si>
  <si>
    <t>SANDAL SLIP ON MKBAS11:BLACK:38</t>
  </si>
  <si>
    <t>SANDAL SLIP ON MKBAS11:BLACK:39</t>
  </si>
  <si>
    <t>SANDAL SLIP ON MKBAS11:BLACK:40</t>
  </si>
  <si>
    <t>MKBAS11 - PK</t>
  </si>
  <si>
    <t>SANDAL SLIP ON MKBAS11:PASTEL PINK:36</t>
  </si>
  <si>
    <t>SANDAL SLIP ON MKBAS11:PASTEL PINK:37</t>
  </si>
  <si>
    <t>SANDAL SLIP ON MKBAS11:PASTEL PINK:38</t>
  </si>
  <si>
    <t>SANDAL SLIP ON MKBAS11:PASTEL PINK:39</t>
  </si>
  <si>
    <t>SANDAL SLIP ON MKBAS11:PASTEL PINK:40</t>
  </si>
  <si>
    <t>TSS19 - PK</t>
  </si>
  <si>
    <t>SANDAL SLIP ON TSUM TSUM TSS19:PASTEL PINK:36</t>
  </si>
  <si>
    <t>SANDAL SLIP ON TSUM TSUM TSS19:PASTEL PINK:37</t>
  </si>
  <si>
    <t>SANDAL SLIP ON TSUM TSUM TSS19:PASTEL PINK:38</t>
  </si>
  <si>
    <t>SANDAL SLIP ON TSUM TSUM TSS19:PASTEL PINK:39</t>
  </si>
  <si>
    <t>SANDAL SLIP ON TSUM TSUM TSS19:PASTEL PINK:40</t>
  </si>
  <si>
    <t>TSS19 - P</t>
  </si>
  <si>
    <t>SANDAL SLIP ON TSUM TSUM TSS19:WHITE:36</t>
  </si>
  <si>
    <t>SANDAL SLIP ON TSUM TSUM TSS19:WHITE:37</t>
  </si>
  <si>
    <t>SANDAL SLIP ON TSUM TSUM TSS19:WHITE:38</t>
  </si>
  <si>
    <t>SANDAL SLIP ON TSUM TSUM TSS19:WHITE:39</t>
  </si>
  <si>
    <t>SANDAL SLIP ON TSUM TSUM TSS19:WHITE:40</t>
  </si>
  <si>
    <t>MNBAS5 - CO</t>
  </si>
  <si>
    <t>SANDAL SLINGBACK MNBAS5:BROWN SUGAR:36</t>
  </si>
  <si>
    <t>SANDAL SLINGBACK MNBAS5:BROWN SUGAR:37</t>
  </si>
  <si>
    <t>SANDAL SLINGBACK MNBAS5:BROWN SUGAR:38</t>
  </si>
  <si>
    <t>SANDAL SLINGBACK MNBAS5:BROWN SUGAR:39</t>
  </si>
  <si>
    <t>SANDAL SLINGBACK MNBAS5:BROWN SUGAR:40</t>
  </si>
  <si>
    <t>MNBAS5 - H</t>
  </si>
  <si>
    <t>SANDAL SLINGBACK MNBAS5:BLACK:36</t>
  </si>
  <si>
    <t>SANDAL SLINGBACK MNBAS5:BLACK:37</t>
  </si>
  <si>
    <t>SANDAL SLINGBACK MNBAS5:BLACK:38</t>
  </si>
  <si>
    <t>SANDAL SLINGBACK MNBAS5:BLACK:39</t>
  </si>
  <si>
    <t>SANDAL SLINGBACK MNBAS5:BLACK:40</t>
  </si>
  <si>
    <t>MNBAS6 - PK</t>
  </si>
  <si>
    <t>SANDAL WEDGES SLIP ON MNBAS6:PASTEL PINK:36</t>
  </si>
  <si>
    <t>SANDAL WEDGES SLIP ON MNBAS6:PASTEL PINK:37</t>
  </si>
  <si>
    <t>SANDAL WEDGES SLIP ON MNBAS6:PASTEL PINK:38</t>
  </si>
  <si>
    <t>SANDAL WEDGES SLIP ON MNBAS6:PASTEL PINK:39</t>
  </si>
  <si>
    <t>SANDAL WEDGES SLIP ON MNBAS6:PASTEL PINK:40</t>
  </si>
  <si>
    <t>MNBAS6 - P</t>
  </si>
  <si>
    <t>SANDAL WEDGES SLIP ON MNBAS6:WHITE:36</t>
  </si>
  <si>
    <t>SANDAL WEDGES SLIP ON MNBAS6:WHITE:37</t>
  </si>
  <si>
    <t>SANDAL WEDGES SLIP ON MNBAS6:WHITE:38</t>
  </si>
  <si>
    <t>SANDAL WEDGES SLIP ON MNBAS6:WHITE:39</t>
  </si>
  <si>
    <t>SANDAL WEDGES SLIP ON MNBAS6:WHITE:40</t>
  </si>
  <si>
    <t>MKBAS6</t>
  </si>
  <si>
    <t>SLINGBACK SANDALS MICKEY MKBAS6:BLACK:36:SOLID:SLINGBACK SANDAL</t>
  </si>
  <si>
    <t>SLINGBACK SANDALS MICKEY MKBAS6:BLACK:37:SOLID:SLINGBACK SANDAL</t>
  </si>
  <si>
    <t>SLINGBACK SANDALS MICKEY MKBAS6:BLACK:38:SOLID:SLINGBACK SANDAL</t>
  </si>
  <si>
    <t>SLINGBACK SANDALS MICKEY MKBAS6:BLACK:39:SOLID:SLINGBACK SANDAL</t>
  </si>
  <si>
    <t>SLINGBACK SANDALS MICKEY MKBAS6:BLACK:40:SOLID:SLINGBACK SANDAL</t>
  </si>
  <si>
    <t>SLINGBACK SANDALS MICKEY MKBAS6:PASTEL PINK:36:SOLID:SLINGBACK SANDAL</t>
  </si>
  <si>
    <t>SLINGBACK SANDALS MICKEY MKBAS6:PASTEL PINK:37:SOLID:SLINGBACK SANDAL</t>
  </si>
  <si>
    <t>SLINGBACK SANDALS MICKEY MKBAS6:PASTEL PINK:38:SOLID:SLINGBACK SANDAL</t>
  </si>
  <si>
    <t>SLINGBACK SANDALS MICKEY MKBAS6:PASTEL PINK:39:SOLID:SLINGBACK SANDAL</t>
  </si>
  <si>
    <t>SLINGBACK SANDALS MICKEY MKBAS6:PASTEL PINK:40:SOLID:SLINGBACK SANDAL</t>
  </si>
  <si>
    <t>MKBAS14</t>
  </si>
  <si>
    <t>SLIPPER SANDALS MICKEY MKBAS14:BLACK:36:SOLID:SLIPPER SANDALS</t>
  </si>
  <si>
    <t>SLIPPER SANDALS MICKEY MKBAS14:BLACK:37:SOLID:SLIPPER SANDALS</t>
  </si>
  <si>
    <t>SLIPPER SANDALS MICKEY MKBAS14:BLACK:38:SOLID:SLIPPER SANDALS</t>
  </si>
  <si>
    <t>SLIPPER SANDALS MICKEY MKBAS14:BLACK:39:SOLID:SLIPPER SANDALS</t>
  </si>
  <si>
    <t>SLIPPER SANDALS MICKEY MKBAS14:PASTEL PINK:36:SOLID:SLIPPER SANDALS</t>
  </si>
  <si>
    <t>SLIPPER SANDALS MICKEY MKBAS14:PASTEL PINK:37:SOLID:SLIPPER SANDALS</t>
  </si>
  <si>
    <t>SLIPPER SANDALS MICKEY MKBAS14:PASTEL PINK:38:SOLID:SLIPPER SANDALS</t>
  </si>
  <si>
    <t>SLIPPER SANDALS MICKEY MKBAS14:PASTEL PINK:39:SOLID:SLIPPER SANDALS</t>
  </si>
  <si>
    <t>SLIPPER SANDALS MICKEY MKBAS14:PASTEL PINK:40:SOLID:SLIPPER SANDALS</t>
  </si>
  <si>
    <t>MNSO1</t>
  </si>
  <si>
    <t>MULE SANDALS MINNIE MNSO1:KHAKI:36:SOLID:MULE SANDALS</t>
  </si>
  <si>
    <t>MULE SANDALS MINNIE MNSO1:KHAKI:37:SOLID:MULE SANDALS</t>
  </si>
  <si>
    <t>MULE SANDALS MINNIE MNSO1:KHAKI:38:SOLID:MULE SANDALS</t>
  </si>
  <si>
    <t>MULE SANDALS MINNIE MNSO1:KHAKI:39:SOLID:MULE SANDALS</t>
  </si>
  <si>
    <t>MULE SANDALS MINNIE MNSO1:KHAKI:40:SOLID:MULE SANDALS</t>
  </si>
  <si>
    <t>DS20</t>
  </si>
  <si>
    <t>SLIP ON MINNIE DS20:WHITE:36:PRINT:SLIP ON</t>
  </si>
  <si>
    <t>SLIP ON MINNIE DS20:WHITE:37:PRINT:SLIP ON</t>
  </si>
  <si>
    <t>SLIP ON MINNIE DS20:WHITE:38:PRINT:SLIP ON</t>
  </si>
  <si>
    <t>SLIP ON MINNIE DS20:WHITE:39:PRINT:SLIP ON</t>
  </si>
  <si>
    <t>SLIP ON MINNIE DS20:WHITE:40:PRINT:SLIP ON</t>
  </si>
  <si>
    <t>MNBAS7</t>
  </si>
  <si>
    <t>FLIP FLOPS MINNIE MNBAS7:BLACK:36:SOLID:FLIP FLOPS</t>
  </si>
  <si>
    <t>FLIP FLOPS MINNIE MNBAS7:BLACK:37:SOLID:FLIP FLOPS</t>
  </si>
  <si>
    <t>FLIP FLOPS MINNIE MNBAS7:BLACK:38:SOLID:FLIP FLOPS</t>
  </si>
  <si>
    <t>FLIP FLOPS MINNIE MNBAS7:BLACK:39:SOLID:FLIP FLOPS</t>
  </si>
  <si>
    <t>FLIP FLOPS MINNIE MNBAS7:BLACK:40:SOLID:FLIP FLOPS</t>
  </si>
  <si>
    <t>FLIP FLOPS MINNIE MNBAS7:WHITE:36:SOLID:FLIP FLOPS</t>
  </si>
  <si>
    <t>FLIP FLOPS MINNIE MNBAS7:WHITE:37:SOLID:FLIP FLOPS</t>
  </si>
  <si>
    <t>FLIP FLOPS MINNIE MNBAS7:WHITE:38:SOLID:FLIP FLOPS</t>
  </si>
  <si>
    <t>FLIP FLOPS MINNIE MNBAS7:WHITE:39:SOLID:FLIP FLOPS</t>
  </si>
  <si>
    <t>FLIP FLOPS MINNIE MNBAS7:WHITE:40:SOLID:FLIP FLOPS</t>
  </si>
  <si>
    <t>TSZ3</t>
  </si>
  <si>
    <t>FLIP FLOPS TSUM TSUM TSZ3:NAVY BLUE:S:PRINT:FLIP FLOPS</t>
  </si>
  <si>
    <t>FLIP FLOPS TSUM TSUM TSZ3:NAVY BLUE:M:PRINT:FLIP FLOPS</t>
  </si>
  <si>
    <t>FLIP FLOPS TSUM TSUM TSZ3:NAVY BLUE:L:PRINT:FLIP FLOPS</t>
  </si>
  <si>
    <t>FLIP FLOPS TSUM TSUM TSZ3:NAVY BLUE:XL:PRINT:FLIP FLOPS</t>
  </si>
  <si>
    <t>MKBAS5</t>
  </si>
  <si>
    <t>FLIP FLOPS MICKEY MINNIE MKBAS5:PASTEL PINK:36:SOLID:FLIP FLOPS</t>
  </si>
  <si>
    <t>FLIP FLOPS MICKEY MINNIE MKBAS5:PASTEL PINK:37:SOLID:FLIP FLOPS</t>
  </si>
  <si>
    <t>FLIP FLOPS MICKEY MINNIE MKBAS5:PASTEL PINK:38:SOLID:FLIP FLOPS</t>
  </si>
  <si>
    <t>FLIP FLOPS MICKEY MINNIE MKBAS5:PASTEL PINK:39:SOLID:FLIP FLOPS</t>
  </si>
  <si>
    <t>FLIP FLOPS MICKEY MINNIE MKBAS5:PASTEL PINK:40:SOLID:FLIP FLOPS</t>
  </si>
  <si>
    <t>FLIP FLOPS MICKEY MINNIE MKBAS5:WHITE:36:SOLID:FLIP FLOPS</t>
  </si>
  <si>
    <t>FLIP FLOPS MICKEY MINNIE MKBAS5:WHITE:37:SOLID:FLIP FLOPS</t>
  </si>
  <si>
    <t>FLIP FLOPS MICKEY MINNIE MKBAS5:WHITE:38:SOLID:FLIP FLOPS</t>
  </si>
  <si>
    <t>FLIP FLOPS MICKEY MINNIE MKBAS5:WHITE:39:SOLID:FLIP FLOPS</t>
  </si>
  <si>
    <t>FLIP FLOPS MICKEY MINNIE MKBAS5:WHITE:40:SOLID:FLIP FLOPS</t>
  </si>
  <si>
    <t>MKBAS3</t>
  </si>
  <si>
    <t>SLIPPER SANDALS MICKEY MKBAS3:BLACK:36:SOLID:SLIPPER SANDALS</t>
  </si>
  <si>
    <t>SLIPPER SANDALS MICKEY MKBAS3:BLACK:37:SOLID:SLIPPER SANDALS</t>
  </si>
  <si>
    <t>SLIPPER SANDALS MICKEY MKBAS3:BLACK:38:SOLID:SLIPPER SANDALS</t>
  </si>
  <si>
    <t>SLIPPER SANDALS MICKEY MKBAS3:BLACK:39:SOLID:SLIPPER SANDALS</t>
  </si>
  <si>
    <t>SLIPPER SANDALS MICKEY MKBAS3:BLACK:40:SOLID:SLIPPER SANDALS</t>
  </si>
  <si>
    <t>SLIPPER SANDALS MICKEY MKBAS3:PASTEL PINK:36:SOLID:SLIPPER SANDALS</t>
  </si>
  <si>
    <t>SLIPPER SANDALS MICKEY MKBAS3:PASTEL PINK:37:SOLID:SLIPPER SANDALS</t>
  </si>
  <si>
    <t>SLIPPER SANDALS MICKEY MKBAS3:PASTEL PINK:38:SOLID:SLIPPER SANDALS</t>
  </si>
  <si>
    <t>SLIPPER SANDALS MICKEY MKBAS3:PASTEL PINK:39:SOLID:SLIPPER SANDALS</t>
  </si>
  <si>
    <t>SLIPPER SANDALS MICKEY MKBAS3:PASTEL PINK:40:SOLID:SLIPPER SANDALS</t>
  </si>
  <si>
    <t>TSS16</t>
  </si>
  <si>
    <t>SLIPPER SANDALS TSUM TSUM TSS16:BLACK:36:SOLID:SLIPPER SANDALS</t>
  </si>
  <si>
    <t>SLIPPER SANDALS TSUM TSUM TSS16:BLACK:37:SOLID:SLIPPER SANDALS</t>
  </si>
  <si>
    <t>SLIPPER SANDALS TSUM TSUM TSS16:BLACK:38:SOLID:SLIPPER SANDALS</t>
  </si>
  <si>
    <t>SLIPPER SANDALS TSUM TSUM TSS16:BLACK:39:SOLID:SLIPPER SANDALS</t>
  </si>
  <si>
    <t>SLIPPER SANDALS TSUM TSUM TSS16:BLACK:40:SOLID:SLIPPER SANDALS</t>
  </si>
  <si>
    <t>SLIPPER SANDALS TSUM TSUM TSS16:PASTEL PINK:36:SOLID:SLIPPER SANDALS</t>
  </si>
  <si>
    <t>SLIPPER SANDALS TSUM TSUM TSS16:PASTEL PINK:37:SOLID:SLIPPER SANDALS</t>
  </si>
  <si>
    <t>SLIPPER SANDALS TSUM TSUM TSS16:PASTEL PINK:38:SOLID:SLIPPER SANDALS</t>
  </si>
  <si>
    <t>SLIPPER SANDALS TSUM TSUM TSS16:PASTEL PINK:39:SOLID:SLIPPER SANDALS</t>
  </si>
  <si>
    <t>SLIPPER SANDALS TSUM TSUM TSS16:PASTEL PINK:40:SOLID:SLIPPER SANDALS</t>
  </si>
  <si>
    <t>MULE SANDALS MINNIE MNSO1:BLACK:36:SOLID:MULE SANDALS</t>
  </si>
  <si>
    <t>MULE SANDALS MINNIE MNSO1:BLACK:37:SOLID:MULE SANDALS</t>
  </si>
  <si>
    <t>MULE SANDALS MINNIE MNSO1:BLACK:38:SOLID:MULE SANDALS</t>
  </si>
  <si>
    <t>MULE SANDALS MINNIE MNSO1:BLACK:39:SOLID:MULE SANDALS</t>
  </si>
  <si>
    <t>MULE SANDALS MINNIE MNSO1:BLACK:40:SOLID:MULE SANDALS</t>
  </si>
  <si>
    <t>MULE SANDALS MINNIE MNSO1:BROWN SUGAR:36:SOLID:MULE SANDALS</t>
  </si>
  <si>
    <t>MULE SANDALS MINNIE MNSO1:BROWN SUGAR:37:SOLID:MULE SANDALS</t>
  </si>
  <si>
    <t>MULE SANDALS MINNIE MNSO1:BROWN SUGAR:38:SOLID:MULE SANDALS</t>
  </si>
  <si>
    <t>MULE SANDALS MINNIE MNSO1:BROWN SUGAR:39:SOLID:MULE SANDALS</t>
  </si>
  <si>
    <t>MULE SANDALS MINNIE MNSO1:BROWN SUGAR:40:SOLID:MULE SANDALS</t>
  </si>
  <si>
    <t>TSS20</t>
  </si>
  <si>
    <t>SLIPPER SANDALS TSUM TSUM TSS20:BLACK:36:SOLID:SLIPPER SANDALS</t>
  </si>
  <si>
    <t>SLIPPER SANDALS TSUM TSUM TSS20:BLACK:37:SOLID:SLIPPER SANDALS</t>
  </si>
  <si>
    <t>SLIPPER SANDALS TSUM TSUM TSS20:BLACK:38:SOLID:SLIPPER SANDALS</t>
  </si>
  <si>
    <t>SLIPPER SANDALS TSUM TSUM TSS20:BLACK:39:SOLID:SLIPPER SANDALS</t>
  </si>
  <si>
    <t>SLIPPER SANDALS TSUM TSUM TSS20:BLACK:40:SOLID:SLIPPER SANDALS</t>
  </si>
  <si>
    <t>SLIPPER SANDALS TSUM TSUM TSS20:PASTEL PINK:36:SOLID:SLIPPER SANDALS</t>
  </si>
  <si>
    <t>SLIPPER SANDALS TSUM TSUM TSS20:PASTEL PINK:37:SOLID:SLIPPER SANDALS</t>
  </si>
  <si>
    <t>SLIPPER SANDALS TSUM TSUM TSS20:PASTEL PINK:38:SOLID:SLIPPER SANDALS</t>
  </si>
  <si>
    <t>SLIPPER SANDALS TSUM TSUM TSS20:PASTEL PINK:39:SOLID:SLIPPER SANDALS</t>
  </si>
  <si>
    <t>SLIPPER SANDALS TSUM TSUM TSS20:PASTEL PINK:40:SOLID:SLIPPER SANDALS</t>
  </si>
  <si>
    <t>MKBAS17</t>
  </si>
  <si>
    <t>D'ORSAY MICKEY MKBAS17:MISTY DARK BROWN:36:SOLID:D'ORSAY</t>
  </si>
  <si>
    <t>D'ORSAY MICKEY MKBAS17:MISTY DARK BROWN:37:SOLID:D'ORSAY</t>
  </si>
  <si>
    <t>D'ORSAY MICKEY MKBAS17:MISTY DARK BROWN:38:SOLID:D'ORSAY</t>
  </si>
  <si>
    <t>D'ORSAY MICKEY MKBAS17:MISTY DARK BROWN:39:SOLID:D'ORSAY</t>
  </si>
  <si>
    <t>D'ORSAY MICKEY MKBAS17:MISTY DARK BROWN:40:SOLID:D'ORSAY</t>
  </si>
  <si>
    <t>MKBAS16</t>
  </si>
  <si>
    <t>SLIPPER SANDALS MICKEY MKBAS16:BLACK:36:SOLID:SLIPPER SANDALS</t>
  </si>
  <si>
    <t>SLIPPER SANDALS MICKEY MKBAS16:BLACK:37:SOLID:SLIPPER SANDALS</t>
  </si>
  <si>
    <t>SLIPPER SANDALS MICKEY MKBAS16:BLACK:38:SOLID:SLIPPER SANDALS</t>
  </si>
  <si>
    <t>SLIPPER SANDALS MICKEY MKBAS16:BLACK:39:SOLID:SLIPPER SANDALS</t>
  </si>
  <si>
    <t>SLIPPER SANDALS MICKEY MKBAS16:BLACK:40:SOLID:SLIPPER SANDALS</t>
  </si>
  <si>
    <t>SLIPPER SANDALS MICKEY MKBAS16:PASTEL PINK:36:SOLID:SLIPPER SANDALS</t>
  </si>
  <si>
    <t>SLIPPER SANDALS MICKEY MKBAS16:PASTEL PINK:37:SOLID:SLIPPER SANDALS</t>
  </si>
  <si>
    <t>SLIPPER SANDALS MICKEY MKBAS16:PASTEL PINK:38:SOLID:SLIPPER SANDALS</t>
  </si>
  <si>
    <t>SLIPPER SANDALS MICKEY MKBAS16:PASTEL PINK:39:SOLID:SLIPPER SANDALS</t>
  </si>
  <si>
    <t>SLIPPER SANDALS MICKEY MKBAS16:PASTEL PINK:40:SOLID:SLIPPER SANDALS</t>
  </si>
  <si>
    <t>MKBAS12 - PK</t>
  </si>
  <si>
    <t>SANDAL SLIP ON KEPALA MINNIE MKBAS12:PASTEL PINK:36</t>
  </si>
  <si>
    <t>SANDAL SLIP ON KEPALA MINNIE MKBAS12:PASTEL PINK:37</t>
  </si>
  <si>
    <t>SANDAL SLIP ON KEPALA MINNIE MKBAS12:PASTEL PINK:38</t>
  </si>
  <si>
    <t>SANDAL SLIP ON KEPALA MINNIE MKBAS12:PASTEL PINK:39</t>
  </si>
  <si>
    <t>SANDAL SLIP ON KEPALA MINNIE MKBAS12:PASTEL PINK:40</t>
  </si>
  <si>
    <t>MKBAS12 - P</t>
  </si>
  <si>
    <t>SANDAL SLIP ON KEPALA MINNIE MKBAS12:WHITE:36</t>
  </si>
  <si>
    <t>SANDAL SLIP ON KEPALA MINNIE MKBAS12:WHITE:37</t>
  </si>
  <si>
    <t>SANDAL SLIP ON KEPALA MINNIE MKBAS12:WHITE:38</t>
  </si>
  <si>
    <t>SANDAL SLIP ON KEPALA MINNIE MKBAS12:WHITE:39</t>
  </si>
  <si>
    <t>SANDAL SLIP ON KEPALA MINNIE MKBAS12:WHITE:40</t>
  </si>
  <si>
    <t>MNBAS10</t>
  </si>
  <si>
    <t>SLIPPER SANDALS MINNIE MNBAS10:PASTEL PINK:36:SOLID:SLIPPER SANDALS</t>
  </si>
  <si>
    <t>SLIPPER SANDALS MINNIE MNBAS10:PASTEL PINK:37:SOLID:SLIPPER SANDALS</t>
  </si>
  <si>
    <t>SLIPPER SANDALS MINNIE MNBAS10:PASTEL PINK:38:SOLID:SLIPPER SANDALS</t>
  </si>
  <si>
    <t>SLIPPER SANDALS MINNIE MNBAS10:PASTEL PINK:39:SOLID:SLIPPER SANDALS</t>
  </si>
  <si>
    <t>SLIPPER SANDALS MINNIE MNBAS10:PASTEL PINK:40:SOLID:SLIPPER SANDALS</t>
  </si>
  <si>
    <t>MNBAS13</t>
  </si>
  <si>
    <t>SLIPPER SANDALS MINNIE MNBAS13:PASTEL PINK:36:SOLID:SLIPPER SANDALS</t>
  </si>
  <si>
    <t>SLIPPER SANDALS MINNIE MNBAS13:PASTEL PINK:37:SOLID:SLIPPER SANDALS</t>
  </si>
  <si>
    <t>SLIPPER SANDALS MINNIE MNBAS13:PASTEL PINK:38:SOLID:SLIPPER SANDALS</t>
  </si>
  <si>
    <t>SLIPPER SANDALS MINNIE MNBAS13:PASTEL PINK:39:SOLID:SLIPPER SANDALS</t>
  </si>
  <si>
    <t>SLIPPER SANDALS MINNIE MNBAS13:PASTEL PINK:40:SOLID:SLIPPER SANDALS</t>
  </si>
  <si>
    <t>MKBAS19</t>
  </si>
  <si>
    <t>SLIPPER SANDALS MICKEY MKBAS19:BLACK:36:SOLID:SLIPPER SANDALS</t>
  </si>
  <si>
    <t>SLIPPER SANDALS MICKEY MKBAS19:BLACK:37:SOLID:SLIPPER SANDALS</t>
  </si>
  <si>
    <t>SLIPPER SANDALS MICKEY MKBAS19:BLACK:38:SOLID:SLIPPER SANDALS</t>
  </si>
  <si>
    <t>SLIPPER SANDALS MICKEY MKBAS19:BLACK:39:SOLID:SLIPPER SANDALS</t>
  </si>
  <si>
    <t>SLIPPER SANDALS MICKEY MKBAS19:BLACK:40:SOLID:SLIPPER SANDALS</t>
  </si>
  <si>
    <t>SLIPPER SANDALS MICKEY MKBAS19:PASTEL PINK:36:SOLID:SLIPPER SANDALS</t>
  </si>
  <si>
    <t>SLIPPER SANDALS MICKEY MKBAS19:PASTEL PINK:37:SOLID:SLIPPER SANDALS</t>
  </si>
  <si>
    <t>SLIPPER SANDALS MICKEY MKBAS19:PASTEL PINK:38:SOLID:SLIPPER SANDALS</t>
  </si>
  <si>
    <t>SLIPPER SANDALS MICKEY MKBAS19:PASTEL PINK:39:SOLID:SLIPPER SANDALS</t>
  </si>
  <si>
    <t>SLIPPER SANDALS MICKEY MKBAS19:PASTEL PINK:40:SOLID:SLIPPER SANDALS</t>
  </si>
  <si>
    <t>MNBAS9</t>
  </si>
  <si>
    <t>SLINGBACK SHOES MINNIE MNBAS9:BLACK:36:SOLID:SLINGBACK SHOES</t>
  </si>
  <si>
    <t>SLINGBACK SHOES MINNIE MNBAS9:BLACK:37:SOLID:SLINGBACK SHOES</t>
  </si>
  <si>
    <t>SLINGBACK SHOES MINNIE MNBAS9:BLACK:38:SOLID:SLINGBACK SHOES</t>
  </si>
  <si>
    <t>SLINGBACK SHOES MINNIE MNBAS9:BLACK:39:SOLID:SLINGBACK SHOES</t>
  </si>
  <si>
    <t>SLINGBACK SHOES MINNIE MNBAS9:BLACK:40:SOLID:SLINGBACK SHOES</t>
  </si>
  <si>
    <t>MNBAS4 - H</t>
  </si>
  <si>
    <t>SHOES FLIP FLOP MNBAS4:BLACK:36</t>
  </si>
  <si>
    <t>SHOES FLIP FLOP MNBAS4:BLACK:37</t>
  </si>
  <si>
    <t>SHOES FLIP FLOP MNBAS4:BLACK:38</t>
  </si>
  <si>
    <t>SHOES FLIP FLOP MNBAS4:BLACK:39</t>
  </si>
  <si>
    <t>SHOES FLIP FLOP MNBAS4:BLACK:40</t>
  </si>
  <si>
    <t>MNBAS4 - CO</t>
  </si>
  <si>
    <t>SHOES FLIP FLOP MNBAS4:BROWN SUGAR:36</t>
  </si>
  <si>
    <t>SHOES FLIP FLOP MNBAS4:BROWN SUGAR:37</t>
  </si>
  <si>
    <t>SHOES FLIP FLOP MNBAS4:BROWN SUGAR:38</t>
  </si>
  <si>
    <t>SHOES FLIP FLOP MNBAS4:BROWN SUGAR:39</t>
  </si>
  <si>
    <t>SHOES FLIP FLOP MNBAS4:BROWN SUGAR:40</t>
  </si>
  <si>
    <t>DS21</t>
  </si>
  <si>
    <t>SLIP ON MICKEY DS21:BROWN SUGAR:36:PRINT:SLIP ON</t>
  </si>
  <si>
    <t>SLIP ON MICKEY DS21:BROWN SUGAR:37:PRINT:SLIP ON</t>
  </si>
  <si>
    <t>SLIP ON MICKEY DS21:BROWN SUGAR:38:PRINT:SLIP ON</t>
  </si>
  <si>
    <t>SLIP ON MICKEY DS21:BROWN SUGAR:39:PRINT:SLIP ON</t>
  </si>
  <si>
    <t>SLIP ON MICKEY DS21:BROWN SUGAR:40:PRINT:SLIP ON</t>
  </si>
  <si>
    <t>TSS15-H</t>
  </si>
  <si>
    <t>SANDAL FLAT Y-GIRL TSS15:BLACK:36</t>
  </si>
  <si>
    <t>SANDAL FLAT Y-GIRL TSS15:BLACK:37</t>
  </si>
  <si>
    <t>SANDAL FLAT Y-GIRL TSS15:BLACK:38</t>
  </si>
  <si>
    <t>SANDAL FLAT Y-GIRL TSS15:BLACK:39</t>
  </si>
  <si>
    <t>SANDAL FLAT Y-GIRL TSS15:BLACK:40</t>
  </si>
  <si>
    <t>TSS15-P</t>
  </si>
  <si>
    <t>SANDAL FLAT Y-GIRL TSS15:WHITE:36</t>
  </si>
  <si>
    <t>SANDAL FLAT Y-GIRL TSS15:WHITE:38</t>
  </si>
  <si>
    <t>SANDAL FLAT Y-GIRL TSS15:WHITE:39</t>
  </si>
  <si>
    <t>SANDAL FLAT Y-GIRL TSS15:WHITE:40</t>
  </si>
  <si>
    <t>TSS15-PK</t>
  </si>
  <si>
    <t>SANDAL FLAT Y-GIRL TSS15:PASTEL PINK:36</t>
  </si>
  <si>
    <t>SANDAL FLAT Y-GIRL TSS15:PASTEL PINK:37</t>
  </si>
  <si>
    <t>SANDAL FLAT Y-GIRL TSS15:PASTEL PINK:38</t>
  </si>
  <si>
    <t>SANDAL FLAT Y-GIRL TSS15:PASTEL PINK:39</t>
  </si>
  <si>
    <t>SANDAL FLAT Y-GIRL TSS15:PASTEL PINK:40</t>
  </si>
  <si>
    <t>TSS21</t>
  </si>
  <si>
    <t>SLIPPER SANDALS TSUM TSUM TSS21:BLACK:36:SOLID:SLIPPER SANDALS</t>
  </si>
  <si>
    <t>SLIPPER SANDALS TSUM TSUM TSS21:BLACK:37:SOLID:SLIPPER SANDALS</t>
  </si>
  <si>
    <t>SLIPPER SANDALS TSUM TSUM TSS21:BLACK:38:SOLID:SLIPPER SANDALS</t>
  </si>
  <si>
    <t>SLIPPER SANDALS TSUM TSUM TSS21:BLACK:39:SOLID:SLIPPER SANDALS</t>
  </si>
  <si>
    <t>SLIPPER SANDALS TSUM TSUM TSS21:BLACK:40:SOLID:SLIPPER SANDALS</t>
  </si>
  <si>
    <t>MKBAS13</t>
  </si>
  <si>
    <t>SLIPPER SANDALS MICKEY MKBAS13:BROWN SUGAR:36:SOLID:SLIPPER SANDALS</t>
  </si>
  <si>
    <t>SLIPPER SANDALS MICKEY MKBAS13:BROWN SUGAR:37:SOLID:SLIPPER SANDALS</t>
  </si>
  <si>
    <t>SLIPPER SANDALS MICKEY MKBAS13:BROWN SUGAR:38:SOLID:SLIPPER SANDALS</t>
  </si>
  <si>
    <t>SLIPPER SANDALS MICKEY MKBAS13:BROWN SUGAR:39:SOLID:SLIPPER SANDALS</t>
  </si>
  <si>
    <t>SLIPPER SANDALS MICKEY MKBAS13:BROWN SUGAR:40:SOLID:SLIPPER SANDALS</t>
  </si>
  <si>
    <t>SS05</t>
  </si>
  <si>
    <t>SLINGBACK SANDALS MINNIE SS05:WHITE:36:PRINT:SLINGBACK SANDAL</t>
  </si>
  <si>
    <t>SLINGBACK SANDALS MINNIE SS05:WHITE:37:PRINT:SLINGBACK SANDAL</t>
  </si>
  <si>
    <t>SLINGBACK SANDALS MINNIE SS05:WHITE:38:PRINT:SLINGBACK SANDAL</t>
  </si>
  <si>
    <t>SLINGBACK SANDALS MINNIE SS05:WHITE:39:PRINT:SLINGBACK SANDAL</t>
  </si>
  <si>
    <t>SLINGBACK SANDALS MINNIE SS05:WHITE:40:PRINT:SLINGBACK SANDAL</t>
  </si>
  <si>
    <t>SLINGBACK SANDALS MINNIE SS05:PASTEL PINK:36:PRINT:SLINGBACK SANDAL</t>
  </si>
  <si>
    <t>SLINGBACK SANDALS MINNIE SS05:PASTEL PINK:37:PRINT:SLINGBACK SANDAL</t>
  </si>
  <si>
    <t>SLINGBACK SANDALS MINNIE SS05:PASTEL PINK:38:PRINT:SLINGBACK SANDAL</t>
  </si>
  <si>
    <t>SLINGBACK SANDALS MINNIE SS05:PASTEL PINK:39:PRINT:SLINGBACK SANDAL</t>
  </si>
  <si>
    <t>SLINGBACK SANDALS MINNIE SS05:PASTEL PINK:40:PRINT:SLINGBACK SANDAL</t>
  </si>
  <si>
    <t>TSS14</t>
  </si>
  <si>
    <t>SLIPPER SANDALS TSUM TSUM TSS14:BLACK:36:SOLID:SLIPPER SANDALS</t>
  </si>
  <si>
    <t>SLIPPER SANDALS TSUM TSUM TSS14:BLACK:37:SOLID:SLIPPER SANDALS</t>
  </si>
  <si>
    <t>SLIPPER SANDALS TSUM TSUM TSS14:BLACK:38:SOLID:SLIPPER SANDALS</t>
  </si>
  <si>
    <t>SLIPPER SANDALS TSUM TSUM TSS14:BLACK:39:SOLID:SLIPPER SANDALS</t>
  </si>
  <si>
    <t>SLIPPER SANDALS TSUM TSUM TSS14:BLACK:40:SOLID:SLIPPER SANDALS</t>
  </si>
  <si>
    <t>SLIPPER SANDALS TSUM TSUM TSS14:PASTEL PINK:36:SOLID:SLIPPER SANDALS</t>
  </si>
  <si>
    <t>SLIPPER SANDALS TSUM TSUM TSS14:PASTEL PINK:37:SOLID:SLIPPER SANDALS</t>
  </si>
  <si>
    <t>SLIPPER SANDALS TSUM TSUM TSS14:PASTEL PINK:38:SOLID:SLIPPER SANDALS</t>
  </si>
  <si>
    <t>SLIPPER SANDALS TSUM TSUM TSS14:PASTEL PINK:39:SOLID:SLIPPER SANDALS</t>
  </si>
  <si>
    <t>SLIPPER SANDALS TSUM TSUM TSS14:PASTEL PINK:40:SOLID:SLIPPER SANDALS</t>
  </si>
  <si>
    <t>MNBAS12</t>
  </si>
  <si>
    <t>FLIP FLOPS MINNIE MNBAS12:BLACK:36:SOLID:FLIP FLOPS</t>
  </si>
  <si>
    <t>FLIP FLOPS MINNIE MNBAS12:BLACK:37:SOLID:FLIP FLOPS</t>
  </si>
  <si>
    <t>FLIP FLOPS MINNIE MNBAS12:BLACK:38:SOLID:FLIP FLOPS</t>
  </si>
  <si>
    <t>FLIP FLOPS MINNIE MNBAS12:BLACK:39:SOLID:FLIP FLOPS</t>
  </si>
  <si>
    <t>FLIP FLOPS MINNIE MNBAS12:BLACK:40:SOLID:FLIP FLOPS</t>
  </si>
  <si>
    <t>FLIP FLOPS MINNIE MNBAS12:PASTEL PINK:36:SOLID:FLIP FLOPS</t>
  </si>
  <si>
    <t>FLIP FLOPS MINNIE MNBAS12:PASTEL PINK:37:SOLID:FLIP FLOPS</t>
  </si>
  <si>
    <t>FLIP FLOPS MINNIE MNBAS12:PASTEL PINK:38:SOLID:FLIP FLOPS</t>
  </si>
  <si>
    <t>FLIP FLOPS MINNIE MNBAS12:PASTEL PINK:39:SOLID:FLIP FLOPS</t>
  </si>
  <si>
    <t>FLIP FLOPS MINNIE MNBAS12:PASTEL PINK:40:SOLID:FLIP FLOPS</t>
  </si>
  <si>
    <t>MNBAS11</t>
  </si>
  <si>
    <t>SLIPPER SANDALS MINNIE MNBAS11:BLACK:36:SOLID:SLIPPER SANDALS</t>
  </si>
  <si>
    <t>SLIPPER SANDALS MINNIE MNBAS11:BLACK:37:SOLID:SLIPPER SANDALS</t>
  </si>
  <si>
    <t>SLIPPER SANDALS MINNIE MNBAS11:BLACK:38:SOLID:SLIPPER SANDALS</t>
  </si>
  <si>
    <t>SLIPPER SANDALS MINNIE MNBAS11:BLACK:39:SOLID:SLIPPER SANDALS</t>
  </si>
  <si>
    <t>MKBAS15</t>
  </si>
  <si>
    <t>SLIPPER SANDALS MINNIE MKBAS15:BLACK:36:SOLID:SLIPPER SANDALS</t>
  </si>
  <si>
    <t>SLIPPER SANDALS MINNIE MKBAS15:BLACK:37:SOLID:SLIPPER SANDALS</t>
  </si>
  <si>
    <t>SLIPPER SANDALS MINNIE MKBAS15:BLACK:38:SOLID:SLIPPER SANDALS</t>
  </si>
  <si>
    <t>SLIPPER SANDALS MINNIE MKBAS15:BLACK:39:SOLID:SLIPPER SANDALS</t>
  </si>
  <si>
    <t>SLIPPER SANDALS MINNIE MKBAS15:BLACK:40:SOLID:SLIPPER SANDALS</t>
  </si>
  <si>
    <t>SLIPPER SANDALS MINNIE MKBAS15:PASTEL PINK:36:SOLID:SLIPPER SANDALS</t>
  </si>
  <si>
    <t>SLIPPER SANDALS MINNIE MKBAS15:PASTEL PINK:37:SOLID:SLIPPER SANDALS</t>
  </si>
  <si>
    <t>SLIPPER SANDALS MINNIE MKBAS15:PASTEL PINK:38:SOLID:SLIPPER SANDALS</t>
  </si>
  <si>
    <t>SLIPPER SANDALS MINNIE MKBAS15:PASTEL PINK:39:SOLID:SLIPPER SANDALS</t>
  </si>
  <si>
    <t>SLIPPER SANDALS MINNIE MKBAS15:PASTEL PINK:40:SOLID:SLIPPER SANDALS</t>
  </si>
  <si>
    <t>MKBAS18</t>
  </si>
  <si>
    <t>SLIPPER SANDALS MICKEY MKBAS18:BLACK:36:SOLID:SLIPPER SANDALS</t>
  </si>
  <si>
    <t>SLIPPER SANDALS MICKEY MKBAS18:BLACK:37:SOLID:SLIPPER SANDALS</t>
  </si>
  <si>
    <t>SLIPPER SANDALS MICKEY MKBAS18:BLACK:38:SOLID:SLIPPER SANDALS</t>
  </si>
  <si>
    <t>SLIPPER SANDALS MICKEY MKBAS18:BLACK:39:SOLID:SLIPPER SANDALS</t>
  </si>
  <si>
    <t>SLIPPER SANDALS MICKEY MKBAS18:BLACK:40:SOLID:SLIPPER SANDALS</t>
  </si>
  <si>
    <t>SLIPPER SANDALS MICKEY MKBAS18:PASTEL PINK:36:SOLID:SLIPPER SANDALS</t>
  </si>
  <si>
    <t>SLIPPER SANDALS MICKEY MKBAS18:PASTEL PINK:37:SOLID:SLIPPER SANDALS</t>
  </si>
  <si>
    <t>SLIPPER SANDALS MICKEY MKBAS18:PASTEL PINK:38:SOLID:SLIPPER SANDALS</t>
  </si>
  <si>
    <t>SLIPPER SANDALS MICKEY MKBAS18:PASTEL PINK:39:SOLID:SLIPPER SANDALS</t>
  </si>
  <si>
    <t>SLIPPER SANDALS MICKEY MKBAS18:PASTEL PINK:40:SOLID:SLIPPER SANDALS</t>
  </si>
  <si>
    <t>SLIPPER SANDALS MINNIE MNBAS10:BLACK:36:SOLID:SLIPPER SANDALS</t>
  </si>
  <si>
    <t>SLIPPER SANDALS MINNIE MNBAS10:BLACK:37:SOLID:SLIPPER SANDALS</t>
  </si>
  <si>
    <t>SLIPPER SANDALS MINNIE MNBAS10:BLACK:38:SOLID:SLIPPER SANDALS</t>
  </si>
  <si>
    <t>SLIPPER SANDALS MINNIE MNBAS10:BLACK:39:SOLID:SLIPPER SANDALS</t>
  </si>
  <si>
    <t>SLIPPER SANDALS MINNIE MNBAS13:BLACK:36:SOLID:SLIPPER SANDALS</t>
  </si>
  <si>
    <t>SLIPPER SANDALS MINNIE MNBAS13:BLACK:37:SOLID:SLIPPER SANDALS</t>
  </si>
  <si>
    <t>SLIPPER SANDALS MINNIE MNBAS13:BLACK:38:SOLID:SLIPPER SANDALS</t>
  </si>
  <si>
    <t>SLIPPER SANDALS MINNIE MNBAS13:BLACK:39:SOLID:SLIPPER SANDALS</t>
  </si>
  <si>
    <t>SLIPPER SANDALS MINNIE MNBAS13:BLACK:40:SOLID:SLIPPER SANDALS</t>
  </si>
  <si>
    <t>TSS17</t>
  </si>
  <si>
    <t>SLIPPER SANDALS TSUM TSUM TSS17:BLACK:36:SOLID:SLIPPER SANDALS</t>
  </si>
  <si>
    <t>SLIPPER SANDALS TSUM TSUM TSS17:BLACK:37:SOLID:SLIPPER SANDALS</t>
  </si>
  <si>
    <t>SLIPPER SANDALS TSUM TSUM TSS17:BLACK:38:SOLID:SLIPPER SANDALS</t>
  </si>
  <si>
    <t>SLIPPER SANDALS TSUM TSUM TSS17:BLACK:39:SOLID:SLIPPER SANDALS</t>
  </si>
  <si>
    <t>SLIPPER SANDALS TSUM TSUM TSS17:BLACK:40:SOLID:SLIPPER SANDALS</t>
  </si>
  <si>
    <t>SLIPPER SANDALS TSUM TSUM TSS17:CLASSIC YELLOW:36:SOLID:SLIPPER SANDALS</t>
  </si>
  <si>
    <t>SLIPPER SANDALS TSUM TSUM TSS17:CLASSIC YELLOW:37:SOLID:SLIPPER SANDALS</t>
  </si>
  <si>
    <t>SLIPPER SANDALS TSUM TSUM TSS17:CLASSIC YELLOW:38:SOLID:SLIPPER SANDALS</t>
  </si>
  <si>
    <t>SLIPPER SANDALS TSUM TSUM TSS17:CLASSIC YELLOW:39:SOLID:SLIPPER SANDALS</t>
  </si>
  <si>
    <t>SLIPPER SANDALS TSUM TSUM TSS17:CLASSIC YELLOW:40:SOLID:SLIPPER SANDALS</t>
  </si>
  <si>
    <t>TSS15</t>
  </si>
  <si>
    <t>SLIPPER SANDALS TSUM TSUM TSS15:PASTEL PINK:36:SOLID:SLIPPER SANDALS</t>
  </si>
  <si>
    <t>SLIPPER SANDALS TSUM TSUM TSS15:PASTEL PINK:37:SOLID:SLIPPER SANDALS</t>
  </si>
  <si>
    <t>SLIPPER SANDALS TSUM TSUM TSS15:PASTEL PINK:38:SOLID:SLIPPER SANDALS</t>
  </si>
  <si>
    <t>SLIPPER SANDALS TSUM TSUM TSS15:PASTEL PINK:39:SOLID:SLIPPER SANDALS</t>
  </si>
  <si>
    <t>SLIPPER SANDALS TSUM TSUM TSS15:PASTEL PINK:40:SOLID:SLIPPER SANDALS</t>
  </si>
  <si>
    <t>TSSBAS24</t>
  </si>
  <si>
    <t>SLIPPER SANDALS TSUM TSUM TSSBAS24:WHITE:36:SOLID:SLIPPER SANDALS</t>
  </si>
  <si>
    <t>SLIPPER SANDALS TSUM TSUM TSSBAS24:WHITE:37:SOLID:SLIPPER SANDALS</t>
  </si>
  <si>
    <t>SLIPPER SANDALS TSUM TSUM TSSBAS24:WHITE:38:SOLID:SLIPPER SANDALS</t>
  </si>
  <si>
    <t>SLIPPER SANDALS TSUM TSUM TSSBAS24:WHITE:39:SOLID:SLIPPER SANDALS</t>
  </si>
  <si>
    <t>SLIPPER SANDALS TSUM TSUM TSSBAS24:WHITE:40:SOLID:SLIPPER SANDALS</t>
  </si>
  <si>
    <t>SLIPPER SANDALS TSUM TSUM TSSBAS24:PASTEL PINK:36:SOLID:SLIPPER SANDALS</t>
  </si>
  <si>
    <t>SLIPPER SANDALS TSUM TSUM TSSBAS24:PASTEL PINK:37:SOLID:SLIPPER SANDALS</t>
  </si>
  <si>
    <t>SLIPPER SANDALS TSUM TSUM TSSBAS24:PASTEL PINK:38:SOLID:SLIPPER SANDALS</t>
  </si>
  <si>
    <t>SLIPPER SANDALS TSUM TSUM TSSBAS24:PASTEL PINK:39:SOLID:SLIPPER SANDALS</t>
  </si>
  <si>
    <t>SLIPPER SANDALS TSUM TSUM TSSBAS24:PASTEL PINK:40:SOLID:SLIPPER SANDALS</t>
  </si>
  <si>
    <t>MKBASQ4415</t>
  </si>
  <si>
    <t>FLIP FLOPS MICKEY MKBASQ4415:WHITE:36:SOLID:FLIP FLOPS</t>
  </si>
  <si>
    <t>FLIP FLOPS MICKEY MKBASQ4415:WHITE:37:SOLID:FLIP FLOPS</t>
  </si>
  <si>
    <t>FLIP FLOPS MICKEY MKBASQ4415:WHITE:38:SOLID:FLIP FLOPS</t>
  </si>
  <si>
    <t>FLIP FLOPS MICKEY MKBASQ4415:WHITE:39:SOLID:FLIP FLOPS</t>
  </si>
  <si>
    <t>FLIP FLOPS MICKEY MKBASQ4415:WHITE:40:SOLID:FLIP FLOPS</t>
  </si>
  <si>
    <t>SLIPPER SANDALS TSUM TSUM TSS15:BLACK:36:SOLID:SLIPPER SANDALS</t>
  </si>
  <si>
    <t>SLIPPER SANDALS TSUM TSUM TSS15:BLACK:37:SOLID:SLIPPER SANDALS</t>
  </si>
  <si>
    <t>SLIPPER SANDALS TSUM TSUM TSS15:BLACK:38:SOLID:SLIPPER SANDALS</t>
  </si>
  <si>
    <t>SLIPPER SANDALS TSUM TSUM TSS15:BLACK:39:SOLID:SLIPPER SANDALS</t>
  </si>
  <si>
    <t>SLIPPER SANDALS TSUM TSUM TSS15:BLACK:40:SOLID:SLIPPER SANDALS</t>
  </si>
  <si>
    <t>SLIPPER SANDALS TSUM TSUM TSS15:WHITE:36:SOLID:SLIPPER SANDALS</t>
  </si>
  <si>
    <t>SLIPPER SANDALS TSUM TSUM TSS15:WHITE:37:SOLID:SLIPPER SANDALS</t>
  </si>
  <si>
    <t>SLIPPER SANDALS TSUM TSUM TSS15:WHITE:38:SOLID:SLIPPER SANDALS</t>
  </si>
  <si>
    <t>SLIPPER SANDALS TSUM TSUM TSS15:WHITE:39:SOLID:SLIPPER SANDALS</t>
  </si>
  <si>
    <t>SLIPPER SANDALS TSUM TSUM TSS15:WHITE:40:SOLID:SLIPPER SANDALS</t>
  </si>
  <si>
    <t>DSBASQ401</t>
  </si>
  <si>
    <t>BALLERINAS MICKY AND MINNIE DSBASQ401:PASTEL PINK:36:SOLID:BALLERINA</t>
  </si>
  <si>
    <t>BALLERINAS MICKY AND MINNIE DSBASQ401:PASTEL PINK:37:SOLID:BALLERINA</t>
  </si>
  <si>
    <t>BALLERINAS MICKY AND MINNIE DSBASQ401:PASTEL PINK:38:SOLID:BALLERINA</t>
  </si>
  <si>
    <t>BALLERINAS MICKY AND MINNIE DSBASQ401:PASTEL PINK:39:SOLID:BALLERINA</t>
  </si>
  <si>
    <t>BALLERINAS MICKY AND MINNIE DSBASQ401:PASTEL PINK:40:SOLID:BALLERINA</t>
  </si>
  <si>
    <t>BALLERINAS MICKY AND MINNIE DSBASQ401:KHAKI:36:SOLID:BALLERINA</t>
  </si>
  <si>
    <t>BALLERINAS MICKY AND MINNIE DSBASQ401:KHAKI:37:SOLID:BALLERINA</t>
  </si>
  <si>
    <t>BALLERINAS MICKY AND MINNIE DSBASQ401:KHAKI:38:SOLID:BALLERINA</t>
  </si>
  <si>
    <t>BALLERINAS MICKY AND MINNIE DSBASQ401:KHAKI:39:SOLID:BALLERINA</t>
  </si>
  <si>
    <t>BALLERINAS MICKY AND MINNIE DSBASQ401:KHAKI:40:SOLID:BALLERINA</t>
  </si>
  <si>
    <t>MKARB30</t>
  </si>
  <si>
    <t>SNEAKERS MICKEY MKARB30:WHITE:36:SOLID:SNEAKERS</t>
  </si>
  <si>
    <t>SNEAKERS MICKEY MKARB30:WHITE:37:SOLID:SNEAKERS</t>
  </si>
  <si>
    <t>SNEAKERS MICKEY MKARB30:WHITE:38:SOLID:SNEAKERS</t>
  </si>
  <si>
    <t>SNEAKERS MICKEY MKARB30:WHITE:39:SOLID:SNEAKERS</t>
  </si>
  <si>
    <t>SNEAKERS MICKEY MKARB30:WHITE:40:SOLID:SNEAKERS</t>
  </si>
  <si>
    <t>MKARB31</t>
  </si>
  <si>
    <t>SNEAKERS MICKEY MKARB31:WHITE:36:SOLID:SNEAKERS</t>
  </si>
  <si>
    <t>SNEAKERS MICKEY MKARB31:WHITE:37:SOLID:SNEAKERS</t>
  </si>
  <si>
    <t>SNEAKERS MICKEY MKARB31:WHITE:38:SOLID:SNEAKERS</t>
  </si>
  <si>
    <t>SNEAKERS MICKEY MKARB31:WHITE:39:SOLID:SNEAKERS</t>
  </si>
  <si>
    <t>SNEAKERS MICKEY MKARB31:WHITE:40:SOLID:SNEAKERS</t>
  </si>
  <si>
    <t>SANDAL FLAT Y-GIRL TSS15:WHITE:37</t>
  </si>
  <si>
    <t>SS05-P</t>
  </si>
  <si>
    <t>SANDAL SLING BACK SS05:WHITE:36</t>
  </si>
  <si>
    <t>SANDAL SLING BACK SS05:WHITE:37</t>
  </si>
  <si>
    <t>SANDAL SLING BACK SS05:WHITE:40</t>
  </si>
  <si>
    <t>SS05-PK</t>
  </si>
  <si>
    <t>SANDAL SLING BACK SS05:PASTEL PINK:37</t>
  </si>
  <si>
    <t>SANDAL SLING BACK SS05:PASTEL PINK:40</t>
  </si>
  <si>
    <t>TSS14-PK</t>
  </si>
  <si>
    <t>SANDAL SLIP ON TSS14:PASTEL PINK:36</t>
  </si>
  <si>
    <t>SANDAL SLIP ON TSS14:PASTEL PINK:39</t>
  </si>
  <si>
    <t>SANDAL SLIP ON TSS14:PASTEL PINK:40</t>
  </si>
  <si>
    <t>TSS17 - H</t>
  </si>
  <si>
    <t>SANDAL FLAT Y-GIRL - TSS17:BLACK:36</t>
  </si>
  <si>
    <t>SANDAL FLAT Y-GIRL - TSS17:BLACK:37</t>
  </si>
  <si>
    <t>SANDAL FLAT Y-GIRL - TSS17:BLACK:39</t>
  </si>
  <si>
    <t>SANDAL FLAT Y-GIRL - TSS17:BLACK:40</t>
  </si>
  <si>
    <t>SLIPPER SANDALS MINNIE MNBAS11:BLACK:40:SOLID:SLIPPER SANDALS</t>
  </si>
  <si>
    <t>DS16</t>
  </si>
  <si>
    <t>SNEAKERS MICKEY DS16:PASTEL PINK:36:SOLID:SNEAKERS</t>
  </si>
  <si>
    <t>SNEAKERS MICKEY DS16:PASTEL PINK:37:SOLID:SNEAKERS</t>
  </si>
  <si>
    <t>SNEAKERS MICKEY DS16:PASTEL PINK:38:SOLID:SNEAKERS</t>
  </si>
  <si>
    <t>SNEAKERS MICKEY DS16:PASTEL PINK:39:SOLID:SNEAKERS</t>
  </si>
  <si>
    <t>SNEAKERS MICKEY DS16:PASTEL PINK:40:SOLID:SNEAKERS</t>
  </si>
  <si>
    <t>D'ORSAY MICKEY MKBAS17:BLACK:40:SOLID:D'ORSAY</t>
  </si>
  <si>
    <t>D'ORSAY MICKEY MKBAS17:BLACK:36:SOLID:D'ORSAY</t>
  </si>
  <si>
    <t>D'ORSAY MICKEY MKBAS17:BLACK:39:SOLID:D'ORSAY</t>
  </si>
  <si>
    <t>D'ORSAY MICKEY MKBAS17:BLACK:37:SOLID:D'ORSAY</t>
  </si>
  <si>
    <t>D'ORSAY MICKEY MKBAS17:BLACK:38:SOLID:D'ORSAY</t>
  </si>
  <si>
    <t>SLIPPER SANDALS TSUM TSUM TSS21:PASTEL PINK:38:SOLID:SLIPPER SANDALS</t>
  </si>
  <si>
    <t>SLIPPER SANDALS TSUM TSUM TSS21:WHITE:37:SOLID:SLIPPER SANDALS</t>
  </si>
  <si>
    <t>SLIPPER SANDALS TSUM TSUM TSS21:WHITE:40:SOLID:SLIPPER SANDALS</t>
  </si>
  <si>
    <t>SLIPPER SANDALS TSUM TSUM TSS21:PASTEL PINK:39:SOLID:SLIPPER SANDALS</t>
  </si>
  <si>
    <t>SLIPPER SANDALS TSUM TSUM TSS21:PASTEL PINK:40:SOLID:SLIPPER SANDALS</t>
  </si>
  <si>
    <t>SLIPPER SANDALS TSUM TSUM TSS21:PASTEL PINK:37:SOLID:SLIPPER SANDALS</t>
  </si>
  <si>
    <t>SLIPPER SANDALS TSUM TSUM TSS21:WHITE:38:SOLID:SLIPPER SANDALS</t>
  </si>
  <si>
    <t>SLIPPER SANDALS TSUM TSUM TSS21:WHITE:36:SOLID:SLIPPER SANDALS</t>
  </si>
  <si>
    <t>SLIPPER SANDALS TSUM TSUM TSS21:PASTEL PINK:36:SOLID:SLIPPER SANDALS</t>
  </si>
  <si>
    <t>SLIPPER SANDALS TSUM TSUM TSS21:WHITE:39:SOLID:SLIPPER SANDALS</t>
  </si>
  <si>
    <t>MNBAS45</t>
  </si>
  <si>
    <t>SLIPPER SANDALS MINNIE MNBAS45:MUSTARD:39:SOLID:SLIPPER SANDALS</t>
  </si>
  <si>
    <t>SLIPPER SANDALS MINNIE MNBAS45:MUSTARD:37:SOLID:SLIPPER SANDALS</t>
  </si>
  <si>
    <t>SLIPPER SANDALS MINNIE MNBAS45:MAROON:38:SOLID:SLIPPER SANDALS</t>
  </si>
  <si>
    <t>SLIPPER SANDALS MINNIE MNBAS45:MUSTARD:36:SOLID:SLIPPER SANDALS</t>
  </si>
  <si>
    <t>SLIPPER SANDALS MINNIE MNBAS45:MAROON:39:SOLID:SLIPPER SANDALS</t>
  </si>
  <si>
    <t>SLIPPER SANDALS MINNIE MNBAS45:MUSTARD:38:SOLID:SLIPPER SANDALS</t>
  </si>
  <si>
    <t>SLIPPER SANDALS MINNIE MNBAS45:MAROON:40:SOLID:SLIPPER SANDALS</t>
  </si>
  <si>
    <t>SLIPPER SANDALS MINNIE MNBAS45:MUSTARD:40:SOLID:SLIPPER SANDALS</t>
  </si>
  <si>
    <t>SLIPPER SANDALS MINNIE MNBAS45:MAROON:36:SOLID:SLIPPER SANDALS</t>
  </si>
  <si>
    <t>SLIPPER SANDALS MINNIE MNBAS45:MAROON:37:SOLID:SLIPPER SANDALS</t>
  </si>
  <si>
    <t>MNBASQ4418</t>
  </si>
  <si>
    <t>SLIPPER SANDALS MINNIE MNBASQ4418:PASTEL PINK:36:SOLID:SLIPPER SANDALS</t>
  </si>
  <si>
    <t>SLIPPER SANDALS MINNIE MNBASQ4418:BLACK:38:SOLID:SLIPPER SANDALS</t>
  </si>
  <si>
    <t>SLIPPER SANDALS MINNIE MNBASQ4418:BLACK:36:SOLID:SLIPPER SANDALS</t>
  </si>
  <si>
    <t>SLIPPER SANDALS MINNIE MNBASQ4418:BLACK:37:SOLID:SLIPPER SANDALS</t>
  </si>
  <si>
    <t>SLIPPER SANDALS MINNIE MNBASQ4418:PASTEL PINK:39:SOLID:SLIPPER SANDALS</t>
  </si>
  <si>
    <t>SLIPPER SANDALS MINNIE MNBASQ4418:BLACK:39:SOLID:SLIPPER SANDALS</t>
  </si>
  <si>
    <t>SLIPPER SANDALS MINNIE MNBASQ4418:PASTEL PINK:38:SOLID:SLIPPER SANDALS</t>
  </si>
  <si>
    <t>SLIPPER SANDALS MINNIE MNBASQ4418:PASTEL PINK:37:SOLID:SLIPPER SANDALS</t>
  </si>
  <si>
    <t>FLIP FLOPS MICKEY MKBASQ4415:BLACK:38:SOLID:FLIP FLOPS</t>
  </si>
  <si>
    <t>FLIP FLOPS MICKEY MKBASQ4415:BLACK:40:SOLID:FLIP FLOPS</t>
  </si>
  <si>
    <t>FLIP FLOPS MICKEY MKBASQ4415:BLACK:37:SOLID:FLIP FLOPS</t>
  </si>
  <si>
    <t>FLIP FLOPS MICKEY MKBASQ4415:BLACK:36:SOLID:FLIP FLOPS</t>
  </si>
  <si>
    <t>FLIP FLOPS MICKEY MKBASQ4415:BLACK:39:SOLID:FLIP FLOPS</t>
  </si>
  <si>
    <t>MKTD01-K</t>
  </si>
  <si>
    <t>SLIPPER SANDALS MINNIE MKTD01-K:WHITE:36:SOLID:SLIPPER SANDALS</t>
  </si>
  <si>
    <t>SLIPPER SANDALS MINNIE MKTD01-K:WHITE:40:SOLID:SLIPPER SANDALS</t>
  </si>
  <si>
    <t>SLIPPER SANDALS MINNIEMKTD01-K:WHITE:38:SOLID:SLIPPER SANDALS</t>
  </si>
  <si>
    <t>SLIPPER SANDALS MINNIE MKTD01-K:WHITE:37:SOLID:SLIPPER SANDALS</t>
  </si>
  <si>
    <t>SLIPPER SANDALS MINNIE MKTD01-K:WHITE:39:SOLID:SLIPPER SANDALS</t>
  </si>
  <si>
    <t>SLIPPER SANDALS MINNIE MNBASQ4418:BLACK:40:SOLID:SLIPPER SANDALS</t>
  </si>
  <si>
    <t>SLIPPER SANDALS MINNIE MNBASQ4418:PASTEL PINK:40:SOLID:SLIPPER SANDALS</t>
  </si>
  <si>
    <t>MK224</t>
  </si>
  <si>
    <t>FLIP FLOPS MICKEY MK224:NAVY BLUE:M:SOLID:FLIP FLOPS</t>
  </si>
  <si>
    <t>FLIP FLOPS MICKEY MK224:NAVY BLUE:L:SOLID:FLIP FLOPS</t>
  </si>
  <si>
    <t>FLIP FLOPS MICKEY MK224:MAROON:S:SOLID:FLIP FLOPS</t>
  </si>
  <si>
    <t>FLIP FLOPS MICKEY MK224:NAVY BLUE:XL:SOLID:FLIP FLOPS</t>
  </si>
  <si>
    <t>FLIP FLOPS MICKEY MK224:NAVY BLUE:S:SOLID:FLIP FLOPS</t>
  </si>
  <si>
    <t>FLIP FLOPS MICKEY MK224:MAROON:M:SOLID:FLIP FLOPS</t>
  </si>
  <si>
    <t>FLIP FLOPS MICKEY MK224:MAROON:L:SOLID:FLIP FLOPS</t>
  </si>
  <si>
    <t>FLIP FLOPS MICKEY MK224:MAROON:XL:SOLID:FLIP FLOPS</t>
  </si>
  <si>
    <t>MNTD02</t>
  </si>
  <si>
    <t>SLIPPER SANDALS MINNIE MNTD02:PASTEL PINK:36:SOLID:SLIPPER SANDALS</t>
  </si>
  <si>
    <t>SLIPPER SANDALS MINNIE MNTD02:PASTEL PINK:37:SOLID:SLIPPER SANDALS</t>
  </si>
  <si>
    <t>SLIPPER SANDALS MINNIE MNTD02:PASTEL PINK:38:SOLID:SLIPPER SANDALS</t>
  </si>
  <si>
    <t>SLIPPER SANDALS MINNIE MNTD02:PASTEL PINK:39:SOLID:SLIPPER SANDALS</t>
  </si>
  <si>
    <t>SLIPPER SANDALS MINNIE MNTD02:PASTEL PINK:40:SOLID:SLIPPER SANDALS</t>
  </si>
  <si>
    <t>MNBAS30</t>
  </si>
  <si>
    <t>SLIPPER SANDALS MINNIE MNBAS30:BLACK:38:SOLID:SLIPPER SANDALS</t>
  </si>
  <si>
    <t>SLIPPER SANDALS MINNIE MNBAS30:WHITE:36:SOLID:SLIPPER SANDALS</t>
  </si>
  <si>
    <t>SLIPPER SANDALS MINNIE MNBAS30:WHITE:37:SOLID:SLIPPER SANDALS</t>
  </si>
  <si>
    <t>SLIPPER SANDALS MINNIE MNBAS30:WHITE:38:SOLID:SLIPPER SANDALS</t>
  </si>
  <si>
    <t>SLIPPER SANDALS MINNIE MNBAS30:WHITE:40:SOLID:SLIPPER SANDALS</t>
  </si>
  <si>
    <t>SLIPPER SANDALS MINNIE MNBAS30:BLACK:36:SOLID:SLIPPER SANDALS</t>
  </si>
  <si>
    <t>SLIPPER SANDALS MINNIE MNBAS30:WHITE:39:SOLID:SLIPPER SANDALS</t>
  </si>
  <si>
    <t>SLIPPER SANDALS MINNIE MNBAS30:BLACK:37:SOLID:SLIPPER SANDALS</t>
  </si>
  <si>
    <t>SLIPPER SANDALS MINNIE MNBAS30:BLACK:39:SOLID:SLIPPER SANDALS</t>
  </si>
  <si>
    <t>SLIPPER SANDALS MINNIE MNBAS30:BLACK:40:SOLID:SLIPPER SANDALS</t>
  </si>
  <si>
    <t>MNBAS29</t>
  </si>
  <si>
    <t>SLIPPER SANDALS MINNIE MNBAS29:BLACK:36:SOLID:SLIPPER SANDALS</t>
  </si>
  <si>
    <t>SLIPPER SANDALS MINNIE MNBAS29:BLACK:39:SOLID:SLIPPER SANDALS</t>
  </si>
  <si>
    <t>SLIPPER SANDALS MINNIE MNBAS29:BLACK:37:SOLID:SLIPPER SANDALS</t>
  </si>
  <si>
    <t>SLIPPER SANDALS MINNIE MNBAS29:BLACK:40:SOLID:SLIPPER SANDALS</t>
  </si>
  <si>
    <t>SLIPPER SANDALS MINNIE MNBAS29:MAROON:36:SOLID:SLIPPER SANDALS</t>
  </si>
  <si>
    <t>SLIPPER SANDALS MINNIE MNBAS29:MAROON:38:SOLID:SLIPPER SANDALS</t>
  </si>
  <si>
    <t>SLIPPER SANDALS MINNIE MNBAS29:MAROON:39:SOLID:SLIPPER SANDALS</t>
  </si>
  <si>
    <t>SLIPPER SANDALS MINNIE MNBAS29:BLACK:38:SOLID:SLIPPER SANDALS</t>
  </si>
  <si>
    <t>SLIPPER SANDALS MINNIE MNBAS29:MAROON:37:SOLID:SLIPPER SANDALS</t>
  </si>
  <si>
    <t>SLIPPER SANDALS MINNIE MNBAS29:MAROON:40:SOLID:SLIPPER SANDALS</t>
  </si>
  <si>
    <t>MKBAS30</t>
  </si>
  <si>
    <t>SLIPPER SANDALS MICKEY MKBAS30:PASTEL PINK:38:SOLID:SLIPPER SANDALS</t>
  </si>
  <si>
    <t>SLIPPER SANDALS MICKEY MKBAS30:PASTEL PINK:36:SOLID:SLIPPER SANDALS</t>
  </si>
  <si>
    <t>SLIPPER SANDALS MICKEY MKBAS30:PASTEL PURPLE:38:SOLID:SLIPPER SANDALS</t>
  </si>
  <si>
    <t>SLIPPER SANDALS MICKEY MKBAS30:PASTEL PINK:37:SOLID:SLIPPER SANDALS</t>
  </si>
  <si>
    <t>SLIPPER SANDALS MICKEY MKBAS30:PASTEL PURPLE:37:SOLID:SLIPPER SANDALS</t>
  </si>
  <si>
    <t>SLIPPER SANDALS MICKEY MKBAS30:PASTEL PURPLE:40:SOLID:SLIPPER SANDALS</t>
  </si>
  <si>
    <t>SLIPPER SANDALS MICKEY MKBAS30:PASTEL PINK:39:SOLID:SLIPPER SANDALS</t>
  </si>
  <si>
    <t>SLIPPER SANDALS MICKEY MKBAS30:PASTEL PINK:40:SOLID:SLIPPER SANDALS</t>
  </si>
  <si>
    <t>SLIPPER SANDALS MICKEY MKBAS30:PASTEL PURPLE:36:SOLID:SLIPPER SANDALS</t>
  </si>
  <si>
    <t>SLIPPER SANDALS MICKEY MKBAS30:PASTEL PURPLE:39:SOLID:SLIPPER SANDALS</t>
  </si>
  <si>
    <t>MKBAS35</t>
  </si>
  <si>
    <t>SLIPPER SANDALS MICKEY MKBAS35:MUSTARD:39:SOLID:SLIPPER SANDALS</t>
  </si>
  <si>
    <t>SLIPPER SANDALS MICKEY MKBAS35:MUSTARD:38:SOLID:SLIPPER SANDALS</t>
  </si>
  <si>
    <t>SLIPPER SANDALS MICKEY MKBAS35:PASTEL PINK:36:SOLID:SLIPPER SANDALS</t>
  </si>
  <si>
    <t>MNBAS25</t>
  </si>
  <si>
    <t>FLIP FLOPS MINNIE MNBAS25:WHITE:38:SOLID:FLIP FLOPS</t>
  </si>
  <si>
    <t>SLIPPER SANDALS MICKEY MKBAS35:MUSTARD:37:SOLID:SLIPPER SANDALS</t>
  </si>
  <si>
    <t>SLIPPER SANDALS MICKEY MKBAS35:PASTEL PINK:40:SOLID:SLIPPER SANDALS</t>
  </si>
  <si>
    <t>SLIPPER SANDALS MICKEY MKBAS35:PASTEL PINK:38:SOLID:SLIPPER SANDALS</t>
  </si>
  <si>
    <t>SLIPPER SANDALS MICKEY MKBAS35:MUSTARD:36:SOLID:SLIPPER SANDALS</t>
  </si>
  <si>
    <t>SLIPPER SANDALS MICKEY MKBAS35:MUSTARD:40:SOLID:SLIPPER SANDALS</t>
  </si>
  <si>
    <t>SLIPPER SANDALS MICKEY MKBAS35:PASTEL PINK:37:SOLID:SLIPPER SANDALS</t>
  </si>
  <si>
    <t>SLIPPER SANDALS MICKEY MKBAS35:PASTEL PINK:39:SOLID:SLIPPER SANDALS</t>
  </si>
  <si>
    <t>MKBAS43</t>
  </si>
  <si>
    <t>SLIPPER SANDALS MICKEY MKBAS43:MUSTARD:36:SOLID:SLIPPER SANDALS</t>
  </si>
  <si>
    <t>SLIPPER SANDALS MICKEY MKBAS43:MUSTARD:39:SOLID:SLIPPER SANDALS</t>
  </si>
  <si>
    <t>SLIPPER SANDALS MICKEY MKBAS43:MUSTARD:40:SOLID:SLIPPER SANDALS</t>
  </si>
  <si>
    <t>SLIPPER SANDALS MICKEY MKBAS43:MUSTARD:37:SOLID:SLIPPER SANDALS</t>
  </si>
  <si>
    <t>SLIPPER SANDALS MICKEY MKBAS43:MUSTARD:38:SOLID:SLIPPER SANDALS</t>
  </si>
  <si>
    <t>MNBAS19</t>
  </si>
  <si>
    <t>FLIP FLOPS MINNIE MNBAS19:PASTEL PINK:39:SOLID:FLIP FLOPS</t>
  </si>
  <si>
    <t>FLIP FLOPS MINNIE MNBAS19:WHITE:38:SOLID:FLIP FLOPS</t>
  </si>
  <si>
    <t>FLIP FLOPS MINNIE MNBAS19:WHITE:39:SOLID:FLIP FLOPS</t>
  </si>
  <si>
    <t>FLIP FLOPS MINNIE MNBAS19:PASTEL PINK:37:SOLID:FLIP FLOPS</t>
  </si>
  <si>
    <t>FLIP FLOPS MINNIE MNBAS19:PASTEL PINK:38:SOLID:FLIP FLOPS</t>
  </si>
  <si>
    <t>FLIP FLOPS MINNIE MNBAS19:PASTEL PINK:40:SOLID:FLIP FLOPS</t>
  </si>
  <si>
    <t>FLIP FLOPS MINNIE MNBAS19:WHITE:36:SOLID:FLIP FLOPS</t>
  </si>
  <si>
    <t>FLIP FLOPS MINNIE MNBAS19:WHITE:37:SOLID:FLIP FLOPS</t>
  </si>
  <si>
    <t>FLIP FLOPS MINNIE MNBAS19:WHITE:40:SOLID:FLIP FLOPS</t>
  </si>
  <si>
    <t>FLIP FLOPS MINNIE MNBAS19:PASTEL PINK:36:SOLID:FLIP FLOPS</t>
  </si>
  <si>
    <t>TSS49</t>
  </si>
  <si>
    <t>SLIPPER SANDALS TSUMTSUM TSS49:PASTEL PINK:40:SOLID:SLIPPER SANDALS</t>
  </si>
  <si>
    <t>SLIPPER SANDALS TSUMTSUM TSS49:BLACK:38:SOLID:SLIPPER SANDALS</t>
  </si>
  <si>
    <t>SLIPPER SANDALS TSUMTSUM TSS49:PASTEL PINK:37:SOLID:SLIPPER SANDALS</t>
  </si>
  <si>
    <t>SLIPPER SANDALS TSUMTSUM TSS49:BLACK:40:SOLID:SLIPPER SANDALS</t>
  </si>
  <si>
    <t>SLIPPER SANDALS TSUMTSUM TSS49:BLACK:37:SOLID:SLIPPER SANDALS</t>
  </si>
  <si>
    <t>SLIPPER SANDALS TSUMTSUM TSS49:BLACK:39:SOLID:SLIPPER SANDALS</t>
  </si>
  <si>
    <t>SLIPPER SANDALS TSUMTSUM TSS49:PASTEL PINK:36:SOLID:SLIPPER SANDALS</t>
  </si>
  <si>
    <t>SLIPPER SANDALS TSUMTSUM TSS49:PASTEL PINK:38:SOLID:SLIPPER SANDALS</t>
  </si>
  <si>
    <t>FLIP FLOPS MINNIE MNBAS25:WHITE:36:SOLID:FLIP FLOPS</t>
  </si>
  <si>
    <t>FLIP FLOPS MINNIE MNBAS25:BLACK:36:SOLID:FLIP FLOPS</t>
  </si>
  <si>
    <t>FLIP FLOPS MINNIE MNBAS25:WHITE:37:SOLID:FLIP FLOPS</t>
  </si>
  <si>
    <t>FLIP FLOPS MINNIE MNBAS25:BLACK:37:SOLID:FLIP FLOPS</t>
  </si>
  <si>
    <t>FLIP FLOPS MINNIE MNBAS25:BLACK:38:SOLID:FLIP FLOPS</t>
  </si>
  <si>
    <t>FLIP FLOPS MINNIE MNBAS25:WHITE:39:SOLID:FLIP FLOPS</t>
  </si>
  <si>
    <t>FLIP FLOPS MINNIE MNBAS25:WHITE:40:SOLID:FLIP FLOPS</t>
  </si>
  <si>
    <t>FLIP FLOPS MINNIE MNBAS25:BLACK:39:SOLID:FLIP FLOPS</t>
  </si>
  <si>
    <t>FLIP FLOPS MINNIE MNBAS25:BLACK:40:SOLID:FLIP FLOPS</t>
  </si>
  <si>
    <t>MNTD01</t>
  </si>
  <si>
    <t>SLINGBACK SANDALS MICKEY MNTD01:PASTEL PINK:39:SOLID:SLINGBACK SANDAL</t>
  </si>
  <si>
    <t>MNTD01-M</t>
  </si>
  <si>
    <t>SLIPPER SANDALS MINNIE MNTD01-M:BLACK:37:SOLID:SLIPPER SANDALS</t>
  </si>
  <si>
    <t>SLIPPER SANDALS MINNIE MNTD01-M:BLACK:39:SOLID:SLIPPER SANDALS</t>
  </si>
  <si>
    <t>SLINGBACK SANDALS MICKEY MNTD01:BLACK:38:SOLID:SLINGBACK SANDAL</t>
  </si>
  <si>
    <t>SLIPPER SANDALS MINNIE MNTD01-M:BLACK:36:SOLID:SLIPPER SANDALS</t>
  </si>
  <si>
    <t>SLIPPER SANDALS MINNIE MNTD01-M:BLACK:38:SOLID:SLIPPER SANDALS</t>
  </si>
  <si>
    <t>SLINGBACK SANDALS MICKEY MNTD01:PASTEL PINK:40:SOLID:SLINGBACK SANDAL</t>
  </si>
  <si>
    <t>SLINGBACK SANDALS MICKEY MNTD01:BLACK:36:SOLID:SLINGBACK SANDAL</t>
  </si>
  <si>
    <t>SLINGBACK SANDALS MICKEY MNTD01:BLACK:40:SOLID:SLINGBACK SANDAL</t>
  </si>
  <si>
    <t>SLINGBACK SANDALS MICKEY MNTD01:PASTEL PINK:36:SOLID:SLINGBACK SANDAL</t>
  </si>
  <si>
    <t>SLINGBACK SANDALS MICKEY MNTD01:BLACK:37:SOLID:SLINGBACK SANDAL</t>
  </si>
  <si>
    <t>SLINGBACK SANDALS MICKEY MNTD01:BLACK:39:SOLID:SLINGBACK SANDAL</t>
  </si>
  <si>
    <t>SLINGBACK SANDALS MICKEY MNTD01:PASTEL PINK:37:SOLID:SLINGBACK SANDAL</t>
  </si>
  <si>
    <t>SLINGBACK SANDALS MICKEY MNTD01:PASTEL PINK:38:SOLID:SLINGBACK SANDAL</t>
  </si>
  <si>
    <t>SLIPPER SANDALS MINNIE MNTD01-M:BLACK:40:SOLID:SLIPPER SANDALS</t>
  </si>
  <si>
    <t>MKBAS37</t>
  </si>
  <si>
    <t>SLINGBACK SANDALS MICKEY MKBAS37:WHITE:37:SOLID:SLINGBACK SANDAL</t>
  </si>
  <si>
    <t>SLINGBACK SANDALS MICKEY MKBAS37:WHITE:36:SOLID:SLINGBACK SANDAL</t>
  </si>
  <si>
    <t>SLINGBACK SANDALS MICKEY MKBAS37:WHITE:40:SOLID:SLINGBACK SANDAL</t>
  </si>
  <si>
    <t>SLINGBACK SANDALS MICKEY MKBAS37:PASTEL PINK:40:SOLID:SLINGBACK SANDAL</t>
  </si>
  <si>
    <t>SLINGBACK SANDALS MICKEY MKBAS37:WHITE:38:SOLID:SLINGBACK SANDAL</t>
  </si>
  <si>
    <t>SLINGBACK SANDALS MICKEY MKBAS37:PASTEL PINK:38:SOLID:SLINGBACK SANDAL</t>
  </si>
  <si>
    <t>SLINGBACK SANDALS MICKEY MKBAS37:WHITE:39:SOLID:SLINGBACK SANDAL</t>
  </si>
  <si>
    <t>SLINGBACK SANDALS MICKEY MKBAS37:PASTEL PINK:36:SOLID:SLINGBACK SANDAL</t>
  </si>
  <si>
    <t>SLINGBACK SANDALS MICKEY MKBAS37:PASTEL PINK:37:SOLID:SLINGBACK SANDAL</t>
  </si>
  <si>
    <t>SLINGBACK SANDALS MICKEY MKBAS37:PASTEL PINK:39:SOLID:SLINGBACK SANDAL</t>
  </si>
  <si>
    <t>MKTD02</t>
  </si>
  <si>
    <t>SLIPPER SANDALS MINNIE MKTD02:BLACK:36:SOLID:SLIPPER SANDALS</t>
  </si>
  <si>
    <t>SLIPPER SANDALS MINNIE MKTD02:BLACK:37:SOLID:SLIPPER SANDALS</t>
  </si>
  <si>
    <t>SLIPPER SANDALS MINNIE MKTD02:BLACK:38:SOLID:SLIPPER SANDALS</t>
  </si>
  <si>
    <t>SLIPPER SANDALS MINNIE MKTD02:BLACK:39:SOLID:SLIPPER SANDALS</t>
  </si>
  <si>
    <t>SLIPPER SANDALS MINNIE MKTD02:BLACK:40:SOLID:SLIPPER SANDALS</t>
  </si>
  <si>
    <t>MNBAS24</t>
  </si>
  <si>
    <t>SLIPPER SANDALS MINNIE MNBAS24:WHITE:36:SOLID:SLIPPER SANDALS</t>
  </si>
  <si>
    <t>SLIPPER SANDALS MINNIE MNBAS24:PASTEL PINK:37:SOLID:SLIPPER SANDALS</t>
  </si>
  <si>
    <t>SLIPPER SANDALS MINNIE MNBAS24:PASTEL PINK:39:SOLID:SLIPPER SANDALS</t>
  </si>
  <si>
    <t>SLIPPER SANDALS MINNIE MNBAS24:WHITE:38:SOLID:SLIPPER SANDALS</t>
  </si>
  <si>
    <t>SLIPPER SANDALS MINNIE MNBAS24:WHITE:40:SOLID:SLIPPER SANDALS</t>
  </si>
  <si>
    <t>SLIPPER SANDALS MINNIE MNBAS24:WHITE:39:SOLID:SLIPPER SANDALS</t>
  </si>
  <si>
    <t>SLIPPER SANDALS MINNIE MNBAS24:PASTEL PINK:36:SOLID:SLIPPER SANDALS</t>
  </si>
  <si>
    <t>SLIPPER SANDALS MINNIE MNBAS24:WHITE:37:SOLID:SLIPPER SANDALS</t>
  </si>
  <si>
    <t>SLIPPER SANDALS MINNIE MNBAS24:PASTEL PINK:38:SOLID:SLIPPER SANDALS</t>
  </si>
  <si>
    <t>SLIPPER SANDALS MINNIE MNBAS24:PASTEL PINK:40:SOLID:SLIPPER SANDALS</t>
  </si>
  <si>
    <t>DSBAS23</t>
  </si>
  <si>
    <t>SLIP ON MICKEY DSBAS23:WHITE:39:SOLID:SLIP ON</t>
  </si>
  <si>
    <t>SLIP ON MICKEY DSBAS23:WHITE:37:SOLID:SLIP ON</t>
  </si>
  <si>
    <t>SLIP ON MICKEY DSBAS23:WHITE:40:SOLID:SLIP ON</t>
  </si>
  <si>
    <t>SLIP ON MICKEY DSBAS23:WHITE:36:SOLID:SLIP ON</t>
  </si>
  <si>
    <t>SLIP ON MICKEY DSBAS23:WHITE:38:SOLID:SLIP ON</t>
  </si>
  <si>
    <t>DSBAS01</t>
  </si>
  <si>
    <t>SNEAKERS MICKEY MINNIE DSBAS01:BLACK:38:SOLID:SNEAKERS</t>
  </si>
  <si>
    <t>SNEAKERS MICKEY MINNIE DSBAS01:BLACK:39:SOLID:SNEAKERS</t>
  </si>
  <si>
    <t>SNEAKERS MICKEY MINNIE DSBAS01:BLACK:37:SOLID:SNEAKERS</t>
  </si>
  <si>
    <t>SNEAKERS MICKEY MINNIE DSBAS01:BLACK:40:SOLID:SNEAKERS</t>
  </si>
  <si>
    <t>SNEAKERS MICKEY MINNIE DSBAS01:BLACK:36:SOLID:SNEAKERS</t>
  </si>
  <si>
    <t>SNEAKERS MICKEY MINNIE DSBAS01:WHITE:39:SOLID:SNEAKERS</t>
  </si>
  <si>
    <t>SNEAKERS MICKEY MINNIE DSBAS01:WHITE:38:SOLID:SNEAKERS</t>
  </si>
  <si>
    <t>SNEAKERS MICKEY MINNIE DSBAS01:WHITE:37:SOLID:SNEAKERS</t>
  </si>
  <si>
    <t>SNEAKERS MICKEY MINNIE DSBAS01:WHITE:40:SOLID:SNEAKERS</t>
  </si>
  <si>
    <t>SNEAKERS MICKEY MINNIE DSBAS01:WHITE:36:SOLID:SNEAKERS</t>
  </si>
  <si>
    <t>MNARB65</t>
  </si>
  <si>
    <t>SNEAKERS MINNIE MNARB65:PASTEL PINK:36:SOLID:SNEAKERS</t>
  </si>
  <si>
    <t>SNEAKERS MINNIE MNARB65:KHAKI:38:SOLID:SNEAKERS</t>
  </si>
  <si>
    <t>SNEAKERS MINNIE MNARB65:PASTEL PINK:40:SOLID:SNEAKERS</t>
  </si>
  <si>
    <t>SNEAKERS MINNIE MNARB65:KHAKI:40:SOLID:SNEAKERS</t>
  </si>
  <si>
    <t>SNEAKERS MINNIE MNARB65:KHAKI:36:SOLID:SNEAKERS</t>
  </si>
  <si>
    <t>SNEAKERS MINNIE MNARB65:PASTEL PINK:39:SOLID:SNEAKERS</t>
  </si>
  <si>
    <t>SNEAKERS MINNIE MNARB65:KHAKI:39:SOLID:SNEAKERS</t>
  </si>
  <si>
    <t>SNEAKERS MINNIE MNARB65:PASTEL PINK:38:SOLID:SNEAKERS</t>
  </si>
  <si>
    <t>SNEAKERS MINNIE MNARB65:PASTEL PINK:37:SOLID:SNEAKERS</t>
  </si>
  <si>
    <t>MKBAS40</t>
  </si>
  <si>
    <t>SLIPPER SANDALS MICKEY MKBAS40:BLACK:37:SOLID:ANKLE STRAP SAND</t>
  </si>
  <si>
    <t>SLIPPER SANDALS MICKEY MKBAS40:WHITE:37:SOLID:ANKLE STRAP SAND</t>
  </si>
  <si>
    <t>SLIPPER SANDALS MICKEY MKBAS40:BLACK:40:SOLID:ANKLE STRAP SAND</t>
  </si>
  <si>
    <t>SLIPPER SANDALS MICKEY MKBAS40:WHITE:39:SOLID:ANKLE STRAP SAND</t>
  </si>
  <si>
    <t>SLIPPER SANDALS MICKEY MKBAS40:WHITE:36:SOLID:ANKLE STRAP SAND</t>
  </si>
  <si>
    <t>SLIPPER SANDALS MICKEY MKBAS40:BLACK:38:SOLID:ANKLE STRAP SAND</t>
  </si>
  <si>
    <t>SLIPPER SANDALS MICKEY MKBAS40:BLACK:36:SOLID:ANKLE STRAP SAND</t>
  </si>
  <si>
    <t>SLIPPER SANDALS MICKEY MKBAS40:WHITE:40:SOLID:ANKLE STRAP SAND</t>
  </si>
  <si>
    <t>SLIPPER SANDALS MICKEY MKBAS40:BLACK:39:SOLID:ANKLE STRAP SAND</t>
  </si>
  <si>
    <t>SLIPPER SANDALS MICKEY MKBAS40:WHITE:38:SOLID:ANKLE STRAP SAND</t>
  </si>
  <si>
    <t>TSS25</t>
  </si>
  <si>
    <t>SLIPPER SANDALS TSUMTSUM TSS25:WHITE:39:SOLID:SLIPPER SANDALS</t>
  </si>
  <si>
    <t>SLIPPER SANDALS TSUMTSUM TSS25:PASTEL PINK:36:SOLID:SLIPPER SANDALS</t>
  </si>
  <si>
    <t>SLIPPER SANDALS TSUMTSUM TSS25:PASTEL PINK:37:SOLID:SLIPPER SANDALS</t>
  </si>
  <si>
    <t>SLIPPER SANDALS TSUMTSUM TSS25:PASTEL PINK:39:SOLID:SLIPPER SANDALS</t>
  </si>
  <si>
    <t>SLIPPER SANDALS TSUMTSUM TSS25:PASTEL PINK:38:SOLID:SLIPPER SANDALS</t>
  </si>
  <si>
    <t>SLIPPER SANDALS TSUMTSUM TSS25:WHITE:40:SOLID:SLIPPER SANDALS</t>
  </si>
  <si>
    <t>SLIPPER SANDALS TSUMTSUM TSS25:WHITE:36:SOLID:SLIPPER SANDALS</t>
  </si>
  <si>
    <t>SLIPPER SANDALS TSUMTSUM TSS25:WHITE:38:SOLID:SLIPPER SANDALS</t>
  </si>
  <si>
    <t>SLIPPER SANDALS TSUMTSUM TSS25:PASTEL PINK:40:SOLID:SLIPPER SANDALS</t>
  </si>
  <si>
    <t>SLIPPER SANDALS TSUMTSUM TSS25:WHITE:37:SOLID:SLIPPER SANDALS</t>
  </si>
  <si>
    <t>MKBASQ423</t>
  </si>
  <si>
    <t>SLINGBACK SANDALS MICKEY MKBASQ423:WHITE:37:SOLID:SLINGBACK SANDA</t>
  </si>
  <si>
    <t>SLINGBACK SANDALS MICKEY MKBASQ423:WHITE:38:SOLID:SLINGBACK SANDA</t>
  </si>
  <si>
    <t>SLINGBACK SANDALS MICKEY MKBASQ423:WHITE:40:SOLID:SLINGBACK SANDA</t>
  </si>
  <si>
    <t>SLINGBACK SANDALS MICKEY MKBASQ423:PASTEL PINK:37:SOLID:SLINGBACK SANDA</t>
  </si>
  <si>
    <t>SLINGBACK SANDALS MICKEY MKBASQ423:PASTEL PINK:39:SOLID:SLINGBACK SANDA</t>
  </si>
  <si>
    <t>SLINGBACK SANDALS MICKEY MKBASQ423:WHITE:39:SOLID:SLINGBACK SANDA</t>
  </si>
  <si>
    <t>SLINGBACK SANDALS MICKEY MKBASQ423:PASTEL PINK:36:SOLID:SLINGBACK SANDA</t>
  </si>
  <si>
    <t>DSBAS10</t>
  </si>
  <si>
    <t>FLIP FLOPS MINNIE DSBAS10:BLACK:36:SOLID:FLIP FLOPS</t>
  </si>
  <si>
    <t>FLIP FLOPS MINNIE DSBAS10:BLACK:39:SOLID:FLIP FLOPS</t>
  </si>
  <si>
    <t>FLIP FLOPS MINNIE DSBAS10:BLACK:37:SOLID:FLIP FLOPS</t>
  </si>
  <si>
    <t>FLIP FLOPS MINNIE DSBAS10:BLACK:38:SOLID:FLIP FLOPS</t>
  </si>
  <si>
    <t>FLIP FLOPS MINNIE DSBAS10:BLACK:40:SOLID:FLIP FLOPS</t>
  </si>
  <si>
    <t>MKBAS42</t>
  </si>
  <si>
    <t>SLIPPER SANDALS MICKEY MKBAS42:LIGHT BLUE:39:SOLID:SLIPPER SANDALS</t>
  </si>
  <si>
    <t>SLIPPER SANDALS MICKEY MKBAS42:BLACK:37:SOLID:SLIPPER SANDALS</t>
  </si>
  <si>
    <t>SLIPPER SANDALS MICKEY MKBAS42:BLACK:36:SOLID:SLIPPER SANDALS</t>
  </si>
  <si>
    <t>SLIPPER SANDALS MICKEY MKBAS42:LIGHT BLUE:40:SOLID:SLIPPER SANDALS</t>
  </si>
  <si>
    <t>SLIPPER SANDALS MICKEY MKBAS42:BLACK:40:SOLID:SLIPPER SANDALS</t>
  </si>
  <si>
    <t>SLIPPER SANDALS MICKEY MKBAS42:LIGHT BLUE:38:SOLID:SLIPPER SANDALS</t>
  </si>
  <si>
    <t>SLIPPER SANDALS MICKEY MKBAS42:BLACK:39:SOLID:SLIPPER SANDALS</t>
  </si>
  <si>
    <t>SLIPPER SANDALS MICKEY MKBAS42:LIGHT BLUE:37:SOLID:SLIPPER SANDALS</t>
  </si>
  <si>
    <t>SLIPPER SANDALS MICKEY MKBAS42:LIGHT BLUE:36:SOLID:SLIPPER SANDALS</t>
  </si>
  <si>
    <t>SLIPPER SANDALS MICKEY MKBAS42:BLACK:38:SOLID:SLIPPER SANDALS</t>
  </si>
  <si>
    <t>MKBAS32</t>
  </si>
  <si>
    <t>SLIPPER SANDALS MINNIE MKBAS32:BLACK:39:SOLID:SLIPPER SANDALS</t>
  </si>
  <si>
    <t>SLIPPER SANDALS MINNIE MKBAS32:BLACK:37:SOLID:SLIPPER SANDALS</t>
  </si>
  <si>
    <t>SLIPPER SANDALS MINNIE MKBAS32:PASTEL PINK:37:SOLID:SLIPPER SANDALS</t>
  </si>
  <si>
    <t>SLIPPER SANDALS MINNIE MKBAS32:PASTEL PINK:36:SOLID:SLIPPER SANDALS</t>
  </si>
  <si>
    <t>SLIPPER SANDALS MINNIE MKBAS32:BLACK:40:SOLID:SLIPPER SANDALS</t>
  </si>
  <si>
    <t>SLIPPER SANDALS MINNIE MKBAS32:PASTEL PINK:39:SOLID:SLIPPER SANDALS</t>
  </si>
  <si>
    <t>SLIPPER SANDALS MINNIE MKBAS32:BLACK:36:SOLID:SLIPPER SANDALS</t>
  </si>
  <si>
    <t>SLIPPER SANDALS MINNIE MKBAS32:BLACK:38:SOLID:SLIPPER SANDALS</t>
  </si>
  <si>
    <t>SLIPPER SANDALS MINNIE MKBAS32:PASTEL PINK:40:SOLID:SLIPPER SANDALS</t>
  </si>
  <si>
    <t>SLIPPER SANDALS MINNIE MKBAS32:PASTEL PINK:38:SOLID:SLIPPER SANDALS</t>
  </si>
  <si>
    <t>MKBAS44</t>
  </si>
  <si>
    <t>FLIP FLOPS MICKEY MKBAS44:KHAKI:38:SOLID:FLIP FLOPS</t>
  </si>
  <si>
    <t>FLIP FLOPS MICKEY MKBAS44:KHAKI:39:SOLID:FLIP FLOPS</t>
  </si>
  <si>
    <t>FLIP FLOPS MICKEY MKBAS44:KHAKI:40:SOLID:FLIP FLOPS</t>
  </si>
  <si>
    <t>FLIP FLOPS MICKEY MKBAS44:KHAKI:36:SOLID:FLIP FLOPS</t>
  </si>
  <si>
    <t>FLIP FLOPS MICKEY MKBAS44:BLACK:36:SOLID:FLIP FLOPS</t>
  </si>
  <si>
    <t>FLIP FLOPS MICKEY MKBAS44:BLACK:38:SOLID:FLIP FLOPS</t>
  </si>
  <si>
    <t>FLIP FLOPS MICKEY MKBAS44:KHAKI:37:SOLID:FLIP FLOPS</t>
  </si>
  <si>
    <t>FLIP FLOPS MICKEY MKBAS44:BLACK:40:SOLID:FLIP FLOPS</t>
  </si>
  <si>
    <t>FLIP FLOPS MICKEY MKBAS44:BLACK:39:SOLID:FLIP FLOPS</t>
  </si>
  <si>
    <t>FLIP FLOPS MICKEY MKBAS44:BLACK:37:SOLID:FLIP FLOPS</t>
  </si>
  <si>
    <t>MNBAS33</t>
  </si>
  <si>
    <t>FLIP FLOPS MINNIE MNBAS33:BLACK:36:SOLID:FLIP FLOPS</t>
  </si>
  <si>
    <t>FLIP FLOPS MINNIE MNBAS33:WHITE:38:SOLID:FLIP FLOPS</t>
  </si>
  <si>
    <t>FLIP FLOPS MINNIE MNBAS33:WHITE:36:SOLID:FLIP FLOPS</t>
  </si>
  <si>
    <t>FLIP FLOPS MINNIE MNBAS33:BLACK:40:SOLID:FLIP FLOPS</t>
  </si>
  <si>
    <t>FLIP FLOPS MINNIE MNBAS33:WHITE:40:SOLID:FLIP FLOPS</t>
  </si>
  <si>
    <t>FLIP FLOPS MINNIE MNBAS33:BLACK:38:SOLID:FLIP FLOPS</t>
  </si>
  <si>
    <t>FLIP FLOPS MINNIE MNBAS33:WHITE:39:SOLID:FLIP FLOPS</t>
  </si>
  <si>
    <t>FLIP FLOPS MINNIE MNBAS33:WHITE:37:SOLID:FLIP FLOPS</t>
  </si>
  <si>
    <t>FLIP FLOPS MINNIE MNBAS33:BLACK:37:SOLID:FLIP FLOPS</t>
  </si>
  <si>
    <t>FLIP FLOPS MINNIE MNBAS33:BLACK:39:SOLID:FLIP FLOPS</t>
  </si>
  <si>
    <t>TSS29</t>
  </si>
  <si>
    <t>SLIPPER SANDALS TSUMTSUM TSS29:PASTEL PINK:40:SOLID:SLIPPER SANDALS</t>
  </si>
  <si>
    <t>SLIPPER SANDALS TSUMTSUM TSS29:PASTEL PINK:39:SOLID:SLIPPER SANDALS</t>
  </si>
  <si>
    <t>SLIPPER SANDALS TSUMTSUM TSS29:LIGHT BLUE:40:SOLID:SLIPPER SANDALS</t>
  </si>
  <si>
    <t>SLIPPER SANDALS TSUMTSUM TSS29:LIGHT BLUE:37:SOLID:SLIPPER SANDALS</t>
  </si>
  <si>
    <t>SLIPPER SANDALS TSUMTSUM TSS29:PASTEL PINK:38:SOLID:SLIPPER SANDALS</t>
  </si>
  <si>
    <t>SLIPPER SANDALS TSUMTSUM TSS29:LIGHT BLUE:39:SOLID:SLIPPER SANDALS</t>
  </si>
  <si>
    <t>SLIPPER SANDALS TSUMTSUM TSS29:PASTEL PINK:36:SOLID:SLIPPER SANDALS</t>
  </si>
  <si>
    <t>SLIPPER SANDALS TSUMTSUM TSS29:LIGHT BLUE:36:SOLID:SLIPPER SANDALS</t>
  </si>
  <si>
    <t>SLIPPER SANDALS TSUMTSUM TSS29:PASTEL PINK:37:SOLID:SLIPPER SANDALS</t>
  </si>
  <si>
    <t>SLIPPER SANDALS TSUMTSUM TSS29:LIGHT BLUE:38:SOLID:SLIPPER SANDALS</t>
  </si>
  <si>
    <t>MKBAS41</t>
  </si>
  <si>
    <t>SLIPPER SANDALS MICKEY MKBAS41:LIGHT BLUE:37:SOLID:SLIPPER SANDALS</t>
  </si>
  <si>
    <t>SLIPPER SANDALS MICKEY MKBAS41:PASTEL PINK:36:SOLID:SLIPPER SANDALS</t>
  </si>
  <si>
    <t>SLIPPER SANDALS MICKEY MKBAS41:PASTEL PINK:37:SOLID:SLIPPER SANDALS</t>
  </si>
  <si>
    <t>SLIPPER SANDALS MICKEY MKBAS41:LIGHT BLUE:40:SOLID:SLIPPER SANDALS</t>
  </si>
  <si>
    <t>SLIPPER SANDALS MICKEY MKBAS41:PASTEL PINK:39:SOLID:SLIPPER SANDALS</t>
  </si>
  <si>
    <t>SLIPPER SANDALS MICKEY MKBAS41:PASTEL PINK:38:SOLID:SLIPPER SANDALS</t>
  </si>
  <si>
    <t>SLIPPER SANDALS MICKEY MKBAS41:PASTEL PINK:40:SOLID:SLIPPER SANDALS</t>
  </si>
  <si>
    <t>SLIPPER SANDALS MICKEY MKBAS41:LIGHT BLUE:39:SOLID:SLIPPER SANDALS</t>
  </si>
  <si>
    <t>SLIPPER SANDALS MICKEY MKBAS41:LIGHT BLUE:38:SOLID:SLIPPER SANDALS</t>
  </si>
  <si>
    <t>SLIPPER SANDALS MICKEY MKBAS41:LIGHT BLUE:36:SOLID:SLIPPER SANDALS</t>
  </si>
  <si>
    <t>SLINGBACK SANDALS MICKEY MKBASQ423:WHITE:36:SOLID:SLINGBACK SANDA</t>
  </si>
  <si>
    <t>SLINGBACK SANDALS MICKEY MKBASQ423:PASTEL PINK:38:SOLID:SLINGBACK SANDA</t>
  </si>
  <si>
    <t>SLINGBACK SANDALS MICKEY MKBASQ423:PASTEL PINK:40:SOLID:SLINGBACK SANDA</t>
  </si>
  <si>
    <t>SLIP ON MICKEY DSBAS23:NAVY BLUE:36:SOLID:SLIP ON</t>
  </si>
  <si>
    <t>SLIP ON MICKEY DSBAS23:NAVY BLUE:39:SOLID:SLIP ON</t>
  </si>
  <si>
    <t>SLIP ON MICKEY DSBAS23:NAVY BLUE:38:SOLID:SLIP ON</t>
  </si>
  <si>
    <t>SLIP ON MICKEY DSBAS23:NAVY BLUE:37:SOLID:SLIP ON</t>
  </si>
  <si>
    <t>SLIP ON MICKEY DSBAS23:NAVY BLUE:40:SOLID:SLIP ON</t>
  </si>
  <si>
    <t>MKBASQ425</t>
  </si>
  <si>
    <t>SLIPPER SANDALS MICKEY MKBASQ425:BLACK:37:SOLID:SLIPPER SANDALS</t>
  </si>
  <si>
    <t>SLIPPER SANDALS MICKEY MKBASQ425:BLACK:38:SOLID:SLIPPER SANDALS</t>
  </si>
  <si>
    <t>MNBASQ427</t>
  </si>
  <si>
    <t>SLIPPER SANDALS MINNIE MNBASQ427:PASTEL PINK:36:SOLID:SLIPPER SANDALS</t>
  </si>
  <si>
    <t>SLIPPER SANDALS MICKEY MKBASQ425:BLACK:39:SOLID:SLIPPER SANDALS</t>
  </si>
  <si>
    <t>SLIPPER SANDALS MINNIE MNBASQ427:PASTEL PINK:38:SOLID:SLIPPER SANDALS</t>
  </si>
  <si>
    <t>SLIPPER SANDALS MINNIE MNBASQ427:PASTEL PINK:39:SOLID:SLIPPER SANDALS</t>
  </si>
  <si>
    <t>SLIPPER SANDALS MICKEY MKBASQ425:BLACK:36:SOLID:SLIPPER SANDALS</t>
  </si>
  <si>
    <t>SLIPPER SANDALS MINNIE MNBASQ427:PASTEL PINK:37:SOLID:SLIPPER SANDALS</t>
  </si>
  <si>
    <t>SLIPPER SANDALS MINNIE MNBASQ427:PASTEL PINK:40:SOLID:SLIPPER SANDALS</t>
  </si>
  <si>
    <t>TSS26</t>
  </si>
  <si>
    <t>SLIPPER SANDALS TSUM TSUM TSS26:WHITE:39:SOLID:SLIPPER SANDALS</t>
  </si>
  <si>
    <t>SLIPPER SANDALS TSUM TSUM TSS26:GOLD:38:SOLID:SLIPPER SANDALS</t>
  </si>
  <si>
    <t>SLIPPER SANDALS TSUM TSUM TSS26:WHITE:38:SOLID:SLIPPER SANDALS</t>
  </si>
  <si>
    <t>SLIPPER SANDALS TSUM TSUM TSS26:WHITE:36:SOLID:SLIPPER SANDALS</t>
  </si>
  <si>
    <t>SLIPPER SANDALS TSUM TSUM TSS26:WHITE:37:SOLID:SLIPPER SANDALS</t>
  </si>
  <si>
    <t>SLIPPER SANDALS TSUM TSUM TSS26:WHITE:40:SOLID:SLIPPER SANDALS</t>
  </si>
  <si>
    <t>SLIPPER SANDALS TSUM TSUM TSS26:GOLD:36:SOLID:SLIPPER SANDALS</t>
  </si>
  <si>
    <t>SLIPPER SANDALS TSUM TSUM TSS26:GOLD:40:SOLID:SLIPPER SANDALS</t>
  </si>
  <si>
    <t>SLIPPER SANDALS TSUM TSUM TSS26:GOLD:37:SOLID:SLIPPER SANDALS</t>
  </si>
  <si>
    <t>MNBAS23</t>
  </si>
  <si>
    <t>SLIPPER SANDALS MINNIE MNBAS23:PASTEL PINK:38:SOLID:SLIPPER SANDALS</t>
  </si>
  <si>
    <t>SLIPPER SANDALS MINNIE MNBAS23:OFF WHITE:38:SOLID:SLIPPER SANDALS</t>
  </si>
  <si>
    <t>SLIPPER SANDALS MINNIE MNBAS23:OFF WHITE:39:SOLID:SLIPPER SANDALS</t>
  </si>
  <si>
    <t>SLIPPER SANDALS MINNIE MNBAS23:PASTEL PINK:39:SOLID:SLIPPER SANDALS</t>
  </si>
  <si>
    <t>SLIPPER SANDALS MINNIE MNBAS23:PASTEL PINK:40:SOLID:SLIPPER SANDALS</t>
  </si>
  <si>
    <t>SLIPPER SANDALS MINNIE MNBAS23:PASTEL PINK:36:SOLID:SLIPPER SANDALS</t>
  </si>
  <si>
    <t>SLIPPER SANDALS MINNIE MNBAS23:OFF WHITE:36:SOLID:SLIPPER SANDALS</t>
  </si>
  <si>
    <t>SLIPPER SANDALS MINNIE MNBAS23:OFF WHITE:40:SOLID:SLIPPER SANDALS</t>
  </si>
  <si>
    <t>SLIPPER SANDALS MINNIE MNBAS23:OFF WHITE:37:SOLID:SLIPPER SANDALS</t>
  </si>
  <si>
    <t>SLIPPER SANDALS MINNIE MNBAS23:PASTEL PINK:37:SOLID:SLIPPER SANDALS</t>
  </si>
  <si>
    <t>SLIPPER SANDALS TSUM TSUM TSS26:GOLD:39:SOLID:SLIPPER SANDALS</t>
  </si>
  <si>
    <t>TSS27</t>
  </si>
  <si>
    <t>FLIP FLOPS TSUM TSUM TSS27:PASTEL PINK:36:SOLID:FLIP FLOPS</t>
  </si>
  <si>
    <t>FLIP FLOPS TSUM TSUM TSS27:SILVER:38:SOLID:FLIP FLOPS</t>
  </si>
  <si>
    <t>FLIP FLOPS TSUM TSUM TSS27:SILVER:36:SOLID:FLIP FLOPS</t>
  </si>
  <si>
    <t>FLIP FLOPS TSUM TSUM TSS27:SILVER:37:SOLID:FLIP FLOPS</t>
  </si>
  <si>
    <t>FLIP FLOPS TSUM TSUM TSS27:PASTEL PINK:38:SOLID:FLIP FLOPS</t>
  </si>
  <si>
    <t>FLIP FLOPS TSUM TSUM TSS27:PASTEL PINK:37:SOLID:FLIP FLOPS</t>
  </si>
  <si>
    <t>FLIP FLOPS TSUM TSUM TSS27:SILVER:40:SOLID:FLIP FLOPS</t>
  </si>
  <si>
    <t>FLIP FLOPS TSUM TSUM TSS27:PASTEL PINK:39:SOLID:FLIP FLOPS</t>
  </si>
  <si>
    <t>FLIP FLOPS TSUM TSUM TSS27:SILVER:39:SOLID:FLIP FLOPS</t>
  </si>
  <si>
    <t>FLIP FLOPS TSUM TSUM TSS27:PASTEL PINK:40:SOLID:FLIP FLOPS</t>
  </si>
  <si>
    <t>SLIPPER SANDALS MICKEY MKBASQ425:BLACK:40:SOLID:SLIPPER SANDALS</t>
  </si>
  <si>
    <t>MK225</t>
  </si>
  <si>
    <t>FLIP FLOPS MICKEY MK225:WHITE:L:SOLID:FLIP FLOPS</t>
  </si>
  <si>
    <t>FLIP FLOPS MICKEY MK225:BLACK:M:SOLID:FLIP FLOPS</t>
  </si>
  <si>
    <t>FLIP FLOPS MICKEY MK225:BLACK:S:SOLID:FLIP FLOPS</t>
  </si>
  <si>
    <t>FLIP FLOPS MICKEY MK225:WHITE:M:SOLID:FLIP FLOPS</t>
  </si>
  <si>
    <t>FLIP FLOPS MICKEY MK225:BLACK:XL:SOLID:FLIP FLOPS</t>
  </si>
  <si>
    <t>FLIP FLOPS MICKEY MK225:WHITE:XL:SOLID:FLIP FLOPS</t>
  </si>
  <si>
    <t>FLIP FLOPS MICKEY MK225:WHITE:S:SOLID:FLIP FLOPS</t>
  </si>
  <si>
    <t>FLIP FLOPS MICKEY MK225:BLACK:L:SOLID:FLIP FLOPS</t>
  </si>
  <si>
    <t>TSHJQ4208</t>
  </si>
  <si>
    <t>FLIP FLOPS TSUM TSUM TSHJQ4208:BUBBLEGUM PINK:M:SOLID:FLIP FLOPS</t>
  </si>
  <si>
    <t>FLIP FLOPS TSUM TSUM TSHJQ4208:BUBBLEGUM PINK:XL:SOLID:FLIP FLOPS</t>
  </si>
  <si>
    <t>FLIP FLOPS TSUM TSUM TSHJQ4208:CLASSIC RED:L:SOLID:FLIP FLOPS</t>
  </si>
  <si>
    <t>FLIP FLOPS TSUM TSUM TSHJQ4208:BUBBLEGUM PINK:S:SOLID:FLIP FLOPS</t>
  </si>
  <si>
    <t>FLIP FLOPS TSUM TSUM TSHJQ4208:CLASSIC RED:S:SOLID:FLIP FLOPS</t>
  </si>
  <si>
    <t>FLIP FLOPS TSUM TSUM TSHJQ4208:CLASSIC RED:M:SOLID:FLIP FLOPS</t>
  </si>
  <si>
    <t>FLIP FLOPS TSUM TSUM TSHJQ4208:CLASSIC RED:XL:SOLID:FLIP FLOPS</t>
  </si>
  <si>
    <t>FLIP FLOPS TSUM TSUM TSHJQ4208:BUBBLEGUM PINK:L:SOLID:FLIP FLOPS</t>
  </si>
  <si>
    <t>MKHJQ4220</t>
  </si>
  <si>
    <t>FLIP FLOPS MICKEY MKHJQ4220:NAVY BLUE:M:SOLID:FLIP FLOPS</t>
  </si>
  <si>
    <t>FLIP FLOPS MICKEY MKHJQ4220:NAVY BLUE:XL:SOLID:FLIP FLOPS</t>
  </si>
  <si>
    <t>FLIP FLOPS MICKEY MKHJQ4220:NAVY BLUE:L:SOLID:FLIP FLOPS</t>
  </si>
  <si>
    <t>FLIP FLOPS MICKEY MKHJQ4220:PASTEL ORANGE:M:SOLID:FLIP FLOPS</t>
  </si>
  <si>
    <t>FLIP FLOPS MICKEY MKHJQ4220:NAVY BLUE:S:SOLID:FLIP FLOPS</t>
  </si>
  <si>
    <t>FLIP FLOPS MICKEY MKHJQ4220:PASTEL ORANGE:XL:SOLID:FLIP FLOPS</t>
  </si>
  <si>
    <t>FLIP FLOPS MICKEY MKHJQ4220:PASTEL ORANGE:S:SOLID:FLIP FLOPS</t>
  </si>
  <si>
    <t>FLIP FLOPS MICKEY MKHJQ4220:PASTEL ORANGE:L:SOLID:FLIP FLOPS</t>
  </si>
  <si>
    <t>TSSEVA31</t>
  </si>
  <si>
    <t>FLIP FLOPS TSUMTSUM TSSEVA31:NAVY BLUE:S:SOLID:FLIP FLOPS</t>
  </si>
  <si>
    <t>FLIP FLOPS TSUMTSUM TSSEVA31:BROWN SUGAR:XL:SOLID:FLIP FLOPS</t>
  </si>
  <si>
    <t>FLIP FLOPS TSUMTSUM TSSEVA31:NAVY BLUE:XL:SOLID:FLIP FLOPS</t>
  </si>
  <si>
    <t>FLIP FLOPS TSUMTSUM TSSEVA31:BROWN SUGAR:S:SOLID:FLIP FLOPS</t>
  </si>
  <si>
    <t>FLIP FLOPS TSUMTSUM TSSEVA31:NAVY BLUE:L:SOLID:FLIP FLOPS</t>
  </si>
  <si>
    <t>FLIP FLOPS TSUMTSUM TSSEVA31:BROWN SUGAR:L:SOLID:FLIP FLOPS</t>
  </si>
  <si>
    <t>FLIP FLOPS TSUMTSUM TSSEVA31:BROWN SUGAR:M:SOLID:FLIP FLOPS</t>
  </si>
  <si>
    <t>FLIP FLOPS TSUMTSUM TSSEVA31:NAVY BLUE:M:SOLID:FLIP FLOPS</t>
  </si>
  <si>
    <t>MNT05</t>
  </si>
  <si>
    <t>SLIPPER SANDALS WOMEN MNT05:PASTEL PINK:36:SOLID:SLIPPER SANDALS</t>
  </si>
  <si>
    <t>SLIPPER SANDALS WOMEN MNT05:PASTEL PINK:40:SOLID:SLIPPER SANDALS</t>
  </si>
  <si>
    <t>SLIPPER SANDALS WOMEN MNT05:PASTEL PINK:39:SOLID:SLIPPER SANDALS</t>
  </si>
  <si>
    <t>SLIPPER SANDALS WOMEN MNT05:PASTEL PINK:38:SOLID:SLIPPER SANDALS</t>
  </si>
  <si>
    <t>SLIPPER SANDALS WOMEN MNT05:PASTEL PINK:37:SOLID:SLIPPER SANDALS</t>
  </si>
  <si>
    <t>MK2206</t>
  </si>
  <si>
    <t>FLIP FLOPS WOMEN MK2206:NAVY BLUE:S:SOLID:FLIP FLOPS</t>
  </si>
  <si>
    <t>FLIP FLOPS WOMEN MK2206:NAVY BLUE:M:SOLID:FLIP FLOPS</t>
  </si>
  <si>
    <t>FLIP FLOPS WOMEN MK2206:NAVY BLUE:L:SOLID:FLIP FLOPS</t>
  </si>
  <si>
    <t>FLIP FLOPS WOMEN MK2206:NAVY BLUE:XL:SOLID:FLIP FLOPS</t>
  </si>
  <si>
    <t>MN2205</t>
  </si>
  <si>
    <t>FLIP FLOPS WOMEN MN2205:DUSTY PINK:S:SOLID:FLIP FLOPS</t>
  </si>
  <si>
    <t>FLIP FLOPS WOMEN MN2205:DUSTY PINK:M:SOLID:FLIP FLOPS</t>
  </si>
  <si>
    <t>FLIP FLOPS WOMEN MN2205:DUSTY PINK:L:SOLID:FLIP FLOPS</t>
  </si>
  <si>
    <t>FLIP FLOPS WOMEN MN2205:DUSTY PINK:XL:SOLID:FLIP FLOPS</t>
  </si>
  <si>
    <t>FLIP FLOPS WOMEN MN2205:MISTY DARK PURPLE:S:SOLID:FLIP FLOPS</t>
  </si>
  <si>
    <t>FLIP FLOPS WOMEN MN2205:MISTY DARK PURPLE:M:SOLID:FLIP FLOPS</t>
  </si>
  <si>
    <t>FLIP FLOPS WOMEN MN2205:MISTY DARK PURPLE:L:SOLID:FLIP FLOPS</t>
  </si>
  <si>
    <t>FLIP FLOPS WOMEN MN2205:MISTY DARK PURPLE:XL:SOLID:FLIP FLOPS</t>
  </si>
  <si>
    <t>MK2203</t>
  </si>
  <si>
    <t>FLIP FLOPS WOMEN MK2203:CLASSIC RED:XL:SOLID:FLIP FLOPS</t>
  </si>
  <si>
    <t>FLIP FLOPS WOMEN MK2203:CLASSIC RED:L:SOLID:FLIP FLOPS</t>
  </si>
  <si>
    <t>FLIP FLOPS WOMEN MK2203:CLASSIC RED:M:SOLID:FLIP FLOPS</t>
  </si>
  <si>
    <t>FLIP FLOPS WOMEN MK2203:CLASSIC RED:S:SOLID:FLIP FLOPS</t>
  </si>
  <si>
    <t>FLIP FLOPS WOMEN MK2203:NAVY BLUE:S:SOLID:FLIP FLOPS</t>
  </si>
  <si>
    <t>FLIP FLOPS WOMEN MK2203:NAVY BLUE:M:SOLID:FLIP FLOPS</t>
  </si>
  <si>
    <t>FLIP FLOPS WOMEN MK2203:NAVY BLUE:L:SOLID:FLIP FLOPS</t>
  </si>
  <si>
    <t>FLIP FLOPS WOMEN MK2203:NAVY BLUE:XL:SOLID:FLIP FLOPS</t>
  </si>
  <si>
    <t>MNT04</t>
  </si>
  <si>
    <t>SLINGBACK SANDALS WOMEN MNT04:KHAKI:36:SOLID:SLINGBACK SANDALS</t>
  </si>
  <si>
    <t>SLINGBACK SANDALS WOMEN MNT04:KHAKI:37:SOLID:SLINGBACK SANDALS</t>
  </si>
  <si>
    <t>SLINGBACK SANDALS WOMEN MNT04:KHAKI:38:SOLID:SLINGBACK SANDALS</t>
  </si>
  <si>
    <t>SLINGBACK SANDALS WOMEN MNT04:KHAKI:39:SOLID:SLINGBACK SANDALS</t>
  </si>
  <si>
    <t>SLINGBACK SANDALS WOMEN MNT04:KHAKI:40:SOLID:SLINGBACK SANDALS</t>
  </si>
  <si>
    <t>MKT04</t>
  </si>
  <si>
    <t>SLINGBACK SANDALS WOMEN MKT04:BLACK:36:SOLID:SLINGBACK SANDALS</t>
  </si>
  <si>
    <t>SLINGBACK SANDALS WOMEN MKT04:BLACK:37:SOLID:SLINGBACK SANDALS</t>
  </si>
  <si>
    <t>SLINGBACK SANDALS WOMEN MKT04:BLACK:38:SOLID:SLINGBACK SANDALS</t>
  </si>
  <si>
    <t>SLINGBACK SANDALS WOMEN MKT04:BLACK:39:SOLID:SLINGBACK SANDALS</t>
  </si>
  <si>
    <t>SLINGBACK SANDALS WOMEN MKT04:BLACK:40:SOLID:SLINGBACK SANDALS</t>
  </si>
  <si>
    <t>MKBAS45</t>
  </si>
  <si>
    <t>SLIPPER SANDALS WOMEN MKBAS45:BLACK:36:SOLID:SLIPPER SANDALS</t>
  </si>
  <si>
    <t>SLIPPER SANDALS WOMEN MKBAS45:BLACK:37:SOLID:SLIPPER SANDALS</t>
  </si>
  <si>
    <t>SLIPPER SANDALS WOMEN MKBAS45:BLACK:38:SOLID:SLIPPER SANDALS</t>
  </si>
  <si>
    <t>SLIPPER SANDALS WOMEN MKBAS45:BLACK:39:SOLID:SLIPPER SANDALS</t>
  </si>
  <si>
    <t>SLIPPER SANDALS WOMEN MKBAS45:BLACK:40:SOLID:SLIPPER SANDALS</t>
  </si>
  <si>
    <t>SLIPPER SANDALS WOMEN MKBAS45:KHAKI:36:SOLID:SLIPPER SANDALS</t>
  </si>
  <si>
    <t>SLIPPER SANDALS WOMEN MKBAS45:KHAKI:37:SOLID:SLIPPER SANDALS</t>
  </si>
  <si>
    <t>SLIPPER SANDALS WOMEN MKBAS45:KHAKI:38:SOLID:SLIPPER SANDALS</t>
  </si>
  <si>
    <t>SLIPPER SANDALS WOMEN MKBAS45:KHAKI:39:SOLID:SLIPPER SANDALS</t>
  </si>
  <si>
    <t>SLIPPER SANDALS WOMEN MKBAS45:KHAKI:40:SOLID:SLIPPER SANDALS</t>
  </si>
  <si>
    <t>MKBAS39</t>
  </si>
  <si>
    <t>T-BAR SANDALS WOMEN MKBAS39:PASTEL PINK:36:SOLID:T-BAR SANDALS</t>
  </si>
  <si>
    <t>T-BAR SANDALS WOMEN MKBAS39:PASTEL PINK:37:SOLID:T-BAR SANDALS</t>
  </si>
  <si>
    <t>T-BAR SANDALS WOMEN MKBAS39:PASTEL PINK:38:SOLID:T-BAR SANDALS</t>
  </si>
  <si>
    <t>T-BAR SANDALS WOMEN MKBAS39:PASTEL PINK:39:SOLID:T-BAR SANDALS</t>
  </si>
  <si>
    <t>T-BAR SANDALS WOMEN MKBAS39:PASTEL PINK:40:SOLID:T-BAR SANDALS</t>
  </si>
  <si>
    <t>T-BAR SANDALS WOMEN MKBAS39:WHITE:36:SOLID:T-BAR SANDALS</t>
  </si>
  <si>
    <t>T-BAR SANDALS WOMEN MKBAS39:WHITE:37:SOLID:T-BAR SANDALS</t>
  </si>
  <si>
    <t>T-BAR SANDALS WOMEN MKBAS39:WHITE:38:SOLID:T-BAR SANDALS</t>
  </si>
  <si>
    <t>T-BAR SANDALS WOMEN MKBAS39:WHITE:39:SOLID:T-BAR SANDALS</t>
  </si>
  <si>
    <t>T-BAR SANDALS WOMEN MKBAS39:WHITE:40:SOLID:T-BAR SANDALS</t>
  </si>
  <si>
    <t>MNT101</t>
  </si>
  <si>
    <t>FLIP FLOPS WOMEN MNT101:BLACK:36:SOLID:FLIP FLOPS</t>
  </si>
  <si>
    <t>FLIP FLOPS WOMEN MNT101:BLACK:37:SOLID:FLIP FLOPS</t>
  </si>
  <si>
    <t>FLIP FLOPS WOMEN MNT101:BLACK:38:SOLID:FLIP FLOPS</t>
  </si>
  <si>
    <t>FLIP FLOPS WOMEN MNT101:BLACK:39:SOLID:FLIP FLOPS</t>
  </si>
  <si>
    <t>FLIP FLOPS WOMEN MNT101:BLACK:40:SOLID:FLIP FLOPS</t>
  </si>
  <si>
    <t>FLIP FLOPS WOMEN MNT101:PASTEL PINK:36:SOLID:FLIP FLOPS</t>
  </si>
  <si>
    <t>FLIP FLOPS WOMEN MNT101:PASTEL PINK:37:SOLID:FLIP FLOPS</t>
  </si>
  <si>
    <t>FLIP FLOPS WOMEN MNT101:PASTEL PINK:38:SOLID:FLIP FLOPS</t>
  </si>
  <si>
    <t>FLIP FLOPS WOMEN MNT101:PASTEL PINK:39:SOLID:FLIP FLOPS</t>
  </si>
  <si>
    <t>FLIP FLOPS WOMEN MNT101:PASTEL PINK:40:SOLID:FLIP FLOPS</t>
  </si>
  <si>
    <t>MNT103</t>
  </si>
  <si>
    <t>FLIP FLOPS WOMEN MNT103:WHITE:36:SOLID:FLIP FLOPS</t>
  </si>
  <si>
    <t>FLIP FLOPS WOMEN MNT103:WHITE:37:SOLID:FLIP FLOPS</t>
  </si>
  <si>
    <t>FLIP FLOPS WOMEN MNT103:WHITE:38:SOLID:FLIP FLOPS</t>
  </si>
  <si>
    <t>FLIP FLOPS WOMEN MNT103:WHITE:39:SOLID:FLIP FLOPS</t>
  </si>
  <si>
    <t>FLIP FLOPS WOMEN MNT103:WHITE:40:SOLID:FLIP FLOPS</t>
  </si>
  <si>
    <t>FLIP FLOPS WOMEN MNT103:NAVY BLUE:36:SOLID:FLIP FLOPS</t>
  </si>
  <si>
    <t>FLIP FLOPS WOMEN MNT103:NAVY BLUE:37:SOLID:FLIP FLOPS</t>
  </si>
  <si>
    <t>FLIP FLOPS WOMEN MNT103:NAVY BLUE:38:SOLID:FLIP FLOPS</t>
  </si>
  <si>
    <t>FLIP FLOPS WOMEN MNT103:NAVY BLUE:39:SOLID:FLIP FLOPS</t>
  </si>
  <si>
    <t>FLIP FLOPS WOMEN MNT103:NAVY BLUE:40:SOLID:FLIP FLOPS</t>
  </si>
  <si>
    <t>MNT102</t>
  </si>
  <si>
    <t>FLIP FLOPS WOMEN MNT102:BROWN SUGAR:36:SOLID:FLIP FLOPS</t>
  </si>
  <si>
    <t>FLIP FLOPS WOMEN MNT102:BROWN SUGAR:37:SOLID:FLIP FLOPS</t>
  </si>
  <si>
    <t>FLIP FLOPS WOMEN MNT102:BROWN SUGAR:38:SOLID:FLIP FLOPS</t>
  </si>
  <si>
    <t>FLIP FLOPS WOMEN MNT102:BROWN SUGAR:39:SOLID:FLIP FLOPS</t>
  </si>
  <si>
    <t>FLIP FLOPS WOMEN MNT102:BROWN SUGAR:40:SOLID:FLIP FLOPS</t>
  </si>
  <si>
    <t>FLIP FLOPS WOMEN MNT102:NAVY BLUE:36:SOLID:FLIP FLOPS</t>
  </si>
  <si>
    <t>FLIP FLOPS WOMEN MNT102:NAVY BLUE:37:SOLID:FLIP FLOPS</t>
  </si>
  <si>
    <t>FLIP FLOPS WOMEN MNT102:NAVY BLUE:38:SOLID:FLIP FLOPS</t>
  </si>
  <si>
    <t>FLIP FLOPS WOMEN MNT102:NAVY BLUE:39:SOLID:FLIP FLOPS</t>
  </si>
  <si>
    <t>FLIP FLOPS WOMEN MNT102:NAVY BLUE:40:SOLID:FLIP FLOPS</t>
  </si>
  <si>
    <t>MKBAS46</t>
  </si>
  <si>
    <t>SLINGBACK SANDALS WOMEN MKBAS46:WHITE:36:SOLID:SLINGBACK SANDALS</t>
  </si>
  <si>
    <t>SLINGBACK SANDALS WOMEN MKBAS46:WHITE:37:SOLID:SLINGBACK SANDALS</t>
  </si>
  <si>
    <t>SLINGBACK SANDALS WOMEN MKBAS46:WHITE:38:SOLID:SLINGBACK SANDALS</t>
  </si>
  <si>
    <t>SLINGBACK SANDALS WOMEN MKBAS46:WHITE:39:SOLID:SLINGBACK SANDALS</t>
  </si>
  <si>
    <t>SLINGBACK SANDALS WOMEN MKBAS46:WHITE:40:SOLID:SLINGBACK SANDALS</t>
  </si>
  <si>
    <t>SLINGBACK SANDALS WOMEN MKBAS46:NAVY BLUE:36:SOLID:SLINGBACK SANDALS</t>
  </si>
  <si>
    <t>SLINGBACK SANDALS WOMEN MKBAS46:NAVY BLUE:37:SOLID:SLINGBACK SANDALS</t>
  </si>
  <si>
    <t>SLINGBACK SANDALS WOMEN MKBAS46:NAVY BLUE:38:SOLID:SLINGBACK SANDALS</t>
  </si>
  <si>
    <t>SLINGBACK SANDALS WOMEN MKBAS46:NAVY BLUE:39:SOLID:SLINGBACK SANDALS</t>
  </si>
  <si>
    <t>SLINGBACK SANDALS WOMEN MKBAS46:NAVY BLUE:40:SOLID:SLINGBACK SANDALS</t>
  </si>
  <si>
    <t>MKT03</t>
  </si>
  <si>
    <t>FLIP FLOPS WOMEN MKT03:PASTEL PINK:36:SOLID:FLIP FLOPS</t>
  </si>
  <si>
    <t>FLIP FLOPS WOMEN MKT03:PASTEL PINK:37:SOLID:FLIP FLOPS</t>
  </si>
  <si>
    <t>FLIP FLOPS WOMEN MKT03:PASTEL PINK:38:SOLID:FLIP FLOPS</t>
  </si>
  <si>
    <t>FLIP FLOPS WOMEN MKT03:PASTEL PINK:39:SOLID:FLIP FLOPS</t>
  </si>
  <si>
    <t>FLIP FLOPS WOMEN MKT03:PASTEL PINK:40:SOLID:FLIP FLOPS</t>
  </si>
  <si>
    <t>FLIP FLOPS WOMEN MKT03:PASTEL BLUE:36:SOLID:FLIP FLOPS</t>
  </si>
  <si>
    <t>FLIP FLOPS WOMEN MKT03:PASTEL BLUE:37:SOLID:FLIP FLOPS</t>
  </si>
  <si>
    <t>FLIP FLOPS WOMEN MKT03:PASTEL BLUE:38:SOLID:FLIP FLOPS</t>
  </si>
  <si>
    <t>FLIP FLOPS WOMEN MKT03:PASTEL BLUE:39:SOLID:FLIP FLOPS</t>
  </si>
  <si>
    <t>FLIP FLOPS WOMEN MKT03:PASTEL BLUE:40:SOLID:FLIP FLOPS</t>
  </si>
  <si>
    <t>MKBAS31</t>
  </si>
  <si>
    <t>SLIPPER SANDALS MICKEY MKBAS31:WHITE:38:SOLID:SLIPPER SANDALS</t>
  </si>
  <si>
    <t>SLIPPER SANDALS MICKEY MKBAS31:WHITE:36:SOLID:SLIPPER SANDALS</t>
  </si>
  <si>
    <t>SLIPPER SANDALS MICKEY MKBAS31:LIGHT BLUE:37:SOLID:SLIPPER SANDALS</t>
  </si>
  <si>
    <t>SLIPPER SANDALS MICKEY MKBAS31:LIGHT BLUE:40:SOLID:SLIPPER SANDALS</t>
  </si>
  <si>
    <t>SLIPPER SANDALS MICKEY MKBAS31:LIGHT BLUE:39:SOLID:SLIPPER SANDALS</t>
  </si>
  <si>
    <t>SLIPPER SANDALS MICKEY MKBAS31:WHITE:40:SOLID:SLIPPER SANDALS</t>
  </si>
  <si>
    <t>SLIPPER SANDALS MICKEY MKBAS31:LIGHT BLUE:38:SOLID:SLIPPER SANDALS</t>
  </si>
  <si>
    <t>SLIPPER SANDALS MICKEY MKBAS31:LIGHT BLUE:36:SOLID:SLIPPER SANDALS</t>
  </si>
  <si>
    <t>SLIPPER SANDALS MICKEY MKBAS31:WHITE:39:SOLID:SLIPPER SANDALS</t>
  </si>
  <si>
    <t>SLIPPER SANDALS MICKEY MKBAS31:WHITE:37:SOLID:SLIPPER SANDALS</t>
  </si>
  <si>
    <t>MNBAS35</t>
  </si>
  <si>
    <t>SLIPPER SANDALS WOMEN MNBAS35:PASTEL PINK:36:SOLID:SLIPPER SANDALS</t>
  </si>
  <si>
    <t>SLIPPER SANDALS WOMEN MNBAS35:PASTEL PINK:37:SOLID:SLIPPER SANDALS</t>
  </si>
  <si>
    <t>SLIPPER SANDALS WOMEN MNBAS35:PASTEL PINK:38:SOLID:SLIPPER SANDALS</t>
  </si>
  <si>
    <t>SLIPPER SANDALS WOMEN MNBAS35:PASTEL PINK:39:SOLID:SLIPPER SANDALS</t>
  </si>
  <si>
    <t>SLIPPER SANDALS WOMEN MNBAS35:PASTEL PINK:40:SOLID:SLIPPER SANDALS</t>
  </si>
  <si>
    <t>SLIPPER SANDALS WOMEN MNBAS35:PASTEL BLUE:36:SOLID:SLIPPER SANDALS</t>
  </si>
  <si>
    <t>SLIPPER SANDALS WOMEN MNBAS35:PASTEL BLUE:37:SOLID:SLIPPER SANDALS</t>
  </si>
  <si>
    <t>SLIPPER SANDALS WOMEN MNBAS35:PASTEL BLUE:38:SOLID:SLIPPER SANDALS</t>
  </si>
  <si>
    <t>SLIPPER SANDALS WOMEN MNBAS35:PASTEL BLUE:39:SOLID:SLIPPER SANDALS</t>
  </si>
  <si>
    <t>SLIPPER SANDALS WOMEN MNBAS35:PASTEL BLUE:40:SOLID:SLIPPER SANDALS</t>
  </si>
  <si>
    <t>MKBASQ4416</t>
  </si>
  <si>
    <t>FLIP FLOPS MICKEY MKBASQ4416:PASTEL PINK:36:SOLID:FLIP FLOPS</t>
  </si>
  <si>
    <t>FLIP FLOPS MICKEY MKBASQ4416:PASTEL PINK:37:SOLID:FLIP FLOPS</t>
  </si>
  <si>
    <t>FLIP FLOPS MICKEY MKBASQ4416:PASTEL PINK:38:SOLID:FLIP FLOPS</t>
  </si>
  <si>
    <t>FLIP FLOPS MICKEY MKBASQ4416:PASTEL PINK:40:SOLID:FLIP FLOPS</t>
  </si>
  <si>
    <t>MNBAS28</t>
  </si>
  <si>
    <t>SLIPPER SANDALS MINNIE MNBAS28:PASTEL PINK:39:SOLID:SLIPPER SANDALS</t>
  </si>
  <si>
    <t>SLIPPER SANDALS MINNIE MNBAS28:PASTEL PINK:37:SOLID:SLIPPER SANDALS</t>
  </si>
  <si>
    <t>SLIPPER SANDALS MINNIE MNBAS28:PASTEL PINK:38:SOLID:SLIPPER SANDALS</t>
  </si>
  <si>
    <t>SLIPPER SANDALS MINNIE MNBAS28:PASTEL PINK:36:SOLID:SLIPPER SANDALS</t>
  </si>
  <si>
    <t>SLINGBACK SANDALS MICKEY MKBAS20:MISTY LIGHT BROW:39:SOLID:SLINGBACK SANDAL</t>
  </si>
  <si>
    <t>SLINGBACK SANDALS MICKEY MKBAS20:MISTY LIGHT BROW:37:SOLID:SLINGBACK SANDAL</t>
  </si>
  <si>
    <t>SLIPPER SANDALS MICKEY MKBAS34:LIGHT BLUE:36:SOLID:SLIPPER SANDALS</t>
  </si>
  <si>
    <t>SLIPPER SANDALS MICKEY MKBAS34:LIGHT BLUE:37:SOLID:SLIPPER SANDALS</t>
  </si>
  <si>
    <t>SLIPPER SANDALS MICKEY MKBAS34:LIGHT BLUE:40:SOLID:SLIPPER SANDALS</t>
  </si>
  <si>
    <t>SLINGBACK SANDALS MICKEY MKBAS20:MISTY LIGHT BROW:36:SOLID:SLINGBACK SANDAL</t>
  </si>
  <si>
    <t>SLINGBACK SANDALS MICKEY MKBAS20:MISTY LIGHT BROW:38:SOLID:SLINGBACK SANDAL</t>
  </si>
  <si>
    <t>SLINGBACK SANDALS MICKEY MKBAS20:MISTY LIGHT BROW:40:SOLID:SLINGBACK SANDAL</t>
  </si>
  <si>
    <t>SLIPPER SANDALS MINNIE MNBAS28:PASTEL PINK:40:SOLID:SLIPPER SANDALS</t>
  </si>
  <si>
    <t>FLIP FLOPS MICKEY MKBASQ4416:PASTEL PINK:39:SOLID:FLIP FLOPS</t>
  </si>
  <si>
    <t>SLIPPER SANDALS MICKEY MKBAS34:LIGHT BLUE:38:SOLID:SLIPPER SANDALS</t>
  </si>
  <si>
    <t>SLIPPER SANDALS MICKEY MKBAS34:LIGHT BLUE:39:SOLID:SLIPPER SANDALS</t>
  </si>
  <si>
    <t>MNBAS21</t>
  </si>
  <si>
    <t>SLINGBACK SANDALS WOMEN MNBAS21:PASTEL PINK:40:SOLID:SLINGBACK SANDALS</t>
  </si>
  <si>
    <t>SLINGBACK SANDALS WOMEN MNBAS21:WHITE:36:SOLID:SLINGBACK SANDALS</t>
  </si>
  <si>
    <t>SLINGBACK SANDALS WOMEN MNBAS21:WHITE:37:SOLID:SLINGBACK SANDALS</t>
  </si>
  <si>
    <t>SLINGBACK SANDALS WOMEN MNBAS21:WHITE:38:SOLID:SLINGBACK SANDALS</t>
  </si>
  <si>
    <t>SLINGBACK SANDALS WOMEN MNBAS21:WHITE:39:SOLID:SLINGBACK SANDALS</t>
  </si>
  <si>
    <t>SLINGBACK SANDALS WOMEN MNBAS21:WHITE:40:SOLID:SLINGBACK SANDALS</t>
  </si>
  <si>
    <t>SLINGBACK SANDALS WOMEN MNBAS21:PASTEL PINK:36:SOLID:SLINGBACK SANDALS</t>
  </si>
  <si>
    <t>SLINGBACK SANDALS WOMEN MNBAS21:PASTEL PINK:38:SOLID:SLINGBACK SANDALS</t>
  </si>
  <si>
    <t>SLINGBACK SANDALS WOMEN MNBAS21:PASTEL PINK:39:SOLID:SLINGBACK SANDALS</t>
  </si>
  <si>
    <t>SLINGBACK SANDALS WOMEN MNBAS21:PASTEL PINK:37:SOLID:SLINGBACK SANDALS</t>
  </si>
  <si>
    <t>TSS30</t>
  </si>
  <si>
    <t>SLIPPER SANDALS WOMEN TSS30:PASTEL PINK:36:SOLID:SLIPPER SANDALS</t>
  </si>
  <si>
    <t>SLIPPER SANDALS WOMEN TSS30:PASTEL PINK:37:SOLID:SLIPPER SANDALS</t>
  </si>
  <si>
    <t>SLIPPER SANDALS WOMEN TSS30:PASTEL PINK:38:SOLID:SLIPPER SANDALS</t>
  </si>
  <si>
    <t>SLIPPER SANDALS WOMEN TSS30:PASTEL PINK:39:SOLID:SLIPPER SANDALS</t>
  </si>
  <si>
    <t>SLIPPER SANDALS WOMEN TSS30:PASTEL PINK:40:SOLID:SLIPPER SANDALS</t>
  </si>
  <si>
    <t>SLIPPER SANDALS WOMEN TSS30:PASTEL BLUE:36:SOLID:SLIPPER SANDALS</t>
  </si>
  <si>
    <t>SLIPPER SANDALS WOMEN TSS30:PASTEL BLUE:37:SOLID:SLIPPER SANDALS</t>
  </si>
  <si>
    <t>SLIPPER SANDALS WOMEN TSS30:PASTEL BLUE:38:SOLID:SLIPPER SANDALS</t>
  </si>
  <si>
    <t>SLIPPER SANDALS WOMEN TSS30:PASTEL BLUE:39:SOLID:SLIPPER SANDALS</t>
  </si>
  <si>
    <t>SLIPPER SANDALS WOMEN TSS30:PASTEL BLUE:40:SOLID:SLIPPER SANDALS</t>
  </si>
  <si>
    <t>MKBAS49</t>
  </si>
  <si>
    <t>T-BAR SANDALS WOMEN MKBAS49:KHAKI:36:SOLID:T-BAR SANDALS</t>
  </si>
  <si>
    <t>T-BAR SANDALS WOMEN MKBAS49:KHAKI:37:SOLID:T-BAR SANDALS</t>
  </si>
  <si>
    <t>T-BAR SANDALS WOMEN MKBAS49:KHAKI:38:SOLID:T-BAR SANDALS</t>
  </si>
  <si>
    <t>T-BAR SANDALS WOMEN MKBAS49:KHAKI:39:SOLID:T-BAR SANDALS</t>
  </si>
  <si>
    <t>T-BAR SANDALS WOMEN MKBAS49:KHAKI:40:SOLID:T-BAR SANDALS</t>
  </si>
  <si>
    <t>T-BAR SANDALS WOMEN MKBAS49:PASTEL PINK:36:SOLID:T-BAR SANDALS</t>
  </si>
  <si>
    <t>T-BAR SANDALS WOMEN MKBAS49:PASTEL PINK:37:SOLID:T-BAR SANDALS</t>
  </si>
  <si>
    <t>T-BAR SANDALS WOMEN MKBAS49:PASTEL PINK:38:SOLID:T-BAR SANDALS</t>
  </si>
  <si>
    <t>T-BAR SANDALS WOMEN MKBAS49:PASTEL PINK:39:SOLID:T-BAR SANDALS</t>
  </si>
  <si>
    <t>T-BAR SANDALS WOMEN MKBAS49:PASTEL PINK:40:SOLID:T-BAR SANDALS</t>
  </si>
  <si>
    <t>MKBAS50</t>
  </si>
  <si>
    <t>SLIPPER SANDALS WOMEN MKBAS50:CLASSIC BLUE:36:SOLID:SLIPPER SANDALS</t>
  </si>
  <si>
    <t>SLIPPER SANDALS WOMEN MKBAS50:CLASSIC BLUE:37:SOLID:SLIPPER SANDALS</t>
  </si>
  <si>
    <t>SLIPPER SANDALS WOMEN MKBAS50:CLASSIC BLUE:38:SOLID:SLIPPER SANDALS</t>
  </si>
  <si>
    <t>SLIPPER SANDALS WOMEN MKBAS50:CLASSIC BLUE:39:SOLID:SLIPPER SANDALS</t>
  </si>
  <si>
    <t>SLIPPER SANDALS WOMEN MKBAS50:CLASSIC BLUE:40:SOLID:SLIPPER SANDALS</t>
  </si>
  <si>
    <t>SLIPPER SANDALS WOMEN MKBAS50:WHITE:36:SOLID:SLIPPER SANDALS</t>
  </si>
  <si>
    <t>SLIPPER SANDALS WOMEN MKBAS50:WHITE:37:SOLID:SLIPPER SANDALS</t>
  </si>
  <si>
    <t>SLIPPER SANDALS WOMEN MKBAS50:WHITE:38:SOLID:SLIPPER SANDALS</t>
  </si>
  <si>
    <t>SLIPPER SANDALS WOMEN MKBAS50:WHITE:39:SOLID:SLIPPER SANDALS</t>
  </si>
  <si>
    <t>SLIPPER SANDALS WOMEN MKBAS50:WHITE:40:SOLID:SLIPPER SANDALS</t>
  </si>
  <si>
    <t>MKBAS10</t>
  </si>
  <si>
    <t>SLIPPER SANDALS MICKEY MKBAS10:WHITE:39:SOLID:SLIPPER SANDALS</t>
  </si>
  <si>
    <t>SLIPPER SANDALS MICKEY MKBAS10:WHITE:37:SOLID:SLIPPER SANDALS</t>
  </si>
  <si>
    <t>SLIPPER SANDALS MICKEY MKBAS10:WHITE:40:SOLID:SLIPPER SANDALS</t>
  </si>
  <si>
    <t>SLIPPER SANDALS MICKEY MKBAS10:WHITE:36:SOLID:SLIPPER SANDALS</t>
  </si>
  <si>
    <t>SLIPPER SANDALS MICKEY MKBAS10:WHITE:38:SOLID:SLIPPER SANDALS</t>
  </si>
  <si>
    <t>MKBAS56</t>
  </si>
  <si>
    <t>SLIPPER SANDALS WOMEN MKBAS56:WHITE:36:SOLID:SLIPPER SANDALS</t>
  </si>
  <si>
    <t>SLIPPER SANDALS WOMEN MKBAS56:WHITE:37:SOLID:SLIPPER SANDALS</t>
  </si>
  <si>
    <t>SLIPPER SANDALS WOMEN MKBAS56:WHITE:38:SOLID:SLIPPER SANDALS</t>
  </si>
  <si>
    <t>SLIPPER SANDALS WOMEN MKBAS56:WHITE:39:SOLID:SLIPPER SANDALS</t>
  </si>
  <si>
    <t>SLIPPER SANDALS WOMEN MKBAS56:WHITE:40:SOLID:SLIPPER SANDALS</t>
  </si>
  <si>
    <t>SLIPPER SANDALS WOMEN MKBAS56:CLASSIC RED:36:SOLID:SLIPPER SANDALS</t>
  </si>
  <si>
    <t>SLIPPER SANDALS WOMEN MKBAS56:CLASSIC RED:37:SOLID:SLIPPER SANDALS</t>
  </si>
  <si>
    <t>SLIPPER SANDALS WOMEN MKBAS56:CLASSIC RED:38:SOLID:SLIPPER SANDALS</t>
  </si>
  <si>
    <t>SLIPPER SANDALS WOMEN MKBAS56:CLASSIC RED:39:SOLID:SLIPPER SANDALS</t>
  </si>
  <si>
    <t>SLIPPER SANDALS WOMEN MKBAS56:CLASSIC RED:40:SOLID:SLIPPER SANDALS</t>
  </si>
  <si>
    <t>MNT106</t>
  </si>
  <si>
    <t>SLIPPER SANDALS WOMEN MNT106:DUSTY PINK:36:SOLID:SLIPPER SANDALS</t>
  </si>
  <si>
    <t>SLIPPER SANDALS WOMEN MNT106:DUSTY PINK:37:SOLID:SLIPPER SANDALS</t>
  </si>
  <si>
    <t>SLIPPER SANDALS WOMEN MNT106:DUSTY PINK:38:SOLID:SLIPPER SANDALS</t>
  </si>
  <si>
    <t>SLIPPER SANDALS WOMEN MNT106:DUSTY PINK:39:SOLID:SLIPPER SANDALS</t>
  </si>
  <si>
    <t>SLIPPER SANDALS WOMEN MNT106:DUSTY PINK:40:SOLID:SLIPPER SANDALS</t>
  </si>
  <si>
    <t>SLIPPER SANDALS WOMEN MNT106:BLACK:36:SOLID:SLIPPER SANDALS</t>
  </si>
  <si>
    <t>SLIPPER SANDALS WOMEN MNT106:BLACK:37:SOLID:SLIPPER SANDALS</t>
  </si>
  <si>
    <t>SLIPPER SANDALS WOMEN MNT106:BLACK:38:SOLID:SLIPPER SANDALS</t>
  </si>
  <si>
    <t>SLIPPER SANDALS WOMEN MNT106:BLACK:39:SOLID:SLIPPER SANDALS</t>
  </si>
  <si>
    <t>SLIPPER SANDALS WOMEN MNT106:BLACK:40:SOLID:SLIPPER SANDALS</t>
  </si>
  <si>
    <t>MNT104</t>
  </si>
  <si>
    <t>SLIPPER SANDALS WOMEN MNT104:BLACK:36:SOLID:SLIPPER SANDALS</t>
  </si>
  <si>
    <t>SLIPPER SANDALS WOMEN MNT104:BLACK:37:SOLID:SLIPPER SANDALS</t>
  </si>
  <si>
    <t>SLIPPER SANDALS WOMEN MNT104:BLACK:38:SOLID:SLIPPER SANDALS</t>
  </si>
  <si>
    <t>SLIPPER SANDALS WOMEN MNT104:BLACK:39:SOLID:SLIPPER SANDALS</t>
  </si>
  <si>
    <t>SLIPPER SANDALS WOMEN MNT104:BLACK:40:SOLID:SLIPPER SANDALS</t>
  </si>
  <si>
    <t>SLIPPER SANDALS WOMEN MNT104:DUSTY PINK:36:SOLID:SLIPPER SANDALS</t>
  </si>
  <si>
    <t>SLIPPER SANDALS WOMEN MNT104:DUSTY PINK:37:SOLID:SLIPPER SANDALS</t>
  </si>
  <si>
    <t>SLIPPER SANDALS WOMEN MNT104:DUSTY PINK:38:SOLID:SLIPPER SANDALS</t>
  </si>
  <si>
    <t>SLIPPER SANDALS WOMEN MNT104:DUSTY PINK:39:SOLID:SLIPPER SANDALS</t>
  </si>
  <si>
    <t>SLIPPER SANDALS WOMEN MNT104:DUSTY PINK:40:SOLID:SLIPPER SANDALS</t>
  </si>
  <si>
    <t>MNT105</t>
  </si>
  <si>
    <t>SLIPPER SANDALS WOMEN MNT105:DUSTY PINK:36:SOLID:SLIPPER SANDALS</t>
  </si>
  <si>
    <t>SLIPPER SANDALS WOMEN MNT105:DUSTY PINK:37:SOLID:SLIPPER SANDALS</t>
  </si>
  <si>
    <t>SLIPPER SANDALS WOMEN MNT105:DUSTY PINK:38:SOLID:SLIPPER SANDALS</t>
  </si>
  <si>
    <t>SLIPPER SANDALS WOMEN MNT105:DUSTY PINK:39:SOLID:SLIPPER SANDALS</t>
  </si>
  <si>
    <t>SLIPPER SANDALS WOMEN MNT105:DUSTY PINK:40:SOLID:SLIPPER SANDALS</t>
  </si>
  <si>
    <t>SLIPPER SANDALS WOMEN MNT105:WHITE:36:SOLID:SLIPPER SANDALS</t>
  </si>
  <si>
    <t>SLIPPER SANDALS WOMEN MNT105:WHITE:37:SOLID:SLIPPER SANDALS</t>
  </si>
  <si>
    <t>SLIPPER SANDALS WOMEN MNT105:WHITE:38:SOLID:SLIPPER SANDALS</t>
  </si>
  <si>
    <t>SLIPPER SANDALS WOMEN MNT105:WHITE:39:SOLID:SLIPPER SANDALS</t>
  </si>
  <si>
    <t>SLIPPER SANDALS WOMEN MNT105:WHITE:40:SOLID:SLIPPER SANDALS</t>
  </si>
  <si>
    <t>MKBAS48</t>
  </si>
  <si>
    <t>SLIPPER SANDALS WOMEN MKBAS48:DUSTY PINK:36:SOLID:SLIPPER SANDALS</t>
  </si>
  <si>
    <t>SLIPPER SANDALS WOMEN MKBAS48:DUSTY PINK:37:SOLID:SLIPPER SANDALS</t>
  </si>
  <si>
    <t>SLIPPER SANDALS WOMEN MKBAS48:DUSTY PINK:38:SOLID:SLIPPER SANDALS</t>
  </si>
  <si>
    <t>SLIPPER SANDALS WOMEN MKBAS48:DUSTY PINK:39:SOLID:SLIPPER SANDALS</t>
  </si>
  <si>
    <t>SLIPPER SANDALS WOMEN MKBAS48:DUSTY PINK:40:SOLID:SLIPPER SANDALS</t>
  </si>
  <si>
    <t>SLIPPER SANDALS WOMEN MKBAS48:BLACK:36:SOLID:SLIPPER SANDALS</t>
  </si>
  <si>
    <t>SLIPPER SANDALS WOMEN MKBAS48:BLACK:37:SOLID:SLIPPER SANDALS</t>
  </si>
  <si>
    <t>SLIPPER SANDALS WOMEN MKBAS48:BLACK:38:SOLID:SLIPPER SANDALS</t>
  </si>
  <si>
    <t>SLIPPER SANDALS WOMEN MKBAS48:BLACK:39:SOLID:SLIPPER SANDALS</t>
  </si>
  <si>
    <t>SLIPPER SANDALS WOMEN MKBAS48:BLACK:40:SOLID:SLIPPER SANDALS</t>
  </si>
  <si>
    <t>MNARB01</t>
  </si>
  <si>
    <t>SNEAKERS WOMEN MNARB01:WHITE:36:SOLID:SNEAKERS</t>
  </si>
  <si>
    <t>SNEAKERS WOMEN MNARB01:WHITE:37:SOLID:SNEAKERS</t>
  </si>
  <si>
    <t>SNEAKERS WOMEN MNARB01:WHITE:38:SOLID:SNEAKERS</t>
  </si>
  <si>
    <t>SNEAKERS WOMEN MNARB01:WHITE:39:SOLID:SNEAKERS</t>
  </si>
  <si>
    <t>SNEAKERS WOMEN MNARB01:WHITE:40:SOLID:SNEAKERS</t>
  </si>
  <si>
    <t>MNARB05</t>
  </si>
  <si>
    <t>SNEAKERS WOMEN MNARB05:CLASSIC PURPLE:36:SOLID:SNEAKERS</t>
  </si>
  <si>
    <t>SNEAKERS WOMEN MNARB05:CLASSIC PURPLE:37:SOLID:SNEAKERS</t>
  </si>
  <si>
    <t>SNEAKERS WOMEN MNARB05:CLASSIC PURPLE:38:SOLID:SNEAKERS</t>
  </si>
  <si>
    <t>SNEAKERS WOMEN MNARB05:CLASSIC PURPLE:39:SOLID:SNEAKERS</t>
  </si>
  <si>
    <t>SNEAKERS WOMEN MNARB05:CLASSIC PURPLE:40:SOLID:SNEAKERS</t>
  </si>
  <si>
    <t>MKARB06</t>
  </si>
  <si>
    <t>SNEAKERS WOMEN MKARB06:WHITE:36:SOLID:SNEAKERS</t>
  </si>
  <si>
    <t>SNEAKERS WOMEN MKARB06:WHITE:37:SOLID:SNEAKERS</t>
  </si>
  <si>
    <t>SNEAKERS WOMEN MKARB06:WHITE:38:SOLID:SNEAKERS</t>
  </si>
  <si>
    <t>SNEAKERS WOMEN MKARB06:WHITE:39:SOLID:SNEAKERS</t>
  </si>
  <si>
    <t>SNEAKERS WOMEN MKARB06:WHITE:40:SOLID:SNEAKERS</t>
  </si>
  <si>
    <t>MNARB101</t>
  </si>
  <si>
    <t>SNEAKERS WOMEN MNARB101:NAVY BLUE:36:SOLID:SNEAKERS</t>
  </si>
  <si>
    <t>SNEAKERS WOMEN MNARB101:NAVY BLUE:37:SOLID:SNEAKERS</t>
  </si>
  <si>
    <t>SNEAKERS WOMEN MNARB101:NAVY BLUE:38:SOLID:SNEAKERS</t>
  </si>
  <si>
    <t>SNEAKERS WOMEN MNARB101:NAVY BLUE:39:SOLID:SNEAKERS</t>
  </si>
  <si>
    <t>SNEAKERS WOMEN MNARB101:NAVY BLUE:40:SOLID:SNEAKERS</t>
  </si>
  <si>
    <t>SNEAKERS WOMEN MNARB101:KHAKI:36:SOLID:SNEAKERS</t>
  </si>
  <si>
    <t>SNEAKERS WOMEN MNARB101:KHAKI:37:SOLID:SNEAKERS</t>
  </si>
  <si>
    <t>SNEAKERS WOMEN MNARB101:KHAKI:38:SOLID:SNEAKERS</t>
  </si>
  <si>
    <t>SNEAKERS WOMEN MNARB101:KHAKI:39:SOLID:SNEAKERS</t>
  </si>
  <si>
    <t>SNEAKERS WOMEN MNARB101:KHAKI:40:SOLID:SNEAKERS</t>
  </si>
  <si>
    <t>MKARB03</t>
  </si>
  <si>
    <t>MULE SANDALS WOMEN MKARB03:WHITE:36:SOLID:MULE SANDALS</t>
  </si>
  <si>
    <t>MULE SANDALS WOMEN MKARB03:WHITE:37:SOLID:MULE SANDALS</t>
  </si>
  <si>
    <t>MULE SANDALS WOMEN MKARB03:WHITE:38:SOLID:MULE SANDALS</t>
  </si>
  <si>
    <t>MULE SANDALS WOMEN MKARB03:WHITE:39:SOLID:MULE SANDALS</t>
  </si>
  <si>
    <t>MULE SANDALS WOMEN MKARB03:WHITE:40:SOLID:MULE SANDALS</t>
  </si>
  <si>
    <t>MKARB04</t>
  </si>
  <si>
    <t>MULE SANDALS WOMEN MKARB04:KHAKI:36:SOLID:MULE SANDALS</t>
  </si>
  <si>
    <t>MULE SANDALS WOMEN MKARB04:KHAKI:37:SOLID:MULE SANDALS</t>
  </si>
  <si>
    <t>MULE SANDALS WOMEN MKARB04:KHAKI:38:SOLID:MULE SANDALS</t>
  </si>
  <si>
    <t>MULE SANDALS WOMEN MKARB04:KHAKI:39:SOLID:MULE SANDALS</t>
  </si>
  <si>
    <t>MULE SANDALS WOMEN MKARB04:KHAKI:40:SOLID:MULE SANDALS</t>
  </si>
  <si>
    <t>DSBAS02</t>
  </si>
  <si>
    <t>FLIP FLOPS MINNIE DSBAS02:WHITE:36:SOLID:FLIP FLOPS</t>
  </si>
  <si>
    <t>FLIP FLOPS MINNIE DSBAS02:WHITE:37:SOLID:FLIP FLOPS</t>
  </si>
  <si>
    <t>FLIP FLOPS MINNIE DSBAS02:WHITE:38:SOLID:FLIP FLOPS</t>
  </si>
  <si>
    <t>FLIP FLOPS MINNIE DSBAS02:WHITE:39:SOLID:FLIP FLOPS</t>
  </si>
  <si>
    <t>FLIP FLOPS MINNIE DSBAS02:WHITE:40:SOLID:FLIP FLOPS</t>
  </si>
  <si>
    <t>FLIP FLOPS MINNIE DSBAS02:PASTEL PINK:36:SOLID:FLIP FLOPS</t>
  </si>
  <si>
    <t>FLIP FLOPS MINNIE DSBAS02:PASTEL PINK:37:SOLID:FLIP FLOPS</t>
  </si>
  <si>
    <t>FLIP FLOPS MINNIE DSBAS02:PASTEL PINK:38:SOLID:FLIP FLOPS</t>
  </si>
  <si>
    <t>FLIP FLOPS MINNIE DSBAS02:PASTEL PINK:39:SOLID:FLIP FLOPS</t>
  </si>
  <si>
    <t>FLIP FLOPS MINNIE DSBAS02:PASTEL PINK:40:SOLID:FLIP FLOPS</t>
  </si>
  <si>
    <t>MNARB02</t>
  </si>
  <si>
    <t>SNEAKERS WOMEN MNARB02:WHITE:36:SOLID:SNEAKERS</t>
  </si>
  <si>
    <t>SNEAKERS WOMEN MNARB02:WHITE:37:SOLID:SNEAKERS</t>
  </si>
  <si>
    <t>SNEAKERS WOMEN MNARB02:WHITE:38:SOLID:SNEAKERS</t>
  </si>
  <si>
    <t>SNEAKERS WOMEN MNARB02:WHITE:39:SOLID:SNEAKERS</t>
  </si>
  <si>
    <t>SNEAKERS WOMEN MNARB02:WHITE:40:SOLID:SNEAKERS</t>
  </si>
  <si>
    <t>MKARB102</t>
  </si>
  <si>
    <t>SNEAKERS WOMEN MKARB102:DUSTY PINK:36:SOLID:SNEAKERS</t>
  </si>
  <si>
    <t>SNEAKERS WOMEN MKARB102:DUSTY PINK:37:SOLID:SNEAKERS</t>
  </si>
  <si>
    <t>SNEAKERS WOMEN MKARB102:DUSTY PINK:38:SOLID:SNEAKERS</t>
  </si>
  <si>
    <t>SNEAKERS WOMEN MKARB102:DUSTY PINK:39:SOLID:SNEAKERS</t>
  </si>
  <si>
    <t>SNEAKERS WOMEN MKARB102:DUSTY PINK:40:SOLID:SNEAKERS</t>
  </si>
  <si>
    <t>SNEAKERS WOMEN MKARB102:FROST GREY:36:SOLID:SNEAKERS</t>
  </si>
  <si>
    <t>SNEAKERS WOMEN MKARB102:FROST GREY:37:SOLID:SNEAKERS</t>
  </si>
  <si>
    <t>SNEAKERS WOMEN MKARB102:FROST GREY:38:SOLID:SNEAKERS</t>
  </si>
  <si>
    <t>SNEAKERS WOMEN MKARB102:FROST GREY:39:SOLID:SNEAKERS</t>
  </si>
  <si>
    <t>SNEAKERS WOMEN MKARB102:FROST GREY:40:SOLID:SNEAKERS</t>
  </si>
  <si>
    <t>DSBAS03</t>
  </si>
  <si>
    <t>MULE SANDALS WOMEN DSBAS03:WHITE:36:SOLID:MULE SANDALS</t>
  </si>
  <si>
    <t>MULE SANDALS WOMEN DSBAS03:WHITE:37:SOLID:MULE SANDALS</t>
  </si>
  <si>
    <t>MULE SANDALS WOMEN DSBAS03:WHITE:38:SOLID:MULE SANDALS</t>
  </si>
  <si>
    <t>MULE SANDALS WOMEN DSBAS03:WHITE:39:SOLID:MULE SANDALS</t>
  </si>
  <si>
    <t>MULE SANDALS WOMEN DSBAS03:WHITE:40:SOLID:MULE SANDALS</t>
  </si>
  <si>
    <t>MULE SANDALS WOMEN DSBAS03:BLACK:36:SOLID:MULE SANDALS</t>
  </si>
  <si>
    <t>MULE SANDALS WOMEN DSBAS03:BLACK:37:SOLID:MULE SANDALS</t>
  </si>
  <si>
    <t>MULE SANDALS WOMEN DSBAS03:BLACK:38:SOLID:MULE SANDALS</t>
  </si>
  <si>
    <t>MULE SANDALS WOMEN DSBAS03:BLACK:39:SOLID:MULE SANDALS</t>
  </si>
  <si>
    <t>MULE SANDALS WOMEN DSBAS03:BLACK:40:SOLID:MULE SANDALS</t>
  </si>
  <si>
    <t>MKHJQ4221</t>
  </si>
  <si>
    <t>FLIP FLOPS MICKEY MKHJQ4221:NAVY BLUE:M:SOLID:FLIP FLOPS</t>
  </si>
  <si>
    <t>FLIP FLOPS MICKEY MKHJQ4221:NAVY BLUE:S:SOLID:FLIP FLOPS</t>
  </si>
  <si>
    <t>FLIP FLOPS MICKEY MKHJQ4221:NAVY BLUE:L:SOLID:FLIP FLOPS</t>
  </si>
  <si>
    <t>FLIP FLOPS MICKEY MKHJQ4221:NAVY BLUE:XL:SOLID:FLIP FLOPS</t>
  </si>
  <si>
    <t>TIMEDEV01</t>
  </si>
  <si>
    <t>SLIPPER SANDALS WOMEN TIMEDEV01:WHITE:36:PRINT:SLIPPER SANDALS</t>
  </si>
  <si>
    <t>SLIPPER SANDALS WOMEN TIMEDEV01:WHITE:37:PRINT:SLIPPER SANDALS</t>
  </si>
  <si>
    <t>SLIPPER SANDALS WOMEN TIMEDEV01:WHITE:38:PRINT:SLIPPER SANDALS</t>
  </si>
  <si>
    <t>SLIPPER SANDALS WOMEN TIMEDEV01:WHITE:39:PRINT:SLIPPER SANDALS</t>
  </si>
  <si>
    <t>SLIPPER SANDALS WOMEN TIMEDEV01:WHITE:40:PRINT:SLIPPER SANDALS</t>
  </si>
  <si>
    <t>SLIPPER SANDALS WOMEN TIMEDEV01:BLACK:36:PRINT:SLIPPER SANDALS</t>
  </si>
  <si>
    <t>SLIPPER SANDALS WOMEN TIMEDEV01:BLACK:37:PRINT:SLIPPER SANDALS</t>
  </si>
  <si>
    <t>SLIPPER SANDALS WOMEN TIMEDEV01:BLACK:38:PRINT:SLIPPER SANDALS</t>
  </si>
  <si>
    <t>SLIPPER SANDALS WOMEN TIMEDEV01:BLACK:39:PRINT:SLIPPER SANDALS</t>
  </si>
  <si>
    <t>SLIPPER SANDALS WOMEN TIMEDEV01:BLACK:40:PRINT:SLIPPER SANDALS</t>
  </si>
  <si>
    <t>MKBAS51</t>
  </si>
  <si>
    <t>SLIPPER SANDALS WOMEN MKBAS51:MUSTARD:36:TEXTURE:SLIPPER SANDALS</t>
  </si>
  <si>
    <t>SLIPPER SANDALS WOMEN MKBAS51:MUSTARD:37:TEXTURE:SLIPPER SANDALS</t>
  </si>
  <si>
    <t>SLIPPER SANDALS WOMEN MKBAS51:MUSTARD:38:TEXTURE:SLIPPER SANDALS</t>
  </si>
  <si>
    <t>SLIPPER SANDALS WOMEN MKBAS51:MUSTARD:39:TEXTURE:SLIPPER SANDALS</t>
  </si>
  <si>
    <t>SLIPPER SANDALS WOMEN MKBAS51:MUSTARD:40:TEXTURE:SLIPPER SANDALS</t>
  </si>
  <si>
    <t>SLIPPER SANDALS WOMEN MKBAS51:WHITE:36:TEXTURE:SLIPPER SANDALS</t>
  </si>
  <si>
    <t>SLIPPER SANDALS WOMEN MKBAS51:WHITE:37:TEXTURE:SLIPPER SANDALS</t>
  </si>
  <si>
    <t>SLIPPER SANDALS WOMEN MKBAS51:WHITE:38:TEXTURE:SLIPPER SANDALS</t>
  </si>
  <si>
    <t>SLIPPER SANDALS WOMEN MKBAS51:WHITE:39:TEXTURE:SLIPPER SANDALS</t>
  </si>
  <si>
    <t>SLIPPER SANDALS WOMEN MKBAS51:WHITE:40:TEXTURE:SLIPPER SANDALS</t>
  </si>
  <si>
    <t>MKBAS55</t>
  </si>
  <si>
    <t>ANKLE STRAP SANDALS WOMEN MKBAS55:PASTEL PINK:36:SOLID:ANKLE STRAP SANDALS</t>
  </si>
  <si>
    <t>ANKLE STRAP SANDALS WOMEN MKBAS55:PASTEL PINK:37:SOLID:ANKLE STRAP SANDALS</t>
  </si>
  <si>
    <t>ANKLE STRAP SANDALS WOMEN MKBAS55:PASTEL PINK:38:SOLID:ANKLE STRAP SANDALS</t>
  </si>
  <si>
    <t>ANKLE STRAP SANDALS WOMEN MKBAS55:PASTEL PINK:39:SOLID:ANKLE STRAP SANDALS</t>
  </si>
  <si>
    <t>ANKLE STRAP SANDALS WOMEN MKBAS55:PASTEL PINK:40:SOLID:ANKLE STRAP SANDALS</t>
  </si>
  <si>
    <t>ANKLE STRAP SANDALS WOMEN MKBAS55:BLACK:40:SOLID:ANKLE STRAP SANDALS</t>
  </si>
  <si>
    <t>ANKLE STRAP SANDALS WOMEN MKBAS55:BLACK:36:SOLID:ANKLE STRAP SANDALS</t>
  </si>
  <si>
    <t>ANKLE STRAP SANDALS WOMEN MKBAS55:BLACK:37:SOLID:ANKLE STRAP SANDALS</t>
  </si>
  <si>
    <t>ANKLE STRAP SANDALS WOMEN MKBAS55:BLACK:38:SOLID:ANKLE STRAP SANDALS</t>
  </si>
  <si>
    <t>ANKLE STRAP SANDALS WOMEN MKBAS55:BLACK:39:SOLID:ANKLE STRAP SANDALS</t>
  </si>
  <si>
    <t>HK006</t>
  </si>
  <si>
    <t>ANKLE STRAP SANDALS WOMEN HK006:TURQOUISE:36:SOLID:ANKLE STRAP SANDALS</t>
  </si>
  <si>
    <t>ANKLE STRAP SANDALS WOMEN HK006:TURQOUISE:37:SOLID:ANKLE STRAP SANDALS</t>
  </si>
  <si>
    <t>ANKLE STRAP SANDALS WOMEN HK006:TURQOUISE:38:SOLID:ANKLE STRAP SANDALS</t>
  </si>
  <si>
    <t>ANKLE STRAP SANDALS WOMEN HK006:TURQOUISE:39:SOLID:ANKLE STRAP SANDALS</t>
  </si>
  <si>
    <t>ANKLE STRAP SANDALS WOMEN HK006:TURQOUISE:40:SOLID:ANKLE STRAP SANDALS</t>
  </si>
  <si>
    <t>HK009</t>
  </si>
  <si>
    <t>ANKLE STRAP SANDALS WOMEN HK009:BLACK:36:STRIPES:ANKLE STRAP SANDALS</t>
  </si>
  <si>
    <t>ANKLE STRAP SANDALS WOMEN HK009:BLACK:38:STRIPES:ANKLE STRAP SANDALS</t>
  </si>
  <si>
    <t>ANKLE STRAP SANDALS WOMEN HK009:BLACK:39:STRIPES:ANKLE STRAP SANDALS</t>
  </si>
  <si>
    <t>ANKLE STRAP SANDALS WOMEN HK009:BLACK:40:STRIPES:ANKLE STRAP SANDALS</t>
  </si>
  <si>
    <t>ANKLE STRAP SANDALS WOMEN HK009:BLACK:37:STRIPES:ANKLE STRAP SANDALS</t>
  </si>
  <si>
    <t>MKBAS58</t>
  </si>
  <si>
    <t>SLINGBACK SANDALS WOMEN MKBAS58:KHAKI:36:PRINT:SLINGBACK SANDALS</t>
  </si>
  <si>
    <t>SLINGBACK SANDALS WOMEN MKBAS58:KHAKI:37:PRINT:SLINGBACK SANDALS</t>
  </si>
  <si>
    <t>SLINGBACK SANDALS WOMEN MKBAS58:KHAKI:38:PRINT:SLINGBACK SANDALS</t>
  </si>
  <si>
    <t>SLINGBACK SANDALS WOMEN MKBAS58:KHAKI:39:PRINT:SLINGBACK SANDALS</t>
  </si>
  <si>
    <t>SLINGBACK SANDALS WOMEN MKBAS58:KHAKI:40:PRINT:SLINGBACK SANDALS</t>
  </si>
  <si>
    <t>SLINGBACK SANDALS WOMEN MKBAS58:BLACK:36:PRINT:SLINGBACK SANDALS</t>
  </si>
  <si>
    <t>SLINGBACK SANDALS WOMEN MKBAS58:BLACK:37:PRINT:SLINGBACK SANDALS</t>
  </si>
  <si>
    <t>SLINGBACK SANDALS WOMEN MKBAS58:BLACK:38:PRINT:SLINGBACK SANDALS</t>
  </si>
  <si>
    <t>SLINGBACK SANDALS WOMEN MKBAS58:BLACK:39:PRINT:SLINGBACK SANDALS</t>
  </si>
  <si>
    <t>SLINGBACK SANDALS WOMEN MKBAS58:BLACK:40:PRINT:SLINGBACK SANDALS</t>
  </si>
  <si>
    <t>TIMEDEV09</t>
  </si>
  <si>
    <t>ANKLE STRAP SANDALS WOMEN TIMEDEV09:BLACK:36:GRAPHIC:ANKLE STRAP SANDALS</t>
  </si>
  <si>
    <t>ANKLE STRAP SANDALS WOMEN TIMEDEV09:BLACK:37:GRAPHIC:ANKLE STRAP SANDALS</t>
  </si>
  <si>
    <t>ANKLE STRAP SANDALS WOMEN TIMEDEV09:BLACK:38:GRAPHIC:ANKLE STRAP SANDALS</t>
  </si>
  <si>
    <t>ANKLE STRAP SANDALS WOMEN TIMEDEV09:BLACK:39:GRAPHIC:ANKLE STRAP SANDALS</t>
  </si>
  <si>
    <t>ANKLE STRAP SANDALS WOMEN TIMEDEV09:BLACK:40:GRAPHIC:ANKLE STRAP SANDALS</t>
  </si>
  <si>
    <t>ANKLE STRAP SANDALS WOMEN TIMEDEV09:WHITE:36:GRAPHIC:ANKLE STRAP SANDALS</t>
  </si>
  <si>
    <t>ANKLE STRAP SANDALS WOMEN TIMEDEV09:WHITE:37:GRAPHIC:ANKLE STRAP SANDALS</t>
  </si>
  <si>
    <t>ANKLE STRAP SANDALS WOMEN TIMEDEV09:WHITE:38:GRAPHIC:ANKLE STRAP SANDALS</t>
  </si>
  <si>
    <t>ANKLE STRAP SANDALS WOMEN TIMEDEV09:WHITE:39:GRAPHIC:ANKLE STRAP SANDALS</t>
  </si>
  <si>
    <t>ANKLE STRAP SANDALS WOMEN TIMEDEV09:WHITE:40:GRAPHIC:ANKLE STRAP SANDALS</t>
  </si>
  <si>
    <t>MKBAS60</t>
  </si>
  <si>
    <t>T-BAR SANDALS WOMEN MKBAS60:BLACK:36:SOLID:T-BAR SANDALS</t>
  </si>
  <si>
    <t>T-BAR SANDALS WOMEN MKBAS60:BLACK:37:SOLID:T-BAR SANDALS</t>
  </si>
  <si>
    <t>T-BAR SANDALS WOMEN MKBAS60:BLACK:38:SOLID:T-BAR SANDALS</t>
  </si>
  <si>
    <t>T-BAR SANDALS WOMEN MKBAS60:BLACK:39:SOLID:T-BAR SANDALS</t>
  </si>
  <si>
    <t>T-BAR SANDALS WOMEN MKBAS60:BLACK:40:SOLID:T-BAR SANDALS</t>
  </si>
  <si>
    <t>T-BAR SANDALS WOMEN MKBAS60:LIGHT BLUE:36:SOLID:T-BAR SANDALS</t>
  </si>
  <si>
    <t>T-BAR SANDALS WOMEN MKBAS60:LIGHT BLUE:37:SOLID:T-BAR SANDALS</t>
  </si>
  <si>
    <t>T-BAR SANDALS WOMEN MKBAS60:LIGHT BLUE:38:SOLID:T-BAR SANDALS</t>
  </si>
  <si>
    <t>T-BAR SANDALS WOMEN MKBAS60:LIGHT BLUE:39:SOLID:T-BAR SANDALS</t>
  </si>
  <si>
    <t>T-BAR SANDALS WOMEN MKBAS60:LIGHT BLUE:40:SOLID:T-BAR SANDALS</t>
  </si>
  <si>
    <t>TS211</t>
  </si>
  <si>
    <t>T-BAR SANDALS WOMEN TS211:BLACK:40:SOLID:T-BAR SANDALS</t>
  </si>
  <si>
    <t>T-BAR SANDALS WOMEN TS211:BLACK:39:SOLID:T-BAR SANDALS</t>
  </si>
  <si>
    <t>T-BAR SANDALS WOMEN TS211:BLACK:38:SOLID:T-BAR SANDALS</t>
  </si>
  <si>
    <t>T-BAR SANDALS WOMEN TS211:KHAKI:36:SOLID:T-BAR SANDALS</t>
  </si>
  <si>
    <t>T-BAR SANDALS WOMEN TS211:KHAKI:37:SOLID:T-BAR SANDALS</t>
  </si>
  <si>
    <t>T-BAR SANDALS WOMEN TS211:KHAKI:38:SOLID:T-BAR SANDALS</t>
  </si>
  <si>
    <t>T-BAR SANDALS WOMEN TS211:KHAKI:39:SOLID:T-BAR SANDALS</t>
  </si>
  <si>
    <t>T-BAR SANDALS WOMEN TS211:KHAKI:40:SOLID:T-BAR SANDALS</t>
  </si>
  <si>
    <t>T-BAR SANDALS WOMEN TS211:BLACK:36:SOLID:T-BAR SANDALS</t>
  </si>
  <si>
    <t>T-BAR SANDALS WOMEN TS211:BLACK:37:SOLID:T-BAR SANDALS</t>
  </si>
  <si>
    <t>SLIPPER SANDALS MINNIE MNBAS28:WHITE:39:SOLID:SLIPPER SANDALS</t>
  </si>
  <si>
    <t>SLIPPER SANDALS MINNIE MNBAS28:WHITE:37:SOLID:SLIPPER SANDALS</t>
  </si>
  <si>
    <t>SLIPPER SANDALS MINNIE MNBAS28:WHITE:36:SOLID:SLIPPER SANDALS</t>
  </si>
  <si>
    <t>SLIPPER SANDALS MINNIE MNBAS28:WHITE:38:SOLID:SLIPPER SANDALS</t>
  </si>
  <si>
    <t>SLIPPER SANDALS MINNIE MNBAS28:WHITE:40:SOLID:SLIPPER SANDALS</t>
  </si>
  <si>
    <t>SLIPPER SANDALS WOMEN MKBAS34:KHAKI:36:PRINT:SLIPPER SANDALS</t>
  </si>
  <si>
    <t>SLIPPER SANDALS WOMEN MKBAS34:KHAKI:37:PRINT:SLIPPER SANDALS</t>
  </si>
  <si>
    <t>SLIPPER SANDALS WOMEN MKBAS34:KHAKI:38:PRINT:SLIPPER SANDALS</t>
  </si>
  <si>
    <t>SLIPPER SANDALS WOMEN MKBAS34:KHAKI:39:PRINT:SLIPPER SANDALS</t>
  </si>
  <si>
    <t>SLIPPER SANDALS WOMEN MKBAS34:KHAKI:40:PRINT:SLIPPER SANDALS</t>
  </si>
  <si>
    <t>SLIPPER SANDALS WOMEN MK2216:OLIVE:36:PRINT:SLIPPER SANDALS</t>
  </si>
  <si>
    <t>SLIPPER SANDALS WOMEN MK2216:OLIVE:37:PRINT:SLIPPER SANDALS</t>
  </si>
  <si>
    <t>SLIPPER SANDALS WOMEN MK2216:OLIVE:38:PRINT:SLIPPER SANDALS</t>
  </si>
  <si>
    <t>SLIPPER SANDALS WOMEN MK2216:OLIVE:39:PRINT:SLIPPER SANDALS</t>
  </si>
  <si>
    <t>SLIPPER SANDALS WOMEN MK2216:OLIVE:40:PRINT:SLIPPER SANDALS</t>
  </si>
  <si>
    <t>MARB107</t>
  </si>
  <si>
    <t>BALLERINAS WOMEN MARB107:BLACK:36:SOLID:BALLERINA</t>
  </si>
  <si>
    <t>BALLERINAS WOMEN MARB107:BLACK:37:SOLID:BALLERINA</t>
  </si>
  <si>
    <t>BALLERINAS WOMEN MARB107:BLACK:38:SOLID:BALLERINA</t>
  </si>
  <si>
    <t>BALLERINAS WOMEN MARB107:BLACK:39:SOLID:BALLERINA</t>
  </si>
  <si>
    <t>BALLERINAS WOMEN MARB107:BLACK:40:SOLID:BALLERINA</t>
  </si>
  <si>
    <t>BALLERINAS WOMEN MARB107:WHITE:36:PRINT:BALLERINA</t>
  </si>
  <si>
    <t>BALLERINAS WOMEN MARB107:WHITE:37:PRINT:BALLERINA</t>
  </si>
  <si>
    <t>BALLERINAS WOMEN MARB107:WHITE:38:PRINT:BALLERINA</t>
  </si>
  <si>
    <t>BALLERINAS WOMEN MARB107:WHITE:39:PRINT:BALLERINA</t>
  </si>
  <si>
    <t>BALLERINAS WOMEN MARB107:WHITE:40:PRINT:BALLERINA</t>
  </si>
  <si>
    <t>MNHL003</t>
  </si>
  <si>
    <t>SNEAKERS WOMEN MNHL003:WHITE:36:PRINT:SNEAKERS</t>
  </si>
  <si>
    <t>SNEAKERS WOMEN MNHL003:WHITE:37:PRINT:SNEAKERS</t>
  </si>
  <si>
    <t>SNEAKERS WOMEN MNHL003:WHITE:38:PRINT:SNEAKERS</t>
  </si>
  <si>
    <t>SNEAKERS WOMEN MNHL003:WHITE:39:PRINT:SNEAKERS</t>
  </si>
  <si>
    <t>SNEAKERS WOMEN MNHL003:WHITE:40:PRINT:SNEAKERS</t>
  </si>
  <si>
    <t>SNEAKERS WOMEN MNHL003:PASTEL PINK:36:PRINT:SNEAKERS</t>
  </si>
  <si>
    <t>SNEAKERS WOMEN MNHL003:PASTEL PINK:37:PRINT:SNEAKERS</t>
  </si>
  <si>
    <t>SNEAKERS WOMEN MNHL003:PASTEL PINK:38:PRINT:SNEAKERS</t>
  </si>
  <si>
    <t>SNEAKERS WOMEN MNHL003:PASTEL PINK:39:PRINT:SNEAKERS</t>
  </si>
  <si>
    <t>SNEAKERS WOMEN MNHL003:PASTEL PINK:40:PRINT:SNEAKERS</t>
  </si>
  <si>
    <t>MNHL009</t>
  </si>
  <si>
    <t>SNEAKERS WOMEN MNHL009:WHITE:36:GRAPHIC:SNEAKERS</t>
  </si>
  <si>
    <t>SNEAKERS WOMEN MNHL009:WHITE:37:GRAPHIC:SNEAKERS</t>
  </si>
  <si>
    <t>SNEAKERS WOMEN MNHL009:WHITE:38:GRAPHIC:SNEAKERS</t>
  </si>
  <si>
    <t>SNEAKERS WOMEN MNHL009:WHITE:39:GRAPHIC:SNEAKERS</t>
  </si>
  <si>
    <t>SNEAKERS WOMEN MNHL009:WHITE:40:GRAPHIC:SNEAKERS</t>
  </si>
  <si>
    <t>SNEAKERS WOMEN MNHL009:BLACK:36:GRAPHIC:SNEAKERS</t>
  </si>
  <si>
    <t>SNEAKERS WOMEN MNHL009:BLACK:37:GRAPHIC:SNEAKERS</t>
  </si>
  <si>
    <t>SNEAKERS WOMEN MNHL009:BLACK:38:GRAPHIC:SNEAKERS</t>
  </si>
  <si>
    <t>SNEAKERS WOMEN MNHL009:BLACK:39:GRAPHIC:SNEAKERS</t>
  </si>
  <si>
    <t>SNEAKERS WOMEN MNHL009:BLACK:40:GRAPHIC:SNEAKERS</t>
  </si>
  <si>
    <t>MKBAS70</t>
  </si>
  <si>
    <t>SNEAKERS WOMEN MKBAS70:BLACK:36:PRINT:SNEAKERS</t>
  </si>
  <si>
    <t>SNEAKERS WOMEN MKBAS70:BLACK:37:PRINT:SNEAKERS</t>
  </si>
  <si>
    <t>SNEAKERS WOMEN MKBAS70:BLACK:38:PRINT:SNEAKERS</t>
  </si>
  <si>
    <t>SNEAKERS WOMEN MKBAS70:BLACK:39:PRINT:SNEAKERS</t>
  </si>
  <si>
    <t>SNEAKERS WOMEN MKBAS70:BLACK:40:PRINT:SNEAKERS</t>
  </si>
  <si>
    <t>SNEAKERS WOMEN MKBAS70:WHITE:36:PRINT:SNEAKERS</t>
  </si>
  <si>
    <t>SNEAKERS WOMEN MKBAS70:WHITE:37:PRINT:SNEAKERS</t>
  </si>
  <si>
    <t>SNEAKERS WOMEN MKBAS70:WHITE:38:PRINT:SNEAKERS</t>
  </si>
  <si>
    <t>SNEAKERS WOMEN MKBAS70:WHITE:39:PRINT:SNEAKERS</t>
  </si>
  <si>
    <t>SNEAKERS WOMEN MKBAS70:WHITE:40:PRINT:SNEAKERS</t>
  </si>
  <si>
    <t>MNARB105</t>
  </si>
  <si>
    <t>SNEAKERS WOMEN MNARB105:DUSTY PINK:36:PRINT:SNEAKERS</t>
  </si>
  <si>
    <t>SNEAKERS WOMEN MNARB105:DUSTY PINK:37:PRINT:SNEAKERS</t>
  </si>
  <si>
    <t>SNEAKERS WOMEN MNARB105:DUSTY PINK:38:PRINT:SNEAKERS</t>
  </si>
  <si>
    <t>SNEAKERS WOMEN MNARB105:DUSTY PINK:39:PRINT:SNEAKERS</t>
  </si>
  <si>
    <t>SNEAKERS WOMEN MNARB105:DUSTY PINK:40:PRINT:SNEAKERS</t>
  </si>
  <si>
    <t>MKARB106</t>
  </si>
  <si>
    <t>SNEAKERS WOMEN MKARB106:WHITE:36:PRINT:SNEAKERS</t>
  </si>
  <si>
    <t>SNEAKERS WOMEN MKARB106:WHITE:37:PRINT:SNEAKERS</t>
  </si>
  <si>
    <t>SNEAKERS WOMEN MKARB106:WHITE:38:PRINT:SNEAKERS</t>
  </si>
  <si>
    <t>SNEAKERS WOMEN MKARB106:WHITE:39:PRINT:SNEAKERS</t>
  </si>
  <si>
    <t>SNEAKERS WOMEN MKARB106:WHITE:40:PRINT:SNEAKERS</t>
  </si>
  <si>
    <t>MNT111</t>
  </si>
  <si>
    <t>SLIPPER SANDALS WOMEN MNT111:BLACK:36:PRINT:SLIPPER SANDALS</t>
  </si>
  <si>
    <t>SLIPPER SANDALS WOMEN MNT111:BLACK:37:PRINT:SLIPPER SANDALS</t>
  </si>
  <si>
    <t>SLIPPER SANDALS WOMEN MNT111:BLACK:38:PRINT:SLIPPER SANDALS</t>
  </si>
  <si>
    <t>SLIPPER SANDALS WOMEN MNT111:BLACK:39:PRINT:SLIPPER SANDALS</t>
  </si>
  <si>
    <t>SLIPPER SANDALS WOMEN MNT111:BLACK:40:PRINT:SLIPPER SANDALS</t>
  </si>
  <si>
    <t>SLIPPER SANDALS WOMEN MNT111:NAVY BLUE:36:PRINT:SLIPPER SANDALS</t>
  </si>
  <si>
    <t>SLIPPER SANDALS WOMEN MNT111:NAVY BLUE:37:PRINT:SLIPPER SANDALS</t>
  </si>
  <si>
    <t>SLIPPER SANDALS WOMEN MNT111:NAVY BLUE:38:PRINT:SLIPPER SANDALS</t>
  </si>
  <si>
    <t>SLIPPER SANDALS WOMEN MNT111:NAVY BLUE:39:PRINT:SLIPPER SANDALS</t>
  </si>
  <si>
    <t>SLIPPER SANDALS WOMEN MNT111:NAVY BLUE:40:PRINT:SLIPPER SANDALS</t>
  </si>
  <si>
    <t>TIMEDEV04</t>
  </si>
  <si>
    <t>SLIPPER SANDALS WOMEN TIMEDEV04:BLACK:36:PRINT:SLIPPER SANDALS</t>
  </si>
  <si>
    <t>SLIPPER SANDALS WOMEN TIMEDEV04:BLACK:37:PRINT:SLIPPER SANDALS</t>
  </si>
  <si>
    <t>SLIPPER SANDALS WOMEN TIMEDEV04:BLACK:38:PRINT:SLIPPER SANDALS</t>
  </si>
  <si>
    <t>SLIPPER SANDALS WOMEN TIMEDEV04:BLACK:39:PRINT:SLIPPER SANDALS</t>
  </si>
  <si>
    <t>SLIPPER SANDALS WOMEN TIMEDEV04:BLACK:40:PRINT:SLIPPER SANDALS</t>
  </si>
  <si>
    <t>TIMEDEV03</t>
  </si>
  <si>
    <t>SLIPPER SANDALS WOMEN TIMEDEV03:SAND:36:PRINT:SLIPPER SANDALS</t>
  </si>
  <si>
    <t>SLIPPER SANDALS WOMEN TIMEDEV03:SAND:37:PRINT:SLIPPER SANDALS</t>
  </si>
  <si>
    <t>SLIPPER SANDALS WOMEN TIMEDEV03:SAND:38:PRINT:SLIPPER SANDALS</t>
  </si>
  <si>
    <t>SLIPPER SANDALS WOMEN TIMEDEV03:SAND:39:PRINT:SLIPPER SANDALS</t>
  </si>
  <si>
    <t>SLIPPER SANDALS WOMEN TIMEDEV03:SAND:40:PRINT:SLIPPER SANDALS</t>
  </si>
  <si>
    <t>MKBAS22</t>
  </si>
  <si>
    <t>SLIPPER SANDALS MICKEY MKBAS22:WHITE:36:SOLID:SLIPPER SANDALS</t>
  </si>
  <si>
    <t>SLIPPER SANDALS MICKEY MKBAS22:WHITE:37:SOLID:SLIPPER SANDALS</t>
  </si>
  <si>
    <t>SLIPPER SANDALS MICKEY MKBAS22:KHAKI:36:SOLID:SLIPPER SANDALS</t>
  </si>
  <si>
    <t>SLIPPER SANDALS MICKEY MKBAS22:WHITE:38:SOLID:SLIPPER SANDALS</t>
  </si>
  <si>
    <t>SLIPPER SANDALS MICKEY MKBAS22:WHITE:39:SOLID:SLIPPER SANDALS</t>
  </si>
  <si>
    <t>SLIPPER SANDALS MICKEY MKBAS22:KHAKI:39:SOLID:SLIPPER SANDALS</t>
  </si>
  <si>
    <t>SLIPPER SANDALS MICKEY MKBAS22:KHAKI:38:SOLID:SLIPPER SANDALS</t>
  </si>
  <si>
    <t>SLIPPER SANDALS MICKEY MKBAS22:KHAKI:40:SOLID:SLIPPER SANDALS</t>
  </si>
  <si>
    <t>SLIPPER SANDALS MICKEY MKBAS22:WHITE:40:SOLID:SLIPPER SANDALS</t>
  </si>
  <si>
    <t>SLINGBACK SANDALS MICKEY MKBAS20:NAVY BLUE:37:SOLID:SLINGBACK SANDAL</t>
  </si>
  <si>
    <t>SLINGBACK SANDALS MICKEY MKBAS20:NAVY BLUE:40:SOLID:SLINGBACK SANDAL</t>
  </si>
  <si>
    <t>SLINGBACK SANDALS MICKEY MKBAS20:NAVY BLUE:38:SOLID:SLINGBACK SANDAL</t>
  </si>
  <si>
    <t>SLINGBACK SANDALS MICKEY MKBAS20:NAVY BLUE:36:SOLID:SLINGBACK SANDAL</t>
  </si>
  <si>
    <t>SLINGBACK SANDALS WOMEN MKBAS20:BLACK:36:PRINT:SLINGBACK SANDALS</t>
  </si>
  <si>
    <t>SLINGBACK SANDALS WOMEN MKBAS20:BLACK:37:PRINT:SLINGBACK SANDALS</t>
  </si>
  <si>
    <t>SLINGBACK SANDALS WOMEN MKBAS20:BLACK:38:PRINT:SLINGBACK SANDALS</t>
  </si>
  <si>
    <t>SLINGBACK SANDALS WOMEN MKBAS20:BLACK:39:PRINT:SLINGBACK SANDALS</t>
  </si>
  <si>
    <t>SLINGBACK SANDALS WOMEN MKBAS20:BLACK:40:PRINT:SLINGBACK SANDALS</t>
  </si>
  <si>
    <t>MKBAS72</t>
  </si>
  <si>
    <t>SLIPPER SANDALS WOMEN MKBAS72:WHITE:36:PRINT:SLIPPER SANDALS</t>
  </si>
  <si>
    <t>SLIPPER SANDALS WOMEN MKBAS72:WHITE:37:PRINT:SLIPPER SANDALS</t>
  </si>
  <si>
    <t>SLIPPER SANDALS WOMEN MKBAS72:WHITE:38:PRINT:SLIPPER SANDALS</t>
  </si>
  <si>
    <t>SLIPPER SANDALS WOMEN MKBAS72:WHITE:39:PRINT:SLIPPER SANDALS</t>
  </si>
  <si>
    <t>SLIPPER SANDALS WOMEN MKBAS72:WHITE:40:PRINT:SLIPPER SANDALS</t>
  </si>
  <si>
    <t>SLIPPER SANDALS WOMEN MKBAS72:KHAKI:36:PRINT:SLIPPER SANDALS</t>
  </si>
  <si>
    <t>SLIPPER SANDALS WOMEN MKBAS72:KHAKI:37:PRINT:SLIPPER SANDALS</t>
  </si>
  <si>
    <t>SLIPPER SANDALS WOMEN MKBAS72:KHAKI:38:PRINT:SLIPPER SANDALS</t>
  </si>
  <si>
    <t>SLIPPER SANDALS WOMEN MKBAS72:KHAKI:39:PRINT:SLIPPER SANDALS</t>
  </si>
  <si>
    <t>SLIPPER SANDALS WOMEN MKBAS72:KHAKI:40:PRINT:SLIPPER SANDALS</t>
  </si>
  <si>
    <t>MARB108</t>
  </si>
  <si>
    <t>ANKLE STRAP SANDALS WOMEN MARB108:WHITE:36:SOLID:ANKLE STRAP SANDALS</t>
  </si>
  <si>
    <t>ANKLE STRAP SANDALS WOMEN MARB108:WHITE:37:SOLID:ANKLE STRAP SANDALS</t>
  </si>
  <si>
    <t>ANKLE STRAP SANDALS WOMEN MARB108:WHITE:38:SOLID:ANKLE STRAP SANDALS</t>
  </si>
  <si>
    <t>ANKLE STRAP SANDALS WOMEN MARB108:WHITE:39:SOLID:ANKLE STRAP SANDALS</t>
  </si>
  <si>
    <t>ANKLE STRAP SANDALS WOMEN MARB108:WHITE:40:SOLID:ANKLE STRAP SANDALS</t>
  </si>
  <si>
    <t>ANKLE STRAP SANDALS WOMEN MARB108:BLACK:36:SOLID:ANKLE STRAP SANDALS</t>
  </si>
  <si>
    <t>ANKLE STRAP SANDALS WOMEN MARB108:BLACK:37:SOLID:ANKLE STRAP SANDALS</t>
  </si>
  <si>
    <t>ANKLE STRAP SANDALS WOMEN MARB108:BLACK:38:SOLID:ANKLE STRAP SANDALS</t>
  </si>
  <si>
    <t>ANKLE STRAP SANDALS WOMEN MARB108:BLACK:39:SOLID:ANKLE STRAP SANDALS</t>
  </si>
  <si>
    <t>ANKLE STRAP SANDALS WOMEN MARB108:BLACK:40:SOLID:ANKLE STRAP SANDALS</t>
  </si>
  <si>
    <t>MARB110</t>
  </si>
  <si>
    <t>SLIPPER SANDALS WOMEN MARB110:KHAKI:36:PRINT:SLIPPER SANDALS</t>
  </si>
  <si>
    <t>SLIPPER SANDALS WOMEN MARB110:KHAKI:37:PRINT:SLIPPER SANDALS</t>
  </si>
  <si>
    <t>SLIPPER SANDALS WOMEN MARB110:KHAKI:38:PRINT:SLIPPER SANDALS</t>
  </si>
  <si>
    <t>SLIPPER SANDALS WOMEN MARB110:KHAKI:39:PRINT:SLIPPER SANDALS</t>
  </si>
  <si>
    <t>SLIPPER SANDALS WOMEN MARB110:KHAKI:40:PRINT:SLIPPER SANDALS</t>
  </si>
  <si>
    <t>SLINGBACK SANDALS MICKEY MKBAS20:NAVY BLUE:39:SOLID:SLINGBACK SANDAL</t>
  </si>
  <si>
    <t>SLIPPER SANDALS MICKEY MKBAS22:KHAKI:37:SOLID:SLIPPER SANDALS</t>
  </si>
  <si>
    <t>MKBAS76</t>
  </si>
  <si>
    <t>SLIPPER SANDALS WOMEN MKBAS76:BLACK:36:SOLID:SLIPPER SANDALS</t>
  </si>
  <si>
    <t>SLIPPER SANDALS WOMEN MKBAS76:BLACK:37:SOLID:SLIPPER SANDALS</t>
  </si>
  <si>
    <t>SLIPPER SANDALS WOMEN MKBAS76:BLACK:38:SOLID:SLIPPER SANDALS</t>
  </si>
  <si>
    <t>SLIPPER SANDALS WOMEN MKBAS76:BLACK:39:SOLID:SLIPPER SANDALS</t>
  </si>
  <si>
    <t>SLIPPER SANDALS WOMEN MKBAS76:BLACK:40:SOLID:SLIPPER SANDALS</t>
  </si>
  <si>
    <t>SLIPPER SANDALS WOMEN MKBAS76:WHITE:36:SOLID:SLIPPER SANDALS</t>
  </si>
  <si>
    <t>SLIPPER SANDALS WOMEN MKBAS76:WHITE:37:SOLID:SLIPPER SANDALS</t>
  </si>
  <si>
    <t>SLIPPER SANDALS WOMEN MKBAS76:WHITE:38:SOLID:SLIPPER SANDALS</t>
  </si>
  <si>
    <t>SLIPPER SANDALS WOMEN MKBAS76:WHITE:39:SOLID:SLIPPER SANDALS</t>
  </si>
  <si>
    <t>SLIPPER SANDALS WOMEN MKBAS76:WHITE:40:SOLID:SLIPPER SANDALS</t>
  </si>
  <si>
    <t>MKBAS77</t>
  </si>
  <si>
    <t>SLIPPER SANDALS WOMEN MKBAS77:BLACK:36:SOLID:SLIPPER SANDALS</t>
  </si>
  <si>
    <t>SLIPPER SANDALS WOMEN MKBAS77:BLACK:37:SOLID:SLIPPER SANDALS</t>
  </si>
  <si>
    <t>SLIPPER SANDALS WOMEN MKBAS77:BLACK:38:SOLID:SLIPPER SANDALS</t>
  </si>
  <si>
    <t>SLIPPER SANDALS WOMEN MKBAS77:BLACK:39:SOLID:SLIPPER SANDALS</t>
  </si>
  <si>
    <t>SLIPPER SANDALS WOMEN MKBAS77:BLACK:40:SOLID:SLIPPER SANDALS</t>
  </si>
  <si>
    <t>SLIPPER SANDALS WOMEN MKBAS77:LIGHT BLUE:36:SOLID:SLIPPER SANDALS</t>
  </si>
  <si>
    <t>SLIPPER SANDALS WOMEN MKBAS77:LIGHT BLUE:37:SOLID:SLIPPER SANDALS</t>
  </si>
  <si>
    <t>SLIPPER SANDALS WOMEN MKBAS77:LIGHT BLUE:38:SOLID:SLIPPER SANDALS</t>
  </si>
  <si>
    <t>SLIPPER SANDALS WOMEN MKBAS77:LIGHT BLUE:39:SOLID:SLIPPER SANDALS</t>
  </si>
  <si>
    <t>SLIPPER SANDALS WOMEN MKBAS77:LIGHT BLUE:40:SOLID:SLIPPER SANDALS</t>
  </si>
  <si>
    <t>TELLA 1</t>
  </si>
  <si>
    <t>SLINGBACK SANDALS WOMEN TELLA 1:BLACK:36:GRAPHIC:SLINGBACK SANDALS</t>
  </si>
  <si>
    <t>SLINGBACK SANDALS WOMEN TELLA 1:BLACK:37:GRAPHIC:SLINGBACK SANDALS</t>
  </si>
  <si>
    <t>SLINGBACK SANDALS WOMEN TELLA 1:BLACK:38:GRAPHIC:SLINGBACK SANDALS</t>
  </si>
  <si>
    <t>SLINGBACK SANDALS WOMEN TELLA 1:BLACK:39:GRAPHIC:SLINGBACK SANDALS</t>
  </si>
  <si>
    <t>SLINGBACK SANDALS WOMEN TELLA 1:BLACK:40:GRAPHIC:SLINGBACK SANDALS</t>
  </si>
  <si>
    <t>SLINGBACK SANDALS WOMEN TELLA 1:NAVY BLUE:36:GRAPHIC:SLINGBACK SANDALS</t>
  </si>
  <si>
    <t>SLINGBACK SANDALS WOMEN TELLA 1:NAVY BLUE:37:GRAPHIC:SLINGBACK SANDALS</t>
  </si>
  <si>
    <t>SLINGBACK SANDALS WOMEN TELLA 1:NAVY BLUE:38:GRAPHIC:SLINGBACK SANDALS</t>
  </si>
  <si>
    <t>SLINGBACK SANDALS WOMEN TELLA 1:NAVY BLUE:39:GRAPHIC:SLINGBACK SANDALS</t>
  </si>
  <si>
    <t>SLINGBACK SANDALS WOMEN TELLA 1:NAVY BLUE:40:GRAPHIC:SLINGBACK SANDALS</t>
  </si>
  <si>
    <t>MKBAS73</t>
  </si>
  <si>
    <t>SLIPPER SANDALS WOMEN MKBAS73:WHITE:37:PRINT:SLIPPER SANDALS</t>
  </si>
  <si>
    <t>SLIPPER SANDALS WOMEN MKBAS73:WHITE:38:PRINT:SLIPPER SANDALS</t>
  </si>
  <si>
    <t>SLIPPER SANDALS WOMEN MKBAS73:WHITE:39:PRINT:SLIPPER SANDALS</t>
  </si>
  <si>
    <t>SLIPPER SANDALS WOMEN MKBAS73:WHITE:40:PRINT:SLIPPER SANDALS</t>
  </si>
  <si>
    <t>SLIPPER SANDALS WOMEN MKBAS73:BLACK:36:PRINT:SLIPPER SANDALS</t>
  </si>
  <si>
    <t>SLIPPER SANDALS WOMEN MKBAS73:BLACK:37:PRINT:SLIPPER SANDALS</t>
  </si>
  <si>
    <t>SLIPPER SANDALS WOMEN MKBAS73:BLACK:38:PRINT:SLIPPER SANDALS</t>
  </si>
  <si>
    <t>SLIPPER SANDALS WOMEN MKBAS73:BLACK:39:PRINT:SLIPPER SANDALS</t>
  </si>
  <si>
    <t>SLIPPER SANDALS WOMEN MKBAS73:BLACK:40:PRINT:SLIPPER SANDALS</t>
  </si>
  <si>
    <t>MKBAS75</t>
  </si>
  <si>
    <t>SLINGBACK SANDALS WOMEN MKBAS75:KHAKI:36:PRINT:SLINGBACK SANDALS</t>
  </si>
  <si>
    <t>SLINGBACK SANDALS WOMEN MKBAS75:KHAKI:37:PRINT:SLINGBACK SANDALS</t>
  </si>
  <si>
    <t>SLINGBACK SANDALS WOMEN MKBAS75:KHAKI:38:PRINT:SLINGBACK SANDALS</t>
  </si>
  <si>
    <t>SLINGBACK SANDALS WOMEN MKBAS75:KHAKI:39:PRINT:SLINGBACK SANDALS</t>
  </si>
  <si>
    <t>SLINGBACK SANDALS WOMEN MKBAS75:KHAKI:40:PRINT:SLINGBACK SANDALS</t>
  </si>
  <si>
    <t>SLINGBACK SANDALS WOMEN MKBAS75:BLACK:36:PRINT:SLINGBACK SANDALS</t>
  </si>
  <si>
    <t>SLINGBACK SANDALS WOMEN MKBAS75:BLACK:37:PRINT:SLINGBACK SANDALS</t>
  </si>
  <si>
    <t>SLINGBACK SANDALS WOMEN MKBAS75:BLACK:39:PRINT:SLINGBACK SANDALS</t>
  </si>
  <si>
    <t>SLINGBACK SANDALS WOMEN MKBAS75:BLACK:40:PRINT:SLINGBACK SANDALS</t>
  </si>
  <si>
    <t>SLINGBACK SANDALS WOMEN MKBAS75:BLACK:38:PRINT:SLINGBACK SANDALS</t>
  </si>
  <si>
    <t>MKBAS74</t>
  </si>
  <si>
    <t>FLIP FLOPS WOMEN MKBAS74:BLACK:36:PRINT:FLIP FLOPS</t>
  </si>
  <si>
    <t>FLIP FLOPS WOMEN MKBAS74:BLACK:37:PRINT:FLIP FLOPS</t>
  </si>
  <si>
    <t>FLIP FLOPS WOMEN MKBAS74:BLACK:38:PRINT:FLIP FLOPS</t>
  </si>
  <si>
    <t>FLIP FLOPS WOMEN MKBAS74:BLACK:39:PRINT:FLIP FLOPS</t>
  </si>
  <si>
    <t>FLIP FLOPS WOMEN MKBAS74:BLACK:40:PRINT:FLIP FLOPS</t>
  </si>
  <si>
    <t>MKBAS47</t>
  </si>
  <si>
    <t>SLIPPER SANDALS WOMEN MKBAS47:BLACK:36:PRINT:SLIPPER SANDALS</t>
  </si>
  <si>
    <t>SLIPPER SANDALS WOMEN MKBAS47:BLACK:37:PRINT:SLIPPER SANDALS</t>
  </si>
  <si>
    <t>SLIPPER SANDALS WOMEN MKBAS47:BLACK:38:PRINT:SLIPPER SANDALS</t>
  </si>
  <si>
    <t>SLIPPER SANDALS WOMEN MKBAS47:BLACK:39:PRINT:SLIPPER SANDALS</t>
  </si>
  <si>
    <t>SLIPPER SANDALS WOMEN MKBAS47:BLACK:40:PRINT:SLIPPER SANDALS</t>
  </si>
  <si>
    <t>SLIPPER SANDALS WOMEN MKBAS47:NAVY BLUE:36:PRINT:SLIPPER SANDALS</t>
  </si>
  <si>
    <t>SLIPPER SANDALS WOMEN MKBAS47:NAVY BLUE:37:PRINT:SLIPPER SANDALS</t>
  </si>
  <si>
    <t>SLIPPER SANDALS WOMEN MKBAS47:NAVY BLUE:38:PRINT:SLIPPER SANDALS</t>
  </si>
  <si>
    <t>SLIPPER SANDALS WOMEN MKBAS47:NAVY BLUE:39:PRINT:SLIPPER SANDALS</t>
  </si>
  <si>
    <t>SLIPPER SANDALS WOMEN MKBAS47:NAVY BLUE:40:PRINT:SLIPPER SANDALS</t>
  </si>
  <si>
    <t>MKBAS57</t>
  </si>
  <si>
    <t>SLIPPER SANDALS WOMEN MKBAS57:BLACK:36:SOLID:SLIPPER SANDALS</t>
  </si>
  <si>
    <t>SLIPPER SANDALS WOMEN MKBAS57:BLACK:37:SOLID:SLIPPER SANDALS</t>
  </si>
  <si>
    <t>SLIPPER SANDALS WOMEN MKBAS57:BLACK:38:SOLID:SLIPPER SANDALS</t>
  </si>
  <si>
    <t>SLIPPER SANDALS WOMEN MKBAS57:BLACK:39:SOLID:SLIPPER SANDALS</t>
  </si>
  <si>
    <t>SLIPPER SANDALS WOMEN MKBAS57:BLACK:40:SOLID:SLIPPER SANDALS</t>
  </si>
  <si>
    <t>SLIPPER SANDALS WOMEN MKBAS57:KHAKI:36:PRINT:SLIPPER SANDALS</t>
  </si>
  <si>
    <t>SLIPPER SANDALS WOMEN MKBAS57:KHAKI:37:PRINT:SLIPPER SANDALS</t>
  </si>
  <si>
    <t>SLIPPER SANDALS WOMEN MKBAS57:KHAKI:38:PRINT:SLIPPER SANDALS</t>
  </si>
  <si>
    <t>SLIPPER SANDALS WOMEN MKBAS57:KHAKI:39:PRINT:SLIPPER SANDALS</t>
  </si>
  <si>
    <t>SLIPPER SANDALS WOMEN MKBAS57:KHAKI:40:PRINT:SLIPPER SANDALS</t>
  </si>
  <si>
    <t>MKBAS71</t>
  </si>
  <si>
    <t>SLIPPER SANDALS WOMEN MKBAS71:WHITE:36:PRINT:SLIPPER SANDALS</t>
  </si>
  <si>
    <t>SLIPPER SANDALS WOMEN MKBAS71:WHITE:37:PRINT:SLIPPER SANDALS</t>
  </si>
  <si>
    <t>SLIPPER SANDALS WOMEN MKBAS71:WHITE:38:PRINT:SLIPPER SANDALS</t>
  </si>
  <si>
    <t>SLIPPER SANDALS WOMEN MKBAS71:WHITE:39:PRINT:SLIPPER SANDALS</t>
  </si>
  <si>
    <t>SLIPPER SANDALS WOMEN MKBAS71:WHITE:40:PRINT:SLIPPER SANDALS</t>
  </si>
  <si>
    <t>SLIPPER SANDALS WOMEN MKBAS71:KHAKI:36:PRINT:SLIPPER SANDALS</t>
  </si>
  <si>
    <t>SLIPPER SANDALS WOMEN MKBAS71:KHAKI:37:PRINT:SLIPPER SANDALS</t>
  </si>
  <si>
    <t>SLIPPER SANDALS WOMEN MKBAS71:KHAKI:38:PRINT:SLIPPER SANDALS</t>
  </si>
  <si>
    <t>SLIPPER SANDALS WOMEN MKBAS71:KHAKI:39:PRINT:SLIPPER SANDALS</t>
  </si>
  <si>
    <t>SLIPPER SANDALS WOMEN MKBAS71:KHAKI:40:PRINT:SLIPPER SANDALS</t>
  </si>
  <si>
    <t>SLIPPER SANDALS MICKEY MKBAS34:WHITE:40:SOLID:SLIPPER SANDALS</t>
  </si>
  <si>
    <t>SLIPPER SANDALS MICKEY MKBAS34:WHITE:38:SOLID:SLIPPER SANDALS</t>
  </si>
  <si>
    <t>SLIPPER SANDALS MICKEY MKBAS34:WHITE:36:SOLID:SLIPPER SANDALS</t>
  </si>
  <si>
    <t>SLIPPER SANDALS MICKEY MKBAS34:WHITE:37:SOLID:SLIPPER SANDALS</t>
  </si>
  <si>
    <t>SLIPPER SANDALS MICKEY MKBAS34:WHITE:39:SOLID:SLIPPER SANDALS</t>
  </si>
  <si>
    <t>SLIPPER SANDALS WOMEN MKBAS34:BLACK:36:PRINT:SLIPPER SANDALS</t>
  </si>
  <si>
    <t>SLIPPER SANDALS WOMEN MKBAS34:BLACK:37:PRINT:SLIPPER SANDALS</t>
  </si>
  <si>
    <t>SLIPPER SANDALS WOMEN MKBAS34:BLACK:38:PRINT:SLIPPER SANDALS</t>
  </si>
  <si>
    <t>SLIPPER SANDALS WOMEN MKBAS34:BLACK:39:PRINT:SLIPPER SANDALS</t>
  </si>
  <si>
    <t>SLIPPER SANDALS WOMEN MKBAS34:BLACK:40:PRINT:SLIPPER SANDALS</t>
  </si>
  <si>
    <t>FLIP FLOPS WOMEN MKBAS74:KHAKI:36:PRINT:FLIP FLOPS</t>
  </si>
  <si>
    <t>FLIP FLOPS WOMEN MKBAS74:KHAKI:37:PRINT:FLIP FLOPS</t>
  </si>
  <si>
    <t>FLIP FLOPS WOMEN MKBAS74:KHAKI:38:PRINT:FLIP FLOPS</t>
  </si>
  <si>
    <t>FLIP FLOPS WOMEN MKBAS74:KHAKI:39:PRINT:FLIP FLOPS</t>
  </si>
  <si>
    <t>FLIP FLOPS WOMEN MKBAS74:KHAKI:40:PRINT:FLIP FLOPS</t>
  </si>
  <si>
    <t>MKBAS78</t>
  </si>
  <si>
    <t>SLINGBACK SANDALS WOMEN MKBAS78:WHITE:36:PRINT:SLINGBACK SANDALS</t>
  </si>
  <si>
    <t>SLINGBACK SANDALS WOMEN MKBAS78:WHITE:37:PRINT:SLINGBACK SANDALS</t>
  </si>
  <si>
    <t>SLINGBACK SANDALS WOMEN MKBAS78:WHITE:38:PRINT:SLINGBACK SANDALS</t>
  </si>
  <si>
    <t>SLINGBACK SANDALS WOMEN MKBAS78:WHITE:39:PRINT:SLINGBACK SANDALS</t>
  </si>
  <si>
    <t>SLINGBACK SANDALS WOMEN MKBAS78:WHITE:40:PRINT:SLINGBACK SANDALS</t>
  </si>
  <si>
    <t>SLINGBACK SANDALS WOMEN MKBAS78:BLACK:36:PRINT:SLINGBACK SANDALS</t>
  </si>
  <si>
    <t>SLINGBACK SANDALS WOMEN MKBAS78:BLACK:37:PRINT:SLINGBACK SANDALS</t>
  </si>
  <si>
    <t>SLINGBACK SANDALS WOMEN MKBAS78:BLACK:38:PRINT:SLINGBACK SANDALS</t>
  </si>
  <si>
    <t>SLINGBACK SANDALS WOMEN MKBAS78:BLACK:39:PRINT:SLINGBACK SANDALS</t>
  </si>
  <si>
    <t>SLINGBACK SANDALS WOMEN MKBAS78:BLACK:40:PRINT:SLINGBACK SANDALS</t>
  </si>
  <si>
    <t>MST01</t>
  </si>
  <si>
    <t>SLIPPER SANDALS WOMEN MST01:LIGHT BLUE:36:PRINT:SLIPPER SANDALS</t>
  </si>
  <si>
    <t>SLIPPER SANDALS WOMEN MST01:LIGHT BLUE:37:PRINT:SLIPPER SANDALS</t>
  </si>
  <si>
    <t>SLIPPER SANDALS WOMEN MST01:LIGHT BLUE:38:PRINT:SLIPPER SANDALS</t>
  </si>
  <si>
    <t>SLIPPER SANDALS WOMEN MST01:LIGHT BLUE:39:PRINT:SLIPPER SANDALS</t>
  </si>
  <si>
    <t>SLIPPER SANDALS WOMEN MST01:LIGHT BLUE:40:PRINT:SLIPPER SANDALS</t>
  </si>
  <si>
    <t>SLIPPER SANDALS WOMEN MST01:BLACK:36:PRINT:SLIPPER SANDALS</t>
  </si>
  <si>
    <t>SLIPPER SANDALS WOMEN MST01:BLACK:37:PRINT:SLIPPER SANDALS</t>
  </si>
  <si>
    <t>SLIPPER SANDALS WOMEN MST01:BLACK:38:PRINT:SLIPPER SANDALS</t>
  </si>
  <si>
    <t>SLIPPER SANDALS WOMEN MST01:BLACK:39:PRINT:SLIPPER SANDALS</t>
  </si>
  <si>
    <t>SLIPPER SANDALS WOMEN MST01:BLACK:40:PRINT:SLIPPER SANDALS</t>
  </si>
  <si>
    <t>MWC001</t>
  </si>
  <si>
    <t>FLIP FLOPS WOMEN MWC001:KHAKI:36:SOLID:FLIP FLOPS</t>
  </si>
  <si>
    <t>FLIP FLOPS WOMEN MWC001:KHAKI:37:SOLID:FLIP FLOPS</t>
  </si>
  <si>
    <t>FLIP FLOPS WOMEN MWC001:KHAKI:38:SOLID:FLIP FLOPS</t>
  </si>
  <si>
    <t>FLIP FLOPS WOMEN MWC001:KHAKI:39:SOLID:FLIP FLOPS</t>
  </si>
  <si>
    <t>FLIP FLOPS WOMEN MWC001:KHAKI:40:SOLID:FLIP FLOPS</t>
  </si>
  <si>
    <t>FLIP FLOPS WOMEN MWC001:BLACK:36:SOLID:FLIP FLOPS</t>
  </si>
  <si>
    <t>FLIP FLOPS WOMEN MWC001:BLACK:37:SOLID:FLIP FLOPS</t>
  </si>
  <si>
    <t>FLIP FLOPS WOMEN MWC001:BLACK:38:SOLID:FLIP FLOPS</t>
  </si>
  <si>
    <t>FLIP FLOPS WOMEN MWC001:BLACK:39:SOLID:FLIP FLOPS</t>
  </si>
  <si>
    <t>FLIP FLOPS WOMEN MWC001:BLACK:40:SOLID:FLIP FLOPS</t>
  </si>
  <si>
    <t>MB2</t>
  </si>
  <si>
    <t>BALLERINAS WOMEN MB2:BLACK:40:SOLID:BALLERINA</t>
  </si>
  <si>
    <t>BALLERINAS WOMEN MB2:KHAKI:36:SOLID:BALLERINA</t>
  </si>
  <si>
    <t>BALLERINAS WOMEN MB2:KHAKI:37:SOLID:BALLERINA</t>
  </si>
  <si>
    <t>BALLERINAS WOMEN MB2:KHAKI:38:SOLID:BALLERINA</t>
  </si>
  <si>
    <t>BALLERINAS WOMEN MB2:KHAKI:39:SOLID:BALLERINA</t>
  </si>
  <si>
    <t>BALLERINAS WOMEN MB2:KHAKI:40:SOLID:BALLERINA</t>
  </si>
  <si>
    <t>BALLERINAS WOMEN MB2:BLACK:39:SOLID:BALLERINA</t>
  </si>
  <si>
    <t>BALLERINAS WOMEN MB2:BLACK:38:SOLID:BALLERINA</t>
  </si>
  <si>
    <t>BALLERINAS WOMEN MB2:BLACK:37:SOLID:BALLERINA</t>
  </si>
  <si>
    <t>BALLERINAS WOMEN MB2:BLACK:36:SOLID:BALLERINA</t>
  </si>
  <si>
    <t>MB3</t>
  </si>
  <si>
    <t>BALLERINAS WOMEN MB3:BLACK:36:SOLID:BALLERINA</t>
  </si>
  <si>
    <t>BALLERINAS WOMEN MB3:OFF WHITE:36:SOLID:BALLERINA</t>
  </si>
  <si>
    <t>BALLERINAS WOMEN MB3:OFF WHITE:37:SOLID:BALLERINA</t>
  </si>
  <si>
    <t>BALLERINAS WOMEN MB3:OFF WHITE:38:SOLID:BALLERINA</t>
  </si>
  <si>
    <t>BALLERINAS WOMEN MB3:OFF WHITE:39:SOLID:BALLERINA</t>
  </si>
  <si>
    <t>BALLERINAS WOMEN MB3:OFF WHITE:40:SOLID:BALLERINA</t>
  </si>
  <si>
    <t>BALLERINAS WOMEN MB3:BLACK:37:SOLID:BALLERINA</t>
  </si>
  <si>
    <t>BALLERINAS WOMEN MB3:BLACK:38:SOLID:BALLERINA</t>
  </si>
  <si>
    <t>BALLERINAS WOMEN MB3:BLACK:39:SOLID:BALLERINA</t>
  </si>
  <si>
    <t>BALLERINAS WOMEN MB3:BLACK:40:SOLID:BALLERINA</t>
  </si>
  <si>
    <t>MB1</t>
  </si>
  <si>
    <t>BALLERINAS WOMEN MB1:KHAKI:36:PRINT:BALLERINA</t>
  </si>
  <si>
    <t>BALLERINAS WOMEN MB1:KHAKI:37:PRINT:BALLERINA</t>
  </si>
  <si>
    <t>BALLERINAS WOMEN MB1:KHAKI:38:PRINT:BALLERINA</t>
  </si>
  <si>
    <t>BALLERINAS WOMEN MB1:KHAKI:39:PRINT:BALLERINA</t>
  </si>
  <si>
    <t>BALLERINAS WOMEN MB1:KHAKI:40:PRINT:BALLERINA</t>
  </si>
  <si>
    <t>SNIK02</t>
  </si>
  <si>
    <t>SNEAKERS WOMEN SNIK02:KHAKI:36:SOLID:SNEAKERS</t>
  </si>
  <si>
    <t>SNEAKERS WOMEN SNIK02:KHAKI:37:SOLID:SNEAKERS</t>
  </si>
  <si>
    <t>SNEAKERS WOMEN SNIK02:KHAKI:38:SOLID:SNEAKERS</t>
  </si>
  <si>
    <t>SNEAKERS WOMEN SNIK02:KHAKI:39:SOLID:SNEAKERS</t>
  </si>
  <si>
    <t>SNEAKERS WOMEN SNIK02:KHAKI:40:SOLID:SNEAKERS</t>
  </si>
  <si>
    <t>SNEAKERS WOMEN SNIK02:BLACK:36:SOLID:SNEAKERS</t>
  </si>
  <si>
    <t>SNEAKERS WOMEN SNIK02:BLACK:37:SOLID:SNEAKERS</t>
  </si>
  <si>
    <t>SNEAKERS WOMEN SNIK02:BLACK:38:SOLID:SNEAKERS</t>
  </si>
  <si>
    <t>SNEAKERS WOMEN SNIK02:BLACK:39:SOLID:SNEAKERS</t>
  </si>
  <si>
    <t>SNEAKERS WOMEN SNIK02:BLACK:40:SOLID:SNEAKERS</t>
  </si>
  <si>
    <t>SNIK03</t>
  </si>
  <si>
    <t>SNEAKERS WOMEN SNIK03:WHITE:36:SOLID:SNEAKERS</t>
  </si>
  <si>
    <t>SNEAKERS WOMEN SNIK03:WHITE:37:SOLID:SNEAKERS</t>
  </si>
  <si>
    <t>SNEAKERS WOMEN SNIK03:WHITE:38:SOLID:SNEAKERS</t>
  </si>
  <si>
    <t>SNEAKERS WOMEN SNIK03:WHITE:39:SOLID:SNEAKERS</t>
  </si>
  <si>
    <t>SNEAKERS WOMEN SNIK03:WHITE:40:SOLID:SNEAKERS</t>
  </si>
  <si>
    <t>SNEAKERS WOMEN SNIK03:BLACK:36:SOLID:SNEAKERS</t>
  </si>
  <si>
    <t>SNEAKERS WOMEN SNIK03:BLACK:37:SOLID:SNEAKERS</t>
  </si>
  <si>
    <t>SNEAKERS WOMEN SNIK03:BLACK:38:SOLID:SNEAKERS</t>
  </si>
  <si>
    <t>SNEAKERS WOMEN SNIK03:BLACK:39:SOLID:SNEAKERS</t>
  </si>
  <si>
    <t>SNEAKERS WOMEN SNIK03:BLACK:40:SOLID:SNEAKERS</t>
  </si>
  <si>
    <t>DND2407</t>
  </si>
  <si>
    <t>FLIP FLOPS WOMEN DND2407:PASTEL YELLOW:S:PRINT:FLIP FLOPS</t>
  </si>
  <si>
    <t>FLIP FLOPS WOMEN DND2407:PASTEL YELLOW:M:PRINT:FLIP FLOPS</t>
  </si>
  <si>
    <t>FLIP FLOPS WOMEN DND2407:PASTEL YELLOW:L:PRINT:FLIP FLOPS</t>
  </si>
  <si>
    <t>FLIP FLOPS WOMEN DND2407:PASTEL YELLOW:XL:PRINT:FLIP FLOPS</t>
  </si>
  <si>
    <t>DND2311</t>
  </si>
  <si>
    <t>FLIP FLOPS WOMEN DND2311:BLACK:S:PRINT:FLIP FLOPS</t>
  </si>
  <si>
    <t>FLIP FLOPS WOMEN DND2311:BLACK:M:PRINT:FLIP FLOPS</t>
  </si>
  <si>
    <t>FLIP FLOPS WOMEN DND2311:BLACK:L:PRINT:FLIP FLOPS</t>
  </si>
  <si>
    <t>FLIP FLOPS WOMEN DND2311:BLACK:XL:PRINT:FLIP FLOPS</t>
  </si>
  <si>
    <t>DND2405</t>
  </si>
  <si>
    <t>FLIP FLOPS WOMEN DND2405:NAVY BLUE:S:PRINT:FLIP FLOPS</t>
  </si>
  <si>
    <t>FLIP FLOPS WOMEN DND2405:NAVY BLUE:M:PRINT:FLIP FLOPS</t>
  </si>
  <si>
    <t>FLIP FLOPS WOMEN DND2405:NAVY BLUE:L:PRINT:FLIP FLOPS</t>
  </si>
  <si>
    <t>FLIP FLOPS WOMEN DND2405:NAVY BLUE:XL:PRINT:FLIP FLOPS</t>
  </si>
  <si>
    <t>DND09</t>
  </si>
  <si>
    <t>SLIP ON WOMEN DND09:WHITE:36:PRINT:SLIP ON</t>
  </si>
  <si>
    <t>SLIP ON WOMEN DND09:WHITE:37:PRINT:SLIP ON</t>
  </si>
  <si>
    <t>SLIP ON WOMEN DND09:WHITE:38:PRINT:SLIP ON</t>
  </si>
  <si>
    <t>SLIP ON WOMEN DND09:WHITE:39:PRINT:SLIP ON</t>
  </si>
  <si>
    <t>SLIP ON WOMEN DND09:WHITE:40:PRINT:SLIP ON</t>
  </si>
  <si>
    <t>SLIP ON WOMEN DND09:LIGHT BLUE:36:PRINT:SLIP ON</t>
  </si>
  <si>
    <t>SLIP ON WOMEN DND09:LIGHT BLUE:37:PRINT:SLIP ON</t>
  </si>
  <si>
    <t>SLIP ON WOMEN DND09:LIGHT BLUE:38:PRINT:SLIP ON</t>
  </si>
  <si>
    <t>SLIP ON WOMEN DND09:LIGHT BLUE:39:PRINT:SLIP ON</t>
  </si>
  <si>
    <t>SLIP ON WOMEN DND09:LIGHT BLUE:40:PRINT:SLIP ON</t>
  </si>
  <si>
    <t>DND10</t>
  </si>
  <si>
    <t>SLIP ON WOMEN DND10:WHITE:36:PRINT:SLIP ON</t>
  </si>
  <si>
    <t>SLIP ON WOMEN DND10:WHITE:37:PRINT:SLIP ON</t>
  </si>
  <si>
    <t>SLIP ON WOMEN DND10:WHITE:38:PRINT:SLIP ON</t>
  </si>
  <si>
    <t>SLIP ON WOMEN DND10:WHITE:39:PRINT:SLIP ON</t>
  </si>
  <si>
    <t>SLIP ON WOMEN DND10:WHITE:40:PRINT:SLIP ON</t>
  </si>
  <si>
    <t>STBAS01</t>
  </si>
  <si>
    <t>SLIPPER SANDALS WOMEN STBAS01:PASTEL PINK:36:PRINT:SLIPPER SANDALS</t>
  </si>
  <si>
    <t>SLIPPER SANDALS WOMEN STBAS01:PASTEL PINK:37:PRINT:SLIPPER SANDALS</t>
  </si>
  <si>
    <t>SLIPPER SANDALS WOMEN STBAS01:PASTEL PINK:38:PRINT:SLIPPER SANDALS</t>
  </si>
  <si>
    <t>SLIPPER SANDALS WOMEN STBAS01:PASTEL PINK:39:PRINT:SLIPPER SANDALS</t>
  </si>
  <si>
    <t>SLIPPER SANDALS WOMEN STBAS01:PASTEL PINK:40:PRINT:SLIPPER SANDALS</t>
  </si>
  <si>
    <t>STBAS02</t>
  </si>
  <si>
    <t>SLIPPER SANDALS WOMEN STBAS02:NAVY BLUE:36:PRINT:SLIPPER SANDALS</t>
  </si>
  <si>
    <t>SLIPPER SANDALS WOMEN STBAS02:NAVY BLUE:37:PRINT:SLIPPER SANDALS</t>
  </si>
  <si>
    <t>SLIPPER SANDALS WOMEN STBAS02:NAVY BLUE:38:PRINT:SLIPPER SANDALS</t>
  </si>
  <si>
    <t>SLIPPER SANDALS WOMEN STBAS02:NAVY BLUE:39:PRINT:SLIPPER SANDALS</t>
  </si>
  <si>
    <t>SLIPPER SANDALS WOMEN STBAS02:NAVY BLUE:40:PRINT:SLIPPER SANDALS</t>
  </si>
  <si>
    <t>TS1713</t>
  </si>
  <si>
    <t>FLIP FLOPS TSUM TSUM TS1713:OLIVE:S:SOLID:FLIP FLOPS</t>
  </si>
  <si>
    <t>FLIP FLOPS TSUM TSUM TS1713:BLACK:S:SOLID:FLIP FLOPS</t>
  </si>
  <si>
    <t>FLIP FLOPS TSUM TSUM TS1713:CLASSIC PURPLE:M:SOLID:FLIP FLOPS</t>
  </si>
  <si>
    <t>FLIP FLOPS TSUM TSUM TS1713:BLACK:L:SOLID:FLIP FLOPS</t>
  </si>
  <si>
    <t>FLIP FLOPS TSUM TSUM TS1713:NAVY BLUE:M:SOLID:FLIP FLOPS</t>
  </si>
  <si>
    <t>FLIP FLOPS TSUM TSUM TS1713:OLIVE:L:SOLID:FLIP FLOPS</t>
  </si>
  <si>
    <t>FLIP FLOPS TSUM TSUM TS1713:OLIVE:XL:SOLID:FLIP FLOPS</t>
  </si>
  <si>
    <t>FLIP FLOPS TSUM TSUM TS1713:CLASSIC PURPLE:L:SOLID:FLIP FLOPS</t>
  </si>
  <si>
    <t>FLIP FLOPS TSUM TSUM TS1713:CLASSIC PURPLE:XL:SOLID:FLIP FLOPS</t>
  </si>
  <si>
    <t>FLIP FLOPS TSUM TSUM TS1713:BLACK:M:SOLID:FLIP FLOPS</t>
  </si>
  <si>
    <t>FLIP FLOPS TSUM TSUM TS1713:OLIVE:M:SOLID:FLIP FLOPS</t>
  </si>
  <si>
    <t>FLIP FLOPS TSUM TSUM TS1713:NAVY BLUE:S:SOLID:FLIP FLOPS</t>
  </si>
  <si>
    <t>FLIP FLOPS TSUM TSUM TS1713:NAVY BLUE:L:SOLID:FLIP FLOPS</t>
  </si>
  <si>
    <t>FLIP FLOPS TSUM TSUM TS1713:CLASSIC PURPLE:S:SOLID:FLIP FLOPS</t>
  </si>
  <si>
    <t>FLIP FLOPS TSUM TSUM TS1713:NAVY BLUE:XL:SOLID:FLIP FLOPS</t>
  </si>
  <si>
    <t>FLIP FLOPS TSUM TSUM TS1713:BLACK:XL:SOLID:FLIP FLOPS</t>
  </si>
  <si>
    <t>T-BAR SANDALS WOMEN TS211:WOOD BROWN:36:SOLID:T-BAR SANDALS</t>
  </si>
  <si>
    <t>T-BAR SANDALS WOMEN TS211:WOOD BROWN:37:SOLID:T-BAR SANDALS</t>
  </si>
  <si>
    <t>T-BAR SANDALS WOMEN TS211:WOOD BROWN:38:SOLID:T-BAR SANDALS</t>
  </si>
  <si>
    <t>T-BAR SANDALS WOMEN TS211:WOOD BROWN:39:SOLID:T-BAR SANDALS</t>
  </si>
  <si>
    <t>T-BAR SANDALS WOMEN TS211:WOOD BROWN:40:SOLID:T-BAR SANDALS</t>
  </si>
  <si>
    <t>STITCH2404</t>
  </si>
  <si>
    <t>FLIP FLOPS WOMEN STITCH2404:NAVY BLUE:M:PRINT:FLIP FLOPS</t>
  </si>
  <si>
    <t>FLIP FLOPS WOMEN STITCH2404:NAVY BLUE:S:PRINT:FLIP FLOPS</t>
  </si>
  <si>
    <t>FLIP FLOPS WOMEN STITCH2404:NAVY BLUE:L:PRINT:FLIP FLOPS</t>
  </si>
  <si>
    <t>FLIP FLOPS WOMEN STITCH2404:NAVY BLUE:XL:PRINT:FLIP FLOPS</t>
  </si>
  <si>
    <t>STITCH2402</t>
  </si>
  <si>
    <t>SLIPPER SANDALS WOMEN STITCH2402:LIGHT BLUE:36:PRINT:SLIPPER SANDALS</t>
  </si>
  <si>
    <t>SLIPPER SANDALS WOMEN STITCH2402:LIGHT BLUE:37:PRINT:SLIPPER SANDALS</t>
  </si>
  <si>
    <t>SLIPPER SANDALS WOMEN STITCH2402:LIGHT BLUE:38:PRINT:SLIPPER SANDALS</t>
  </si>
  <si>
    <t>SLIPPER SANDALS WOMEN STITCH2402:LIGHT BLUE:39:PRINT:SLIPPER SANDALS</t>
  </si>
  <si>
    <t>SLIPPER SANDALS WOMEN STITCH2402:LIGHT BLUE:40:PRINT:SLIPPER SANDALS</t>
  </si>
  <si>
    <t>SLIPPER SANDALS MICKEY MKBAS72:BLACK:36:PRINT:SLIPPER SANDALS</t>
  </si>
  <si>
    <t>SLIPPER SANDALS MICKEY MKBAS72:BLACK:37:PRINT:SLIPPER SANDALS</t>
  </si>
  <si>
    <t>SLIPPER SANDALS MICKEY MKBAS72:BLACK:38:PRINT:SLIPPER SANDALS</t>
  </si>
  <si>
    <t>SLIPPER SANDALS MICKEY MKBAS72:BLACK:39:PRINT:SLIPPER SANDALS</t>
  </si>
  <si>
    <t>SLIPPER SANDALS MICKEY MKBAS72:BLACK:40:PRINT:SLIPPER SANDALS</t>
  </si>
  <si>
    <t>MST07</t>
  </si>
  <si>
    <t>SLIPPER SANDALS WOMEN MST07:BLACK:37:SOLID:SLIPPER SANDALS</t>
  </si>
  <si>
    <t>SLIPPER SANDALS WOMEN MST07:BLACK:38:SOLID:SLIPPER SANDALS</t>
  </si>
  <si>
    <t>SLIPPER SANDALS WOMEN MST07:BLACK:39:SOLID:SLIPPER SANDALS</t>
  </si>
  <si>
    <t>SLIPPER SANDALS WOMEN MST07:BLACK:40:SOLID:SLIPPER SANDALS</t>
  </si>
  <si>
    <t>DSY01</t>
  </si>
  <si>
    <t>SLIPPER SANDALS WOMEN DSY01:PASTEL PURPLE:37:SOLID:SLIPPER SANDALS</t>
  </si>
  <si>
    <t>SLIPPER SANDALS WOMEN DSY01:PASTEL PURPLE:38:SOLID:SLIPPER SANDALS</t>
  </si>
  <si>
    <t>SLIPPER SANDALS WOMEN DSY01:PASTEL PURPLE:39:SOLID:SLIPPER SANDALS</t>
  </si>
  <si>
    <t>SLIPPER SANDALS WOMEN DSY01:PASTEL PURPLE:40:SOLID:SLIPPER SANDALS</t>
  </si>
  <si>
    <t>SLIPPER SANDALS WOMEN MST07:BLACK:36:SOLID:SLIPPER SANDALS</t>
  </si>
  <si>
    <t>MCLO1</t>
  </si>
  <si>
    <t>CROCS WOMEN MCLO1:BLACK:37:SOLID:CROCS</t>
  </si>
  <si>
    <t>CROCS WOMEN MCLO1:BLACK:38:SOLID:CROCS</t>
  </si>
  <si>
    <t>CROCS WOMEN MCLO1:BLACK:39:SOLID:CROCS</t>
  </si>
  <si>
    <t>CROCS WOMEN MCLO1:BLACK:40:SOLID:CROCS</t>
  </si>
  <si>
    <t>SLIPPER SANDALS WOMEN DSY01:PASTEL PURPLE:36:SOLID:SLIPPER SANDALS</t>
  </si>
  <si>
    <t>CROCS WOMEN MCLO1:BLACK:36:SOLID:CROCS</t>
  </si>
  <si>
    <t>DND08</t>
  </si>
  <si>
    <t>SNEAKERS WOMEN DND08:WHITE:36:SOLID:SNEAKERS</t>
  </si>
  <si>
    <t>SNEAKERS WOMEN DND08:WHITE:37:SOLID:SNEAKERS</t>
  </si>
  <si>
    <t>SNEAKERS WOMEN DND08:WHITE:38:SOLID:SNEAKERS</t>
  </si>
  <si>
    <t>SNEAKERS WOMEN DND08:WHITE:39:SOLID:SNEAKERS</t>
  </si>
  <si>
    <t>SNEAKERS WOMEN DND08:WHITE:40:SOLID:SNEAKERS</t>
  </si>
  <si>
    <t>2019 OLDER D95</t>
  </si>
  <si>
    <t>FLIP FLOPS WOMEN MK2206:BLACK:S:SOLID:FLIP FLOPS</t>
  </si>
  <si>
    <t>FLIP FLOPS WOMEN MK2206:BLACK:L:SOLID:FLIP FLOPS</t>
  </si>
  <si>
    <t>FLIP FLOPS WOMEN MK2206:BLACK:XL:SOLID:FLIP FLOPS</t>
  </si>
  <si>
    <t>FLIP FLOPS WOMEN MK2206:BLACK:M:SOLID:FLIP FLOPS</t>
  </si>
  <si>
    <t>MKBAS28</t>
  </si>
  <si>
    <t>SLIPPER SANDALS MICKEY MKBAS28:BLACK:36:SOLID:SLIPPER SANDALS</t>
  </si>
  <si>
    <t>SLIPPER SANDALS MICKEY MKBAS28:BLACK:37:SOLID:SLIPPER SANDALS</t>
  </si>
  <si>
    <t>SLIPPER SANDALS MICKEY MKBAS28:BLACK:38:SOLID:SLIPPER SANDALS</t>
  </si>
  <si>
    <t>SLIPPER SANDALS MICKEY MKBAS28:BLACK:39:SOLID:SLIPPER SANDALS</t>
  </si>
  <si>
    <t>SLIPPER SANDALS MICKEY MKBAS28:BLACK:40:SOLID:SLIPPER SANDALS</t>
  </si>
  <si>
    <t>SLIPPER SANDALS MICKEY MKBAS28:MUSTARD:36:SOLID:SLIPPER SANDALS</t>
  </si>
  <si>
    <t>SLIPPER SANDALS MICKEY MKBAS28:MUSTARD:37:SOLID:SLIPPER SANDALS</t>
  </si>
  <si>
    <t>SLIPPER SANDALS MICKEY MKBAS28:MUSTARD:38:SOLID:SLIPPER SANDALS</t>
  </si>
  <si>
    <t>SLIPPER SANDALS MICKEY MKBAS28:MUSTARD:39:SOLID:SLIPPER SANDALS</t>
  </si>
  <si>
    <t>SLIPPER SANDALS MICKEY MKBAS28:MUSTARD:40:SOLID:SLIPPER SANDALS</t>
  </si>
  <si>
    <t>MKBAS79</t>
  </si>
  <si>
    <t>SLIPPER SANDALS MICKEY MKBAS79:BLACK:36:PRINT:SLIPPER SANDALS</t>
  </si>
  <si>
    <t>SLIPPER SANDALS MICKEY MKBAS79:BLACK:37:PRINT:SLIPPER SANDALS</t>
  </si>
  <si>
    <t>SLIPPER SANDALS MICKEY MKBAS79:BLACK:38:PRINT:SLIPPER SANDALS</t>
  </si>
  <si>
    <t>SLIPPER SANDALS MICKEY MKBAS79:BLACK:39:PRINT:SLIPPER SANDALS</t>
  </si>
  <si>
    <t>SLIPPER SANDALS MICKEY MKBAS79:BLACK:40:PRINT:SLIPPER SANDALS</t>
  </si>
  <si>
    <t>SLIPPER SANDALS MICKEY MKBAS79:WHITE:36:PRINT:SLIPPER SANDALS</t>
  </si>
  <si>
    <t>SLIPPER SANDALS MICKEY MKBAS79:WHITE:37:PRINT:SLIPPER SANDALS</t>
  </si>
  <si>
    <t>SLIPPER SANDALS MICKEY MKBAS79:WHITE:38:PRINT:SLIPPER SANDALS</t>
  </si>
  <si>
    <t>SLIPPER SANDALS MICKEY MKBAS79:WHITE:39:PRINT:SLIPPER SANDALS</t>
  </si>
  <si>
    <t>SLIPPER SANDALS MICKEY MKBAS79:WHITE:40:PRINT:SLIPPER SANDALS</t>
  </si>
  <si>
    <t>MKBAS82</t>
  </si>
  <si>
    <t>SLIPPER SANDALS WOMEN MKBAS82:BLACK:40:SOLID:SLIPPER SANDALS</t>
  </si>
  <si>
    <t>SLIPPER SANDALS WOMEN MKBAS82:MUSTARD:40:SOLID:SLIPPER SANDALS</t>
  </si>
  <si>
    <t>SLIPPER SANDALS WOMEN MKBAS82:BLACK:36:SOLID:SLIPPER SANDALS</t>
  </si>
  <si>
    <t>SLIPPER SANDALS WOMEN MKBAS82:BLACK:37:SOLID:SLIPPER SANDALS</t>
  </si>
  <si>
    <t>SLIPPER SANDALS WOMEN MKBAS82:BLACK:38:SOLID:SLIPPER SANDALS</t>
  </si>
  <si>
    <t>SLIPPER SANDALS WOMEN MKBAS82:BLACK:39:SOLID:SLIPPER SANDALS</t>
  </si>
  <si>
    <t>SLIPPER SANDALS WOMEN MKBAS82:MUSTARD:36:SOLID:SLIPPER SANDALS</t>
  </si>
  <si>
    <t>SLIPPER SANDALS WOMEN MKBAS82:MUSTARD:37:SOLID:SLIPPER SANDALS</t>
  </si>
  <si>
    <t>SLIPPER SANDALS WOMEN MKBAS82:MUSTARD:38:SOLID:SLIPPER SANDALS</t>
  </si>
  <si>
    <t>SLIPPER SANDALS WOMEN MKBAS82:MUSTARD:39:SOLID:SLIPPER SANDALS</t>
  </si>
  <si>
    <t>MK2402</t>
  </si>
  <si>
    <t>SLIPPER SANDALS MICKEY MK2402:BLACK:36:PRINT:SLIPPER SANDALS</t>
  </si>
  <si>
    <t>SLIPPER SANDALS MICKEY MK2402:BLACK:37:PRINT:SLIPPER SANDALS</t>
  </si>
  <si>
    <t>SLIPPER SANDALS MICKEY MK2402:BLACK:38:PRINT:SLIPPER SANDALS</t>
  </si>
  <si>
    <t>SLIPPER SANDALS MICKEY MK2402:BLACK:39:PRINT:SLIPPER SANDALS</t>
  </si>
  <si>
    <t>SLIPPER SANDALS MICKEY MK2402:BLACK:40:PRINT:SLIPPER SANDALS</t>
  </si>
  <si>
    <t>MKBAS85</t>
  </si>
  <si>
    <t>SLINGBACK SANDALS MICKEY MKBAS85:WHITE:36:SOLID:SLINGBACK SANDALS</t>
  </si>
  <si>
    <t>SLINGBACK SANDALS MICKEY MKBAS85:WHITE:37:SOLID:SLINGBACK SANDALS</t>
  </si>
  <si>
    <t>SLINGBACK SANDALS MICKEY MKBAS85:WHITE:38:SOLID:SLINGBACK SANDALS</t>
  </si>
  <si>
    <t>SLINGBACK SANDALS MICKEY MKBAS85:WHITE:39:SOLID:SLINGBACK SANDALS</t>
  </si>
  <si>
    <t>SLINGBACK SANDALS MICKEY MKBAS85:WHITE:40:SOLID:SLINGBACK SANDALS</t>
  </si>
  <si>
    <t>SLINGBACK SANDALS MICKEY MKBAS85:KHAKI:36:SOLID:SLINGBACK SANDALS</t>
  </si>
  <si>
    <t>SLINGBACK SANDALS MICKEY MKBAS85:KHAKI:37:SOLID:SLINGBACK SANDALS</t>
  </si>
  <si>
    <t>SLINGBACK SANDALS MICKEY MKBAS85:KHAKI:38:SOLID:SLINGBACK SANDALS</t>
  </si>
  <si>
    <t>SLINGBACK SANDALS MICKEY MKBAS85:KHAKI:39:SOLID:SLINGBACK SANDALS</t>
  </si>
  <si>
    <t>SLINGBACK SANDALS MICKEY MKBAS85:KHAKI:40:SOLID:SLINGBACK SANDALS</t>
  </si>
  <si>
    <t>MKW01</t>
  </si>
  <si>
    <t>SLINGBACK SANDALS MICKEY MKW01:BLACK:36:SOLID:SLINGBACK SANDALS</t>
  </si>
  <si>
    <t>SLINGBACK SANDALS MICKEY MKW01:BLACK:37:SOLID:SLINGBACK SANDALS</t>
  </si>
  <si>
    <t>SLINGBACK SANDALS MICKEY MKW01:BLACK:38:SOLID:SLINGBACK SANDALS</t>
  </si>
  <si>
    <t>SLINGBACK SANDALS MICKEY MKW01:BLACK:39:SOLID:SLINGBACK SANDALS</t>
  </si>
  <si>
    <t>SLINGBACK SANDALS MICKEY MKW01:BLACK:40:SOLID:SLINGBACK SANDALS</t>
  </si>
  <si>
    <t>SLINGBACK SANDALS MICKEY MKW01:WOOD BROWN:36:SOLID:SLINGBACK SANDALS</t>
  </si>
  <si>
    <t>SLINGBACK SANDALS MICKEY MKW01:WOOD BROWN:37:SOLID:SLINGBACK SANDALS</t>
  </si>
  <si>
    <t>SLINGBACK SANDALS MICKEY MKW01:WOOD BROWN:38:SOLID:SLINGBACK SANDALS</t>
  </si>
  <si>
    <t>SLINGBACK SANDALS MICKEY MKW01:WOOD BROWN:39:SOLID:SLINGBACK SANDALS</t>
  </si>
  <si>
    <t>SLINGBACK SANDALS MICKEY MKW01:WOOD BROWN:40:SOLID:SLINGBACK SANDALS</t>
  </si>
  <si>
    <t>MK2213</t>
  </si>
  <si>
    <t>T-BAR SANDALS WOMEN MK2213:BLACK:40:PRINT:T-BAR SANDALS</t>
  </si>
  <si>
    <t>T-BAR SANDALS WOMEN MK2213:MAROON:40:PRINT:T-BAR SANDALS</t>
  </si>
  <si>
    <t>T-BAR SANDALS WOMEN MK2213:BLACK:39:PRINT:T-BAR SANDALS</t>
  </si>
  <si>
    <t>T-BAR SANDALS WOMEN MK2213:BLACK:38:PRINT:T-BAR SANDALS</t>
  </si>
  <si>
    <t>T-BAR SANDALS WOMEN MK2213:MAROON:36:PRINT:T-BAR SANDALS</t>
  </si>
  <si>
    <t>T-BAR SANDALS WOMEN MK2213:MAROON:37:PRINT:T-BAR SANDALS</t>
  </si>
  <si>
    <t>T-BAR SANDALS WOMEN MK2213:MAROON:38:PRINT:T-BAR SANDALS</t>
  </si>
  <si>
    <t>T-BAR SANDALS WOMEN MK2213:MAROON:39:PRINT:T-BAR SANDALS</t>
  </si>
  <si>
    <t>T-BAR SANDALS WOMEN MK2213:BLACK:36:PRINT:T-BAR SANDALS</t>
  </si>
  <si>
    <t>T-BAR SANDALS WOMEN MK2213:BLACK:37:PRINT:T-BAR SANDALS</t>
  </si>
  <si>
    <t>MK2214</t>
  </si>
  <si>
    <t>SLINGBACK SANDALS WOMEN MK2214:FROST GREY:36:SOLID:SLINGBACK SANDALS</t>
  </si>
  <si>
    <t>SLINGBACK SANDALS WOMEN MK2214:FROST GREY:37:SOLID:SLINGBACK SANDALS</t>
  </si>
  <si>
    <t>SLINGBACK SANDALS WOMEN MK2214:FROST GREY:38:SOLID:SLINGBACK SANDALS</t>
  </si>
  <si>
    <t>SLINGBACK SANDALS WOMEN MK2214:FROST GREY:39:SOLID:SLINGBACK SANDALS</t>
  </si>
  <si>
    <t>SLINGBACK SANDALS WOMEN MK2214:FROST GREY:40:SOLID:SLINGBACK SANDALS</t>
  </si>
  <si>
    <t>SLINGBACK SANDALS WOMEN MK2214:PASTEL PINK:36:SOLID:SLINGBACK SANDALS</t>
  </si>
  <si>
    <t>SLINGBACK SANDALS WOMEN MK2214:PASTEL PINK:37:SOLID:SLINGBACK SANDALS</t>
  </si>
  <si>
    <t>SLINGBACK SANDALS WOMEN MK2214:PASTEL PINK:38:SOLID:SLINGBACK SANDALS</t>
  </si>
  <si>
    <t>SLINGBACK SANDALS WOMEN MK2214:PASTEL PINK:39:SOLID:SLINGBACK SANDALS</t>
  </si>
  <si>
    <t>SLINGBACK SANDALS WOMEN MK2214:PASTEL PINK:40:SOLID:SLINGBACK SANDALS</t>
  </si>
  <si>
    <t>FLIP FLOPS WOMEN MK2214:BLACK:36:PRINT:FLIP FLOPS</t>
  </si>
  <si>
    <t>FLIP FLOPS WOMEN MK2214:BLACK:37:PRINT:FLIP FLOPS</t>
  </si>
  <si>
    <t>FLIP FLOPS WOMEN MK2214:BLACK:38:PRINT:FLIP FLOPS</t>
  </si>
  <si>
    <t>FLIP FLOPS WOMEN MK2214:BLACK:39:PRINT:FLIP FLOPS</t>
  </si>
  <si>
    <t>FLIP FLOPS WOMEN MK2214:BLACK:40:PRINT:FLIP FLOPS</t>
  </si>
  <si>
    <t>FLIP FLOPS WOMEN MK2214:KHAKI:36:PRINT:FLIP FLOPS</t>
  </si>
  <si>
    <t>FLIP FLOPS WOMEN MK2214:KHAKI:37:PRINT:FLIP FLOPS</t>
  </si>
  <si>
    <t>FLIP FLOPS WOMEN MK2214:KHAKI:38:PRINT:FLIP FLOPS</t>
  </si>
  <si>
    <t>FLIP FLOPS WOMEN MK2214:KHAKI:39:PRINT:FLIP FLOPS</t>
  </si>
  <si>
    <t>FLIP FLOPS WOMEN MK2214:KHAKI:40:PRINT:FLIP FLOPS</t>
  </si>
  <si>
    <t>MKW02</t>
  </si>
  <si>
    <t>SLIPPER SANDALS MICKEY MKW02:WHITE:37:SOLID:SLIPPER SANDALS</t>
  </si>
  <si>
    <t>SLIPPER SANDALS MICKEY MKW02:WHITE:36:SOLID:SLIPPER SANDALS</t>
  </si>
  <si>
    <t>SLIPPER SANDALS MICKEY MKW02:WHITE:38:SOLID:SLIPPER SANDALS</t>
  </si>
  <si>
    <t>SLIPPER SANDALS MICKEY MKW02:WHITE:39:SOLID:SLIPPER SANDALS</t>
  </si>
  <si>
    <t>SLIPPER SANDALS MICKEY MKW02:WHITE:40:SOLID:SLIPPER SANDALS</t>
  </si>
  <si>
    <t>SLIPPER SANDALS MICKEY MKW02:KHAKI:36:SOLID:SLIPPER SANDALS</t>
  </si>
  <si>
    <t>SLIPPER SANDALS MICKEY MKW02:KHAKI:37:SOLID:SLIPPER SANDALS</t>
  </si>
  <si>
    <t>SLIPPER SANDALS MICKEY MKW02:KHAKI:38:SOLID:SLIPPER SANDALS</t>
  </si>
  <si>
    <t>SLIPPER SANDALS MICKEY MKW02:KHAKI:39:SOLID:SLIPPER SANDALS</t>
  </si>
  <si>
    <t>SLIPPER SANDALS MICKEY MKW02:KHAKI:40:SOLID:SLIPPER SANDALS</t>
  </si>
  <si>
    <t>MKBAS83</t>
  </si>
  <si>
    <t>SLIPPER SANDALS WOMEN MKBAS83:BLACK:37:SOLID:SLIPPER SANDALS</t>
  </si>
  <si>
    <t>SLIPPER SANDALS WOMEN MKBAS83:BLACK:38:SOLID:SLIPPER SANDALS</t>
  </si>
  <si>
    <t>SLIPPER SANDALS WOMEN MKBAS83:BLACK:39:SOLID:SLIPPER SANDALS</t>
  </si>
  <si>
    <t>SLIPPER SANDALS WOMEN MKBAS83:BLACK:40:SOLID:SLIPPER SANDALS</t>
  </si>
  <si>
    <t>SLIPPER SANDALS WOMEN MKBAS83:KHAKI:36:SOLID:SLIPPER SANDALS</t>
  </si>
  <si>
    <t>SLIPPER SANDALS WOMEN MKBAS83:KHAKI:37:SOLID:SLIPPER SANDALS</t>
  </si>
  <si>
    <t>SLIPPER SANDALS WOMEN MKBAS83:KHAKI:38:SOLID:SLIPPER SANDALS</t>
  </si>
  <si>
    <t>SLIPPER SANDALS WOMEN MKBAS83:KHAKI:39:SOLID:SLIPPER SANDALS</t>
  </si>
  <si>
    <t>SLIPPER SANDALS WOMEN MKBAS83:KHAKI:40:SOLID:SLIPPER SANDALS</t>
  </si>
  <si>
    <t>SLIPPER SANDALS WOMEN MKBAS83:BLACK:36:SOLID:SLIPPER SANDALS</t>
  </si>
  <si>
    <t>MKBAS95</t>
  </si>
  <si>
    <t>SLIPPER SANDALS WOMEN MKBAS95:WHITE:36:SOLID:SLIPPER SANDALS</t>
  </si>
  <si>
    <t>SLIPPER SANDALS WOMEN MKBAS95:WHITE:37:SOLID:SLIPPER SANDALS</t>
  </si>
  <si>
    <t>SLIPPER SANDALS WOMEN MKBAS95:WHITE:38:SOLID:SLIPPER SANDALS</t>
  </si>
  <si>
    <t>SLIPPER SANDALS WOMEN MKBAS95:WHITE:39:SOLID:SLIPPER SANDALS</t>
  </si>
  <si>
    <t>SLIPPER SANDALS WOMEN MKBAS95:WHITE:40:SOLID:SLIPPER SANDALS</t>
  </si>
  <si>
    <t>SLIPPER SANDALS WOMEN MKBAS95:BLACK:36:SOLID:SLIPPER SANDALS</t>
  </si>
  <si>
    <t>SLIPPER SANDALS WOMEN MKBAS95:BLACK:37:SOLID:SLIPPER SANDALS</t>
  </si>
  <si>
    <t>SLIPPER SANDALS WOMEN MKBAS95:BLACK:38:SOLID:SLIPPER SANDALS</t>
  </si>
  <si>
    <t>SLIPPER SANDALS WOMEN MKBAS95:BLACK:39:SOLID:SLIPPER SANDALS</t>
  </si>
  <si>
    <t>SLIPPER SANDALS WOMEN MKBAS95:BLACK:40:SOLID:SLIPPER SANDALS</t>
  </si>
  <si>
    <t>SLIPPER SANDALS WOMEN MKBAS95:DUSTY PINK:36:SOLID:SLIPPER SANDALS</t>
  </si>
  <si>
    <t>SLIPPER SANDALS WOMEN MKBAS95:DUSTY PINK:37:SOLID:SLIPPER SANDALS</t>
  </si>
  <si>
    <t>SLIPPER SANDALS WOMEN MKBAS95:DUSTY PINK:38:SOLID:SLIPPER SANDALS</t>
  </si>
  <si>
    <t>SLIPPER SANDALS WOMEN MKBAS95:DUSTY PINK:39:SOLID:SLIPPER SANDALS</t>
  </si>
  <si>
    <t>SLIPPER SANDALS WOMEN MKBAS95:DUSTY PINK:40:SOLID:SLIPPER SANDALS</t>
  </si>
  <si>
    <t>MST05</t>
  </si>
  <si>
    <t>SLIPPER SANDALS WOMEN MST05:BLACK:37:SOLID:SLIPPER SANDALS</t>
  </si>
  <si>
    <t>SLIPPER SANDALS WOMEN MST05:BLACK:38:SOLID:SLIPPER SANDALS</t>
  </si>
  <si>
    <t>SLIPPER SANDALS WOMEN MST05:BLACK:39:SOLID:SLIPPER SANDALS</t>
  </si>
  <si>
    <t>SLIPPER SANDALS WOMEN MST05:BLACK:40:SOLID:SLIPPER SANDALS</t>
  </si>
  <si>
    <t>SLIPPER SANDALS WOMEN MST05:BLACK:36:SOLID:SLIPPER SANDALS</t>
  </si>
  <si>
    <t>MARB112</t>
  </si>
  <si>
    <t>SLIPPER SANDALS WOMEN MARB112:OFF WHITE:36:SOLID:SLIPPER SANDALS</t>
  </si>
  <si>
    <t>SLIPPER SANDALS WOMEN MARB112:OFF WHITE:37:SOLID:SLIPPER SANDALS</t>
  </si>
  <si>
    <t>SLIPPER SANDALS WOMEN MARB112:OFF WHITE:38:SOLID:SLIPPER SANDALS</t>
  </si>
  <si>
    <t>SLIPPER SANDALS WOMEN MARB112:OFF WHITE:39:SOLID:SLIPPER SANDALS</t>
  </si>
  <si>
    <t>SLIPPER SANDALS WOMEN MARB112:OFF WHITE:40:SOLID:SLIPPER SANDALS</t>
  </si>
  <si>
    <t>SLIPPER SANDALS WOMEN MARB112:BLACK:36:SOLID:SLIPPER SANDALS</t>
  </si>
  <si>
    <t>SLIPPER SANDALS WOMEN MARB112:BLACK:37:SOLID:SLIPPER SANDALS</t>
  </si>
  <si>
    <t>SLIPPER SANDALS WOMEN MARB112:BLACK:38:SOLID:SLIPPER SANDALS</t>
  </si>
  <si>
    <t>SLIPPER SANDALS WOMEN MARB112:BLACK:39:SOLID:SLIPPER SANDALS</t>
  </si>
  <si>
    <t>SLIPPER SANDALS WOMEN MARB112:BLACK:40:SOLID:SLIPPER SANDALS</t>
  </si>
  <si>
    <t>MARB113</t>
  </si>
  <si>
    <t>SLIPPER SANDALS WOMEN MARB113:KHAKI:36:SOLID:SLIPPER SANDALS</t>
  </si>
  <si>
    <t>SLIPPER SANDALS WOMEN MARB113:KHAKI:37:SOLID:SLIPPER SANDALS</t>
  </si>
  <si>
    <t>SLIPPER SANDALS WOMEN MARB113:KHAKI:38:SOLID:SLIPPER SANDALS</t>
  </si>
  <si>
    <t>SLIPPER SANDALS WOMEN MARB113:KHAKI:39:SOLID:SLIPPER SANDALS</t>
  </si>
  <si>
    <t>SLIPPER SANDALS WOMEN MARB113:KHAKI:40:SOLID:SLIPPER SANDALS</t>
  </si>
  <si>
    <t>SLIPPER SANDALS WOMEN MARB113:WOOD BROWN:36:SOLID:SLIPPER SANDALS</t>
  </si>
  <si>
    <t>SLIPPER SANDALS WOMEN MARB113:WOOD BROWN:37:SOLID:SLIPPER SANDALS</t>
  </si>
  <si>
    <t>SLIPPER SANDALS WOMEN MARB113:WOOD BROWN:38:SOLID:SLIPPER SANDALS</t>
  </si>
  <si>
    <t>SLIPPER SANDALS WOMEN MARB113:WOOD BROWN:39:SOLID:SLIPPER SANDALS</t>
  </si>
  <si>
    <t>SLIPPER SANDALS WOMEN MARB113:WOOD BROWN:40:SOLID:SLIPPER SANDALS</t>
  </si>
  <si>
    <t>LO03</t>
  </si>
  <si>
    <t>SLIPPER SANDALS WOMEN LO03:BLACK:M:SOLID:SLIPPER SANDALS</t>
  </si>
  <si>
    <t>SLIPPER SANDALS WOMEN LO03:BLACK:L:SOLID:SLIPPER SANDALS</t>
  </si>
  <si>
    <t>SLIPPER SANDALS WOMEN LO03:BLACK:XL:SOLID:SLIPPER SANDALS</t>
  </si>
  <si>
    <t>MKSOFT1</t>
  </si>
  <si>
    <t>SLIPPER SANDALS WOMEN MKSOFT1:BLACK:S:PRINT:SLIPPER SANDALS</t>
  </si>
  <si>
    <t>SLIPPER SANDALS WOMEN MKSOFT1:BLACK:M:PRINT:SLIPPER SANDALS</t>
  </si>
  <si>
    <t>SLIPPER SANDALS WOMEN MKSOFT1:BLACK:L:PRINT:SLIPPER SANDALS</t>
  </si>
  <si>
    <t>SLIPPER SANDALS WOMEN MKSOFT1:BLACK:XL:PRINT:SLIPPER SANDALS</t>
  </si>
  <si>
    <t>SLIPPER SANDALS WOMEN MKSOFT1:LIGHT BLUE:S:PRINT:SLIPPER SANDALS</t>
  </si>
  <si>
    <t>SLIPPER SANDALS WOMEN MKSOFT1:LIGHT BLUE:M:PRINT:SLIPPER SANDALS</t>
  </si>
  <si>
    <t>SLIPPER SANDALS WOMEN MKSOFT1:LIGHT BLUE:L:PRINT:SLIPPER SANDALS</t>
  </si>
  <si>
    <t>SLIPPER SANDALS WOMEN MKSOFT1:LIGHT BLUE:XL:PRINT:SLIPPER SANDALS</t>
  </si>
  <si>
    <t>SLIPPER SANDALS WOMEN MKSOFT1:KHAKI:S:PRINT:SLIPPER SANDALS</t>
  </si>
  <si>
    <t>SLIPPER SANDALS WOMEN MKSOFT1:KHAKI:M:PRINT:SLIPPER SANDALS</t>
  </si>
  <si>
    <t>SLIPPER SANDALS WOMEN MKSOFT1:KHAKI:L:PRINT:SLIPPER SANDALS</t>
  </si>
  <si>
    <t>SLIPPER SANDALS WOMEN MKSOFT1:KHAKI:XL:PRINT:SLIPPER SANDALS</t>
  </si>
  <si>
    <t>LO01</t>
  </si>
  <si>
    <t>SLIPPER SANDALS WOMEN LO01:FUSCHIA:36:SOLID:SLIPPER SANDALS</t>
  </si>
  <si>
    <t>SLIPPER SANDALS WOMEN LO01:FUSCHIA:37:SOLID:SLIPPER SANDALS</t>
  </si>
  <si>
    <t>SLIPPER SANDALS WOMEN LO01:FUSCHIA:38:SOLID:SLIPPER SANDALS</t>
  </si>
  <si>
    <t>SLIPPER SANDALS WOMEN LO01:FUSCHIA:39:SOLID:SLIPPER SANDALS</t>
  </si>
  <si>
    <t>SLIPPER SANDALS WOMEN LO01:FUSCHIA:40:SOLID:SLIPPER SANDALS</t>
  </si>
  <si>
    <t>LO02</t>
  </si>
  <si>
    <t>SLIPPER SANDALS WOMEN LO02:WHITE:36:SOLID:SLIPPER SANDALS</t>
  </si>
  <si>
    <t>SLIPPER SANDALS WOMEN LO02:WHITE:37:SOLID:SLIPPER SANDALS</t>
  </si>
  <si>
    <t>SLIPPER SANDALS WOMEN LO02:WHITE:38:SOLID:SLIPPER SANDALS</t>
  </si>
  <si>
    <t>SLIPPER SANDALS WOMEN LO02:WHITE:39:SOLID:SLIPPER SANDALS</t>
  </si>
  <si>
    <t>SLIPPER SANDALS WOMEN LO02:WHITE:40:SOLID:SLIPPER SANDALS</t>
  </si>
  <si>
    <t>SLIPPER SANDALS WOMEN LO03:BLACK:S:SOLID:SLIPPER SANDALS</t>
  </si>
  <si>
    <t>MK2305</t>
  </si>
  <si>
    <t>FLIP FLOPS MICKEY MK2305:PASTEL GREY:XL:PRINT:FLIP FLOPS</t>
  </si>
  <si>
    <t>FLIP FLOPS MICKEY MK2305:NAVY BLUE:S:PRINT:FLIP FLOPS</t>
  </si>
  <si>
    <t>FLIP FLOPS MICKEY MK2305:NAVY BLUE:M:PRINT:FLIP FLOPS</t>
  </si>
  <si>
    <t>FLIP FLOPS MICKEY MK2305:NAVY BLUE:L:PRINT:FLIP FLOPS</t>
  </si>
  <si>
    <t>FLIP FLOPS MICKEY MK2305:NAVY BLUE:XL:PRINT:FLIP FLOPS</t>
  </si>
  <si>
    <t>FLIP FLOPS MICKEY MK2305:BLACK:S:PRINT:FLIP FLOPS</t>
  </si>
  <si>
    <t>FLIP FLOPS MICKEY MK2305:BLACK:M:PRINT:FLIP FLOPS</t>
  </si>
  <si>
    <t>FLIP FLOPS MICKEY MK2305:BLACK:L:PRINT:FLIP FLOPS</t>
  </si>
  <si>
    <t>FLIP FLOPS MICKEY MK2305:BLACK:XL:PRINT:FLIP FLOPS</t>
  </si>
  <si>
    <t>FLIP FLOPS MICKEY MK2305:BROWN SUGAR:S:PRINT:FLIP FLOPS</t>
  </si>
  <si>
    <t>FLIP FLOPS MICKEY MK2305:BROWN SUGAR:M:PRINT:FLIP FLOPS</t>
  </si>
  <si>
    <t>FLIP FLOPS MICKEY MK2305:BROWN SUGAR:L:PRINT:FLIP FLOPS</t>
  </si>
  <si>
    <t>FLIP FLOPS MICKEY MK2305:BROWN SUGAR:XL:PRINT:FLIP FLOPS</t>
  </si>
  <si>
    <t>FLIP FLOPS MICKEY MK2305:PASTEL GREY:S:PRINT:FLIP FLOPS</t>
  </si>
  <si>
    <t>FLIP FLOPS MICKEY MK2305:PASTEL GREY:M:PRINT:FLIP FLOPS</t>
  </si>
  <si>
    <t>FLIP FLOPS MICKEY MK2305:PASTEL GREY:L:PRINT:FLIP FLOPS</t>
  </si>
  <si>
    <t>MK2218</t>
  </si>
  <si>
    <t>FLIP FLOPS MICKEY MK2218:BLACK:S:PRINT:FLIP FLOPS</t>
  </si>
  <si>
    <t>FLIP FLOPS MICKEY MK2218:BLACK:M:PRINT:FLIP FLOPS</t>
  </si>
  <si>
    <t>FLIP FLOPS MICKEY MK2218:BLACK:L:PRINT:FLIP FLOPS</t>
  </si>
  <si>
    <t>FLIP FLOPS MICKEY MK2218:BLACK:XL:PRINT:FLIP FLOPS</t>
  </si>
  <si>
    <t>FLIP FLOPS MICKEY MK2218:KHAKI:S:PRINT:FLIP FLOPS</t>
  </si>
  <si>
    <t>FLIP FLOPS MICKEY MK2218:KHAKI:M:PRINT:FLIP FLOPS</t>
  </si>
  <si>
    <t>FLIP FLOPS MICKEY MK2218:KHAKI:L:PRINT:FLIP FLOPS</t>
  </si>
  <si>
    <t>FLIP FLOPS MICKEY MK2218:KHAKI:XL:PRINT:FLIP FLOPS</t>
  </si>
  <si>
    <t>MK2406</t>
  </si>
  <si>
    <t>FLIP FLOPS MICKEY MK2406:WHITE:S:PRINT:FLIP FLOPS</t>
  </si>
  <si>
    <t>FLIP FLOPS MICKEY MK2406:WHITE:M:PRINT:FLIP FLOPS</t>
  </si>
  <si>
    <t>FLIP FLOPS MICKEY MK2406:WHITE:L:PRINT:FLIP FLOPS</t>
  </si>
  <si>
    <t>FLIP FLOPS MICKEY MK2406:WHITE:XL:PRINT:FLIP FLOPS</t>
  </si>
  <si>
    <t>MK2417</t>
  </si>
  <si>
    <t>SLIPPER SANDALS MICKEY MK2417:BLACK:36:SOLID:SLIPPER SANDALS</t>
  </si>
  <si>
    <t>SLIPPER SANDALS MICKEY MK2417:BLACK:37:SOLID:SLIPPER SANDALS</t>
  </si>
  <si>
    <t>SLIPPER SANDALS MICKEY MK2417:BLACK:38:SOLID:SLIPPER SANDALS</t>
  </si>
  <si>
    <t>SLIPPER SANDALS MICKEY MK2417:BLACK:39:SOLID:SLIPPER SANDALS</t>
  </si>
  <si>
    <t>SLIPPER SANDALS MICKEY MK2417:BLACK:40:SOLID:SLIPPER SANDALS</t>
  </si>
  <si>
    <t>SLIPPER SANDALS MICKEY MK2417:KHAKI:36:SOLID:SLIPPER SANDALS</t>
  </si>
  <si>
    <t>SLIPPER SANDALS MICKEY MK2417:KHAKI:37:SOLID:SLIPPER SANDALS</t>
  </si>
  <si>
    <t>SLIPPER SANDALS MICKEY MK2417:KHAKI:38:SOLID:SLIPPER SANDALS</t>
  </si>
  <si>
    <t>SLIPPER SANDALS MICKEY MK2417:KHAKI:39:SOLID:SLIPPER SANDALS</t>
  </si>
  <si>
    <t>SLIPPER SANDALS MICKEY MK2417:KHAKI:40:SOLID:SLIPPER SANDALS</t>
  </si>
  <si>
    <t>MK2414</t>
  </si>
  <si>
    <t>SLIPPER SANDALS MICKEY MK2414:NAVY BLUE:36:SOLID:SLIPPER SANDALS</t>
  </si>
  <si>
    <t>SLIPPER SANDALS MICKEY MK2414:NAVY BLUE:37:SOLID:SLIPPER SANDALS</t>
  </si>
  <si>
    <t>SLIPPER SANDALS MICKEY MK2414:NAVY BLUE:38:SOLID:SLIPPER SANDALS</t>
  </si>
  <si>
    <t>SLIPPER SANDALS MICKEY MK2414:NAVY BLUE:39:SOLID:SLIPPER SANDALS</t>
  </si>
  <si>
    <t>SLIPPER SANDALS MICKEY MK2414:NAVY BLUE:40:SOLID:SLIPPER SANDALS</t>
  </si>
  <si>
    <t>MK2410</t>
  </si>
  <si>
    <t>SLIPPER SANDALS MICKEY MK2410:WHITE:36:SOLID:SLIPPER SANDALS</t>
  </si>
  <si>
    <t>SLIPPER SANDALS MICKEY MK2410:WHITE:37:SOLID:SLIPPER SANDALS</t>
  </si>
  <si>
    <t>SLIPPER SANDALS MICKEY MK2410:WHITE:38:SOLID:SLIPPER SANDALS</t>
  </si>
  <si>
    <t>SLIPPER SANDALS MICKEY MK2410:WHITE:39:SOLID:SLIPPER SANDALS</t>
  </si>
  <si>
    <t>SLIPPER SANDALS MICKEY MK2410:WHITE:40:SOLID:SLIPPER SANDALS</t>
  </si>
  <si>
    <t>MK2407</t>
  </si>
  <si>
    <t>FLIP FLOPS MICKEY MK2407:GOLD:S:SOLID:FLIP FLOPS</t>
  </si>
  <si>
    <t>FLIP FLOPS MICKEY MK2407:GOLD:M:SOLID:FLIP FLOPS</t>
  </si>
  <si>
    <t>FLIP FLOPS MICKEY MK2407:GOLD:L:SOLID:FLIP FLOPS</t>
  </si>
  <si>
    <t>FLIP FLOPS MICKEY MK2407:GOLD:XL:SOLID:FLIP FLOPS</t>
  </si>
  <si>
    <t>MK2418</t>
  </si>
  <si>
    <t>SLIPPER SANDALS MICKEY MK2418:BLACK:36:SOLID:SLIPPER SANDALS</t>
  </si>
  <si>
    <t>SLIPPER SANDALS MICKEY MK2418:BLACK:37:SOLID:SLIPPER SANDALS</t>
  </si>
  <si>
    <t>SLIPPER SANDALS MICKEY MK2418:BLACK:38:SOLID:SLIPPER SANDALS</t>
  </si>
  <si>
    <t>SLIPPER SANDALS MICKEY MK2418:BLACK:39:SOLID:SLIPPER SANDALS</t>
  </si>
  <si>
    <t>SLIPPER SANDALS MICKEY MK2418:BLACK:40:SOLID:SLIPPER SANDALS</t>
  </si>
  <si>
    <t>MKBAS90</t>
  </si>
  <si>
    <t>SLINGBACK SANDALS WOMEN MKBAS90:BLACK:40:PRINT:SLINGBACK SANDALS</t>
  </si>
  <si>
    <t>SLINGBACK SANDALS WOMEN MKBAS90:KHAKI:38:PRINT:SLINGBACK SANDALS</t>
  </si>
  <si>
    <t>SLINGBACK SANDALS WOMEN MKBAS90:KHAKI:39:PRINT:SLINGBACK SANDALS</t>
  </si>
  <si>
    <t>SLINGBACK SANDALS WOMEN MKBAS90:KHAKI:40:PRINT:SLINGBACK SANDALS</t>
  </si>
  <si>
    <t>SLINGBACK SANDALS WOMEN MKBAS90:BLACK:36:PRINT:SLINGBACK SANDALS</t>
  </si>
  <si>
    <t>SLINGBACK SANDALS WOMEN MKBAS90:BLACK:37:PRINT:SLINGBACK SANDALS</t>
  </si>
  <si>
    <t>SLINGBACK SANDALS WOMEN MKBAS90:BLACK:38:PRINT:SLINGBACK SANDALS</t>
  </si>
  <si>
    <t>SLINGBACK SANDALS WOMEN MKBAS90:BLACK:39:PRINT:SLINGBACK SANDALS</t>
  </si>
  <si>
    <t>SLINGBACK SANDALS WOMEN MKBAS90:KHAKI:36:PRINT:SLINGBACK SANDALS</t>
  </si>
  <si>
    <t>SLINGBACK SANDALS WOMEN MKBAS90:KHAKI:37:PRINT:SLINGBACK SANDALS</t>
  </si>
  <si>
    <t>SLIPPER SANDALS MICKEY MKBAS28:KHAKI:40:SOLID:SLIPPER SANDALS</t>
  </si>
  <si>
    <t>SLIPPER SANDALS MICKEY MKBAS28:LIGHT BLUE:36:SOLID:SLIPPER SANDALS</t>
  </si>
  <si>
    <t>SLIPPER SANDALS MICKEY MKBAS28:LIGHT BLUE:37:SOLID:SLIPPER SANDALS</t>
  </si>
  <si>
    <t>SLIPPER SANDALS MICKEY MKBAS28:LIGHT BLUE:38:SOLID:SLIPPER SANDALS</t>
  </si>
  <si>
    <t>SLIPPER SANDALS MICKEY MKBAS28:LIGHT BLUE:39:SOLID:SLIPPER SANDALS</t>
  </si>
  <si>
    <t>SLIPPER SANDALS MICKEY MKBAS28:LIGHT BLUE:40:SOLID:SLIPPER SANDALS</t>
  </si>
  <si>
    <t>SLIPPER SANDALS MICKEY MKBAS28:KHAKI:36:SOLID:SLIPPER SANDALS</t>
  </si>
  <si>
    <t>SLIPPER SANDALS MICKEY MKBAS28:KHAKI:37:SOLID:SLIPPER SANDALS</t>
  </si>
  <si>
    <t>SLIPPER SANDALS MICKEY MKBAS28:KHAKI:38:SOLID:SLIPPER SANDALS</t>
  </si>
  <si>
    <t>SLIPPER SANDALS MICKEY MKBAS28:KHAKI:39:SOLID:SLIPPER SANDALS</t>
  </si>
  <si>
    <t>SLIPPER SANDALS MICKEY MKBAS57:BROWN SUGAR:40:PRINT:SLIPPER SANDALS</t>
  </si>
  <si>
    <t>SLIPPER SANDALS MICKEY MKBAS57:BROWN SUGAR:39:PRINT:SLIPPER SANDALS</t>
  </si>
  <si>
    <t>SLIPPER SANDALS MICKEY MKBAS57:BROWN SUGAR:36:PRINT:SLIPPER SANDALS</t>
  </si>
  <si>
    <t>SLIPPER SANDALS MICKEY MKBAS57:BROWN SUGAR:37:PRINT:SLIPPER SANDALS</t>
  </si>
  <si>
    <t>SLIPPER SANDALS MICKEY MKBAS57:BROWN SUGAR:38:PRINT:SLIPPER SANDALS</t>
  </si>
  <si>
    <t>MKBAS86</t>
  </si>
  <si>
    <t>SLIPPER SANDALS WOMEN MKBAS86:BLACK:40:SOLID:SLIPPER SANDALS</t>
  </si>
  <si>
    <t>SLIPPER SANDALS WOMEN MKBAS86:LIGHT BLUE:36:SOLID:SLIPPER SANDALS</t>
  </si>
  <si>
    <t>SLIPPER SANDALS WOMEN MKBAS86:LIGHT BLUE:37:SOLID:SLIPPER SANDALS</t>
  </si>
  <si>
    <t>SLIPPER SANDALS WOMEN MKBAS86:LIGHT BLUE:38:SOLID:SLIPPER SANDALS</t>
  </si>
  <si>
    <t>SLIPPER SANDALS WOMEN MKBAS86:LIGHT BLUE:39:SOLID:SLIPPER SANDALS</t>
  </si>
  <si>
    <t>SLIPPER SANDALS WOMEN MKBAS86:LIGHT BLUE:40:SOLID:SLIPPER SANDALS</t>
  </si>
  <si>
    <t>SLIPPER SANDALS WOMEN MKBAS86:BLACK:36:SOLID:SLIPPER SANDALS</t>
  </si>
  <si>
    <t>SLIPPER SANDALS WOMEN MKBAS86:BLACK:37:SOLID:SLIPPER SANDALS</t>
  </si>
  <si>
    <t>SLIPPER SANDALS WOMEN MKBAS86:BLACK:38:SOLID:SLIPPER SANDALS</t>
  </si>
  <si>
    <t>SLIPPER SANDALS WOMEN MKBAS86:BLACK:39:SOLID:SLIPPER SANDALS</t>
  </si>
  <si>
    <t>MKBAS91</t>
  </si>
  <si>
    <t>SLIPPER SANDALS WOMEN MKBAS91:KHAKI:37:PRINT:SLIPPER SANDALS</t>
  </si>
  <si>
    <t>SLIPPER SANDALS WOMEN MKBAS91:KHAKI:38:PRINT:SLIPPER SANDALS</t>
  </si>
  <si>
    <t>SLIPPER SANDALS WOMEN MKBAS91:KHAKI:39:PRINT:SLIPPER SANDALS</t>
  </si>
  <si>
    <t>SLIPPER SANDALS WOMEN MKBAS91:KHAKI:40:PRINT:SLIPPER SANDALS</t>
  </si>
  <si>
    <t>SLIPPER SANDALS WOMEN MKBAS91:LIGHT BLUE:36:PRINT:SLIPPER SANDALS</t>
  </si>
  <si>
    <t>SLIPPER SANDALS WOMEN MKBAS91:LIGHT BLUE:37:PRINT:SLIPPER SANDALS</t>
  </si>
  <si>
    <t>SLIPPER SANDALS WOMEN MKBAS91:LIGHT BLUE:38:PRINT:SLIPPER SANDALS</t>
  </si>
  <si>
    <t>SLIPPER SANDALS WOMEN MKBAS91:LIGHT BLUE:39:PRINT:SLIPPER SANDALS</t>
  </si>
  <si>
    <t>SLIPPER SANDALS WOMEN MKBAS91:LIGHT BLUE:40:PRINT:SLIPPER SANDALS</t>
  </si>
  <si>
    <t>SLIPPER SANDALS WOMEN MKBAS91:WHITE:36:PRINT:SLIPPER SANDALS</t>
  </si>
  <si>
    <t>SLIPPER SANDALS WOMEN MKBAS91:WHITE:37:PRINT:SLIPPER SANDALS</t>
  </si>
  <si>
    <t>SLIPPER SANDALS WOMEN MKBAS91:WHITE:38:PRINT:SLIPPER SANDALS</t>
  </si>
  <si>
    <t>SLIPPER SANDALS WOMEN MKBAS91:WHITE:39:PRINT:SLIPPER SANDALS</t>
  </si>
  <si>
    <t>SLIPPER SANDALS WOMEN MKBAS91:WHITE:40:PRINT:SLIPPER SANDALS</t>
  </si>
  <si>
    <t>MKBAS93</t>
  </si>
  <si>
    <t>SLIPPER SANDALS WOMEN MKBAS93:WHITE:36:PRINT:SLIPPER SANDALS</t>
  </si>
  <si>
    <t>SLIPPER SANDALS WOMEN MKBAS93:WHITE:37:PRINT:SLIPPER SANDALS</t>
  </si>
  <si>
    <t>SLIPPER SANDALS WOMEN MKBAS93:WHITE:38:PRINT:SLIPPER SANDALS</t>
  </si>
  <si>
    <t>SLIPPER SANDALS WOMEN MKBAS93:WHITE:39:PRINT:SLIPPER SANDALS</t>
  </si>
  <si>
    <t>SLIPPER SANDALS WOMEN MKBAS93:WHITE:40:PRINT:SLIPPER SANDALS</t>
  </si>
  <si>
    <t>SLIPPER SANDALS WOMEN MKBAS93:BLACK:36:PRINT:SLIPPER SANDALS</t>
  </si>
  <si>
    <t>SLIPPER SANDALS WOMEN MKBAS93:BLACK:37:PRINT:SLIPPER SANDALS</t>
  </si>
  <si>
    <t>SLIPPER SANDALS WOMEN MKBAS93:BLACK:38:PRINT:SLIPPER SANDALS</t>
  </si>
  <si>
    <t>SLIPPER SANDALS WOMEN MKBAS93:BLACK:39:PRINT:SLIPPER SANDALS</t>
  </si>
  <si>
    <t>SLIPPER SANDALS WOMEN MKBAS93:BLACK:40:PRINT:SLIPPER SANDALS</t>
  </si>
  <si>
    <t>SLIPPER SANDALS WOMEN MKBAS91:KHAKI:36:PRINT:SLIPPER SANDALS</t>
  </si>
  <si>
    <t>MKBAS94</t>
  </si>
  <si>
    <t>SLINGBACK SANDALS WOMEN MKBAS94:BLACK:40:SOLID:SLINGBACK SANDALS</t>
  </si>
  <si>
    <t>SLINGBACK SANDALS WOMEN MKBAS94:KHAKI:36:SOLID:SLINGBACK SANDALS</t>
  </si>
  <si>
    <t>SLINGBACK SANDALS WOMEN MKBAS94:KHAKI:37:SOLID:SLINGBACK SANDALS</t>
  </si>
  <si>
    <t>SLINGBACK SANDALS WOMEN MKBAS94:KHAKI:38:SOLID:SLINGBACK SANDALS</t>
  </si>
  <si>
    <t>SLINGBACK SANDALS WOMEN MKBAS94:KHAKI:39:SOLID:SLINGBACK SANDALS</t>
  </si>
  <si>
    <t>SLINGBACK SANDALS WOMEN MKBAS94:KHAKI:40:SOLID:SLINGBACK SANDALS</t>
  </si>
  <si>
    <t>SLINGBACK SANDALS WOMEN MKBAS94:BLACK:36:SOLID:SLINGBACK SANDALS</t>
  </si>
  <si>
    <t>SLINGBACK SANDALS WOMEN MKBAS94:BLACK:37:SOLID:SLINGBACK SANDALS</t>
  </si>
  <si>
    <t>SLINGBACK SANDALS WOMEN MKBAS94:BLACK:38:SOLID:SLINGBACK SANDALS</t>
  </si>
  <si>
    <t>SLINGBACK SANDALS WOMEN MKBAS94:BLACK:39:SOLID:SLINGBACK SANDALS</t>
  </si>
  <si>
    <t>MKBAS89</t>
  </si>
  <si>
    <t>SLIPPER SANDALS WOMEN MKBAS89:WHITE:36:PRINT:SLIPPER SANDALS</t>
  </si>
  <si>
    <t>SLIPPER SANDALS WOMEN MKBAS89:WHITE:37:PRINT:SLIPPER SANDALS</t>
  </si>
  <si>
    <t>SLIPPER SANDALS WOMEN MKBAS89:WHITE:38:PRINT:SLIPPER SANDALS</t>
  </si>
  <si>
    <t>SLIPPER SANDALS WOMEN MKBAS89:WHITE:39:PRINT:SLIPPER SANDALS</t>
  </si>
  <si>
    <t>SLIPPER SANDALS WOMEN MKBAS89:WHITE:40:PRINT:SLIPPER SANDALS</t>
  </si>
  <si>
    <t>SLIPPER SANDALS WOMEN MKBAS89:BLACK:36:PRINT:SLIPPER SANDALS</t>
  </si>
  <si>
    <t>SLIPPER SANDALS WOMEN MKBAS89:BLACK:37:PRINT:SLIPPER SANDALS</t>
  </si>
  <si>
    <t>SLIPPER SANDALS WOMEN MKBAS89:BLACK:38:PRINT:SLIPPER SANDALS</t>
  </si>
  <si>
    <t>SLIPPER SANDALS WOMEN MKBAS89:BLACK:39:PRINT:SLIPPER SANDALS</t>
  </si>
  <si>
    <t>SLIPPER SANDALS WOMEN MKBAS89:BLACK:40:PRINT:SLIPPER SANDALS</t>
  </si>
  <si>
    <t>MKBAS87</t>
  </si>
  <si>
    <t>SLIPPER SANDALS WOMEN MKBAS87:KHAKI:36:PRINT:SLIPPER SANDALS</t>
  </si>
  <si>
    <t>SLIPPER SANDALS WOMEN MKBAS87:KHAKI:37:PRINT:SLIPPER SANDALS</t>
  </si>
  <si>
    <t>SLIPPER SANDALS WOMEN MKBAS87:KHAKI:38:PRINT:SLIPPER SANDALS</t>
  </si>
  <si>
    <t>SLIPPER SANDALS WOMEN MKBAS87:KHAKI:39:PRINT:SLIPPER SANDALS</t>
  </si>
  <si>
    <t>SLIPPER SANDALS WOMEN MKBAS87:KHAKI:40:PRINT:SLIPPER SANDALS</t>
  </si>
  <si>
    <t>SLIPPER SANDALS WOMEN MKBAS87:BLACK:36:PRINT:SLIPPER SANDALS</t>
  </si>
  <si>
    <t>SLIPPER SANDALS WOMEN MKBAS87:BLACK:37:PRINT:SLIPPER SANDALS</t>
  </si>
  <si>
    <t>SLIPPER SANDALS WOMEN MKBAS87:BLACK:38:PRINT:SLIPPER SANDALS</t>
  </si>
  <si>
    <t>SLIPPER SANDALS WOMEN MKBAS87:BLACK:39:PRINT:SLIPPER SANDALS</t>
  </si>
  <si>
    <t>SLIPPER SANDALS WOMEN MKBAS87:BLACK:40:PRINT:SLIPPER SANDALS</t>
  </si>
  <si>
    <t>TIMEDEV10</t>
  </si>
  <si>
    <t>SLINGBACK SANDALS WOMEN TIMEDEV10:OLIVE:39:SOLID:SLINGBACK SANDALS</t>
  </si>
  <si>
    <t>SLINGBACK SANDALS WOMEN TIMEDEV10:OLIVE:40:SOLID:SLINGBACK SANDALS</t>
  </si>
  <si>
    <t>SLINGBACK SANDALS WOMEN TIMEDEV10:BLACK:36:SOLID:SLINGBACK SANDALS</t>
  </si>
  <si>
    <t>SLINGBACK SANDALS WOMEN TIMEDEV10:BLACK:37:SOLID:SLINGBACK SANDALS</t>
  </si>
  <si>
    <t>SLINGBACK SANDALS WOMEN TIMEDEV10:BLACK:38:SOLID:SLINGBACK SANDALS</t>
  </si>
  <si>
    <t>SLINGBACK SANDALS WOMEN TIMEDEV10:BLACK:39:SOLID:SLINGBACK SANDALS</t>
  </si>
  <si>
    <t>SLINGBACK SANDALS WOMEN TIMEDEV10:BLACK:40:SOLID:SLINGBACK SANDALS</t>
  </si>
  <si>
    <t>SLINGBACK SANDALS WOMEN TIMEDEV10:OLIVE:36:SOLID:SLINGBACK SANDALS</t>
  </si>
  <si>
    <t>SLINGBACK SANDALS WOMEN TIMEDEV10:OLIVE:37:SOLID:SLINGBACK SANDALS</t>
  </si>
  <si>
    <t>SLINGBACK SANDALS WOMEN TIMEDEV10:OLIVE:38:SOLID:SLINGBACK SANDALS</t>
  </si>
  <si>
    <t>MST08</t>
  </si>
  <si>
    <t>SLIPPER SANDALS WOMEN MST08:BLACK:36:SOLID:SLIPPER SANDALS</t>
  </si>
  <si>
    <t>SLIPPER SANDALS WOMEN MST08:BLACK:37:SOLID:SLIPPER SANDALS</t>
  </si>
  <si>
    <t>SLIPPER SANDALS WOMEN MST08:BLACK:38:SOLID:SLIPPER SANDALS</t>
  </si>
  <si>
    <t>SLIPPER SANDALS WOMEN MST08:BLACK:39:SOLID:SLIPPER SANDALS</t>
  </si>
  <si>
    <t>SLIPPER SANDALS WOMEN MST08:BLACK:40:SOLID:SLIPPER SANDALS</t>
  </si>
  <si>
    <t>SLIPPER SANDALS WOMEN MST08:MAROON:36:SOLID:SLIPPER SANDALS</t>
  </si>
  <si>
    <t>SLIPPER SANDALS WOMEN MST08:MAROON:37:SOLID:SLIPPER SANDALS</t>
  </si>
  <si>
    <t>SLIPPER SANDALS WOMEN MST08:MAROON:38:SOLID:SLIPPER SANDALS</t>
  </si>
  <si>
    <t>SLIPPER SANDALS WOMEN MST08:MAROON:39:SOLID:SLIPPER SANDALS</t>
  </si>
  <si>
    <t>SLIPPER SANDALS WOMEN MST08:MAROON:40:SOLID:SLIPPER SANDALS</t>
  </si>
  <si>
    <t>MST09</t>
  </si>
  <si>
    <t>SLIPPER SANDALS WOMEN MST09:BLACK:36:SOLID:SLIPPER SANDALS</t>
  </si>
  <si>
    <t>SLIPPER SANDALS WOMEN MST09:BLACK:37:SOLID:SLIPPER SANDALS</t>
  </si>
  <si>
    <t>SLIPPER SANDALS WOMEN MST09:BLACK:38:SOLID:SLIPPER SANDALS</t>
  </si>
  <si>
    <t>SLIPPER SANDALS WOMEN MST09:BLACK:39:SOLID:SLIPPER SANDALS</t>
  </si>
  <si>
    <t>SLIPPER SANDALS WOMEN MST09:BLACK:40:SOLID:SLIPPER SANDALS</t>
  </si>
  <si>
    <t>MKBAS88</t>
  </si>
  <si>
    <t>SLIPPER SANDALS WOMEN MKBAS88:BLACK:36:PRINT:SLIPPER SANDALS</t>
  </si>
  <si>
    <t>SLIPPER SANDALS WOMEN MKBAS88:BLACK:37:PRINT:SLIPPER SANDALS</t>
  </si>
  <si>
    <t>SLIPPER SANDALS WOMEN MKBAS88:BLACK:38:PRINT:SLIPPER SANDALS</t>
  </si>
  <si>
    <t>SLIPPER SANDALS WOMEN MKBAS88:BLACK:39:PRINT:SLIPPER SANDALS</t>
  </si>
  <si>
    <t>SLIPPER SANDALS WOMEN MKBAS88:BLACK:40:PRINT:SLIPPER SANDALS</t>
  </si>
  <si>
    <t>SLIPPER SANDALS WOMEN MKBAS88:KHAKI:36:PRINT:SLIPPER SANDALS</t>
  </si>
  <si>
    <t>SLIPPER SANDALS WOMEN MKBAS88:KHAKI:37:PRINT:SLIPPER SANDALS</t>
  </si>
  <si>
    <t>SLIPPER SANDALS WOMEN MKBAS88:KHAKI:38:PRINT:SLIPPER SANDALS</t>
  </si>
  <si>
    <t>SLIPPER SANDALS WOMEN MKBAS88:KHAKI:39:PRINT:SLIPPER SANDALS</t>
  </si>
  <si>
    <t>SLIPPER SANDALS WOMEN MKBAS88:KHAKI:40:PRINT:SLIPPER SANDALS</t>
  </si>
  <si>
    <t>MK2404</t>
  </si>
  <si>
    <t>FLIP FLOPS WOMEN MK2404:FROST GREY:S:SOLID:FLIP FLOPS</t>
  </si>
  <si>
    <t>FLIP FLOPS WOMEN MK2404:FROST GREY:M:SOLID:FLIP FLOPS</t>
  </si>
  <si>
    <t>FLIP FLOPS WOMEN MK2404:FROST GREY:L:SOLID:FLIP FLOPS</t>
  </si>
  <si>
    <t>FLIP FLOPS WOMEN MK2404:FROST GREY:XL:SOLID:FLIP FLOPS</t>
  </si>
  <si>
    <t>FLIP FLOPS WOMEN MK2404:OLIVE:S:SOLID:FLIP FLOPS</t>
  </si>
  <si>
    <t>FLIP FLOPS WOMEN MK2404:OLIVE:M:SOLID:FLIP FLOPS</t>
  </si>
  <si>
    <t>FLIP FLOPS WOMEN MK2404:OLIVE:L:SOLID:FLIP FLOPS</t>
  </si>
  <si>
    <t>FLIP FLOPS WOMEN MK2404:OLIVE:XL:SOLID:FLIP FLOPS</t>
  </si>
  <si>
    <t>MKT05</t>
  </si>
  <si>
    <t>SLIPPER SANDALS WOMEN MKT05:BLACK:36:SOLID:SLIPPER SANDALS</t>
  </si>
  <si>
    <t>SLIPPER SANDALS WOMEN MKT05:BLACK:37:SOLID:SLIPPER SANDALS</t>
  </si>
  <si>
    <t>SLIPPER SANDALS WOMEN MKT05:BLACK:38:SOLID:SLIPPER SANDALS</t>
  </si>
  <si>
    <t>SLIPPER SANDALS WOMEN MKT05:BLACK:39:SOLID:SLIPPER SANDALS</t>
  </si>
  <si>
    <t>SLIPPER SANDALS WOMEN MKT05:BLACK:40:SOLID:SLIPPER SANDALS</t>
  </si>
  <si>
    <t>SLBAS02</t>
  </si>
  <si>
    <t>SLIPPER SANDALS MICKEY SLBAS02:WHITE:36:SOLID:SLIPPER SANDALS</t>
  </si>
  <si>
    <t>SLBAS01</t>
  </si>
  <si>
    <t>SLIPPER SANDALS MICKEY SLBAS01:WHITE:36:SOLID:SLIPPER SANDALS</t>
  </si>
  <si>
    <t>SLBAS03</t>
  </si>
  <si>
    <t>SLIPPER SANDALS MICKEY SLBAS03:PASTEL PINK:36:SOLID:SLIPPER SANDALS</t>
  </si>
  <si>
    <t>SLIPPER SANDALS MICKEY SLBAS01:WHITE:37:SOLID:SLIPPER SANDALS</t>
  </si>
  <si>
    <t>SLIPPER SANDALS MICKEY SLBAS03:PASTEL PINK:38:SOLID:SLIPPER SANDALS</t>
  </si>
  <si>
    <t>SLIPPER SANDALS MICKEY SLBAS03:BLACK:36:SOLID:SLIPPER SANDALS</t>
  </si>
  <si>
    <t>SLIPPER SANDALS MICKEY SLBAS03:BLACK:37:SOLID:SLIPPER SANDALS</t>
  </si>
  <si>
    <t>SLIPPER SANDALS MICKEY SLBAS02:WHITE:40:SOLID:SLIPPER SANDALS</t>
  </si>
  <si>
    <t>SLIPPER SANDALS MICKEY SLBAS01:WHITE:40:SOLID:SLIPPER SANDALS</t>
  </si>
  <si>
    <t>SLIPPER SANDALS MICKEY SLBAS01:WHITE:39:SOLID:SLIPPER SANDALS</t>
  </si>
  <si>
    <t>SLIPPER SANDALS MICKEY SLBAS03:BLACK:38:SOLID:SLIPPER SANDALS</t>
  </si>
  <si>
    <t>SLIPPER SANDALS MICKEY SLBAS03:PASTEL PINK:40:SOLID:SLIPPER SANDALS</t>
  </si>
  <si>
    <t>SLIPPER SANDALS MICKEY SLBAS01:WHITE:38:SOLID:SLIPPER SANDALS</t>
  </si>
  <si>
    <t>SLIPPER SANDALS MICKEY SLBAS02:WHITE:37:SOLID:SLIPPER SANDALS</t>
  </si>
  <si>
    <t>SLIPPER SANDALS MICKEY SLBAS03:PASTEL PINK:39:SOLID:SLIPPER SANDALS</t>
  </si>
  <si>
    <t>SLIPPER SANDALS MICKEY SLBAS02:WHITE:38:SOLID:SLIPPER SANDALS</t>
  </si>
  <si>
    <t>SLIPPER SANDALS MICKEY SLBAS03:BLACK:39:SOLID:SLIPPER SANDALS</t>
  </si>
  <si>
    <t>SLIPPER SANDALS MICKEY SLBAS03:BLACK:40:SOLID:SLIPPER SANDALS</t>
  </si>
  <si>
    <t>SLIPPER SANDALS MICKEY SLBAS03:PASTEL PINK:37:SOLID:SLIPPER SANDALS</t>
  </si>
  <si>
    <t>SLIPPER SANDALS MICKEY SLBAS02:WHITE:39:SOLID:SLIPPER SANDALS</t>
  </si>
  <si>
    <t>MKBAS96</t>
  </si>
  <si>
    <t>SLIPPER SANDALS WOMEN MKBAS96:BLACK:36:SOLID:SLIPPER SANDALS</t>
  </si>
  <si>
    <t>SLIPPER SANDALS WOMEN MKBAS96:BLACK:38:SOLID:SLIPPER SANDALS</t>
  </si>
  <si>
    <t>SLIPPER SANDALS WOMEN MKBAS96:BLACK:39:SOLID:SLIPPER SANDALS</t>
  </si>
  <si>
    <t>SLIPPER SANDALS WOMEN MKBAS96:BLACK:40:SOLID:SLIPPER SANDALS</t>
  </si>
  <si>
    <t>SLIPPER SANDALS WOMEN MKBAS96:MUSTARD:36:SOLID:SLIPPER SANDALS</t>
  </si>
  <si>
    <t>SLIPPER SANDALS WOMEN MKBAS96:MUSTARD:37:SOLID:SLIPPER SANDALS</t>
  </si>
  <si>
    <t>SLIPPER SANDALS WOMEN MKBAS96:MUSTARD:38:SOLID:SLIPPER SANDALS</t>
  </si>
  <si>
    <t>SLIPPER SANDALS WOMEN MKBAS96:MUSTARD:39:SOLID:SLIPPER SANDALS</t>
  </si>
  <si>
    <t>SLIPPER SANDALS WOMEN MKBAS96:MUSTARD:40:SOLID:SLIPPER SANDALS</t>
  </si>
  <si>
    <t>MKBAS92</t>
  </si>
  <si>
    <t>SLIPPER SANDALS WOMEN MKBAS92:MUSTARD:36:SOLID:SLIPPER SANDALS</t>
  </si>
  <si>
    <t>SLIPPER SANDALS WOMEN MKBAS92:MUSTARD:37:SOLID:SLIPPER SANDALS</t>
  </si>
  <si>
    <t>SLIPPER SANDALS WOMEN MKBAS92:PASTEL PINK:38:SOLID:SLIPPER SANDALS</t>
  </si>
  <si>
    <t>SLIPPER SANDALS WOMEN MKBAS92:MUSTARD:38:SOLID:SLIPPER SANDALS</t>
  </si>
  <si>
    <t>SLIPPER SANDALS WOMEN MKBAS92:MUSTARD:39:SOLID:SLIPPER SANDALS</t>
  </si>
  <si>
    <t>SLIPPER SANDALS WOMEN MKBAS92:MUSTARD:40:SOLID:SLIPPER SANDALS</t>
  </si>
  <si>
    <t>SLIPPER SANDALS WOMEN MKBAS92:PASTEL PINK:36:SOLID:SLIPPER SANDALS</t>
  </si>
  <si>
    <t>SLIPPER SANDALS WOMEN MKBAS92:PASTEL PINK:37:SOLID:SLIPPER SANDALS</t>
  </si>
  <si>
    <t>SLIPPER SANDALS WOMEN MKBAS92:PASTEL PINK:39:SOLID:SLIPPER SANDALS</t>
  </si>
  <si>
    <t>SLIPPER SANDALS WOMEN MKBAS92:PASTEL PINK:40:SOLID:SLIPPER SANDALS</t>
  </si>
  <si>
    <t>SLIPPER SANDALS WOMEN MKBAS96:BLACK:37:SOLID:SLIPPER SANDALS</t>
  </si>
  <si>
    <t>SLIPPER SANDALS MICKEY MKBAS47:WHITE:39:SOLID:SLIPPER SANDALS</t>
  </si>
  <si>
    <t>SLIPPER SANDALS MICKEY MKBAS47:WHITE:40:SOLID:SLIPPER SANDALS</t>
  </si>
  <si>
    <t>SLIPPER SANDALS MICKEY MKBAS47:WHITE:36:SOLID:SLIPPER SANDALS</t>
  </si>
  <si>
    <t>SLIPPER SANDALS MICKEY MKBAS47:WHITE:37:SOLID:SLIPPER SANDALS</t>
  </si>
  <si>
    <t>SLIPPER SANDALS MICKEY MKBAS47:WHITE:38:SOLID:SLIPPER SANDALS</t>
  </si>
  <si>
    <t>SP</t>
  </si>
  <si>
    <t>SPECIAL PRICE</t>
  </si>
  <si>
    <t>MKBAS98</t>
  </si>
  <si>
    <t>SLIPPER SANDALS MICKEY MKBAS98:BLACK:36:SOLID:SLIPPER SANDALS</t>
  </si>
  <si>
    <t>SLIPPER SANDALS MICKEY MKBAS98:BLACK:39:SOLID:SLIPPER SANDALS</t>
  </si>
  <si>
    <t>SLIPPER SANDALS MICKEY MKBAS98:OFF WHITE:37:SOLID:SLIPPER SANDALS</t>
  </si>
  <si>
    <t>SLIPPER SANDALS MICKEY MKBAS98:BLACK:40:SOLID:SLIPPER SANDALS</t>
  </si>
  <si>
    <t>SLIPPER SANDALS MICKEY MKBAS98:OFF WHITE:40:SOLID:SLIPPER SANDALS</t>
  </si>
  <si>
    <t>SLIPPER SANDALS MICKEY MKBAS98:BLACK:38:SOLID:SLIPPER SANDALS</t>
  </si>
  <si>
    <t>SLIPPER SANDALS MICKEY MKBAS98:OFF WHITE:39:SOLID:SLIPPER SANDALS</t>
  </si>
  <si>
    <t>SLIPPER SANDALS MICKEY MKBAS98:OFF WHITE:38:SOLID:SLIPPER SANDALS</t>
  </si>
  <si>
    <t>SLIPPER SANDALS MICKEY MKBAS98:OFF WHITE:36:SOLID:SLIPPER SANDALS</t>
  </si>
  <si>
    <t>SLIPPER SANDALS MICKEY MKBAS98:BLACK:37:SOLID:SLIPPER SANDALS</t>
  </si>
  <si>
    <t>MKBAS99</t>
  </si>
  <si>
    <t>SLIPPER SANDALS MICKEY MKBAS99:KHAKI:38:SOLID:SLIPPER SANDALS</t>
  </si>
  <si>
    <t>SLIPPER SANDALS MICKEY MKBAS99:KHAKI:39:SOLID:SLIPPER SANDALS</t>
  </si>
  <si>
    <t>SLIPPER SANDALS MICKEY MKBAS99:OFF WHITE:38:SOLID:SLIPPER SANDALS</t>
  </si>
  <si>
    <t>SLIPPER SANDALS MICKEY MKBAS99:KHAKI:37:SOLID:SLIPPER SANDALS</t>
  </si>
  <si>
    <t>SLIPPER SANDALS MICKEY MKBAS99:KHAKI:36:SOLID:SLIPPER SANDALS</t>
  </si>
  <si>
    <t>SLIPPER SANDALS MICKEY MKBAS99:OFF WHITE:40:SOLID:SLIPPER SANDALS</t>
  </si>
  <si>
    <t>SLIPPER SANDALS MICKEY MKBAS99:OFF WHITE:37:SOLID:SLIPPER SANDALS</t>
  </si>
  <si>
    <t>SLIPPER SANDALS MICKEY MKBAS99:OFF WHITE:39:SOLID:SLIPPER SANDALS</t>
  </si>
  <si>
    <t>SLIPPER SANDALS MICKEY MKBAS99:OFF WHITE:36:SOLID:SLIPPER SANDALS</t>
  </si>
  <si>
    <t>SLIPPER SANDALS MICKEY MKBAS99:KHAKI:40:SOLID:SLIPPER SANDALS</t>
  </si>
  <si>
    <t>LOHA01</t>
  </si>
  <si>
    <t>FLIP FLOPS LOTSO LOHA01:PASTEL PINK:L:SOLID:FLIP FLOPS</t>
  </si>
  <si>
    <t>STITCH2415</t>
  </si>
  <si>
    <t>SLIPPER SANDALS WOMEN STITCH2415:LIGHT BLUE:40:SOLID:SLIPPER SANDALS</t>
  </si>
  <si>
    <t>FLIP FLOPS LOTSO LOHA01:PASTEL PINK:M:SOLID:FLIP FLOPS</t>
  </si>
  <si>
    <t>FLIP FLOPS LOTSO LOHA01:PASTEL PINK:XL:SOLID:FLIP FLOPS</t>
  </si>
  <si>
    <t>FLIP FLOPS LOTSO LOHA01:BLACK:S:SOLID:FLIP FLOPS</t>
  </si>
  <si>
    <t>FLIP FLOPS LOTSO LOHA01:BLACK:M:SOLID:FLIP FLOPS</t>
  </si>
  <si>
    <t>FLIP FLOPS LOTSO LOHA01:BLACK:L:SOLID:FLIP FLOPS</t>
  </si>
  <si>
    <t>FLIP FLOPS LOTSO LOHA01:BLACK:XL:SOLID:FLIP FLOPS</t>
  </si>
  <si>
    <t>SLIPPER SANDALS WOMEN STITCH2415:LIGHT BLUE:38:SOLID:SLIPPER SANDALS</t>
  </si>
  <si>
    <t>SLIPPER SANDALS WOMEN STITCH2415:LIGHT BLUE:39:SOLID:SLIPPER SANDALS</t>
  </si>
  <si>
    <t>SLIPPER SANDALS WOMEN STITCH2415:LIGHT BLUE:37:SOLID:SLIPPER SANDALS</t>
  </si>
  <si>
    <t>FLIP FLOPS LOTSO LOHA01:PASTEL PINK:S:SOLID:FLIP FLOPS</t>
  </si>
  <si>
    <t>SLIPPER SANDALS WOMEN MNT111:LIGHT BLUE:37:PRINT:SLIPPER SANDALS</t>
  </si>
  <si>
    <t>SLIPPER SANDALS WOMEN MNT111:LIGHT BLUE:36:PRINT:SLIPPER SANDALS</t>
  </si>
  <si>
    <t>SLIPPER SANDALS WOMEN MNT111:LIGHT BLUE:38:PRINT:SLIPPER SANDALS</t>
  </si>
  <si>
    <t>SLIPPER SANDALS WOMEN MNT111:LIGHT BLUE:39:PRINT:SLIPPER SANDALS</t>
  </si>
  <si>
    <t>SLIPPER SANDALS WOMEN MNT111:LIGHT BLUE:40:PRINT:SLIPPER SANDALS</t>
  </si>
  <si>
    <t>SLIPPER SANDALS WOMEN MNT111:PASTEL PURPLE:36:PRINT:SLIPPER SANDALS</t>
  </si>
  <si>
    <t>SLIPPER SANDALS WOMEN MNT111:PASTEL PURPLE:38:PRINT:SLIPPER SANDALS</t>
  </si>
  <si>
    <t>SLIPPER SANDALS WOMEN MNT111:PASTEL PURPLE:39:PRINT:SLIPPER SANDALS</t>
  </si>
  <si>
    <t>SLIPPER SANDALS WOMEN MNT111:PASTEL PURPLE:40:PRINT:SLIPPER SANDALS</t>
  </si>
  <si>
    <t>SLIPPER SANDALS WOMEN MNT111:PASTEL PURPLE:37:PRINT:SLIPPER SANDALS</t>
  </si>
  <si>
    <t>SST02</t>
  </si>
  <si>
    <t>SLIPPER SANDALS WOMEN SST02:LIGHT BLUE:38:SOLID:SLIPPER SANDALS</t>
  </si>
  <si>
    <t>SLIPPER SANDALS WOMEN SST02:LIGHT BLUE:39:SOLID:SLIPPER SANDALS</t>
  </si>
  <si>
    <t>SLIPPER SANDALS WOMEN SST02:LIGHT BLUE:40:SOLID:SLIPPER SANDALS</t>
  </si>
  <si>
    <t>SLIPPER SANDALS WOMEN SST02:LIGHT BLUE:36:SOLID:SLIPPER SANDALS</t>
  </si>
  <si>
    <t>SLIPPER SANDALS WOMEN SST02:LIGHT BLUE:37:SOLID:SLIPPER SANDALS</t>
  </si>
  <si>
    <t>DPH01</t>
  </si>
  <si>
    <t>SLIPPER SANDALS WOMEN DPH01:BLACK:40:SOLID:SLIPPER SANDALS</t>
  </si>
  <si>
    <t>SLIPPER SANDALS WOMEN DPH01:OFF WHITE:36:SOLID:SLIPPER SANDALS</t>
  </si>
  <si>
    <t>SLIPPER SANDALS WOMEN DPH01:OFF WHITE:37:SOLID:SLIPPER SANDALS</t>
  </si>
  <si>
    <t>SLIPPER SANDALS WOMEN DPH01:OFF WHITE:38:SOLID:SLIPPER SANDALS</t>
  </si>
  <si>
    <t>SLIPPER SANDALS WOMEN DPH01:OFF WHITE:40:SOLID:SLIPPER SANDALS</t>
  </si>
  <si>
    <t>SLIPPER SANDALS WOMEN DPH01:BLACK:38:SOLID:SLIPPER SANDALS</t>
  </si>
  <si>
    <t>SLIPPER SANDALS WOMEN DPH01:BLACK:36:SOLID:SLIPPER SANDALS</t>
  </si>
  <si>
    <t>SLIPPER SANDALS WOMEN DPH01:BLACK:37:SOLID:SLIPPER SANDALS</t>
  </si>
  <si>
    <t>SLIPPER SANDALS WOMEN DPH01:BLACK:39:SOLID:SLIPPER SANDALS</t>
  </si>
  <si>
    <t>SLIPPER SANDALS WOMEN DPH01:OFF WHITE:39:SOLID:SLIPPER SANDALS</t>
  </si>
  <si>
    <t>LST01</t>
  </si>
  <si>
    <t>SLIPPER SANDALS WOMEN LST01:FUSCHIA:37:SOLID:SLIPPER SANDALS</t>
  </si>
  <si>
    <t>SLIPPER SANDALS WOMEN LST01:FUSCHIA:36:SOLID:SLIPPER SANDALS</t>
  </si>
  <si>
    <t>SLIPPER SANDALS WOMEN LST01:FUSCHIA:39:SOLID:SLIPPER SANDALS</t>
  </si>
  <si>
    <t>SLIPPER SANDALS WOMEN LST01:FUSCHIA:38:SOLID:SLIPPER SANDALS</t>
  </si>
  <si>
    <t>SLIPPER SANDALS WOMEN LST01:FUSCHIA:40:SOLID:SLIPPER SANDALS</t>
  </si>
  <si>
    <t>SLIPPER SANDALS WOMEN MNT111:FUSCHIA:40:PRINT:SLIPPER SANDALS</t>
  </si>
  <si>
    <t>SLIPPER SANDALS WOMEN MNT111:FUSCHIA:39:PRINT:SLIPPER SANDALS</t>
  </si>
  <si>
    <t>SLIPPER SANDALS WOMEN MNT111:FUSCHIA:36:PRINT:SLIPPER SANDALS</t>
  </si>
  <si>
    <t>SLIPPER SANDALS WOMEN MNT111:FUSCHIA:38:PRINT:SLIPPER SANDALS</t>
  </si>
  <si>
    <t>SLIPPER SANDALS WOMEN MNT111:FUSCHIA:37:PRINT:SLIPPER SANDALS</t>
  </si>
  <si>
    <t>ALL CROCS SANDALS SP20K</t>
  </si>
  <si>
    <t>SBAS01</t>
  </si>
  <si>
    <t>SLINGBACK SANDALS MICKEY SBAS01:LIGHT BLUE:36:SOLID:SLINGBACK SANDALS</t>
  </si>
  <si>
    <t>SLINGBACK SANDALS MICKEY SBAS01:WHITE:37:SOLID:SLINGBACK SANDALS</t>
  </si>
  <si>
    <t>SLINGBACK SANDALS MICKEY SBAS01:WHITE:38:SOLID:SLINGBACK SANDALS</t>
  </si>
  <si>
    <t>SLINGBACK SANDALS MICKEY SBAS01:LIGHT BLUE:37:SOLID:SLINGBACK SANDALS</t>
  </si>
  <si>
    <t>SLINGBACK SANDALS MICKEY SBAS01:LIGHT BLUE:39:SOLID:SLINGBACK SANDALS</t>
  </si>
  <si>
    <t>SLINGBACK SANDALS MICKEY SBAS01:WHITE:36:SOLID:SLINGBACK SANDALS</t>
  </si>
  <si>
    <t>SLINGBACK SANDALS MICKEY SBAS01:LIGHT BLUE:38:SOLID:SLINGBACK SANDALS</t>
  </si>
  <si>
    <t>SLINGBACK SANDALS MICKEY SBAS01:LIGHT BLUE:40:SOLID:SLINGBACK SANDALS</t>
  </si>
  <si>
    <t>SLINGBACK SANDALS MICKEY SBAS01:WHITE:39:SOLID:SLINGBACK SANDALS</t>
  </si>
  <si>
    <t>SLINGBACK SANDALS MICKEY SBAS01:WHITE:40:SOLID:SLINGBACK SANDALS</t>
  </si>
  <si>
    <t>SBAS03</t>
  </si>
  <si>
    <t>SLIPPER SANDALS MICKEY SBAS03:BLACK:37:SOLID:SLIPPER SANDALS</t>
  </si>
  <si>
    <t>SLIPPER SANDALS MICKEY SBAS03:KHAKI:37:SOLID:SLIPPER SANDALS</t>
  </si>
  <si>
    <t>SLIPPER SANDALS MICKEY SBAS03:KHAKI:38:SOLID:SLIPPER SANDALS</t>
  </si>
  <si>
    <t>SLIPPER SANDALS MICKEY SBAS03:KHAKI:36:SOLID:SLIPPER SANDALS</t>
  </si>
  <si>
    <t>SLIPPER SANDALS MICKEY SBAS03:BLACK:38:SOLID:SLIPPER SANDALS</t>
  </si>
  <si>
    <t>SLIPPER SANDALS MICKEY SBAS03:BLACK:36:SOLID:SLIPPER SANDALS</t>
  </si>
  <si>
    <t>SLIPPER SANDALS MICKEY SBAS03:BLACK:39:SOLID:SLIPPER SANDALS</t>
  </si>
  <si>
    <t>SLIPPER SANDALS MICKEY SBAS03:BLACK:40:SOLID:SLIPPER SANDALS</t>
  </si>
  <si>
    <t>SLIPPER SANDALS MICKEY SBAS03:KHAKI:39:SOLID:SLIPPER SANDALS</t>
  </si>
  <si>
    <t>SLIPPER SANDALS MICKEY SBAS03:KHAKI:40:SOLID:SLIPPER SANDALS</t>
  </si>
  <si>
    <t>MST12</t>
  </si>
  <si>
    <t>SLIPPER SANDALS WOMEN MK2216:BLACK:40:PRINT:SLIPPER SANDALS</t>
  </si>
  <si>
    <t>SLIPPER SANDALS WOMEN MK2216:BLACK:38:PRINT:SLIPPER SANDALS</t>
  </si>
  <si>
    <t>SLIPPER SANDALS WOMEN MK2216:BLACK:39:PRINT:SLIPPER SANDALS</t>
  </si>
  <si>
    <t>SLIPPER SANDALS WOMEN MK2216:BLACK:36:PRINT:SLIPPER SANDALS</t>
  </si>
  <si>
    <t>SLIPPER SANDALS WOMEN MK2216:BLACK:37:PRINT:SLIPPER SANDALS</t>
  </si>
  <si>
    <t>SLIPPER SANDALS WOMEN MK2216:NAVY BLUE:37:PRINT:SLIPPER SANDALS</t>
  </si>
  <si>
    <t>SLIPPER SANDALS WOMEN MK2216:NAVY BLUE:38:PRINT:SLIPPER SANDALS</t>
  </si>
  <si>
    <t>SLIPPER SANDALS WOMEN MK2216:NAVY BLUE:36:PRINT:SLIPPER SANDALS</t>
  </si>
  <si>
    <t>SLIPPER SANDALS WOMEN MK2216:NAVY BLUE:39:PRINT:SLIPPER SANDALS</t>
  </si>
  <si>
    <t>SLIPPER SANDALS WOMEN MK2216:NAVY BLUE:40:PRINT:SLIPPER SANDALS</t>
  </si>
  <si>
    <t>FLIP FLOPS WOMEN MK2206:MAROON:S:PRINT:FLIP FLOPS</t>
  </si>
  <si>
    <t>FLIP FLOPS WOMEN MK2206:MAROON:M:PRINT:FLIP FLOPS</t>
  </si>
  <si>
    <t>FLIP FLOPS WOMEN MK2206:MAROON:L:PRINT:FLIP FLOPS</t>
  </si>
  <si>
    <t>FLIP FLOPS WOMEN MK2206:MAROON:XL:PRINT:FLIP FLOPS</t>
  </si>
  <si>
    <t>TS210</t>
  </si>
  <si>
    <t>FLIP FLOPS WOMEN TS210:FUSCHIA:S:PRINT:FLIP FLOPS</t>
  </si>
  <si>
    <t>FLIP FLOPS WOMEN TS210:FUSCHIA:M:PRINT:FLIP FLOPS</t>
  </si>
  <si>
    <t>FLIP FLOPS WOMEN TS210:FUSCHIA:L:PRINT:FLIP FLOPS</t>
  </si>
  <si>
    <t>FLIP FLOPS WOMEN TS210:FUSCHIA:XL:PRINT:FLIP FLOPS</t>
  </si>
  <si>
    <t>FLIP FLOPS WOMEN TS210:LIGHT BLUE:S:PRINT:FLIP FLOPS</t>
  </si>
  <si>
    <t>FLIP FLOPS WOMEN TS210:LIGHT BLUE:M:PRINT:FLIP FLOPS</t>
  </si>
  <si>
    <t>FLIP FLOPS WOMEN TS210:LIGHT BLUE:L:PRINT:FLIP FLOPS</t>
  </si>
  <si>
    <t>FLIP FLOPS WOMEN TS210:LIGHT BLUE:XL:PRINT:FLIP FLOPS</t>
  </si>
  <si>
    <t>MTREK1</t>
  </si>
  <si>
    <t>ANKLE STRAP SANDALS WOMEN MTREK1:BLACK:36:TEXTURE:ANKLE STRAP SANDALS</t>
  </si>
  <si>
    <t>ANKLE STRAP SANDALS WOMEN MTREK1:BLACK:37:TEXTURE:ANKLE STRAP SANDALS</t>
  </si>
  <si>
    <t>ANKLE STRAP SANDALS WOMEN MTREK1:BLACK:38:TEXTURE:ANKLE STRAP SANDALS</t>
  </si>
  <si>
    <t>ANKLE STRAP SANDALS WOMEN MTREK1:BLACK:39:TEXTURE:ANKLE STRAP SANDALS</t>
  </si>
  <si>
    <t>ANKLE STRAP SANDALS WOMEN MTREK1:BLACK:40:TEXTURE:ANKLE STRAP SANDALS</t>
  </si>
  <si>
    <t>ANKLE STRAP SANDALS WOMEN MTREK1:KHAKI:36:TEXTURE:ANKLE STRAP SANDALS</t>
  </si>
  <si>
    <t>ANKLE STRAP SANDALS WOMEN MTREK1:KHAKI:37:TEXTURE:ANKLE STRAP SANDALS</t>
  </si>
  <si>
    <t>ANKLE STRAP SANDALS WOMEN MTREK1:KHAKI:38:TEXTURE:ANKLE STRAP SANDALS</t>
  </si>
  <si>
    <t>ANKLE STRAP SANDALS WOMEN MTREK1:KHAKI:39:TEXTURE:ANKLE STRAP SANDALS</t>
  </si>
  <si>
    <t>ANKLE STRAP SANDALS WOMEN MTREK1:KHAKI:40:TEXTURE:ANKLE STRAP SANDALS</t>
  </si>
  <si>
    <t>SLINGBACK SANDALS WOMEN TIMEDEV10:KHAKI:36:SOLID:SLINGBACK SANDALS</t>
  </si>
  <si>
    <t>SLINGBACK SANDALS WOMEN TIMEDEV10:KHAKI:37:SOLID:SLINGBACK SANDALS</t>
  </si>
  <si>
    <t>SLINGBACK SANDALS WOMEN TIMEDEV10:KHAKI:38:SOLID:SLINGBACK SANDALS</t>
  </si>
  <si>
    <t>SLINGBACK SANDALS WOMEN TIMEDEV10:KHAKI:39:SOLID:SLINGBACK SANDALS</t>
  </si>
  <si>
    <t>SLINGBACK SANDALS WOMEN TIMEDEV10:KHAKI:40:SOLID:SLINGBACK SANDALS</t>
  </si>
  <si>
    <t>MARB114</t>
  </si>
  <si>
    <t>FLIP FLOPS MICKEY MARB114:NAVY BLUE:36:SOLID:FLIP FLOPS</t>
  </si>
  <si>
    <t>FLIP FLOPS MICKEY MARB114:NAVY BLUE:37:SOLID:FLIP FLOPS</t>
  </si>
  <si>
    <t>FLIP FLOPS MICKEY MARB114:NAVY BLUE:38:SOLID:FLIP FLOPS</t>
  </si>
  <si>
    <t>FLIP FLOPS MICKEY MARB114:NAVY BLUE:39:SOLID:FLIP FLOPS</t>
  </si>
  <si>
    <t>FLIP FLOPS MICKEY MARB114:NAVY BLUE:40:SOLID:FLIP FLOPS</t>
  </si>
  <si>
    <t>FLIP FLOPS MICKEY MARB114:ASSORTIVE COLOR:36:SOLID:FLIP FLOPS</t>
  </si>
  <si>
    <t>FLIP FLOPS MICKEY MARB114:ASSORTIVE COLOR:37:SOLID:FLIP FLOPS</t>
  </si>
  <si>
    <t>FLIP FLOPS MICKEY MARB114:ASSORTIVE COLOR:38:SOLID:FLIP FLOPS</t>
  </si>
  <si>
    <t>FLIP FLOPS MICKEY MARB114:ASSORTIVE COLOR:39:SOLID:FLIP FLOPS</t>
  </si>
  <si>
    <t>FLIP FLOPS MICKEY MARB114:ASSORTIVE COLOR:40:SOLID:FLIP FLOPS</t>
  </si>
  <si>
    <t>MARB115</t>
  </si>
  <si>
    <t>SLIPPER SANDALS MICKEY MARB115:BLACK:36:SOLID:SLIPPER SANDALS</t>
  </si>
  <si>
    <t>SLIPPER SANDALS MICKEY MARB115:BLACK:37:SOLID:SLIPPER SANDALS</t>
  </si>
  <si>
    <t>SLIPPER SANDALS MICKEY MARB115:BLACK:38:SOLID:SLIPPER SANDALS</t>
  </si>
  <si>
    <t>SLIPPER SANDALS MICKEY MARB115:BLACK:39:SOLID:SLIPPER SANDALS</t>
  </si>
  <si>
    <t>SLIPPER SANDALS MICKEY MARB115:BLACK:40:SOLID:SLIPPER SANDALS</t>
  </si>
  <si>
    <t>SLIPPER SANDALS MICKEY MARB115:WHITE:36:SOLID:SLIPPER SANDALS</t>
  </si>
  <si>
    <t>SLIPPER SANDALS MICKEY MARB115:WHITE:37:SOLID:SLIPPER SANDALS</t>
  </si>
  <si>
    <t>SLIPPER SANDALS MICKEY MARB115:WHITE:38:SOLID:SLIPPER SANDALS</t>
  </si>
  <si>
    <t>SLIPPER SANDALS MICKEY MARB115:WHITE:39:SOLID:SLIPPER SANDALS</t>
  </si>
  <si>
    <t>SLIPPER SANDALS MICKEY MARB115:WHITE:40:SOLID:SLIPPER SANDALS</t>
  </si>
  <si>
    <t>MIRL01</t>
  </si>
  <si>
    <t>SLIPPER SANDALS MICKEY MIRL01:BLACK:36:SOLID:SLIPPER SANDALS</t>
  </si>
  <si>
    <t>SLIPPER SANDALS MICKEY MIRL01:BLACK:37:SOLID:SLIPPER SANDALS</t>
  </si>
  <si>
    <t>SLIPPER SANDALS MICKEY MIRL01:BLACK:38:SOLID:SLIPPER SANDALS</t>
  </si>
  <si>
    <t>SLIPPER SANDALS MICKEY MIRL01:BLACK:39:SOLID:SLIPPER SANDALS</t>
  </si>
  <si>
    <t>SLIPPER SANDALS MICKEY MIRL01:BLACK:40:SOLID:SLIPPER SANDALS</t>
  </si>
  <si>
    <t>MIRL02</t>
  </si>
  <si>
    <t>SLIPPER SANDALS MICKEY MIRL02:LIGHT DENIM:36:SOLID:SLIPPER SANDALS</t>
  </si>
  <si>
    <t>SLIPPER SANDALS MICKEY MIRL02:LIGHT DENIM:37:SOLID:SLIPPER SANDALS</t>
  </si>
  <si>
    <t>SLIPPER SANDALS MICKEY MIRL02:LIGHT DENIM:38:SOLID:SLIPPER SANDALS</t>
  </si>
  <si>
    <t>SLIPPER SANDALS MICKEY MIRL02:LIGHT DENIM:39:SOLID:SLIPPER SANDALS</t>
  </si>
  <si>
    <t>SLIPPER SANDALS MICKEY MIRL02:LIGHT DENIM:40:SOLID:SLIPPER SANDALS</t>
  </si>
  <si>
    <t>SLIPPER SANDALS WOMEN MKSOFT1:OFF WHITE:S:PRINT:SLIPPER SANDALS</t>
  </si>
  <si>
    <t>SLIPPER SANDALS WOMEN MKSOFT1:OFF WHITE:M:PRINT:SLIPPER SANDALS</t>
  </si>
  <si>
    <t>SLIPPER SANDALS WOMEN MKSOFT1:OFF WHITE:L:PRINT:SLIPPER SANDALS</t>
  </si>
  <si>
    <t>SLIPPER SANDALS WOMEN MKSOFT1:OFF WHITE:XL:PRINT:SLIPPER SANDALS</t>
  </si>
  <si>
    <t>ALSLD01</t>
  </si>
  <si>
    <t>SLIPPER SANDALS TOY STORY ALSLD01:WHITE:36:SOLID:SLIPPER SANDALS</t>
  </si>
  <si>
    <t>SLIPPER SANDALS TOY STORY ALSLD01:WHITE:37:SOLID:SLIPPER SANDALS</t>
  </si>
  <si>
    <t>SLIPPER SANDALS TOY STORY ALSLD01:WHITE:38:SOLID:SLIPPER SANDALS</t>
  </si>
  <si>
    <t>SLIPPER SANDALS TOY STORY ALSLD01:WHITE:39:SOLID:SLIPPER SANDALS</t>
  </si>
  <si>
    <t>SLIPPER SANDALS TOY STORY ALSLD01:WHITE:40:SOLID:SLIPPER SANDALS</t>
  </si>
  <si>
    <t>ALSLD02</t>
  </si>
  <si>
    <t>SLIPPER SANDALS TOY STORY ALSLD02:NEON GREEN:36:SOLID:SLIPPER SANDALS</t>
  </si>
  <si>
    <t>SLIPPER SANDALS TOY STORY ALSLD02:NEON GREEN:37:SOLID:SLIPPER SANDALS</t>
  </si>
  <si>
    <t>SLIPPER SANDALS TOY STORY ALSLD02:NEON GREEN:38:SOLID:SLIPPER SANDALS</t>
  </si>
  <si>
    <t>SLIPPER SANDALS TOY STORY ALSLD02:NEON GREEN:39:SOLID:SLIPPER SANDALS</t>
  </si>
  <si>
    <t>SLIPPER SANDALS TOY STORY ALSLD02:NEON GREEN:40:SOLID:SLIPPER SANDALS</t>
  </si>
  <si>
    <t>SBAS02</t>
  </si>
  <si>
    <t>SLIPPER SANDALS MICKEY SBAS02:BLACK:36:SOLID:SLIPPER SANDALS</t>
  </si>
  <si>
    <t>SLIPPER SANDALS MICKEY SBAS02:BLACK:37:SOLID:SLIPPER SANDALS</t>
  </si>
  <si>
    <t>SLIPPER SANDALS MICKEY SBAS02:BLACK:38:SOLID:SLIPPER SANDALS</t>
  </si>
  <si>
    <t>SLIPPER SANDALS MICKEY SBAS02:BLACK:39:SOLID:SLIPPER SANDALS</t>
  </si>
  <si>
    <t>SLIPPER SANDALS MICKEY SBAS02:BLACK:40:SOLID:SLIPPER SANDALS</t>
  </si>
  <si>
    <t>SLIPPER SANDALS MICKEY SBAS02:WHITE:36:SOLID:SLIPPER SANDALS</t>
  </si>
  <si>
    <t>SLIPPER SANDALS MICKEY SBAS02:WHITE:37:SOLID:SLIPPER SANDALS</t>
  </si>
  <si>
    <t>SLIPPER SANDALS MICKEY SBAS02:WHITE:38:SOLID:SLIPPER SANDALS</t>
  </si>
  <si>
    <t>SLIPPER SANDALS MICKEY SBAS02:WHITE:39:SOLID:SLIPPER SANDALS</t>
  </si>
  <si>
    <t>SLIPPER SANDALS MICKEY SBAS02:WHITE:40:SOLID:SLIPPER SANDALS</t>
  </si>
  <si>
    <t>SLIPPER SANDALS WOMEN MST12:BLACK:40:SOLID:SLIPPER SANDALS</t>
  </si>
  <si>
    <t>SLIPPER SANDALS WOMEN MST12:BLACK:39:SOLID:SLIPPER SANDALS</t>
  </si>
  <si>
    <t>SLIPPER SANDALS WOMEN MST12:BLACK:37:SOLID:SLIPPER SANDALS</t>
  </si>
  <si>
    <t>SLIPPER SANDALS WOMEN MST12:BLACK:36:SOLID:SLIPPER SANDALS</t>
  </si>
  <si>
    <t>SLIPPER SANDALS WOMEN MST12:BLACK:38:SOLID:SLIPPER SANDALS</t>
  </si>
  <si>
    <t>MI03</t>
  </si>
  <si>
    <t>FLIP FLOPS MONSTERS INC MI03:BLACK:36:PRINT:FLIP FLOPS</t>
  </si>
  <si>
    <t>FLIP FLOPS MONSTERS INC MI03:BLACK:37:PRINT:FLIP FLOPS</t>
  </si>
  <si>
    <t>FLIP FLOPS MONSTERS INC MI03:BLACK:38:PRINT:FLIP FLOPS</t>
  </si>
  <si>
    <t>FLIP FLOPS MONSTERS INC MI03:BLACK:39:PRINT:FLIP FLOPS</t>
  </si>
  <si>
    <t>FLIP FLOPS MONSTERS INC MI03:BLACK:40:PRINT:FLIP FLOPS</t>
  </si>
  <si>
    <t>LO04</t>
  </si>
  <si>
    <t>SLINGBACK SANDALS WOMEN LO04:BLACK:36:SOLID:SLINGBACK SANDALS</t>
  </si>
  <si>
    <t>SLINGBACK SANDALS WOMEN LO04:BLACK:37:SOLID:SLINGBACK SANDALS</t>
  </si>
  <si>
    <t>SLINGBACK SANDALS WOMEN LO04:BLACK:38:SOLID:SLINGBACK SANDALS</t>
  </si>
  <si>
    <t>SLINGBACK SANDALS WOMEN LO04:BLACK:39:SOLID:SLINGBACK SANDALS</t>
  </si>
  <si>
    <t>SLINGBACK SANDALS WOMEN LO04:BLACK:40:SOLID:SLINGBACK SANDALS</t>
  </si>
  <si>
    <t>LO05</t>
  </si>
  <si>
    <t>SLIPPER SANDALS WOMEN LO05:BLACK:36:SOLID:SLIPPER SANDALS</t>
  </si>
  <si>
    <t>SLIPPER SANDALS WOMEN LO05:BLACK:37:SOLID:SLIPPER SANDALS</t>
  </si>
  <si>
    <t>SLIPPER SANDALS WOMEN LO05:BLACK:38:SOLID:SLIPPER SANDALS</t>
  </si>
  <si>
    <t>SLIPPER SANDALS WOMEN LO05:BLACK:39:SOLID:SLIPPER SANDALS</t>
  </si>
  <si>
    <t>SLIPPER SANDALS WOMEN LO05:BLACK:40:SOLID:SLIPPER SANDALS</t>
  </si>
  <si>
    <t>BXGY</t>
  </si>
  <si>
    <t>TSL34</t>
  </si>
  <si>
    <t>SLIPPER SANDALS TOY STORY TSL34:BLACK:38:SOLID:SLIPPER SANDALS</t>
  </si>
  <si>
    <t>SLIPPER SANDALS TOY STORY TSL34:BLACK:37:SOLID:SLIPPER SANDALS</t>
  </si>
  <si>
    <t>SLIPPER SANDALS TOY STORY TSL34:BLACK:36:SOLID:SLIPPER SANDALS</t>
  </si>
  <si>
    <t>SLIPPER SANDALS TOY STORY TSL34:BLACK:40:SOLID:SLIPPER SANDALS</t>
  </si>
  <si>
    <t>SLIPPER SANDALS TOY STORY TSL34:BLACK:39:SOLID:SLIPPER SANDALS</t>
  </si>
  <si>
    <t>FLIP FLOPS MICKEY MKHJQ4221:BUBBLEGUM PINK:S:SOLID:FLIP FLOPS</t>
  </si>
  <si>
    <t>FLIP FLOPS MICKEY MKHJQ4221:BUBBLEGUM PINK:M:SOLID:FLIP FLOPS</t>
  </si>
  <si>
    <t>FLIP FLOPS MICKEY MKHJQ4221:BUBBLEGUM PINK:L:SOLID:FLIP FLOPS</t>
  </si>
  <si>
    <t>FLIP FLOPS MICKEY MKHJQ4221:BUBBLEGUM PINK:XL:SOLID:FLIP FLOPS</t>
  </si>
  <si>
    <t>MMCTS3</t>
  </si>
  <si>
    <t>SLINGBACK SANDALS MICKEY MMCTS3:KHAKI:36:SOLID:SLINGBACK SANDALS</t>
  </si>
  <si>
    <t>SLINGBACK SANDALS MICKEY MMCTS3:KHAKI:37:SOLID:SLINGBACK SANDALS</t>
  </si>
  <si>
    <t>SLINGBACK SANDALS MICKEY MMCTS3:KHAKI:38:SOLID:SLINGBACK SANDALS</t>
  </si>
  <si>
    <t>SLINGBACK SANDALS MICKEY MMCTS3:KHAKI:39:SOLID:SLINGBACK SANDALS</t>
  </si>
  <si>
    <t>SLINGBACK SANDALS MICKEY MMCTS3:KHAKI:40:SOLID:SLINGBACK SANDALS</t>
  </si>
  <si>
    <t>SLINGBACK SANDALS MICKEY MMCTS3:BLACK:36:SOLID:SLINGBACK SANDALS</t>
  </si>
  <si>
    <t>SLINGBACK SANDALS MICKEY MMCTS3:BLACK:37:SOLID:SLINGBACK SANDALS</t>
  </si>
  <si>
    <t>SLINGBACK SANDALS MICKEY MMCTS3:BLACK:38:SOLID:SLINGBACK SANDALS</t>
  </si>
  <si>
    <t>SLINGBACK SANDALS MICKEY MMCTS3:BLACK:39:SOLID:SLINGBACK SANDALS</t>
  </si>
  <si>
    <t>SLINGBACK SANDALS MICKEY MMCTS3:BLACK:40:SOLID:SLINGBACK SANDALS</t>
  </si>
  <si>
    <t>MCTS4</t>
  </si>
  <si>
    <t>SLIPPER SANDALS MICKEY MCTS4:OFF WHITE:36:SOLID:SLIPPER SANDALS</t>
  </si>
  <si>
    <t>SLIPPER SANDALS MICKEY MCTS4:OFF WHITE:37:SOLID:SLIPPER SANDALS</t>
  </si>
  <si>
    <t>SLIPPER SANDALS MICKEY MCTS4:OFF WHITE:38:SOLID:SLIPPER SANDALS</t>
  </si>
  <si>
    <t>SLIPPER SANDALS MICKEY MCTS4:OFF WHITE:39:SOLID:SLIPPER SANDALS</t>
  </si>
  <si>
    <t>SLIPPER SANDALS MICKEY MCTS4:OFF WHITE:40:SOLID:SLIPPER SANDALS</t>
  </si>
  <si>
    <t>SLIPPER SANDALS MICKEY MCTS4:BLACK:36:SOLID:SLIPPER SANDALS</t>
  </si>
  <si>
    <t>SLIPPER SANDALS MICKEY MCTS4:BLACK:37:SOLID:SLIPPER SANDALS</t>
  </si>
  <si>
    <t>SLIPPER SANDALS MICKEY MCTS4:BLACK:38:SOLID:SLIPPER SANDALS</t>
  </si>
  <si>
    <t>SLIPPER SANDALS MICKEY MCTS4:BLACK:39:SOLID:SLIPPER SANDALS</t>
  </si>
  <si>
    <t>SLIPPER SANDALS MICKEY MCTS4:BLACK:40:SOLID:SLIPPER SANDALS</t>
  </si>
  <si>
    <t>SLIPPER SANDALS MICKEY MCTS4:WOOD BROWN:36:SOLID:SLIPPER SANDALS</t>
  </si>
  <si>
    <t>SLIPPER SANDALS MICKEY MCTS4:WOOD BROWN:37:SOLID:SLIPPER SANDALS</t>
  </si>
  <si>
    <t>SLIPPER SANDALS MICKEY MCTS4:WOOD BROWN:38:SOLID:SLIPPER SANDALS</t>
  </si>
  <si>
    <t>SLIPPER SANDALS MICKEY MCTS4:WOOD BROWN:39:SOLID:SLIPPER SANDALS</t>
  </si>
  <si>
    <t>SLIPPER SANDALS MICKEY MCTS4:WOOD BROWN:40:SOLID:SLIPPER SANDALS</t>
  </si>
  <si>
    <t>MMS1</t>
  </si>
  <si>
    <t>SNEAKERS MICKEY MMS1:WHITE:36:SOLID:SNEAKERS</t>
  </si>
  <si>
    <t>SNEAKERS MICKEY MMS1:WHITE:37:SOLID:SNEAKERS</t>
  </si>
  <si>
    <t>SNEAKERS MICKEY MMS1:WHITE:38:SOLID:SNEAKERS</t>
  </si>
  <si>
    <t>SNEAKERS MICKEY MMS1:WHITE:39:SOLID:SNEAKERS</t>
  </si>
  <si>
    <t>SNEAKERS MICKEY MMS1:WHITE:40:SOLID:SNEAKERS</t>
  </si>
  <si>
    <t>SDM3</t>
  </si>
  <si>
    <t>SNEAKERS MICKEY SDM3:WHITE:36:PRINT:SNEAKERS</t>
  </si>
  <si>
    <t>SNEAKERS MICKEY SDM3:WHITE:37:PRINT:SNEAKERS</t>
  </si>
  <si>
    <t>SNEAKERS MICKEY SDM3:WHITE:38:PRINT:SNEAKERS</t>
  </si>
  <si>
    <t>SNEAKERS MICKEY SDM3:WHITE:39:PRINT:SNEAKERS</t>
  </si>
  <si>
    <t>SNEAKERS MICKEY SDM3:WHITE:40:PRINT:SNEAKERS</t>
  </si>
  <si>
    <t>TSSB01</t>
  </si>
  <si>
    <t>SLIPPER SANDALS TOY STORY TSSB01:ASSORTIVE COLOR:36:PRINT:SLIPPER SANDALS</t>
  </si>
  <si>
    <t>SLIPPER SANDALS TOY STORY TSSB01:ASSORTIVE COLOR:37:PRINT:SLIPPER SANDALS</t>
  </si>
  <si>
    <t>SLIPPER SANDALS TOY STORY TSSB01:ASSORTIVE COLOR:38:PRINT:SLIPPER SANDALS</t>
  </si>
  <si>
    <t>SLIPPER SANDALS TOY STORY TSSB01:ASSORTIVE COLOR:39:PRINT:SLIPPER SANDALS</t>
  </si>
  <si>
    <t>SLIPPER SANDALS TOY STORY TSSB01:ASSORTIVE COLOR:40:PRINT:SLIPPER SANDALS</t>
  </si>
  <si>
    <t>SLIPPER SANDALS TOY STORY TSSB01:BLACK:36:PRINT:SLIPPER SANDALS</t>
  </si>
  <si>
    <t>SLIPPER SANDALS TOY STORY TSSB01:BLACK:37:PRINT:SLIPPER SANDALS</t>
  </si>
  <si>
    <t>SLIPPER SANDALS TOY STORY TSSB01:BLACK:38:PRINT:SLIPPER SANDALS</t>
  </si>
  <si>
    <t>SLIPPER SANDALS TOY STORY TSSB01:BLACK:39:PRINT:SLIPPER SANDALS</t>
  </si>
  <si>
    <t>SLIPPER SANDALS TOY STORY TSSB01:BLACK:40:PRINT:SLIPPER SANDALS</t>
  </si>
  <si>
    <t>TSB02</t>
  </si>
  <si>
    <t>SLIPPER SANDALS TOY STORY TSB02:OFF WHITE:36:SOLID:SLIPPER SANDALS</t>
  </si>
  <si>
    <t>SLIPPER SANDALS TOY STORY TSB02:OFF WHITE:37:SOLID:SLIPPER SANDALS</t>
  </si>
  <si>
    <t>SLIPPER SANDALS TOY STORY TSB02:OFF WHITE:38:SOLID:SLIPPER SANDALS</t>
  </si>
  <si>
    <t>SLIPPER SANDALS TOY STORY TSB02:OFF WHITE:39:SOLID:SLIPPER SANDALS</t>
  </si>
  <si>
    <t>SLIPPER SANDALS TOY STORY TSB02:OFF WHITE:40:SOLID:SLIPPER SANDALS</t>
  </si>
  <si>
    <t>ZTP03</t>
  </si>
  <si>
    <t>SLINGBACK SANDALS ZOOTOPIA ZTP03:KHAKI:36:SOLID:SLINGBACK SANDALS</t>
  </si>
  <si>
    <t>SLINGBACK SANDALS ZOOTOPIA ZTP03:KHAKI:37:SOLID:SLINGBACK SANDALS</t>
  </si>
  <si>
    <t>SLINGBACK SANDALS ZOOTOPIA ZTP03:KHAKI:38:SOLID:SLINGBACK SANDALS</t>
  </si>
  <si>
    <t>SLINGBACK SANDALS ZOOTOPIA ZTP03:KHAKI:39:SOLID:SLINGBACK SANDALS</t>
  </si>
  <si>
    <t>SLINGBACK SANDALS ZOOTOPIA ZTP03:KHAKI:40:SOLID:SLINGBACK SANDALS</t>
  </si>
  <si>
    <t>SLINGBACK SANDALS ZOOTOPIA ZTP03:OLIVE:36:SOLID:SLINGBACK SANDALS</t>
  </si>
  <si>
    <t>SLINGBACK SANDALS ZOOTOPIA ZTP03:OLIVE:37:SOLID:SLINGBACK SANDALS</t>
  </si>
  <si>
    <t>SLINGBACK SANDALS ZOOTOPIA ZTP03:OLIVE:38:SOLID:SLINGBACK SANDALS</t>
  </si>
  <si>
    <t>SLINGBACK SANDALS ZOOTOPIA ZTP03:OLIVE:39:SOLID:SLINGBACK SANDALS</t>
  </si>
  <si>
    <t>SLINGBACK SANDALS ZOOTOPIA ZTP03:OLIVE:40:SOLID:SLINGBACK SANDALS</t>
  </si>
  <si>
    <t>ZTP04</t>
  </si>
  <si>
    <t>SLIPPER SANDALS ZOOTOPIA ZTP04:OFF WHITE:36:SOLID:SLIPPER SANDALS</t>
  </si>
  <si>
    <t>SLIPPER SANDALS ZOOTOPIA ZTP04:OFF WHITE:37:SOLID:SLIPPER SANDALS</t>
  </si>
  <si>
    <t>SLIPPER SANDALS ZOOTOPIA ZTP04:OFF WHITE:38:SOLID:SLIPPER SANDALS</t>
  </si>
  <si>
    <t>SLIPPER SANDALS ZOOTOPIA ZTP04:OFF WHITE:39:SOLID:SLIPPER SANDALS</t>
  </si>
  <si>
    <t>SLIPPER SANDALS ZOOTOPIA ZTP04:OFF WHITE:40:SOLID:SLIPPER SANDALS</t>
  </si>
  <si>
    <t>SLIPPER SANDALS WOMEN MKBAS95:MAROON:36:SOLID:SLIPPER SANDALS</t>
  </si>
  <si>
    <t>SLIPPER SANDALS WOMEN MKBAS95:MAROON:37:SOLID:SLIPPER SANDALS</t>
  </si>
  <si>
    <t>SLIPPER SANDALS WOMEN MKBAS95:MAROON:38:SOLID:SLIPPER SANDALS</t>
  </si>
  <si>
    <t>SLIPPER SANDALS WOMEN MKBAS95:MAROON:39:SOLID:SLIPPER SANDALS</t>
  </si>
  <si>
    <t>SLIPPER SANDALS WOMEN MKBAS95:MAROON:40:SOLID:SLIPPER SANDALS</t>
  </si>
  <si>
    <t>TSN01</t>
  </si>
  <si>
    <t>SNEAKERS TOY STORY TSN01:FUSCHIA:36:SOLID:SNEAKERS</t>
  </si>
  <si>
    <t>SNEAKERS TOY STORY TSN01:FUSCHIA:37:SOLID:SNEAKERS</t>
  </si>
  <si>
    <t>SNEAKERS TOY STORY TSN01:FUSCHIA:38:SOLID:SNEAKERS</t>
  </si>
  <si>
    <t>SNEAKERS TOY STORY TSN01:FUSCHIA:39:SOLID:SNEAKERS</t>
  </si>
  <si>
    <t>SNEAKERS TOY STORY TSN01:FUSCHIA:40:SOLID:SNEAKERS</t>
  </si>
  <si>
    <t>SNEAKERS TOY STORY TSN01:WHITE:36:SOLID:SNEAKERS</t>
  </si>
  <si>
    <t>SNEAKERS TOY STORY TSN01:WHITE:37:SOLID:SNEAKERS</t>
  </si>
  <si>
    <t>SNEAKERS TOY STORY TSN01:WHITE:38:SOLID:SNEAKERS</t>
  </si>
  <si>
    <t>SNEAKERS TOY STORY TSN01:WHITE:39:SOLID:SNEAKERS</t>
  </si>
  <si>
    <t>SNEAKERS TOY STORY TSN01:WHITE:40:SOLID:SNEAKERS</t>
  </si>
  <si>
    <t>ZTP01</t>
  </si>
  <si>
    <t>SNEAKERS ZOOTOPIA ZTP01:FROST GREY:36:SOLID:SNEAKERS</t>
  </si>
  <si>
    <t>SNEAKERS ZOOTOPIA ZTP01:FROST GREY:37:SOLID:SNEAKERS</t>
  </si>
  <si>
    <t>SNEAKERS ZOOTOPIA ZTP01:FROST GREY:38:SOLID:SNEAKERS</t>
  </si>
  <si>
    <t>SNEAKERS ZOOTOPIA ZTP01:FROST GREY:39:SOLID:SNEAKERS</t>
  </si>
  <si>
    <t>SNEAKERS ZOOTOPIA ZTP01:FROST GREY:40:SOLID:SNEAKERS</t>
  </si>
  <si>
    <t>SNEAKERS ZOOTOPIA ZTP01:KHAKI:36:SOLID:SNEAKERS</t>
  </si>
  <si>
    <t>SNEAKERS ZOOTOPIA ZTP01:KHAKI:37:SOLID:SNEAKERS</t>
  </si>
  <si>
    <t>SNEAKERS ZOOTOPIA ZTP01:KHAKI:38:SOLID:SNEAKERS</t>
  </si>
  <si>
    <t>SNEAKERS ZOOTOPIA ZTP01:KHAKI:39:SOLID:SNEAKERS</t>
  </si>
  <si>
    <t>SNEAKERS ZOOTOPIA ZTP01:KHAKI:40:SOLID:SNEAKERS</t>
  </si>
  <si>
    <t>MCTSS1</t>
  </si>
  <si>
    <t>SNEAKERS MICKEY MCTSS1:WHITE:36:SOLID:SNEAKERS</t>
  </si>
  <si>
    <t>SNEAKERS MICKEY MCTSS1:WHITE:37:SOLID:SNEAKERS</t>
  </si>
  <si>
    <t>SNEAKERS MICKEY MCTSS1:WHITE:38:SOLID:SNEAKERS</t>
  </si>
  <si>
    <t>SNEAKERS MICKEY MCTSS1:WHITE:39:SOLID:SNEAKERS</t>
  </si>
  <si>
    <t>SNEAKERS MICKEY MCTSS1:WHITE:40:SOLID:SNEAKERS</t>
  </si>
  <si>
    <t>MI02</t>
  </si>
  <si>
    <t>SLIPPER SANDALS MONSTERS INC MI02:BLACK:36:SOLID:SLIPPER SANDALS</t>
  </si>
  <si>
    <t>SLIPPER SANDALS MONSTERS INC MI02:BLACK:37:SOLID:SLIPPER SANDALS</t>
  </si>
  <si>
    <t>SLIPPER SANDALS MONSTERS INC MI02:BLACK:38:SOLID:SLIPPER SANDALS</t>
  </si>
  <si>
    <t>SLIPPER SANDALS MONSTERS INC MI02:BLACK:39:SOLID:SLIPPER SANDALS</t>
  </si>
  <si>
    <t>SLIPPER SANDALS MONSTERS INC MI02:BLACK:40:SOLID:SLIPPER SANDALS</t>
  </si>
  <si>
    <t>SLIPPER SANDALS MONSTERS INC MI02:LIGHT BLUE:36:SOLID:SLIPPER SANDALS</t>
  </si>
  <si>
    <t>SLIPPER SANDALS MONSTERS INC MI02:LIGHT BLUE:37:SOLID:SLIPPER SANDALS</t>
  </si>
  <si>
    <t>SLIPPER SANDALS MONSTERS INC MI02:LIGHT BLUE:38:SOLID:SLIPPER SANDALS</t>
  </si>
  <si>
    <t>SLIPPER SANDALS MONSTERS INC MI02:LIGHT BLUE:39:SOLID:SLIPPER SANDALS</t>
  </si>
  <si>
    <t>SLIPPER SANDALS MONSTERS INC MI02:LIGHT BLUE:40:SOLID:SLIPPER SANDALS</t>
  </si>
  <si>
    <t>MI01</t>
  </si>
  <si>
    <t>SLIPPER SANDALS MONSTERS INC MI01:LIGHT BLUE:36:SOLID:SLIPPER SANDALS</t>
  </si>
  <si>
    <t>SLIPPER SANDALS MONSTERS INC MI01:LIGHT BLUE:37:SOLID:SLIPPER SANDALS</t>
  </si>
  <si>
    <t>SLIPPER SANDALS MONSTERS INC MI01:LIGHT BLUE:38:SOLID:SLIPPER SANDALS</t>
  </si>
  <si>
    <t>SLIPPER SANDALS MONSTERS INC MI01:LIGHT BLUE:39:SOLID:SLIPPER SANDALS</t>
  </si>
  <si>
    <t>SLIPPER SANDALS MONSTERS INC MI01:LIGHT BLUE:40:SOLID:SLIPPER SANDALS</t>
  </si>
  <si>
    <t>MI05</t>
  </si>
  <si>
    <t>SNEAKERS MONSTERS INC MI05:LIGHT BLUE:36:SOLID:SNEAKERS</t>
  </si>
  <si>
    <t>SNEAKERS MONSTERS INC MI05:LIGHT BLUE:37:SOLID:SNEAKERS</t>
  </si>
  <si>
    <t>SNEAKERS MONSTERS INC MI05:LIGHT BLUE:38:SOLID:SNEAKERS</t>
  </si>
  <si>
    <t>SNEAKERS MONSTERS INC MI05:LIGHT BLUE:39:SOLID:SNEAKERS</t>
  </si>
  <si>
    <t>SNEAKERS MONSTERS INC MI05:LIGHT BLUE:40:SOLID:SNEAKERS</t>
  </si>
  <si>
    <t>LOF01</t>
  </si>
  <si>
    <t>SLIPPER SANDALS TOY STORY LOF01:FUSCHIA:36:PRINT:SLIPPER SANDALS</t>
  </si>
  <si>
    <t>SLIPPER SANDALS TOY STORY LOF01:FUSCHIA:37:PRINT:SLIPPER SANDALS</t>
  </si>
  <si>
    <t>SLIPPER SANDALS TOY STORY LOF01:FUSCHIA:38:PRINT:SLIPPER SANDALS</t>
  </si>
  <si>
    <t>SLIPPER SANDALS TOY STORY LOF01:FUSCHIA:39:PRINT:SLIPPER SANDALS</t>
  </si>
  <si>
    <t>SLIPPER SANDALS TOY STORY LOF01:FUSCHIA:40:PRINT:SLIPPER SANDALS</t>
  </si>
  <si>
    <t>MCSB1</t>
  </si>
  <si>
    <t>SLIPPER SANDALS MICKEY MOUSE MCSB1:WHITE:36:PRINT:SLIPPER SANDALS</t>
  </si>
  <si>
    <t>SLIPPER SANDALS MICKEY MOUSE MCSB1:WHITE:37:PRINT:SLIPPER SANDALS</t>
  </si>
  <si>
    <t>SLIPPER SANDALS MICKEY MOUSE MCSB1:WHITE:38:PRINT:SLIPPER SANDALS</t>
  </si>
  <si>
    <t>SLIPPER SANDALS MICKEY MOUSE MCSB1:WHITE:39:PRINT:SLIPPER SANDALS</t>
  </si>
  <si>
    <t>SLIPPER SANDALS MICKEY MOUSE MCSB1:WHITE:40:PRINT:SLIPPER SANDALS</t>
  </si>
  <si>
    <t>SLIPPER SANDALS MICKEY MOUSE MCSB1:BLACK:36:PRINT:SLIPPER SANDALS</t>
  </si>
  <si>
    <t>SLIPPER SANDALS MICKEY MOUSE MCSB1:BLACK:37:PRINT:SLIPPER SANDALS</t>
  </si>
  <si>
    <t>SLIPPER SANDALS MICKEY MOUSE MCSB1:BLACK:38:PRINT:SLIPPER SANDALS</t>
  </si>
  <si>
    <t>SLIPPER SANDALS MICKEY MOUSE MCSB1:BLACK:39:PRINT:SLIPPER SANDALS</t>
  </si>
  <si>
    <t>SLIPPER SANDALS MICKEY MOUSE MCSB1:BLACK:40:PRINT:SLIPPER SANDALS</t>
  </si>
  <si>
    <t>MINSB1</t>
  </si>
  <si>
    <t>SLIPPER SANDALS MINNIE MOUSE MINSB1:WHITE:36:SOLID:SLIPPER SANDALS</t>
  </si>
  <si>
    <t>SLIPPER SANDALS MINNIE MOUSE MINSB1:WHITE:37:SOLID:SLIPPER SANDALS</t>
  </si>
  <si>
    <t>SLIPPER SANDALS MINNIE MOUSE MINSB1:WHITE:38:SOLID:SLIPPER SANDALS</t>
  </si>
  <si>
    <t>SLIPPER SANDALS MINNIE MOUSE MINSB1:WHITE:39:SOLID:SLIPPER SANDALS</t>
  </si>
  <si>
    <t>SLIPPER SANDALS MINNIE MOUSE MINSB1:WHITE:40:SOLID:SLIPPER SANDALS</t>
  </si>
  <si>
    <t>SLIPPER SANDALS MINNIE MOUSE MINSB1:MAROON:36:SOLID:SLIPPER SANDALS</t>
  </si>
  <si>
    <t>SLIPPER SANDALS MINNIE MOUSE MINSB1:MAROON:37:SOLID:SLIPPER SANDALS</t>
  </si>
  <si>
    <t>SLIPPER SANDALS MINNIE MOUSE MINSB1:MAROON:38:SOLID:SLIPPER SANDALS</t>
  </si>
  <si>
    <t>SLIPPER SANDALS MINNIE MOUSE MINSB1:MAROON:39:SOLID:SLIPPER SANDALS</t>
  </si>
  <si>
    <t>SLIPPER SANDALS MINNIE MOUSE MINSB1:MAROON:40:SOLID:SLIPPER SANDALS</t>
  </si>
  <si>
    <t>WTP01</t>
  </si>
  <si>
    <t>SLIPPER SANDALS WINNIE THE POOH WTP01:KHAKI:36:SOLID:SLIPPER SANDALS</t>
  </si>
  <si>
    <t>SLIPPER SANDALS WINNIE THE POOH WTP01:KHAKI:37:SOLID:SLIPPER SANDALS</t>
  </si>
  <si>
    <t>SLIPPER SANDALS WINNIE THE POOH WTP01:KHAKI:38:SOLID:SLIPPER SANDALS</t>
  </si>
  <si>
    <t>SLIPPER SANDALS WINNIE THE POOH WTP01:KHAKI:39:SOLID:SLIPPER SANDALS</t>
  </si>
  <si>
    <t>SLIPPER SANDALS WINNIE THE POOH WTP01:KHAKI:40:SOLID:SLIPPER SANDALS</t>
  </si>
  <si>
    <t>SLIPPER SANDALS WINNIE THE POOH WTP01:BLACK:36:SOLID:SLIPPER SANDALS</t>
  </si>
  <si>
    <t>SLIPPER SANDALS WINNIE THE POOH WTP01:BLACK:37:SOLID:SLIPPER SANDALS</t>
  </si>
  <si>
    <t>SLIPPER SANDALS WINNIE THE POOH WTP01:BLACK:38:SOLID:SLIPPER SANDALS</t>
  </si>
  <si>
    <t>SLIPPER SANDALS WINNIE THE POOH WTP01:BLACK:39:SOLID:SLIPPER SANDALS</t>
  </si>
  <si>
    <t>SLIPPER SANDALS WINNIE THE POOH WTP01:BLACK:40:SOLID:SLIPPER SANDALS</t>
  </si>
  <si>
    <t>WTP02</t>
  </si>
  <si>
    <t>SLINGBACK SANDALS WINNIE THE POOH WTP02:OFF WHITE:36:SOLID:SLINGBACK SANDALS</t>
  </si>
  <si>
    <t>SLINGBACK SANDALS WINNIE THE POOH WTP02:OFF WHITE:37:SOLID:SLINGBACK SANDALS</t>
  </si>
  <si>
    <t>SLINGBACK SANDALS WINNIE THE POOH WTP02:OFF WHITE:38:SOLID:SLINGBACK SANDALS</t>
  </si>
  <si>
    <t>SLINGBACK SANDALS WINNIE THE POOH WTP02:OFF WHITE:39:SOLID:SLINGBACK SANDALS</t>
  </si>
  <si>
    <t>SLINGBACK SANDALS WINNIE THE POOH WTP02:OFF WHITE:40:SOLID:SLINGBACK SANDALS</t>
  </si>
  <si>
    <t>SLINGBACK SANDALS WINNIE THE POOH WTP02:BLACK:36:SOLID:SLINGBACK SANDALS</t>
  </si>
  <si>
    <t>SLINGBACK SANDALS WINNIE THE POOH WTP02:BLACK:37:SOLID:SLINGBACK SANDALS</t>
  </si>
  <si>
    <t>SLINGBACK SANDALS WINNIE THE POOH WTP02:BLACK:38:SOLID:SLINGBACK SANDALS</t>
  </si>
  <si>
    <t>SLINGBACK SANDALS WINNIE THE POOH WTP02:BLACK:39:SOLID:SLINGBACK SANDALS</t>
  </si>
  <si>
    <t>SLINGBACK SANDALS WINNIE THE POOH WTP02:BLACK:40:SOLID:SLINGBACK SANDALS</t>
  </si>
  <si>
    <t>WTP05</t>
  </si>
  <si>
    <t>FLIP FLOPS WINNIE THE POOH WTP05:OFF WHITE:36:SOLID:FLIP FLOPS</t>
  </si>
  <si>
    <t>FLIP FLOPS WINNIE THE POOH WTP05:OFF WHITE:37:SOLID:FLIP FLOPS</t>
  </si>
  <si>
    <t>FLIP FLOPS WINNIE THE POOH WTP05:OFF WHITE:38:SOLID:FLIP FLOPS</t>
  </si>
  <si>
    <t>FLIP FLOPS WINNIE THE POOH WTP05:OFF WHITE:39:SOLID:FLIP FLOPS</t>
  </si>
  <si>
    <t>FLIP FLOPS WINNIE THE POOH WTP05:OFF WHITE:40:SOLID:FLIP FLOPS</t>
  </si>
  <si>
    <t>FLIP FLOPS WINNIE THE POOH WTP05:BROWN SUGAR:36:SOLID:FLIP FLOPS</t>
  </si>
  <si>
    <t>FLIP FLOPS WINNIE THE POOH WTP05:BROWN SUGAR:37:SOLID:FLIP FLOPS</t>
  </si>
  <si>
    <t>FLIP FLOPS WINNIE THE POOH WTP05:BROWN SUGAR:38:SOLID:FLIP FLOPS</t>
  </si>
  <si>
    <t>FLIP FLOPS WINNIE THE POOH WTP05:BROWN SUGAR:39:SOLID:FLIP FLOPS</t>
  </si>
  <si>
    <t>FLIP FLOPS WINNIE THE POOH WTP05:BROWN SUGAR:40:SOLID:FLIP FLOPS</t>
  </si>
  <si>
    <t>WTP06</t>
  </si>
  <si>
    <t>SLIPPER SANDALS WINNIE THE POOH WTP06:OFF WHITE:36:SOLID:SLIPPER SANDALS</t>
  </si>
  <si>
    <t>SLIPPER SANDALS WINNIE THE POOH WTP06:OFF WHITE:37:SOLID:SLIPPER SANDALS</t>
  </si>
  <si>
    <t>SLIPPER SANDALS WINNIE THE POOH WTP06:OFF WHITE:38:SOLID:SLIPPER SANDALS</t>
  </si>
  <si>
    <t>SLIPPER SANDALS WINNIE THE POOH WTP06:OFF WHITE:39:SOLID:SLIPPER SANDALS</t>
  </si>
  <si>
    <t>SLIPPER SANDALS WINNIE THE POOH WTP06:OFF WHITE:40:SOLID:SLIPPER SANDALS</t>
  </si>
  <si>
    <t>SLIPPER SANDALS WINNIE THE POOH WTP06:BLACK:36:SOLID:SLIPPER SANDALS</t>
  </si>
  <si>
    <t>SLIPPER SANDALS WINNIE THE POOH WTP06:BLACK:37:SOLID:SLIPPER SANDALS</t>
  </si>
  <si>
    <t>SLIPPER SANDALS WINNIE THE POOH WTP06:BLACK:38:SOLID:SLIPPER SANDALS</t>
  </si>
  <si>
    <t>SLIPPER SANDALS WINNIE THE POOH WTP06:BLACK:39:SOLID:SLIPPER SANDALS</t>
  </si>
  <si>
    <t>SLIPPER SANDALS WINNIE THE POOH WTP06:BLACK:40:SOLID:SLIPPER SANDALS</t>
  </si>
  <si>
    <t>STP01</t>
  </si>
  <si>
    <t>SLIPPER SANDALS STITCH STP01:WHITE:S:SOLID:SLIPPER SANDALS</t>
  </si>
  <si>
    <t>SLIPPER SANDALS STITCH STP01:WHITE:M:SOLID:SLIPPER SANDALS</t>
  </si>
  <si>
    <t>SLIPPER SANDALS STITCH STP01:WHITE:L:SOLID:SLIPPER SANDALS</t>
  </si>
  <si>
    <t>SLIPPER SANDALS STITCH STP01:NAVY BLUE:S:SOLID:SLIPPER SANDALS</t>
  </si>
  <si>
    <t>SLIPPER SANDALS STITCH STP01:NAVY BLUE:M:SOLID:SLIPPER SANDALS</t>
  </si>
  <si>
    <t>SLIPPER SANDALS STITCH STP01:NAVY BLUE:L:SOLID:SLIPPER SANDALS</t>
  </si>
  <si>
    <t>MMCTS2</t>
  </si>
  <si>
    <t>SLIPPER SANDALS MINNIE MOUSE MMCTS2:BLACK:36:SOLID:SLIPPER SANDALS</t>
  </si>
  <si>
    <t>SLIPPER SANDALS MINNIE MOUSE MMCTS2:BLACK:37:SOLID:SLIPPER SANDALS</t>
  </si>
  <si>
    <t>SLIPPER SANDALS MINNIE MOUSE MMCTS2:BLACK:38:SOLID:SLIPPER SANDALS</t>
  </si>
  <si>
    <t>SLIPPER SANDALS MINNIE MOUSE MMCTS2:BLACK:39:SOLID:SLIPPER SANDALS</t>
  </si>
  <si>
    <t>SLIPPER SANDALS MINNIE MOUSE MMCTS2:BLACK:40:SOLID:SLIPPER SANDALS</t>
  </si>
  <si>
    <t>SLIPPER SANDALS MINNIE MOUSE MMCTS2:WHITE:36:SOLID:SLIPPER SANDALS</t>
  </si>
  <si>
    <t>SLIPPER SANDALS MINNIE MOUSE MMCTS2:WHITE:37:SOLID:SLIPPER SANDALS</t>
  </si>
  <si>
    <t>SLIPPER SANDALS MINNIE MOUSE MMCTS2:WHITE:38:SOLID:SLIPPER SANDALS</t>
  </si>
  <si>
    <t>SLIPPER SANDALS MINNIE MOUSE MMCTS2:WHITE:39:SOLID:SLIPPER SANDALS</t>
  </si>
  <si>
    <t>SLIPPER SANDALS MINNIE MOUSE MMCTS2:WHITE:40:SOLID:SLIPPER SANDALS</t>
  </si>
  <si>
    <t>MMCTS5</t>
  </si>
  <si>
    <t>SLIPPER SANDALS MINNIE MOUSE MMCTS5:BLACK:36:SOLID:SLIPPER SANDALS</t>
  </si>
  <si>
    <t>SLIPPER SANDALS MINNIE MOUSE MMCTS5:BLACK:37:SOLID:SLIPPER SANDALS</t>
  </si>
  <si>
    <t>SLIPPER SANDALS MINNIE MOUSE MMCTS5:BLACK:38:SOLID:SLIPPER SANDALS</t>
  </si>
  <si>
    <t>SLIPPER SANDALS MINNIE MOUSE MMCTS5:BLACK:39:SOLID:SLIPPER SANDALS</t>
  </si>
  <si>
    <t>SLIPPER SANDALS MINNIE MOUSE MMCTS5:BLACK:40:SOLID:SLIPPER SANDALS</t>
  </si>
  <si>
    <t>SLIPPER SANDALS MINNIE MOUSE MMCTS5:WHITE:36:SOLID:SLIPPER SANDALS</t>
  </si>
  <si>
    <t>SLIPPER SANDALS MINNIE MOUSE MMCTS5:WHITE:37:SOLID:SLIPPER SANDALS</t>
  </si>
  <si>
    <t>SLIPPER SANDALS MINNIE MOUSE MMCTS5:WHITE:38:SOLID:SLIPPER SANDALS</t>
  </si>
  <si>
    <t>SLIPPER SANDALS MINNIE MOUSE MMCTS5:WHITE:39:SOLID:SLIPPER SANDALS</t>
  </si>
  <si>
    <t>SLIPPER SANDALS MINNIE MOUSE MMCTS5:WHITE:40:SOLID:SLIPPER SANDALS</t>
  </si>
  <si>
    <t>SLIPPER SANDALS MINNIE MOUSE MMCTS5:CLASSIC RED:36:SOLID:SLIPPER SANDALS</t>
  </si>
  <si>
    <t>SLIPPER SANDALS MINNIE MOUSE MMCTS5:CLASSIC RED:37:SOLID:SLIPPER SANDALS</t>
  </si>
  <si>
    <t>SLIPPER SANDALS MINNIE MOUSE MMCTS5:CLASSIC RED:38:SOLID:SLIPPER SANDALS</t>
  </si>
  <si>
    <t>SLIPPER SANDALS MINNIE MOUSE MMCTS5:CLASSIC RED:39:SOLID:SLIPPER SANDALS</t>
  </si>
  <si>
    <t>SLIPPER SANDALS MINNIE MOUSE MMCTS5:CLASSIC RED:40:SOLID:SLIPPER SANDALS</t>
  </si>
  <si>
    <t>STS01</t>
  </si>
  <si>
    <t>SLIPPER SANDALS STITCH STS01:WHITE:36:PRINT:SLIPPER SANDALS</t>
  </si>
  <si>
    <t>SLIPPER SANDALS STITCH STS01:WHITE:37:PRINT:SLIPPER SANDALS</t>
  </si>
  <si>
    <t>SLIPPER SANDALS STITCH STS01:WHITE:38:PRINT:SLIPPER SANDALS</t>
  </si>
  <si>
    <t>SLIPPER SANDALS STITCH STS01:WHITE:39:PRINT:SLIPPER SANDALS</t>
  </si>
  <si>
    <t>SLIPPER SANDALS STITCH STS01:WHITE:40:PRINT:SLIPPER SANDALS</t>
  </si>
  <si>
    <t>SLIPPER SANDALS STITCH STS01:LIGHT BLUE:36:PRINT:SLIPPER SANDALS</t>
  </si>
  <si>
    <t>SLIPPER SANDALS STITCH STS01:LIGHT BLUE:37:PRINT:SLIPPER SANDALS</t>
  </si>
  <si>
    <t>SLIPPER SANDALS STITCH STS01:LIGHT BLUE:38:PRINT:SLIPPER SANDALS</t>
  </si>
  <si>
    <t>SLIPPER SANDALS STITCH STS01:LIGHT BLUE:39:PRINT:SLIPPER SANDALS</t>
  </si>
  <si>
    <t>SLIPPER SANDALS STITCH STS01:LIGHT BLUE:40:PRINT:SLIPPER SANDALS</t>
  </si>
  <si>
    <t>STS02</t>
  </si>
  <si>
    <t>SLIPPER SANDALS STITCH STS02:NAVY BLUE:36:PRINT:SLIPPER SANDALS</t>
  </si>
  <si>
    <t>SLIPPER SANDALS STITCH STS02:NAVY BLUE:37:PRINT:SLIPPER SANDALS</t>
  </si>
  <si>
    <t>SLIPPER SANDALS STITCH STS02:NAVY BLUE:38:PRINT:SLIPPER SANDALS</t>
  </si>
  <si>
    <t>SLIPPER SANDALS STITCH STS02:NAVY BLUE:39:PRINT:SLIPPER SANDALS</t>
  </si>
  <si>
    <t>SLIPPER SANDALS STITCH STS02:NAVY BLUE:40:PRINT:SLIPPER SANDALS</t>
  </si>
  <si>
    <t>SLIPPER SANDALS STITCH STS02:PASTEL PURPLE:36:PRINT:SLIPPER SANDALS</t>
  </si>
  <si>
    <t>SLIPPER SANDALS STITCH STS02:PASTEL PURPLE:37:PRINT:SLIPPER SANDALS</t>
  </si>
  <si>
    <t>SLIPPER SANDALS STITCH STS02:PASTEL PURPLE:38:PRINT:SLIPPER SANDALS</t>
  </si>
  <si>
    <t>SLIPPER SANDALS STITCH STS02:PASTEL PURPLE:39:PRINT:SLIPPER SANDALS</t>
  </si>
  <si>
    <t>SLIPPER SANDALS STITCH STS02:PASTEL PURPLE:40:PRINT:SLIPPER SANDALS</t>
  </si>
  <si>
    <t>STS03</t>
  </si>
  <si>
    <t>SLIPPER SANDALS STITCH STS03:LIGHT BLUE:36:SOLID:SLIPPER SANDALS</t>
  </si>
  <si>
    <t>SLIPPER SANDALS STITCH STS03:LIGHT BLUE:37:SOLID:SLIPPER SANDALS</t>
  </si>
  <si>
    <t>SLIPPER SANDALS STITCH STS03:LIGHT BLUE:38:SOLID:SLIPPER SANDALS</t>
  </si>
  <si>
    <t>SLIPPER SANDALS STITCH STS03:LIGHT BLUE:39:SOLID:SLIPPER SANDALS</t>
  </si>
  <si>
    <t>SLIPPER SANDALS STITCH STS03:LIGHT BLUE:40:SOLID:SLIPPER SANDALS</t>
  </si>
  <si>
    <t>STN01</t>
  </si>
  <si>
    <t>SNEAKERS STITCH STN01:WHITE:36:SOLID:SNEAKERS</t>
  </si>
  <si>
    <t>SNEAKERS STITCH STN01:WHITE:37:SOLID:SNEAKERS</t>
  </si>
  <si>
    <t>SNEAKERS STITCH STN01:WHITE:38:SOLID:SNEAKERS</t>
  </si>
  <si>
    <t>SNEAKERS STITCH STN01:WHITE:39:SOLID:SNEAKERS</t>
  </si>
  <si>
    <t>SNEAKERS STITCH STN01:WHITE:40:SOLID:SNEAKERS</t>
  </si>
  <si>
    <t>STN02</t>
  </si>
  <si>
    <t>SNEAKERS STITCH STN02:WHITE:36:SOLID:SNEAKERS</t>
  </si>
  <si>
    <t>SNEAKERS STITCH STN02:WHITE:37:SOLID:SNEAKERS</t>
  </si>
  <si>
    <t>SNEAKERS STITCH STN02:WHITE:38:SOLID:SNEAKERS</t>
  </si>
  <si>
    <t>SNEAKERS STITCH STN02:WHITE:39:SOLID:SNEAKERS</t>
  </si>
  <si>
    <t>SNEAKERS STITCH STN02:WHITE:40:SOLID:SNEAKERS</t>
  </si>
  <si>
    <t>SWTP01</t>
  </si>
  <si>
    <t>SLIP ON WINNIE THE POOH SWTP01:OFF WHITE:36:PRINT:SLIP ON</t>
  </si>
  <si>
    <t>SLIP ON WINNIE THE POOH SWTP01:OFF WHITE:37:PRINT:SLIP ON</t>
  </si>
  <si>
    <t>SLIP ON WINNIE THE POOH SWTP01:OFF WHITE:38:PRINT:SLIP ON</t>
  </si>
  <si>
    <t>SLIP ON WINNIE THE POOH SWTP01:OFF WHITE:39:PRINT:SLIP ON</t>
  </si>
  <si>
    <t>SLIP ON WINNIE THE POOH SWTP01:OFF WHITE:40:PRINT:SLIP ON</t>
  </si>
  <si>
    <t>SWTP02</t>
  </si>
  <si>
    <t>BALLERINA WINNIE THE POOH SWTP02:GOLD:36:SOLID:BALLERINA</t>
  </si>
  <si>
    <t>BALLERINA WINNIE THE POOH SWTP02:GOLD:37:SOLID:BALLERINA</t>
  </si>
  <si>
    <t>BALLERINA WINNIE THE POOH SWTP02:GOLD:38:SOLID:BALLERINA</t>
  </si>
  <si>
    <t>BALLERINA WINNIE THE POOH SWTP02:GOLD:39:SOLID:BALLERINA</t>
  </si>
  <si>
    <t>BALLERINA WINNIE THE POOH SWTP02:GOLD:40:SOLID:BALLERINA</t>
  </si>
  <si>
    <t>SWTP03</t>
  </si>
  <si>
    <t>BALLERINA WINNIE THE POOH SWTP03:BLACK:36:SOLID:BALLERINA</t>
  </si>
  <si>
    <t>BALLERINA WINNIE THE POOH SWTP03:BLACK:37:SOLID:BALLERINA</t>
  </si>
  <si>
    <t>BALLERINA WINNIE THE POOH SWTP03:BLACK:38:SOLID:BALLERINA</t>
  </si>
  <si>
    <t>BALLERINA WINNIE THE POOH SWTP03:BLACK:39:SOLID:BALLERINA</t>
  </si>
  <si>
    <t>BALLERINA WINNIE THE POOH SWTP03:BLACK:40:SOLID:BALLERINA</t>
  </si>
  <si>
    <t>BALLERINA WINNIE THE POOH SWTP03:DUSTY PINK:36:SOLID:BALLERINA</t>
  </si>
  <si>
    <t>BALLERINA WINNIE THE POOH SWTP03:DUSTY PINK:37:SOLID:BALLERINA</t>
  </si>
  <si>
    <t>BALLERINA WINNIE THE POOH SWTP03:DUSTY PINK:38:SOLID:BALLERINA</t>
  </si>
  <si>
    <t>BALLERINA WINNIE THE POOH SWTP03:DUSTY PINK:39:SOLID:BALLERINA</t>
  </si>
  <si>
    <t>BALLERINA WINNIE THE POOH SWTP03:DUSTY PINK:40:SOLID:BALLERINA</t>
  </si>
  <si>
    <t>SWTP05</t>
  </si>
  <si>
    <t>BALLERINA WINNIE THE POOH SWTP05:OFF WHITE:36:SOLID:BALLERINA</t>
  </si>
  <si>
    <t>BALLERINA WINNIE THE POOH SWTP05:OFF WHITE:37:SOLID:BALLERINA</t>
  </si>
  <si>
    <t>BALLERINA WINNIE THE POOH SWTP05:OFF WHITE:38:SOLID:BALLERINA</t>
  </si>
  <si>
    <t>BALLERINA WINNIE THE POOH SWTP05:OFF WHITE:39:SOLID:BALLERINA</t>
  </si>
  <si>
    <t>BALLERINA WINNIE THE POOH SWTP05:OFF WHITE:40:SOLID:BALLERINA</t>
  </si>
  <si>
    <t>MCJ02</t>
  </si>
  <si>
    <t>MARY JANE SHOES MICKEY MOUSE MCJ02:BLACK:36:SOLID:MARY JANE SHOES</t>
  </si>
  <si>
    <t>MARY JANE SHOES MICKEY MOUSE MCJ02:BLACK:37:SOLID:MARY JANE SHOES</t>
  </si>
  <si>
    <t>MARY JANE SHOES MICKEY MOUSE MCJ02:BLACK:38:SOLID:MARY JANE SHOES</t>
  </si>
  <si>
    <t>MARY JANE SHOES MICKEY MOUSE MCJ02:BLACK:39:SOLID:MARY JANE SHOES</t>
  </si>
  <si>
    <t>MARY JANE SHOES MICKEY MOUSE MCJ02:BLACK:40:SOLID:MARY JANE SHOES</t>
  </si>
  <si>
    <t>MARY JANE SHOES MICKEY MOUSE MCJ02:MAROON:36:SOLID:MARY JANE SHOES</t>
  </si>
  <si>
    <t>MARY JANE SHOES MICKEY MOUSE MCJ02:MAROON:37:SOLID:MARY JANE SHOES</t>
  </si>
  <si>
    <t>MARY JANE SHOES MICKEY MOUSE MCJ02:MAROON:38:SOLID:MARY JANE SHOES</t>
  </si>
  <si>
    <t>MARY JANE SHOES MICKEY MOUSE MCJ02:MAROON:39:SOLID:MARY JANE SHOES</t>
  </si>
  <si>
    <t>MARY JANE SHOES MICKEY MOUSE MCJ02:MAROON:40:SOLID:MARY JANE SHOES</t>
  </si>
  <si>
    <t>MCJ01</t>
  </si>
  <si>
    <t>BALLERINA MICKEY MOUSE MCJ01:WHITE:36:PRINT:BALLERINA</t>
  </si>
  <si>
    <t>BALLERINA MICKEY MOUSE MCJ01:WHITE:37:PRINT:BALLERINA</t>
  </si>
  <si>
    <t>BALLERINA MICKEY MOUSE MCJ01:WHITE:38:PRINT:BALLERINA</t>
  </si>
  <si>
    <t>BALLERINA MICKEY MOUSE MCJ01:WHITE:39:PRINT:BALLERINA</t>
  </si>
  <si>
    <t>BALLERINA MICKEY MOUSE MCJ01:WHITE:40:PRINT:BALLERINA</t>
  </si>
  <si>
    <t>SWTP08</t>
  </si>
  <si>
    <t>SNEAKERS WINNIE THE POOH SWTP08:KHAKI:36:PRINT:SNEAKERS</t>
  </si>
  <si>
    <t>SNEAKERS WINNIE THE POOH SWTP08:KHAKI:37:PRINT:SNEAKERS</t>
  </si>
  <si>
    <t>SNEAKERS WINNIE THE POOH SWTP08:KHAKI:38:PRINT:SNEAKERS</t>
  </si>
  <si>
    <t>SNEAKERS WINNIE THE POOH SWTP08:KHAKI:39:PRINT:SNEAKERS</t>
  </si>
  <si>
    <t>SNEAKERS WINNIE THE POOH SWTP08:KHAKI:40:PRINT:SNEAKERS</t>
  </si>
  <si>
    <t>SLIPPER SANDALS MICKEY MKBAS98:BRONZE:36:SOLID:SLIPPER SANDALS</t>
  </si>
  <si>
    <t>SLIPPER SANDALS MICKEY MKBAS98:BRONZE:37:SOLID:SLIPPER SANDALS</t>
  </si>
  <si>
    <t>SLIPPER SANDALS MICKEY MKBAS98:BRONZE:38:SOLID:SLIPPER SANDALS</t>
  </si>
  <si>
    <t>SLIPPER SANDALS MICKEY MKBAS98:BRONZE:39:SOLID:SLIPPER SANDALS</t>
  </si>
  <si>
    <t>SLIPPER SANDALS MICKEY MKBAS98:BRONZE:40:SOLID:SLIPPER SANDALS</t>
  </si>
  <si>
    <t>SLIPPER SANDALS WOMEN MKBAS83:WHITE:36:SOLID:SLIPPER SANDALS</t>
  </si>
  <si>
    <t>SLIPPER SANDALS WOMEN MKBAS83:WHITE:37:SOLID:SLIPPER SANDALS</t>
  </si>
  <si>
    <t>SLIPPER SANDALS WOMEN MKBAS83:WHITE:38:SOLID:SLIPPER SANDALS</t>
  </si>
  <si>
    <t>SLIPPER SANDALS WOMEN MKBAS83:WHITE:39:SOLID:SLIPPER SANDALS</t>
  </si>
  <si>
    <t>SLIPPER SANDALS MICKEY MKBAS83:WHITE:40:SOLID:SLIPPER SANDALS</t>
  </si>
  <si>
    <t>SST03</t>
  </si>
  <si>
    <t>SLIPPER SANDALS STITCH SST03:NAVY BLUE:36:SOLID:SLIPPER SANDALS</t>
  </si>
  <si>
    <t>SLIPPER SANDALS STITCH SST03:NAVY BLUE:37:SOLID:SLIPPER SANDALS</t>
  </si>
  <si>
    <t>SLIPPER SANDALS STITCH SST03:NAVY BLUE:38:SOLID:SLIPPER SANDALS</t>
  </si>
  <si>
    <t>SLIPPER SANDALS STITCH SST03:NAVY BLUE:39:SOLID:SLIPPER SANDALS</t>
  </si>
  <si>
    <t>SLIPPER SANDALS STITCH SST03:NAVY BLUE:40:SOLID:SLIPPER SANDALS</t>
  </si>
  <si>
    <t>STIS1</t>
  </si>
  <si>
    <t>FLIP FLOPS STITCH STIS1:LIGHT BLUE:S:PRINT:FLIP FLOPS</t>
  </si>
  <si>
    <t>FLIP FLOPS STITCH STIS1:LIGHT BLUE:M:PRINT:FLIP FLOPS</t>
  </si>
  <si>
    <t>FLIP FLOPS STITCH STIS1:LIGHT BLUE:L:PRINT:FLIP FLOPS</t>
  </si>
  <si>
    <t>FLIP FLOPS STITCH STIS1:LIGHT BLUE:XL:PRINT:FLIP FLOPS</t>
  </si>
  <si>
    <t>FLIP FLOPS WOMEN MK2206:CLASSIC RED:S:PRINT:FLIP FLOPS</t>
  </si>
  <si>
    <t>FLIP FLOPS WOMEN MK2206:CLASSIC RED:M:PRINT:FLIP FLOPS</t>
  </si>
  <si>
    <t>FLIP FLOPS WOMEN MK2206:CLASSIC RED:L:PRINT:FLIP FLOPS</t>
  </si>
  <si>
    <t>FLIP FLOPS WOMEN MK2206:CLASSIC RED:XL:PRINT:FLIP FLOPS</t>
  </si>
  <si>
    <t>SLIPPER SANDALS WOMEN DPH01:LIGHT BLUE:36:SOLID:SLIPPER SANDALS</t>
  </si>
  <si>
    <t>SLIPPER SANDALS WOMEN DPH01:LIGHT BLUE:37:SOLID:SLIPPER SANDALS</t>
  </si>
  <si>
    <t>SLIPPER SANDALS WOMEN DPH01:LIGHT BLUE:38:SOLID:SLIPPER SANDALS</t>
  </si>
  <si>
    <t>SLIPPER SANDALS WOMEN DPH01:LIGHT BLUE:39:SOLID:SLIPPER SANDALS</t>
  </si>
  <si>
    <t>SLIPPER SANDALS WOMEN DPH01:LIGHT BLUE:40:SOLID:SLIPPER SANDALS</t>
  </si>
  <si>
    <t>MST14</t>
  </si>
  <si>
    <t>SLIPPER SANDALS MICKEY MOUSE MST14:OFF WHITE:36:SOLID:SLIPPER SANDALS</t>
  </si>
  <si>
    <t>SLIPPER SANDALS MICKEY MOUSE MST14:OFF WHITE:37:SOLID:SLIPPER SANDALS</t>
  </si>
  <si>
    <t>SLIPPER SANDALS MICKEY MOUSE MST14:OFF WHITE:38:SOLID:SLIPPER SANDALS</t>
  </si>
  <si>
    <t>SLIPPER SANDALS MICKEY MOUSE MST14:OFF WHITE:39:SOLID:SLIPPER SANDALS</t>
  </si>
  <si>
    <t>SLIPPER SANDALS MICKEY MOUSE MST14:OFF WHITE:40:SOLID:SLIPPER SANDALS</t>
  </si>
  <si>
    <t>POOH1</t>
  </si>
  <si>
    <t>FLIP FLOPS WINNIE THE POOH POOH1:BROWN SUGAR:36:PRINT:FLIP FLOPS</t>
  </si>
  <si>
    <t>FLIP FLOPS WINNIE THE POOH POOH1:BROWN SUGAR:37:PRINT:FLIP FLOPS</t>
  </si>
  <si>
    <t>FLIP FLOPS WINNIE THE POOH POOH1:BROWN SUGAR:38:PRINT:FLIP FLOPS</t>
  </si>
  <si>
    <t>FLIP FLOPS WINNIE THE POOH POOH1:BROWN SUGAR:39:PRINT:FLIP FLOPS</t>
  </si>
  <si>
    <t>FLIP FLOPS WINNIE THE POOH POOH1:BROWN SUGAR:40:PRINT:FLIP FLOPS</t>
  </si>
  <si>
    <t>POOH2</t>
  </si>
  <si>
    <t>FLIP FLOPS WINNIE THE POOH POOH2:BLACK:S:PRINT:FLIP FLOPS</t>
  </si>
  <si>
    <t>FLIP FLOPS WINNIE THE POOH POOH2:BLACK:M:PRINT:FLIP FLOPS</t>
  </si>
  <si>
    <t>FLIP FLOPS WINNIE THE POOH POOH2:BLACK:L:PRINT:FLIP FLOPS</t>
  </si>
  <si>
    <t>FLIP FLOPS WINNIE THE POOH POOH2:BLACK:XL:PRINT:FLIP FLOPS</t>
  </si>
  <si>
    <t>2025 H1 B1 NORMAL, B2 150K</t>
  </si>
  <si>
    <t>B1 NORMAL, B2 150.000</t>
  </si>
  <si>
    <t>2023 D90</t>
  </si>
  <si>
    <t>2022 D90</t>
  </si>
  <si>
    <t>2021 D90</t>
  </si>
  <si>
    <t>2020 D90</t>
  </si>
  <si>
    <t>2024 HANGING B1 NORMAL, B2 100K</t>
  </si>
  <si>
    <t>B1 NORMAL, B2 100.000</t>
  </si>
  <si>
    <t>2024 B1 NORMAL, B2 100K</t>
  </si>
  <si>
    <t>2026 Q1 BUY 3 D10</t>
  </si>
  <si>
    <t>BUY 3 DISC 10%</t>
  </si>
  <si>
    <t>2026 HANGING BUY 3 D10</t>
  </si>
  <si>
    <t>2025 Q4 BUY 3 D10</t>
  </si>
  <si>
    <t>2025 Q1 HANGING B2 100K</t>
  </si>
  <si>
    <t>2025 Q2 H2 HANGING B2 150K</t>
  </si>
  <si>
    <t>2025 Q3 SP 179K</t>
  </si>
  <si>
    <t>2025 Q4 SP 179K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</si>
</sst>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Rp&quot;#,##0;[Red]\-&quot;Rp&quot;#,##0"/>
    <numFmt numFmtId="41" formatCode="_-* #,##0_-;\-* #,##0_-;_-* &quot;-&quot;_-;_-@_-"/>
    <numFmt numFmtId="164" formatCode="_(* #,##0_);_(* \(#,##0\);_(* &quot;-&quot;_);_(@_)"/>
    <numFmt numFmtId="165" formatCode="_(* #,##0.00_);_(* \(#,##0.00\);_(* &quot;-&quot;??_);_(@_)"/>
    <numFmt numFmtId="166" formatCode="yyyy\-mm\-dd;@"/>
    <numFmt numFmtId="167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Tahoma"/>
      <family val="2"/>
    </font>
    <font>
      <sz val="12"/>
      <name val="Tahoma"/>
      <family val="2"/>
    </font>
    <font>
      <sz val="12"/>
      <color rgb="FFFF0000"/>
      <name val="Arial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</cellStyleXfs>
  <cellXfs count="83">
    <xf numFmtId="0" fontId="0" fillId="0" borderId="0" xfId="0"/>
    <xf numFmtId="0" fontId="2" fillId="2" borderId="0" xfId="0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3" fontId="2" fillId="2" borderId="0" xfId="2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6" fontId="2" fillId="2" borderId="0" xfId="0" applyNumberFormat="1" applyFont="1" applyFill="1" applyAlignment="1">
      <alignment horizontal="center" vertical="center"/>
    </xf>
    <xf numFmtId="0" fontId="3" fillId="0" borderId="0" xfId="0" applyFont="1"/>
    <xf numFmtId="0" fontId="8" fillId="2" borderId="0" xfId="0" applyFont="1" applyFill="1" applyAlignment="1">
      <alignment horizontal="center" vertical="center"/>
    </xf>
    <xf numFmtId="166" fontId="8" fillId="2" borderId="0" xfId="0" applyNumberFormat="1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3" fontId="8" fillId="2" borderId="0" xfId="0" applyNumberFormat="1" applyFont="1" applyFill="1" applyAlignment="1">
      <alignment horizontal="center" vertical="center"/>
    </xf>
    <xf numFmtId="3" fontId="8" fillId="2" borderId="0" xfId="2" applyNumberFormat="1" applyFont="1" applyFill="1" applyBorder="1" applyAlignment="1">
      <alignment horizontal="center" vertical="center"/>
    </xf>
    <xf numFmtId="0" fontId="9" fillId="0" borderId="0" xfId="5" applyFont="1"/>
    <xf numFmtId="0" fontId="10" fillId="0" borderId="0" xfId="5" applyFont="1" applyAlignment="1">
      <alignment horizontal="left"/>
    </xf>
    <xf numFmtId="0" fontId="10" fillId="0" borderId="0" xfId="0" applyFont="1"/>
    <xf numFmtId="0" fontId="10" fillId="0" borderId="0" xfId="0" applyFont="1" applyAlignment="1">
      <alignment vertical="center"/>
    </xf>
    <xf numFmtId="0" fontId="10" fillId="0" borderId="0" xfId="5" applyFont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0" applyFont="1"/>
    <xf numFmtId="9" fontId="10" fillId="0" borderId="0" xfId="2" applyFont="1" applyBorder="1" applyAlignment="1">
      <alignment horizontal="center"/>
    </xf>
    <xf numFmtId="0" fontId="11" fillId="0" borderId="0" xfId="5" applyFont="1"/>
    <xf numFmtId="0" fontId="12" fillId="0" borderId="0" xfId="5" applyFont="1" applyAlignment="1">
      <alignment horizontal="left"/>
    </xf>
    <xf numFmtId="0" fontId="13" fillId="0" borderId="0" xfId="5" applyFont="1"/>
    <xf numFmtId="0" fontId="12" fillId="0" borderId="0" xfId="5" applyFont="1" applyAlignment="1">
      <alignment horizontal="center"/>
    </xf>
    <xf numFmtId="0" fontId="9" fillId="0" borderId="0" xfId="5" applyFont="1" applyAlignment="1">
      <alignment vertical="center"/>
    </xf>
    <xf numFmtId="0" fontId="3" fillId="0" borderId="0" xfId="0" applyFont="1" applyAlignment="1">
      <alignment horizontal="center"/>
    </xf>
    <xf numFmtId="166" fontId="0" fillId="0" borderId="0" xfId="0" applyNumberFormat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9" fontId="0" fillId="0" borderId="0" xfId="2" applyFont="1" applyFill="1" applyBorder="1" applyAlignment="1">
      <alignment horizontal="center"/>
    </xf>
    <xf numFmtId="9" fontId="4" fillId="0" borderId="0" xfId="2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3" fontId="10" fillId="0" borderId="0" xfId="1" applyNumberFormat="1" applyFont="1" applyFill="1" applyBorder="1" applyAlignment="1">
      <alignment horizontal="center" vertical="center"/>
    </xf>
    <xf numFmtId="3" fontId="0" fillId="0" borderId="0" xfId="0" applyNumberFormat="1"/>
    <xf numFmtId="0" fontId="2" fillId="2" borderId="0" xfId="0" applyFont="1" applyFill="1" applyAlignment="1">
      <alignment vertical="center"/>
    </xf>
    <xf numFmtId="3" fontId="3" fillId="0" borderId="0" xfId="1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3" fontId="0" fillId="0" borderId="0" xfId="1" applyNumberFormat="1" applyFont="1" applyFill="1" applyBorder="1" applyAlignment="1">
      <alignment horizontal="center"/>
    </xf>
    <xf numFmtId="166" fontId="4" fillId="0" borderId="0" xfId="0" applyNumberFormat="1" applyFont="1" applyAlignment="1">
      <alignment horizontal="center"/>
    </xf>
    <xf numFmtId="3" fontId="4" fillId="0" borderId="0" xfId="1" applyNumberFormat="1" applyFont="1" applyFill="1" applyBorder="1" applyAlignment="1">
      <alignment horizontal="center"/>
    </xf>
    <xf numFmtId="3" fontId="4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0" fontId="3" fillId="0" borderId="0" xfId="5" applyFont="1"/>
    <xf numFmtId="0" fontId="3" fillId="0" borderId="0" xfId="5" applyFont="1" applyAlignment="1">
      <alignment horizontal="left"/>
    </xf>
    <xf numFmtId="0" fontId="3" fillId="0" borderId="0" xfId="5" applyFont="1" applyAlignment="1">
      <alignment horizontal="center"/>
    </xf>
    <xf numFmtId="0" fontId="11" fillId="0" borderId="0" xfId="5" applyFont="1" applyAlignment="1">
      <alignment horizontal="center"/>
    </xf>
    <xf numFmtId="0" fontId="0" fillId="0" borderId="0" xfId="0" applyAlignment="1">
      <alignment horizontal="center" vertical="center"/>
    </xf>
    <xf numFmtId="1" fontId="3" fillId="0" borderId="0" xfId="5" applyNumberFormat="1" applyFont="1" applyAlignment="1">
      <alignment horizont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1" fontId="12" fillId="0" borderId="0" xfId="5" applyNumberFormat="1" applyFont="1" applyAlignment="1">
      <alignment horizont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3" fontId="3" fillId="0" borderId="0" xfId="6" applyNumberFormat="1" applyFont="1" applyBorder="1" applyAlignment="1">
      <alignment horizontal="center"/>
    </xf>
    <xf numFmtId="3" fontId="12" fillId="0" borderId="0" xfId="6" applyNumberFormat="1" applyFont="1" applyBorder="1" applyAlignment="1">
      <alignment horizontal="center"/>
    </xf>
    <xf numFmtId="9" fontId="3" fillId="0" borderId="0" xfId="5" applyNumberFormat="1" applyFont="1" applyAlignment="1">
      <alignment horizontal="center"/>
    </xf>
    <xf numFmtId="0" fontId="3" fillId="0" borderId="0" xfId="0" applyFont="1" applyAlignment="1">
      <alignment vertical="center"/>
    </xf>
    <xf numFmtId="0" fontId="9" fillId="0" borderId="0" xfId="5" applyFont="1" applyAlignment="1">
      <alignment horizontal="center"/>
    </xf>
    <xf numFmtId="1" fontId="10" fillId="0" borderId="0" xfId="5" applyNumberFormat="1" applyFont="1" applyAlignment="1">
      <alignment horizontal="center"/>
    </xf>
    <xf numFmtId="3" fontId="3" fillId="0" borderId="0" xfId="1" applyNumberFormat="1" applyFont="1" applyBorder="1" applyAlignment="1">
      <alignment horizontal="center" vertical="center"/>
    </xf>
    <xf numFmtId="3" fontId="3" fillId="0" borderId="0" xfId="1" applyNumberFormat="1" applyFont="1" applyFill="1" applyBorder="1" applyAlignment="1">
      <alignment horizontal="center"/>
    </xf>
    <xf numFmtId="3" fontId="10" fillId="0" borderId="0" xfId="1" applyNumberFormat="1" applyFont="1" applyBorder="1" applyAlignment="1">
      <alignment horizontal="center"/>
    </xf>
    <xf numFmtId="9" fontId="3" fillId="0" borderId="0" xfId="2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3" fontId="10" fillId="0" borderId="0" xfId="1" applyNumberFormat="1" applyFont="1" applyBorder="1" applyAlignment="1">
      <alignment horizontal="center" vertical="center"/>
    </xf>
    <xf numFmtId="3" fontId="10" fillId="0" borderId="0" xfId="1" applyNumberFormat="1" applyFont="1" applyFill="1" applyBorder="1" applyAlignment="1">
      <alignment horizontal="center"/>
    </xf>
    <xf numFmtId="0" fontId="15" fillId="0" borderId="0" xfId="5" applyFont="1"/>
    <xf numFmtId="0" fontId="3" fillId="0" borderId="0" xfId="1" applyNumberFormat="1" applyFont="1" applyFill="1" applyBorder="1" applyAlignment="1">
      <alignment horizontal="center" vertical="center"/>
    </xf>
    <xf numFmtId="167" fontId="3" fillId="0" borderId="0" xfId="1" applyNumberFormat="1" applyFont="1" applyBorder="1"/>
    <xf numFmtId="166" fontId="3" fillId="0" borderId="0" xfId="5" applyNumberFormat="1" applyFont="1" applyAlignment="1">
      <alignment horizontal="center"/>
    </xf>
    <xf numFmtId="167" fontId="15" fillId="0" borderId="0" xfId="1" applyNumberFormat="1" applyFont="1" applyBorder="1"/>
    <xf numFmtId="166" fontId="3" fillId="0" borderId="0" xfId="6" applyNumberFormat="1" applyFont="1" applyBorder="1" applyAlignment="1">
      <alignment horizontal="center"/>
    </xf>
    <xf numFmtId="0" fontId="15" fillId="0" borderId="0" xfId="5" applyFont="1" applyAlignment="1">
      <alignment horizontal="center"/>
    </xf>
    <xf numFmtId="0" fontId="3" fillId="0" borderId="0" xfId="6" applyNumberFormat="1" applyFont="1" applyBorder="1" applyAlignment="1">
      <alignment horizontal="center"/>
    </xf>
    <xf numFmtId="9" fontId="15" fillId="0" borderId="0" xfId="2" applyFont="1" applyBorder="1" applyAlignment="1">
      <alignment horizontal="center"/>
    </xf>
    <xf numFmtId="0" fontId="8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/>
    </xf>
    <xf numFmtId="6" fontId="0" fillId="0" borderId="0" xfId="2" applyNumberFormat="1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</cellXfs>
  <cellStyles count="7">
    <cellStyle name="Comma" xfId="1" builtinId="3"/>
    <cellStyle name="Comma [0] 2 2" xfId="6" xr:uid="{00000000-0005-0000-0000-000001000000}"/>
    <cellStyle name="Comma [0] 2 2 2" xfId="3" xr:uid="{00000000-0005-0000-0000-000002000000}"/>
    <cellStyle name="Comma [0] 3" xfId="4" xr:uid="{00000000-0005-0000-0000-000003000000}"/>
    <cellStyle name="Normal" xfId="0" builtinId="0"/>
    <cellStyle name="Normal 2" xfId="5" xr:uid="{00000000-0005-0000-0000-000005000000}"/>
    <cellStyle name="Percent" xfId="2" builtinId="5"/>
  </cellStyles>
  <dxfs count="4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E/2007/ACCOUNTING/6/BY_STORE_BY_MONTH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ll%20Users/Documents/File%20Sharing/BUYING%20PLAN%202010%2042%20NEWES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GT"/>
      <sheetName val="P_REPLE"/>
      <sheetName val="Sheet2 (2)"/>
      <sheetName val="P_DP"/>
      <sheetName val="P_CV"/>
      <sheetName val="Sheet1"/>
      <sheetName val="Sheet3"/>
      <sheetName val="DP"/>
      <sheetName val="Ve"/>
      <sheetName val="C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4">
          <cell r="T4">
            <v>1201.0366416818777</v>
          </cell>
          <cell r="U4">
            <v>1154.7036418309085</v>
          </cell>
          <cell r="V4">
            <v>1035.7360072256427</v>
          </cell>
          <cell r="W4">
            <v>1182.1544578471141</v>
          </cell>
          <cell r="X4">
            <v>1287.1691878541333</v>
          </cell>
          <cell r="Y4">
            <v>1378.6657537300239</v>
          </cell>
          <cell r="Z4">
            <v>1719.2497730114783</v>
          </cell>
          <cell r="AA4">
            <v>1339.6383268516854</v>
          </cell>
          <cell r="AB4">
            <v>1833.7416897872497</v>
          </cell>
          <cell r="AC4">
            <v>3774.2120589710366</v>
          </cell>
          <cell r="AD4">
            <v>1643.5842311141421</v>
          </cell>
          <cell r="AE4">
            <v>1504.4473201754722</v>
          </cell>
          <cell r="AI4">
            <v>1223.7703188509818</v>
          </cell>
          <cell r="AJ4">
            <v>1176.2984013512546</v>
          </cell>
          <cell r="AK4">
            <v>1057.1155869678009</v>
          </cell>
          <cell r="AL4">
            <v>1207.217802891287</v>
          </cell>
          <cell r="AM4">
            <v>1313.9449173020764</v>
          </cell>
          <cell r="AN4">
            <v>1406.8339467500803</v>
          </cell>
          <cell r="AO4">
            <v>1754.3522332364696</v>
          </cell>
          <cell r="AP4">
            <v>1355.7164720586852</v>
          </cell>
          <cell r="AQ4">
            <v>1869.807837461176</v>
          </cell>
          <cell r="AR4">
            <v>3901.9603114837441</v>
          </cell>
          <cell r="AS4">
            <v>1689.8081834819784</v>
          </cell>
          <cell r="AT4">
            <v>1543.7568406218638</v>
          </cell>
        </row>
        <row r="5">
          <cell r="T5">
            <v>1479.925514080317</v>
          </cell>
          <cell r="U5">
            <v>1412.6633806631603</v>
          </cell>
          <cell r="V5">
            <v>1229.8097899086065</v>
          </cell>
          <cell r="W5">
            <v>1436.4260251527194</v>
          </cell>
          <cell r="X5">
            <v>1456.3534921962305</v>
          </cell>
          <cell r="Y5">
            <v>1696.3805633846318</v>
          </cell>
          <cell r="Z5">
            <v>2038.4855124631224</v>
          </cell>
          <cell r="AA5">
            <v>1656.4175646924166</v>
          </cell>
          <cell r="AB5">
            <v>2532.0454600651997</v>
          </cell>
          <cell r="AC5">
            <v>4905.7867869017691</v>
          </cell>
          <cell r="AD5">
            <v>1781.8056874197935</v>
          </cell>
          <cell r="AE5">
            <v>1882.1843624938115</v>
          </cell>
          <cell r="AI5">
            <v>1425.6969409288322</v>
          </cell>
          <cell r="AJ5">
            <v>1360.5965345252887</v>
          </cell>
          <cell r="AK5">
            <v>1186.7385479620611</v>
          </cell>
          <cell r="AL5">
            <v>1386.8783670357482</v>
          </cell>
          <cell r="AM5">
            <v>1405.5685381869073</v>
          </cell>
          <cell r="AN5">
            <v>1636.6312562677565</v>
          </cell>
          <cell r="AO5">
            <v>1966.6593871777834</v>
          </cell>
          <cell r="AP5">
            <v>1584.8743529686803</v>
          </cell>
          <cell r="AQ5">
            <v>2441.0350625973497</v>
          </cell>
          <cell r="AR5">
            <v>4795.2242371341035</v>
          </cell>
          <cell r="AS5">
            <v>1732.0063731219043</v>
          </cell>
          <cell r="AT5">
            <v>1826.0294295887179</v>
          </cell>
        </row>
        <row r="6">
          <cell r="T6">
            <v>2729.0905971856128</v>
          </cell>
          <cell r="U6">
            <v>2016.4441823244979</v>
          </cell>
          <cell r="V6">
            <v>1623.0067767685314</v>
          </cell>
          <cell r="W6">
            <v>1737.1709370116466</v>
          </cell>
          <cell r="X6">
            <v>1899.7835228411386</v>
          </cell>
          <cell r="Y6">
            <v>2088.4817836418301</v>
          </cell>
          <cell r="Z6">
            <v>2508.1561251877274</v>
          </cell>
          <cell r="AA6">
            <v>1843.0046121137868</v>
          </cell>
          <cell r="AB6">
            <v>3184.1682167699141</v>
          </cell>
          <cell r="AC6">
            <v>5385.3689130301018</v>
          </cell>
          <cell r="AD6">
            <v>2175.2573914621576</v>
          </cell>
          <cell r="AE6">
            <v>2322.6848463473061</v>
          </cell>
          <cell r="AI6">
            <v>2650.1014911140892</v>
          </cell>
          <cell r="AJ6">
            <v>1957.6455920787268</v>
          </cell>
          <cell r="AK6">
            <v>1578.6819006093845</v>
          </cell>
          <cell r="AL6">
            <v>1690.6544695651958</v>
          </cell>
          <cell r="AM6">
            <v>1848.189657974619</v>
          </cell>
          <cell r="AN6">
            <v>2031.0257891665733</v>
          </cell>
          <cell r="AO6">
            <v>2439.1206318596628</v>
          </cell>
          <cell r="AP6">
            <v>1777.4959734121446</v>
          </cell>
          <cell r="AQ6">
            <v>3094.2522476842</v>
          </cell>
          <cell r="AR6">
            <v>5306.0691281859517</v>
          </cell>
          <cell r="AS6">
            <v>2131.3608838474479</v>
          </cell>
          <cell r="AT6">
            <v>2271.397227775215</v>
          </cell>
        </row>
        <row r="7">
          <cell r="T7">
            <v>1648.8276096854822</v>
          </cell>
          <cell r="U7">
            <v>1510.0934525539571</v>
          </cell>
          <cell r="V7">
            <v>1569.95235871267</v>
          </cell>
          <cell r="W7">
            <v>1445.4176149640525</v>
          </cell>
          <cell r="X7">
            <v>1794.827483112251</v>
          </cell>
          <cell r="Y7">
            <v>2017.2321401612969</v>
          </cell>
          <cell r="Z7">
            <v>2674.883516220501</v>
          </cell>
          <cell r="AA7">
            <v>2030.5708807429151</v>
          </cell>
          <cell r="AB7">
            <v>2297.9684563557498</v>
          </cell>
          <cell r="AC7">
            <v>4697.6281011144729</v>
          </cell>
          <cell r="AD7">
            <v>2229.9728150248725</v>
          </cell>
          <cell r="AE7">
            <v>1812.8978969434233</v>
          </cell>
          <cell r="AI7">
            <v>1557.1911311663157</v>
          </cell>
          <cell r="AJ7">
            <v>1425.849894480722</v>
          </cell>
          <cell r="AK7">
            <v>1485.1929787106772</v>
          </cell>
          <cell r="AL7">
            <v>1368.1312477449073</v>
          </cell>
          <cell r="AM7">
            <v>1698.1937852018884</v>
          </cell>
          <cell r="AN7">
            <v>1907.9313430442987</v>
          </cell>
          <cell r="AO7">
            <v>2529.9136882318808</v>
          </cell>
          <cell r="AP7">
            <v>1904.6819869599174</v>
          </cell>
          <cell r="AQ7">
            <v>2171.8303212230721</v>
          </cell>
          <cell r="AR7">
            <v>4501.5097344426886</v>
          </cell>
          <cell r="AS7">
            <v>2125.0444750719475</v>
          </cell>
          <cell r="AT7">
            <v>1724.2421885470972</v>
          </cell>
        </row>
        <row r="8">
          <cell r="T8">
            <v>1755.376877829432</v>
          </cell>
          <cell r="U8">
            <v>1725.0266141481238</v>
          </cell>
          <cell r="V8">
            <v>1471.7962777537514</v>
          </cell>
          <cell r="W8">
            <v>1639.4653759023133</v>
          </cell>
          <cell r="X8">
            <v>1608.6483934979804</v>
          </cell>
          <cell r="Y8">
            <v>1577.3943714936622</v>
          </cell>
          <cell r="Z8">
            <v>1773.1643436931188</v>
          </cell>
          <cell r="AA8">
            <v>1522.7623501621053</v>
          </cell>
          <cell r="AB8">
            <v>2050.1843325985778</v>
          </cell>
          <cell r="AC8">
            <v>3410.7475695303783</v>
          </cell>
          <cell r="AD8">
            <v>1580.9930795129178</v>
          </cell>
          <cell r="AE8">
            <v>1884.9225999232847</v>
          </cell>
          <cell r="AI8">
            <v>1866.5691467885556</v>
          </cell>
          <cell r="AJ8">
            <v>1833.8880567458023</v>
          </cell>
          <cell r="AK8">
            <v>1567.6573862702969</v>
          </cell>
          <cell r="AL8">
            <v>1747.2043702856777</v>
          </cell>
          <cell r="AM8">
            <v>1713.6917453804003</v>
          </cell>
          <cell r="AN8">
            <v>1679.7868972891331</v>
          </cell>
          <cell r="AO8">
            <v>1888.2385460162766</v>
          </cell>
          <cell r="AP8">
            <v>1608.2127102474735</v>
          </cell>
          <cell r="AQ8">
            <v>2181.6334233014509</v>
          </cell>
          <cell r="AR8">
            <v>3679.9013736662687</v>
          </cell>
          <cell r="AS8">
            <v>1696.3109402391335</v>
          </cell>
          <cell r="AT8">
            <v>2018.4847965677966</v>
          </cell>
        </row>
        <row r="9">
          <cell r="T9">
            <v>2486.3078375477703</v>
          </cell>
          <cell r="U9">
            <v>2186.4229978872886</v>
          </cell>
          <cell r="V9">
            <v>2292.5807049830869</v>
          </cell>
          <cell r="W9">
            <v>2479.2587860997542</v>
          </cell>
          <cell r="X9">
            <v>2661.7576304368176</v>
          </cell>
          <cell r="Y9">
            <v>2795.8640029435642</v>
          </cell>
          <cell r="Z9">
            <v>3572.6296495976376</v>
          </cell>
          <cell r="AA9">
            <v>2213.4383526458896</v>
          </cell>
          <cell r="AB9">
            <v>3049.3242252769937</v>
          </cell>
          <cell r="AC9">
            <v>7001.4431143499105</v>
          </cell>
          <cell r="AD9">
            <v>2309.9909814605344</v>
          </cell>
          <cell r="AE9">
            <v>2618.8151480725319</v>
          </cell>
          <cell r="AI9">
            <v>2380.4386366991635</v>
          </cell>
          <cell r="AJ9">
            <v>2092.8571747442434</v>
          </cell>
          <cell r="AK9">
            <v>2198.6518619004241</v>
          </cell>
          <cell r="AL9">
            <v>2378.9849866595819</v>
          </cell>
          <cell r="AM9">
            <v>2553.1037593889077</v>
          </cell>
          <cell r="AN9">
            <v>2680.7624228163854</v>
          </cell>
          <cell r="AO9">
            <v>3425.5021917712652</v>
          </cell>
          <cell r="AP9">
            <v>2104.7822500965849</v>
          </cell>
          <cell r="AQ9">
            <v>2921.6006626223038</v>
          </cell>
          <cell r="AR9">
            <v>6801.46625329164</v>
          </cell>
          <cell r="AS9">
            <v>2231.5887361364789</v>
          </cell>
          <cell r="AT9">
            <v>2525.0221229621325</v>
          </cell>
        </row>
        <row r="10">
          <cell r="T10">
            <v>2160.8829941904614</v>
          </cell>
          <cell r="U10">
            <v>1855.5904697354774</v>
          </cell>
          <cell r="V10">
            <v>1582.4691674582045</v>
          </cell>
          <cell r="W10">
            <v>1714.6395742832201</v>
          </cell>
          <cell r="X10">
            <v>1866.1916077404592</v>
          </cell>
          <cell r="Y10">
            <v>2130.9933870656123</v>
          </cell>
          <cell r="Z10">
            <v>2881.4128125836601</v>
          </cell>
          <cell r="AA10">
            <v>1836.058948734918</v>
          </cell>
          <cell r="AB10">
            <v>3324.904801845521</v>
          </cell>
          <cell r="AC10">
            <v>5923.6238152659389</v>
          </cell>
          <cell r="AD10">
            <v>2167.1785944379576</v>
          </cell>
          <cell r="AE10">
            <v>2449.3924457358085</v>
          </cell>
          <cell r="AI10">
            <v>2036.9416650581118</v>
          </cell>
          <cell r="AJ10">
            <v>1748.7703692635255</v>
          </cell>
          <cell r="AK10">
            <v>1494.2124143481001</v>
          </cell>
          <cell r="AL10">
            <v>1619.8989792148791</v>
          </cell>
          <cell r="AM10">
            <v>1762.3876375615739</v>
          </cell>
          <cell r="AN10">
            <v>2011.7297340552361</v>
          </cell>
          <cell r="AO10">
            <v>2720.1132306598752</v>
          </cell>
          <cell r="AP10">
            <v>1718.9831149338929</v>
          </cell>
          <cell r="AQ10">
            <v>3136.4741590722747</v>
          </cell>
          <cell r="AR10">
            <v>5665.6233823179737</v>
          </cell>
          <cell r="AS10">
            <v>2061.3124534551516</v>
          </cell>
          <cell r="AT10">
            <v>2325.2195489602905</v>
          </cell>
        </row>
        <row r="11">
          <cell r="T11">
            <v>1746.3547135255096</v>
          </cell>
          <cell r="U11">
            <v>1520.2327648065798</v>
          </cell>
          <cell r="V11">
            <v>1255.9933504868859</v>
          </cell>
          <cell r="W11">
            <v>1218.6515188403093</v>
          </cell>
          <cell r="X11">
            <v>1424.67433906261</v>
          </cell>
          <cell r="Y11">
            <v>1550.4309116162431</v>
          </cell>
          <cell r="Z11">
            <v>1819.5753546315264</v>
          </cell>
          <cell r="AA11">
            <v>1561.4290604250348</v>
          </cell>
          <cell r="AB11">
            <v>2150.9220912439819</v>
          </cell>
          <cell r="AC11">
            <v>4545.9447885232203</v>
          </cell>
          <cell r="AD11">
            <v>1726.6207095841366</v>
          </cell>
          <cell r="AE11">
            <v>1763.3507334118733</v>
          </cell>
          <cell r="AI11">
            <v>1697.110765053359</v>
          </cell>
          <cell r="AJ11">
            <v>1477.0361639927503</v>
          </cell>
          <cell r="AK11">
            <v>1222.6293328948198</v>
          </cell>
          <cell r="AL11">
            <v>1186.9297360147327</v>
          </cell>
          <cell r="AM11">
            <v>1387.0470570258519</v>
          </cell>
          <cell r="AN11">
            <v>1508.9343290611891</v>
          </cell>
          <cell r="AO11">
            <v>1770.8506423678543</v>
          </cell>
          <cell r="AP11">
            <v>1507.0846126014326</v>
          </cell>
          <cell r="AQ11">
            <v>2091.7875137006522</v>
          </cell>
          <cell r="AR11">
            <v>4482.4430004051846</v>
          </cell>
          <cell r="AS11">
            <v>1693.0760171459929</v>
          </cell>
          <cell r="AT11">
            <v>1725.7372834823145</v>
          </cell>
        </row>
        <row r="12">
          <cell r="T12">
            <v>1205.4486600115322</v>
          </cell>
          <cell r="U12">
            <v>1159.356636714057</v>
          </cell>
          <cell r="V12">
            <v>838.06917673631733</v>
          </cell>
          <cell r="W12">
            <v>1172.4833830394518</v>
          </cell>
          <cell r="X12">
            <v>1205.5978062164781</v>
          </cell>
          <cell r="Y12">
            <v>1345.2830607042395</v>
          </cell>
          <cell r="Z12">
            <v>1816.5713198125375</v>
          </cell>
          <cell r="AA12">
            <v>1445.4192057033051</v>
          </cell>
          <cell r="AB12">
            <v>2002.9426920273438</v>
          </cell>
          <cell r="AC12">
            <v>4605.4039912762146</v>
          </cell>
          <cell r="AD12">
            <v>1274.1671908720859</v>
          </cell>
          <cell r="AE12">
            <v>1377.8109489281251</v>
          </cell>
          <cell r="AI12">
            <v>1151.631308262851</v>
          </cell>
          <cell r="AJ12">
            <v>1107.3505095896562</v>
          </cell>
          <cell r="AK12">
            <v>801.999977247846</v>
          </cell>
          <cell r="AL12">
            <v>1122.6365812286067</v>
          </cell>
          <cell r="AM12">
            <v>1153.8917262148279</v>
          </cell>
          <cell r="AN12">
            <v>1287.1187335368222</v>
          </cell>
          <cell r="AO12">
            <v>1738.0063454409151</v>
          </cell>
          <cell r="AP12">
            <v>1371.5012753544861</v>
          </cell>
          <cell r="AQ12">
            <v>1914.9102628720273</v>
          </cell>
          <cell r="AR12">
            <v>4464.217739650051</v>
          </cell>
          <cell r="AS12">
            <v>1228.2674624205672</v>
          </cell>
          <cell r="AT12">
            <v>1325.6004037800667</v>
          </cell>
        </row>
        <row r="13">
          <cell r="T13">
            <v>999.58321860981653</v>
          </cell>
          <cell r="U13">
            <v>747.25271706656542</v>
          </cell>
          <cell r="V13">
            <v>679.24176039658721</v>
          </cell>
          <cell r="W13">
            <v>809.36267830066333</v>
          </cell>
          <cell r="X13">
            <v>874.34516639976505</v>
          </cell>
          <cell r="Y13">
            <v>1103.8580622222978</v>
          </cell>
          <cell r="Z13">
            <v>1292.9558322207793</v>
          </cell>
          <cell r="AA13">
            <v>932.29283711550625</v>
          </cell>
          <cell r="AB13">
            <v>1407.9593080590694</v>
          </cell>
          <cell r="AC13">
            <v>2922.969547657633</v>
          </cell>
          <cell r="AD13">
            <v>959.22648048607812</v>
          </cell>
          <cell r="AE13">
            <v>1308.3512621498044</v>
          </cell>
          <cell r="AI13">
            <v>1015.0159251630544</v>
          </cell>
          <cell r="AJ13">
            <v>758.62074643671565</v>
          </cell>
          <cell r="AK13">
            <v>690.88859252903785</v>
          </cell>
          <cell r="AL13">
            <v>823.69195182637782</v>
          </cell>
          <cell r="AM13">
            <v>889.47691064451396</v>
          </cell>
          <cell r="AN13">
            <v>1122.5542197325258</v>
          </cell>
          <cell r="AO13">
            <v>1314.8364926300469</v>
          </cell>
          <cell r="AP13">
            <v>940.25120245465018</v>
          </cell>
          <cell r="AQ13">
            <v>1430.7348693499275</v>
          </cell>
          <cell r="AR13">
            <v>3011.556960993481</v>
          </cell>
          <cell r="AS13">
            <v>982.82646831145121</v>
          </cell>
          <cell r="AT13">
            <v>1337.9396029097722</v>
          </cell>
        </row>
        <row r="14">
          <cell r="T14">
            <v>1409.4934544331679</v>
          </cell>
          <cell r="U14">
            <v>1321.7008252364963</v>
          </cell>
          <cell r="V14">
            <v>1374.2547262226399</v>
          </cell>
          <cell r="W14">
            <v>1524.6588162652408</v>
          </cell>
          <cell r="X14">
            <v>1628.2395841099901</v>
          </cell>
          <cell r="Y14">
            <v>1731.9065264167796</v>
          </cell>
          <cell r="Z14">
            <v>1962.7187630149624</v>
          </cell>
          <cell r="AA14">
            <v>1698.2302946424654</v>
          </cell>
          <cell r="AB14">
            <v>2270.8656618738373</v>
          </cell>
          <cell r="AC14">
            <v>4765.6451769428913</v>
          </cell>
          <cell r="AD14">
            <v>1775.7700559162552</v>
          </cell>
          <cell r="AE14">
            <v>2131.3195663179035</v>
          </cell>
          <cell r="AI14">
            <v>1425.3027983580052</v>
          </cell>
          <cell r="AJ14">
            <v>1336.2279398403944</v>
          </cell>
          <cell r="AK14">
            <v>1392.0058389068736</v>
          </cell>
          <cell r="AL14">
            <v>1545.1992635127608</v>
          </cell>
          <cell r="AM14">
            <v>1649.5301152304642</v>
          </cell>
          <cell r="AN14">
            <v>1753.9157023585701</v>
          </cell>
          <cell r="AO14">
            <v>1987.6335033727896</v>
          </cell>
          <cell r="AP14">
            <v>1705.6044034740432</v>
          </cell>
          <cell r="AQ14">
            <v>2298.0034503284073</v>
          </cell>
          <cell r="AR14">
            <v>4889.6600914065084</v>
          </cell>
          <cell r="AS14">
            <v>1811.8931681516885</v>
          </cell>
          <cell r="AT14">
            <v>2170.4555589911388</v>
          </cell>
        </row>
        <row r="15">
          <cell r="T15">
            <v>1138.9389219059844</v>
          </cell>
          <cell r="U15">
            <v>1074.0711567040983</v>
          </cell>
          <cell r="V15">
            <v>1163.4029379302367</v>
          </cell>
          <cell r="W15">
            <v>1218.1760043557356</v>
          </cell>
          <cell r="X15">
            <v>1335.1961549614639</v>
          </cell>
          <cell r="Y15">
            <v>1405.3055648181257</v>
          </cell>
          <cell r="Z15">
            <v>1734.4274770993975</v>
          </cell>
          <cell r="AA15">
            <v>1464.0675664275905</v>
          </cell>
          <cell r="AB15">
            <v>1979.4109969652036</v>
          </cell>
          <cell r="AC15">
            <v>5079.3913871976365</v>
          </cell>
          <cell r="AD15">
            <v>1247.5542043054807</v>
          </cell>
          <cell r="AE15">
            <v>1448.3746844758753</v>
          </cell>
          <cell r="AI15">
            <v>1095.7779041492358</v>
          </cell>
          <cell r="AJ15">
            <v>1033.1383220208879</v>
          </cell>
          <cell r="AK15">
            <v>1121.1971977234552</v>
          </cell>
          <cell r="AL15">
            <v>1174.6267673385801</v>
          </cell>
          <cell r="AM15">
            <v>1286.9599823756516</v>
          </cell>
          <cell r="AN15">
            <v>1354.0448919278945</v>
          </cell>
          <cell r="AO15">
            <v>1671.1383632053153</v>
          </cell>
          <cell r="AP15">
            <v>1399.0101782033178</v>
          </cell>
          <cell r="AQ15">
            <v>1905.7820912727666</v>
          </cell>
          <cell r="AR15">
            <v>4958.4583965979618</v>
          </cell>
          <cell r="AS15">
            <v>1211.109227121276</v>
          </cell>
          <cell r="AT15">
            <v>1403.3347547969581</v>
          </cell>
        </row>
        <row r="16">
          <cell r="T16">
            <v>1738.4966458549914</v>
          </cell>
          <cell r="U16">
            <v>1355.7193537226549</v>
          </cell>
          <cell r="V16">
            <v>1196.9328290011208</v>
          </cell>
          <cell r="W16">
            <v>1316.8623145514364</v>
          </cell>
          <cell r="X16">
            <v>1183.8010552110882</v>
          </cell>
          <cell r="Y16">
            <v>1326.2567579709787</v>
          </cell>
          <cell r="Z16">
            <v>1532.4727934053692</v>
          </cell>
          <cell r="AA16">
            <v>1278.5695751220092</v>
          </cell>
          <cell r="AB16">
            <v>1870.5855592780144</v>
          </cell>
          <cell r="AC16">
            <v>3281.1454517240695</v>
          </cell>
          <cell r="AD16">
            <v>1266.394345190133</v>
          </cell>
          <cell r="AE16">
            <v>1592.7735650361892</v>
          </cell>
          <cell r="AI16">
            <v>1642.957075669724</v>
          </cell>
          <cell r="AJ16">
            <v>1280.9302109794708</v>
          </cell>
          <cell r="AK16">
            <v>1133.0573232260163</v>
          </cell>
          <cell r="AL16">
            <v>1247.2700040730872</v>
          </cell>
          <cell r="AM16">
            <v>1120.8021321262038</v>
          </cell>
          <cell r="AN16">
            <v>1255.2209029628511</v>
          </cell>
          <cell r="AO16">
            <v>1450.3716193080513</v>
          </cell>
          <cell r="AP16">
            <v>1200.091544684137</v>
          </cell>
          <cell r="AQ16">
            <v>1769.0703185375871</v>
          </cell>
          <cell r="AR16">
            <v>3146.231929625249</v>
          </cell>
          <cell r="AS16">
            <v>1207.600008028387</v>
          </cell>
          <cell r="AT16">
            <v>1515.8793982846262</v>
          </cell>
        </row>
        <row r="17">
          <cell r="T17">
            <v>2537.5566859374117</v>
          </cell>
          <cell r="U17">
            <v>2487.4705531728814</v>
          </cell>
          <cell r="V17">
            <v>2549.8145046088675</v>
          </cell>
          <cell r="W17">
            <v>2932.2595607318458</v>
          </cell>
          <cell r="X17">
            <v>3059.2062055219549</v>
          </cell>
          <cell r="Y17">
            <v>3150.2146129259231</v>
          </cell>
          <cell r="Z17">
            <v>3624.0442517943166</v>
          </cell>
          <cell r="AA17">
            <v>3277.0230299215614</v>
          </cell>
          <cell r="AB17">
            <v>4395.2117507969297</v>
          </cell>
          <cell r="AC17">
            <v>8246.1905161017457</v>
          </cell>
          <cell r="AD17">
            <v>3058.1421989355476</v>
          </cell>
          <cell r="AE17">
            <v>3876.1239747139402</v>
          </cell>
          <cell r="AI17">
            <v>2562.8821033556242</v>
          </cell>
          <cell r="AJ17">
            <v>2511.7368476363667</v>
          </cell>
          <cell r="AK17">
            <v>2579.5930985793198</v>
          </cell>
          <cell r="AL17">
            <v>2968.1307988980393</v>
          </cell>
          <cell r="AM17">
            <v>3095.4193494568221</v>
          </cell>
          <cell r="AN17">
            <v>3186.3480336700914</v>
          </cell>
          <cell r="AO17">
            <v>3665.5616462201533</v>
          </cell>
          <cell r="AP17">
            <v>3287.2294528313641</v>
          </cell>
          <cell r="AQ17">
            <v>4442.2995233258052</v>
          </cell>
          <cell r="AR17">
            <v>8450.4362816113025</v>
          </cell>
          <cell r="AS17">
            <v>3116.537349690971</v>
          </cell>
          <cell r="AT17">
            <v>3942.4735329408218</v>
          </cell>
        </row>
        <row r="18">
          <cell r="T18">
            <v>1139.5311399790342</v>
          </cell>
          <cell r="U18">
            <v>1114.1404302162632</v>
          </cell>
          <cell r="V18">
            <v>796.83282825465062</v>
          </cell>
          <cell r="W18">
            <v>999.04477912676282</v>
          </cell>
          <cell r="X18">
            <v>1041.523126577735</v>
          </cell>
          <cell r="Y18">
            <v>1142.6820073352603</v>
          </cell>
          <cell r="Z18">
            <v>1203.025667591729</v>
          </cell>
          <cell r="AA18">
            <v>1071.2846428729147</v>
          </cell>
          <cell r="AB18">
            <v>1507.4656168925999</v>
          </cell>
          <cell r="AC18">
            <v>2509.8175911896501</v>
          </cell>
          <cell r="AD18">
            <v>865.03185824458683</v>
          </cell>
          <cell r="AE18">
            <v>1279.3942202379976</v>
          </cell>
          <cell r="AI18">
            <v>1140.2978546998493</v>
          </cell>
          <cell r="AJ18">
            <v>1114.641880316002</v>
          </cell>
          <cell r="AK18">
            <v>798.70990629452751</v>
          </cell>
          <cell r="AL18">
            <v>1001.9471467268171</v>
          </cell>
          <cell r="AM18">
            <v>1044.140383628378</v>
          </cell>
          <cell r="AN18">
            <v>1145.1376446551562</v>
          </cell>
          <cell r="AO18">
            <v>1205.5942362579476</v>
          </cell>
          <cell r="AP18">
            <v>1064.7181049154387</v>
          </cell>
          <cell r="AQ18">
            <v>1509.5749607409873</v>
          </cell>
          <cell r="AR18">
            <v>2548.2800830730498</v>
          </cell>
          <cell r="AS18">
            <v>873.42576041704251</v>
          </cell>
          <cell r="AT18">
            <v>1289.3022648584238</v>
          </cell>
        </row>
        <row r="19">
          <cell r="T19">
            <v>3125.3555269687345</v>
          </cell>
          <cell r="U19">
            <v>2891.173828766814</v>
          </cell>
          <cell r="V19">
            <v>3221.4694345948606</v>
          </cell>
          <cell r="W19">
            <v>3410.1931739447405</v>
          </cell>
          <cell r="X19">
            <v>3670.5202866927871</v>
          </cell>
          <cell r="Y19">
            <v>3753.1713433402592</v>
          </cell>
          <cell r="Z19">
            <v>4284.6546797679757</v>
          </cell>
          <cell r="AA19">
            <v>3417.2732158566178</v>
          </cell>
          <cell r="AB19">
            <v>4700.0949950514232</v>
          </cell>
          <cell r="AC19">
            <v>9935.392148562074</v>
          </cell>
          <cell r="AD19">
            <v>3591.1495589009915</v>
          </cell>
          <cell r="AE19">
            <v>4669.1832389355559</v>
          </cell>
          <cell r="AI19">
            <v>3222.2391493267105</v>
          </cell>
          <cell r="AJ19">
            <v>2980.1344555604674</v>
          </cell>
          <cell r="AK19">
            <v>3326.9180276746879</v>
          </cell>
          <cell r="AL19">
            <v>3523.749857852355</v>
          </cell>
          <cell r="AM19">
            <v>3791.2623357247139</v>
          </cell>
          <cell r="AN19">
            <v>3875.2250307912682</v>
          </cell>
          <cell r="AO19">
            <v>4423.9308274983168</v>
          </cell>
          <cell r="AP19">
            <v>3499.255829675049</v>
          </cell>
          <cell r="AQ19">
            <v>4849.3121028728292</v>
          </cell>
          <cell r="AR19">
            <v>10393.366609504623</v>
          </cell>
          <cell r="AS19">
            <v>3735.8860312659854</v>
          </cell>
          <cell r="AT19">
            <v>4847.9430713461561</v>
          </cell>
        </row>
        <row r="20">
          <cell r="T20">
            <v>708.18968147567591</v>
          </cell>
          <cell r="U20">
            <v>725.1666657245139</v>
          </cell>
          <cell r="V20">
            <v>711.9067524792049</v>
          </cell>
          <cell r="W20">
            <v>786.70815784760248</v>
          </cell>
          <cell r="X20">
            <v>844.10381924130422</v>
          </cell>
          <cell r="Y20">
            <v>897.97590312680632</v>
          </cell>
          <cell r="Z20">
            <v>978.43691998625684</v>
          </cell>
          <cell r="AA20">
            <v>565.00615325368631</v>
          </cell>
          <cell r="AB20">
            <v>909.13260622410519</v>
          </cell>
          <cell r="AC20">
            <v>2392.1633624907122</v>
          </cell>
          <cell r="AD20">
            <v>694.36729783856697</v>
          </cell>
          <cell r="AE20">
            <v>740.78287896339543</v>
          </cell>
          <cell r="AI20">
            <v>684.71010377277548</v>
          </cell>
          <cell r="AJ20">
            <v>700.96815266385875</v>
          </cell>
          <cell r="AK20">
            <v>689.46146428769111</v>
          </cell>
          <cell r="AL20">
            <v>762.32215934840679</v>
          </cell>
          <cell r="AM20">
            <v>817.6188073770951</v>
          </cell>
          <cell r="AN20">
            <v>869.48484660391</v>
          </cell>
          <cell r="AO20">
            <v>947.37982858155772</v>
          </cell>
          <cell r="AP20">
            <v>542.56024629645276</v>
          </cell>
          <cell r="AQ20">
            <v>879.62899119891847</v>
          </cell>
          <cell r="AR20">
            <v>2346.7178013026964</v>
          </cell>
          <cell r="AS20">
            <v>677.40466860739389</v>
          </cell>
          <cell r="AT20">
            <v>721.28405179812773</v>
          </cell>
        </row>
        <row r="21">
          <cell r="T21">
            <v>1026.545737885489</v>
          </cell>
          <cell r="U21">
            <v>1005.0012347979489</v>
          </cell>
          <cell r="V21">
            <v>1030.1268693251498</v>
          </cell>
          <cell r="W21">
            <v>1105.3428518441544</v>
          </cell>
          <cell r="X21">
            <v>1221.4039057637178</v>
          </cell>
          <cell r="Y21">
            <v>1183.5140399632844</v>
          </cell>
          <cell r="Z21">
            <v>1398.1266766112467</v>
          </cell>
          <cell r="AA21">
            <v>1188.5676160063015</v>
          </cell>
          <cell r="AB21">
            <v>1585.3728467440133</v>
          </cell>
          <cell r="AC21">
            <v>3532.8793303802991</v>
          </cell>
          <cell r="AD21">
            <v>1105.5846318716772</v>
          </cell>
          <cell r="AE21">
            <v>1490.9055175304748</v>
          </cell>
          <cell r="AI21">
            <v>1018.2029300275759</v>
          </cell>
          <cell r="AJ21">
            <v>996.61161975907532</v>
          </cell>
          <cell r="AK21">
            <v>1023.4732514362649</v>
          </cell>
          <cell r="AL21">
            <v>1098.8054225194157</v>
          </cell>
          <cell r="AM21">
            <v>1213.7051882030569</v>
          </cell>
          <cell r="AN21">
            <v>1175.6272540917287</v>
          </cell>
          <cell r="AO21">
            <v>1388.7904468041913</v>
          </cell>
          <cell r="AP21">
            <v>1170.8940029675841</v>
          </cell>
          <cell r="AQ21">
            <v>1573.6299495431292</v>
          </cell>
          <cell r="AR21">
            <v>3555.4758527188101</v>
          </cell>
          <cell r="AS21">
            <v>1106.4959179980058</v>
          </cell>
          <cell r="AT21">
            <v>1489.2390371238951</v>
          </cell>
        </row>
        <row r="22">
          <cell r="T22">
            <v>2509.4848277173951</v>
          </cell>
          <cell r="U22">
            <v>2502.9777609479811</v>
          </cell>
          <cell r="V22">
            <v>2599.7010080007203</v>
          </cell>
          <cell r="W22">
            <v>2860.9498106567648</v>
          </cell>
          <cell r="X22">
            <v>3132.2129189796342</v>
          </cell>
          <cell r="Y22">
            <v>3013.7317527513719</v>
          </cell>
          <cell r="Z22">
            <v>3618.52214405411</v>
          </cell>
          <cell r="AA22">
            <v>3351.2687743579445</v>
          </cell>
          <cell r="AB22">
            <v>4843.5414106285289</v>
          </cell>
          <cell r="AC22">
            <v>8445.5259139484588</v>
          </cell>
          <cell r="AD22">
            <v>3192.5547731212482</v>
          </cell>
          <cell r="AE22">
            <v>3798.6432900635459</v>
          </cell>
          <cell r="AI22">
            <v>2650.6526206914446</v>
          </cell>
          <cell r="AJ22">
            <v>2643.1909869436804</v>
          </cell>
          <cell r="AK22">
            <v>2750.561671642216</v>
          </cell>
          <cell r="AL22">
            <v>3028.6300617399365</v>
          </cell>
          <cell r="AM22">
            <v>3314.4951147839261</v>
          </cell>
          <cell r="AN22">
            <v>3187.9612063922091</v>
          </cell>
          <cell r="AO22">
            <v>3827.66248501985</v>
          </cell>
          <cell r="AP22">
            <v>3515.7270562038389</v>
          </cell>
          <cell r="AQ22">
            <v>5119.7224404815224</v>
          </cell>
          <cell r="AR22">
            <v>9051.2348005569511</v>
          </cell>
          <cell r="AS22">
            <v>3402.5802955687468</v>
          </cell>
          <cell r="AT22">
            <v>4040.6850963922689</v>
          </cell>
        </row>
        <row r="23">
          <cell r="T23">
            <v>867.06227204498157</v>
          </cell>
          <cell r="U23">
            <v>823.14094977948935</v>
          </cell>
          <cell r="V23">
            <v>857.62604610370636</v>
          </cell>
          <cell r="W23">
            <v>917.95174675868134</v>
          </cell>
          <cell r="X23">
            <v>983.99763833369104</v>
          </cell>
          <cell r="Y23">
            <v>975.01396339666996</v>
          </cell>
          <cell r="Z23">
            <v>1224.2149776583624</v>
          </cell>
          <cell r="AA23">
            <v>1017.7628718107848</v>
          </cell>
          <cell r="AB23">
            <v>1400.4728288024162</v>
          </cell>
          <cell r="AC23">
            <v>3184.5501776683031</v>
          </cell>
          <cell r="AD23">
            <v>1032.3427596391518</v>
          </cell>
          <cell r="AE23">
            <v>1220.652779239047</v>
          </cell>
          <cell r="AI23">
            <v>851.09437648825508</v>
          </cell>
          <cell r="AJ23">
            <v>807.80205178882079</v>
          </cell>
          <cell r="AK23">
            <v>843.24764489061567</v>
          </cell>
          <cell r="AL23">
            <v>903.0567284170836</v>
          </cell>
          <cell r="AM23">
            <v>967.65234483931795</v>
          </cell>
          <cell r="AN23">
            <v>958.46985845778534</v>
          </cell>
          <cell r="AO23">
            <v>1203.425694750204</v>
          </cell>
          <cell r="AP23">
            <v>992.22847302743344</v>
          </cell>
          <cell r="AQ23">
            <v>1375.67953776014</v>
          </cell>
          <cell r="AR23">
            <v>3171.6731023499801</v>
          </cell>
          <cell r="AS23">
            <v>1022.4760224316653</v>
          </cell>
          <cell r="AT23">
            <v>1206.6403036861914</v>
          </cell>
        </row>
        <row r="24">
          <cell r="T24">
            <v>883.25862006692716</v>
          </cell>
          <cell r="U24">
            <v>801.19394334719868</v>
          </cell>
          <cell r="V24">
            <v>614.55983407949998</v>
          </cell>
          <cell r="W24">
            <v>723.82366083684406</v>
          </cell>
          <cell r="X24">
            <v>825.59108523570069</v>
          </cell>
          <cell r="Y24">
            <v>858.14695772804316</v>
          </cell>
          <cell r="Z24">
            <v>1179.8238195422207</v>
          </cell>
          <cell r="AA24">
            <v>949.45781558115902</v>
          </cell>
          <cell r="AB24">
            <v>1460.1261436735604</v>
          </cell>
          <cell r="AC24">
            <v>3175.8349121423671</v>
          </cell>
          <cell r="AD24">
            <v>964.59092317211127</v>
          </cell>
          <cell r="AE24">
            <v>1153.684127266587</v>
          </cell>
          <cell r="AI24">
            <v>891.5196969809615</v>
          </cell>
          <cell r="AJ24">
            <v>808.50745469096648</v>
          </cell>
          <cell r="AK24">
            <v>621.35096062598006</v>
          </cell>
          <cell r="AL24">
            <v>732.22336404873863</v>
          </cell>
          <cell r="AM24">
            <v>834.84513120833174</v>
          </cell>
          <cell r="AN24">
            <v>867.45093289384852</v>
          </cell>
          <cell r="AO24">
            <v>1192.5988275733089</v>
          </cell>
          <cell r="AP24">
            <v>951.82341041870018</v>
          </cell>
          <cell r="AQ24">
            <v>1474.852518041268</v>
          </cell>
          <cell r="AR24">
            <v>3252.4742594084455</v>
          </cell>
          <cell r="AS24">
            <v>982.3992308073374</v>
          </cell>
          <cell r="AT24">
            <v>1172.7035160186233</v>
          </cell>
        </row>
        <row r="25">
          <cell r="T25">
            <v>981.5094810703107</v>
          </cell>
          <cell r="U25">
            <v>889.85462562949817</v>
          </cell>
          <cell r="V25">
            <v>826.87098899316413</v>
          </cell>
          <cell r="W25">
            <v>893.65296514935847</v>
          </cell>
          <cell r="X25">
            <v>856.76009084597843</v>
          </cell>
          <cell r="Y25">
            <v>963.56826379801157</v>
          </cell>
          <cell r="Z25">
            <v>1076.4552929172726</v>
          </cell>
          <cell r="AA25">
            <v>1036.1221313783049</v>
          </cell>
          <cell r="AB25">
            <v>1383.7967192504866</v>
          </cell>
          <cell r="AC25">
            <v>3341.4083737415872</v>
          </cell>
          <cell r="AD25">
            <v>986.91803620383757</v>
          </cell>
          <cell r="AE25">
            <v>1231.0469105549853</v>
          </cell>
          <cell r="AI25">
            <v>962.362705512091</v>
          </cell>
          <cell r="AJ25">
            <v>872.30158268204912</v>
          </cell>
          <cell r="AK25">
            <v>812.10425035461822</v>
          </cell>
          <cell r="AL25">
            <v>878.17472759240127</v>
          </cell>
          <cell r="AM25">
            <v>841.59157510774799</v>
          </cell>
          <cell r="AN25">
            <v>946.16518974386793</v>
          </cell>
          <cell r="AO25">
            <v>1056.9986746666268</v>
          </cell>
          <cell r="AP25">
            <v>1009.003995022891</v>
          </cell>
          <cell r="AQ25">
            <v>1357.7872950743972</v>
          </cell>
          <cell r="AR25">
            <v>3324.1968474155437</v>
          </cell>
          <cell r="AS25">
            <v>976.39861762412102</v>
          </cell>
          <cell r="AT25">
            <v>1215.5620682708409</v>
          </cell>
        </row>
        <row r="26">
          <cell r="T26">
            <v>2416.1896073170028</v>
          </cell>
          <cell r="U26">
            <v>2158.3176196629588</v>
          </cell>
          <cell r="V26">
            <v>1822.7111384805501</v>
          </cell>
          <cell r="W26">
            <v>1997.553903504748</v>
          </cell>
          <cell r="X26">
            <v>2029.1831276176304</v>
          </cell>
          <cell r="Y26">
            <v>2232.3052263702766</v>
          </cell>
          <cell r="Z26">
            <v>2646.4664642872985</v>
          </cell>
          <cell r="AA26">
            <v>2291.6658155188265</v>
          </cell>
          <cell r="AB26">
            <v>3415.5396359785163</v>
          </cell>
          <cell r="AC26">
            <v>7449.3931729910591</v>
          </cell>
          <cell r="AD26">
            <v>2354.2973867755154</v>
          </cell>
          <cell r="AE26">
            <v>3099.0982923494116</v>
          </cell>
          <cell r="AI26">
            <v>2396.6636500056293</v>
          </cell>
          <cell r="AJ26">
            <v>2140.3990325496884</v>
          </cell>
          <cell r="AK26">
            <v>1811.0217573435602</v>
          </cell>
          <cell r="AL26">
            <v>1985.8312156869895</v>
          </cell>
          <cell r="AM26">
            <v>2016.4858800987054</v>
          </cell>
          <cell r="AN26">
            <v>2217.5317472289862</v>
          </cell>
          <cell r="AO26">
            <v>2628.9155302155204</v>
          </cell>
          <cell r="AP26">
            <v>2257.6936616473558</v>
          </cell>
          <cell r="AQ26">
            <v>3390.3970792919436</v>
          </cell>
          <cell r="AR26">
            <v>7497.3858974712048</v>
          </cell>
          <cell r="AS26">
            <v>2356.3466551025208</v>
          </cell>
          <cell r="AT26">
            <v>3095.7770710271689</v>
          </cell>
        </row>
        <row r="27">
          <cell r="T27">
            <v>1726.1770036749826</v>
          </cell>
          <cell r="U27">
            <v>1429.5898864764908</v>
          </cell>
          <cell r="V27">
            <v>968.90758862287623</v>
          </cell>
          <cell r="W27">
            <v>1011.7747696528394</v>
          </cell>
          <cell r="X27">
            <v>1196.5926505956231</v>
          </cell>
          <cell r="Y27">
            <v>1272.7151366559256</v>
          </cell>
          <cell r="Z27">
            <v>1399.2567994654114</v>
          </cell>
          <cell r="AA27">
            <v>1258.4495159258965</v>
          </cell>
          <cell r="AB27">
            <v>1657.489596077894</v>
          </cell>
          <cell r="AC27">
            <v>2729.706989898556</v>
          </cell>
          <cell r="AD27">
            <v>1321.5336262354249</v>
          </cell>
          <cell r="AE27">
            <v>1667.404898621591</v>
          </cell>
          <cell r="AI27">
            <v>1795.3571424703882</v>
          </cell>
          <cell r="AJ27">
            <v>1486.5526899958813</v>
          </cell>
          <cell r="AK27">
            <v>1009.4333009350271</v>
          </cell>
          <cell r="AL27">
            <v>1054.6712833716115</v>
          </cell>
          <cell r="AM27">
            <v>1246.8371220096224</v>
          </cell>
          <cell r="AN27">
            <v>1325.6745824749853</v>
          </cell>
          <cell r="AO27">
            <v>1457.4615729589161</v>
          </cell>
          <cell r="AP27">
            <v>1299.9868985224414</v>
          </cell>
          <cell r="AQ27">
            <v>1725.1684094662949</v>
          </cell>
          <cell r="AR27">
            <v>2880.6762388179859</v>
          </cell>
          <cell r="AS27">
            <v>1386.901219480671</v>
          </cell>
          <cell r="AT27">
            <v>1746.4849670985245</v>
          </cell>
        </row>
        <row r="28">
          <cell r="T28">
            <v>2017.810448287747</v>
          </cell>
          <cell r="U28">
            <v>1977.4140463050962</v>
          </cell>
          <cell r="V28">
            <v>1997.5922431790941</v>
          </cell>
          <cell r="W28">
            <v>2131.7117289818202</v>
          </cell>
          <cell r="X28">
            <v>2369.7223418344815</v>
          </cell>
          <cell r="Y28">
            <v>2306.6102824082022</v>
          </cell>
          <cell r="Z28">
            <v>2725.5656293138331</v>
          </cell>
          <cell r="AA28">
            <v>2234.4696752000868</v>
          </cell>
          <cell r="AB28">
            <v>2929.0487017809992</v>
          </cell>
          <cell r="AC28">
            <v>5992.5231210507563</v>
          </cell>
          <cell r="AD28">
            <v>2280.6677461230752</v>
          </cell>
          <cell r="AE28">
            <v>3053.493765167585</v>
          </cell>
          <cell r="AI28">
            <v>2112.7232784722337</v>
          </cell>
          <cell r="AJ28">
            <v>2069.9658404796014</v>
          </cell>
          <cell r="AK28">
            <v>2095.0714432174937</v>
          </cell>
          <cell r="AL28">
            <v>2236.9613188469739</v>
          </cell>
          <cell r="AM28">
            <v>2485.7507540567508</v>
          </cell>
          <cell r="AN28">
            <v>2418.6702776455718</v>
          </cell>
          <cell r="AO28">
            <v>2857.9396574463349</v>
          </cell>
          <cell r="AP28">
            <v>2323.6695465650619</v>
          </cell>
          <cell r="AQ28">
            <v>3069.0502729877712</v>
          </cell>
          <cell r="AR28">
            <v>6366.2671728417909</v>
          </cell>
          <cell r="AS28">
            <v>2409.4951493445778</v>
          </cell>
          <cell r="AT28">
            <v>3219.7158095917275</v>
          </cell>
        </row>
        <row r="29">
          <cell r="T29">
            <v>972.65796283689883</v>
          </cell>
          <cell r="U29">
            <v>858.76582797624155</v>
          </cell>
          <cell r="V29">
            <v>890.47653493874566</v>
          </cell>
          <cell r="W29">
            <v>968.53160737520034</v>
          </cell>
          <cell r="X29">
            <v>1018.9966235556487</v>
          </cell>
          <cell r="Y29">
            <v>1150.3201220019791</v>
          </cell>
          <cell r="Z29">
            <v>1410.517083485825</v>
          </cell>
          <cell r="AA29">
            <v>1116.060824755119</v>
          </cell>
          <cell r="AB29">
            <v>1594.0364101782868</v>
          </cell>
          <cell r="AC29">
            <v>3943.719292392198</v>
          </cell>
          <cell r="AD29">
            <v>1007.0792680335142</v>
          </cell>
          <cell r="AE29">
            <v>1088.8302672811915</v>
          </cell>
          <cell r="AI29">
            <v>942.52283891757077</v>
          </cell>
          <cell r="AJ29">
            <v>831.97409426047432</v>
          </cell>
          <cell r="AK29">
            <v>864.33870130022808</v>
          </cell>
          <cell r="AL29">
            <v>940.61799495712364</v>
          </cell>
          <cell r="AM29">
            <v>989.24154444495537</v>
          </cell>
          <cell r="AN29">
            <v>1116.3249873311038</v>
          </cell>
          <cell r="AO29">
            <v>1368.8133951042207</v>
          </cell>
          <cell r="AP29">
            <v>1074.1309991694018</v>
          </cell>
          <cell r="AQ29">
            <v>1545.7709167576813</v>
          </cell>
          <cell r="AR29">
            <v>3877.4894284926704</v>
          </cell>
          <cell r="AS29">
            <v>984.6846692411533</v>
          </cell>
          <cell r="AT29">
            <v>1062.5519496892391</v>
          </cell>
        </row>
        <row r="30">
          <cell r="T30">
            <v>2389.2060765452902</v>
          </cell>
          <cell r="U30">
            <v>2254.8400151420788</v>
          </cell>
          <cell r="V30">
            <v>1906.4677157249748</v>
          </cell>
          <cell r="W30">
            <v>2060.7630189921028</v>
          </cell>
          <cell r="X30">
            <v>2378.2991818059645</v>
          </cell>
          <cell r="Y30">
            <v>2562.446996518685</v>
          </cell>
          <cell r="Z30">
            <v>3017.8872919137352</v>
          </cell>
          <cell r="AA30">
            <v>2571.6932178167044</v>
          </cell>
          <cell r="AB30">
            <v>3556.0922587101654</v>
          </cell>
          <cell r="AC30">
            <v>6403.3384837191643</v>
          </cell>
          <cell r="AD30">
            <v>2675.0951587226682</v>
          </cell>
          <cell r="AE30">
            <v>3142.0717115913944</v>
          </cell>
          <cell r="AI30">
            <v>2464.2179754541462</v>
          </cell>
          <cell r="AJ30">
            <v>2325.1156362638303</v>
          </cell>
          <cell r="AK30">
            <v>1969.6302663405415</v>
          </cell>
          <cell r="AL30">
            <v>2130.2045671761007</v>
          </cell>
          <cell r="AM30">
            <v>2457.4792686303203</v>
          </cell>
          <cell r="AN30">
            <v>2646.79676119028</v>
          </cell>
          <cell r="AO30">
            <v>3117.1857829929486</v>
          </cell>
          <cell r="AP30">
            <v>2634.4036555766206</v>
          </cell>
          <cell r="AQ30">
            <v>3670.4024744734515</v>
          </cell>
          <cell r="AR30">
            <v>6701.0809051976303</v>
          </cell>
          <cell r="AS30">
            <v>2783.982690241055</v>
          </cell>
          <cell r="AT30">
            <v>3263.622021342821</v>
          </cell>
        </row>
        <row r="31">
          <cell r="T31">
            <v>1111.1909860471369</v>
          </cell>
          <cell r="U31">
            <v>1080.108996340125</v>
          </cell>
          <cell r="V31">
            <v>1075.6820683001479</v>
          </cell>
          <cell r="W31">
            <v>1193.0785785363173</v>
          </cell>
          <cell r="X31">
            <v>1317.2692847384942</v>
          </cell>
          <cell r="Y31">
            <v>1292.8329072395213</v>
          </cell>
          <cell r="Z31">
            <v>1476.992596585643</v>
          </cell>
          <cell r="AA31">
            <v>1303.9637650357822</v>
          </cell>
          <cell r="AB31">
            <v>1909.9774472575411</v>
          </cell>
          <cell r="AC31">
            <v>3762.6721277001875</v>
          </cell>
          <cell r="AD31">
            <v>1266.4294237098379</v>
          </cell>
          <cell r="AE31">
            <v>1539.7280016174843</v>
          </cell>
          <cell r="AI31">
            <v>1180.0595820567273</v>
          </cell>
          <cell r="AJ31">
            <v>1146.7958749811949</v>
          </cell>
          <cell r="AK31">
            <v>1144.2710177858066</v>
          </cell>
          <cell r="AL31">
            <v>1269.8488287071225</v>
          </cell>
          <cell r="AM31">
            <v>1401.4824283771306</v>
          </cell>
          <cell r="AN31">
            <v>1374.9845456976552</v>
          </cell>
          <cell r="AO31">
            <v>1570.824637380829</v>
          </cell>
          <cell r="AP31">
            <v>1375.3663651897932</v>
          </cell>
          <cell r="AQ31">
            <v>2029.8251247555529</v>
          </cell>
          <cell r="AR31">
            <v>4054.3803991779528</v>
          </cell>
          <cell r="AS31">
            <v>1357.0567288598666</v>
          </cell>
          <cell r="AT31">
            <v>1646.71137476943</v>
          </cell>
        </row>
        <row r="32">
          <cell r="T32">
            <v>1461.3117554573187</v>
          </cell>
          <cell r="U32">
            <v>1197.7630199330774</v>
          </cell>
          <cell r="V32">
            <v>946.93302663334282</v>
          </cell>
          <cell r="W32">
            <v>1092.4479003079164</v>
          </cell>
          <cell r="X32">
            <v>1235.8781283958674</v>
          </cell>
          <cell r="Y32">
            <v>1238.0381982642441</v>
          </cell>
          <cell r="Z32">
            <v>1391.4333115269217</v>
          </cell>
          <cell r="AA32">
            <v>1256.8859956969661</v>
          </cell>
          <cell r="AB32">
            <v>1510.7281323834607</v>
          </cell>
          <cell r="AC32">
            <v>2532.5207891919727</v>
          </cell>
          <cell r="AD32">
            <v>1289.9620397393719</v>
          </cell>
          <cell r="AE32">
            <v>1778.5684177553892</v>
          </cell>
          <cell r="AI32">
            <v>1474.4600594068711</v>
          </cell>
          <cell r="AJ32">
            <v>1208.2709889077219</v>
          </cell>
          <cell r="AK32">
            <v>957.05994842804182</v>
          </cell>
          <cell r="AL32">
            <v>1104.7362827603333</v>
          </cell>
          <cell r="AM32">
            <v>1249.2911027409123</v>
          </cell>
          <cell r="AN32">
            <v>1251.0203444248523</v>
          </cell>
          <cell r="AO32">
            <v>1406.0044364962243</v>
          </cell>
          <cell r="AP32">
            <v>1259.5739562595622</v>
          </cell>
          <cell r="AQ32">
            <v>1525.4276355832408</v>
          </cell>
          <cell r="AR32">
            <v>2592.7225517796037</v>
          </cell>
          <cell r="AS32">
            <v>1313.3148342393972</v>
          </cell>
          <cell r="AT32">
            <v>1807.2530341501222</v>
          </cell>
        </row>
        <row r="33">
          <cell r="T33">
            <v>995.56021454830136</v>
          </cell>
          <cell r="U33">
            <v>932.33798195489499</v>
          </cell>
          <cell r="V33">
            <v>772.7558412239697</v>
          </cell>
          <cell r="W33">
            <v>911.85013426176647</v>
          </cell>
          <cell r="X33">
            <v>959.64967853151973</v>
          </cell>
          <cell r="Y33">
            <v>1024.8942935452963</v>
          </cell>
          <cell r="Z33">
            <v>1179.2111568604225</v>
          </cell>
          <cell r="AA33">
            <v>957.18113213369259</v>
          </cell>
          <cell r="AB33">
            <v>1407.0340355567062</v>
          </cell>
          <cell r="AC33">
            <v>2901.1264029824092</v>
          </cell>
          <cell r="AD33">
            <v>985.33271760779473</v>
          </cell>
          <cell r="AE33">
            <v>1265.5015076514171</v>
          </cell>
          <cell r="AI33">
            <v>986.91798523179637</v>
          </cell>
          <cell r="AJ33">
            <v>924.03882817811905</v>
          </cell>
          <cell r="AK33">
            <v>767.3359944703368</v>
          </cell>
          <cell r="AL33">
            <v>905.95107755746676</v>
          </cell>
          <cell r="AM33">
            <v>953.06850628374059</v>
          </cell>
          <cell r="AN33">
            <v>1017.4962069318694</v>
          </cell>
          <cell r="AO33">
            <v>1170.6828880399644</v>
          </cell>
          <cell r="AP33">
            <v>942.42177110685816</v>
          </cell>
          <cell r="AQ33">
            <v>1395.8324564139768</v>
          </cell>
          <cell r="AR33">
            <v>2918.052315337829</v>
          </cell>
          <cell r="AS33">
            <v>985.59438158388298</v>
          </cell>
          <cell r="AT33">
            <v>1263.3813142130368</v>
          </cell>
        </row>
        <row r="34">
          <cell r="T34">
            <v>1203.4354082794023</v>
          </cell>
          <cell r="U34">
            <v>1126.7763638251154</v>
          </cell>
          <cell r="V34">
            <v>1087.036126009456</v>
          </cell>
          <cell r="W34">
            <v>1165.9619269013833</v>
          </cell>
          <cell r="X34">
            <v>1278.3068084391548</v>
          </cell>
          <cell r="Y34">
            <v>1234.2419955868727</v>
          </cell>
          <cell r="Z34">
            <v>1723.2972068339309</v>
          </cell>
          <cell r="AA34">
            <v>1311.5424379473407</v>
          </cell>
          <cell r="AB34">
            <v>1768.7025863163633</v>
          </cell>
          <cell r="AC34">
            <v>3259.439792391554</v>
          </cell>
          <cell r="AD34">
            <v>1240.4599949912345</v>
          </cell>
          <cell r="AE34">
            <v>1169.5195723053678</v>
          </cell>
          <cell r="AI34">
            <v>1139.8682837575627</v>
          </cell>
          <cell r="AJ34">
            <v>1067.0208983342477</v>
          </cell>
          <cell r="AK34">
            <v>1031.3488891036409</v>
          </cell>
          <cell r="AL34">
            <v>1106.8378505740416</v>
          </cell>
          <cell r="AM34">
            <v>1213.0113153519389</v>
          </cell>
          <cell r="AN34">
            <v>1170.7721870723194</v>
          </cell>
          <cell r="AO34">
            <v>1634.6554560948491</v>
          </cell>
          <cell r="AP34">
            <v>1233.8202173531463</v>
          </cell>
          <cell r="AQ34">
            <v>1676.493422673952</v>
          </cell>
          <cell r="AR34">
            <v>3132.475904055123</v>
          </cell>
          <cell r="AS34">
            <v>1185.5406010544402</v>
          </cell>
          <cell r="AT34">
            <v>1115.5720639305866</v>
          </cell>
        </row>
        <row r="35">
          <cell r="T35">
            <v>356.02978379100927</v>
          </cell>
          <cell r="U35">
            <v>391.70117636662184</v>
          </cell>
          <cell r="V35">
            <v>335.94024102209636</v>
          </cell>
          <cell r="W35">
            <v>378.98646010263934</v>
          </cell>
          <cell r="X35">
            <v>510.42152427827233</v>
          </cell>
          <cell r="Y35">
            <v>499.07928904136082</v>
          </cell>
          <cell r="Z35">
            <v>814.24568647905107</v>
          </cell>
          <cell r="AA35">
            <v>499.2751772884908</v>
          </cell>
          <cell r="AB35">
            <v>970.7860831297636</v>
          </cell>
          <cell r="AC35">
            <v>2614.3668118421765</v>
          </cell>
          <cell r="AD35">
            <v>500.7909524426945</v>
          </cell>
          <cell r="AE35">
            <v>510.41792488205101</v>
          </cell>
          <cell r="AI35">
            <v>327.05783196148303</v>
          </cell>
          <cell r="AJ35">
            <v>359.74636271601457</v>
          </cell>
          <cell r="AK35">
            <v>309.12205776573217</v>
          </cell>
          <cell r="AL35">
            <v>348.92305477904313</v>
          </cell>
          <cell r="AM35">
            <v>469.74813964176712</v>
          </cell>
          <cell r="AN35">
            <v>459.14299598516629</v>
          </cell>
          <cell r="AO35">
            <v>749.07939220987032</v>
          </cell>
          <cell r="AP35">
            <v>455.52880845539573</v>
          </cell>
          <cell r="AQ35">
            <v>892.43567630154803</v>
          </cell>
          <cell r="AR35">
            <v>2436.7873756218705</v>
          </cell>
          <cell r="AS35">
            <v>464.19074973954264</v>
          </cell>
          <cell r="AT35">
            <v>472.19609593664245</v>
          </cell>
        </row>
        <row r="36">
          <cell r="T36">
            <v>497.50721182214221</v>
          </cell>
          <cell r="U36">
            <v>523.32299819334958</v>
          </cell>
          <cell r="V36">
            <v>470.06570608070302</v>
          </cell>
          <cell r="W36">
            <v>567.94293309587511</v>
          </cell>
          <cell r="X36">
            <v>582.7692535071518</v>
          </cell>
          <cell r="Y36">
            <v>669.48953327035497</v>
          </cell>
          <cell r="Z36">
            <v>933.99588151268608</v>
          </cell>
          <cell r="AA36">
            <v>673.14845548469088</v>
          </cell>
          <cell r="AB36">
            <v>1109.2285378659149</v>
          </cell>
          <cell r="AC36">
            <v>2938.8180236436315</v>
          </cell>
          <cell r="AD36">
            <v>860.19238316270594</v>
          </cell>
          <cell r="AE36">
            <v>640.60128896666083</v>
          </cell>
          <cell r="AI36">
            <v>499.27167173706999</v>
          </cell>
          <cell r="AJ36">
            <v>525.06210856836083</v>
          </cell>
          <cell r="AK36">
            <v>472.52615906928679</v>
          </cell>
          <cell r="AL36">
            <v>571.22866565167465</v>
          </cell>
          <cell r="AM36">
            <v>585.91152529696376</v>
          </cell>
          <cell r="AN36">
            <v>672.8550702137361</v>
          </cell>
          <cell r="AO36">
            <v>938.67805707849436</v>
          </cell>
          <cell r="AP36">
            <v>670.94365234196744</v>
          </cell>
          <cell r="AQ36">
            <v>1113.970622263583</v>
          </cell>
          <cell r="AR36">
            <v>2992.424009655057</v>
          </cell>
          <cell r="AS36">
            <v>871.03362755375429</v>
          </cell>
          <cell r="AT36">
            <v>647.41626257221856</v>
          </cell>
        </row>
        <row r="37">
          <cell r="T37">
            <v>824.16487129891698</v>
          </cell>
          <cell r="U37">
            <v>831.46120182754726</v>
          </cell>
          <cell r="V37">
            <v>691.93656622689014</v>
          </cell>
          <cell r="W37">
            <v>700.85987504859952</v>
          </cell>
          <cell r="X37">
            <v>947.96668663218895</v>
          </cell>
          <cell r="Y37">
            <v>899.52648619335343</v>
          </cell>
          <cell r="Z37">
            <v>1290.9321361852362</v>
          </cell>
          <cell r="AA37">
            <v>900.16160245616311</v>
          </cell>
          <cell r="AB37">
            <v>1660.3959331720416</v>
          </cell>
          <cell r="AC37">
            <v>4090.5947870996247</v>
          </cell>
          <cell r="AD37">
            <v>757.79064859650748</v>
          </cell>
          <cell r="AE37">
            <v>880.1616423670215</v>
          </cell>
          <cell r="AI37">
            <v>780.98008361427685</v>
          </cell>
          <cell r="AJ37">
            <v>787.71870954335702</v>
          </cell>
          <cell r="AK37">
            <v>656.78297203527632</v>
          </cell>
          <cell r="AL37">
            <v>665.61761214187982</v>
          </cell>
          <cell r="AM37">
            <v>899.94672454719807</v>
          </cell>
          <cell r="AN37">
            <v>853.6503206042803</v>
          </cell>
          <cell r="AO37">
            <v>1225.0771269172712</v>
          </cell>
          <cell r="AP37">
            <v>847.19618818082131</v>
          </cell>
          <cell r="AQ37">
            <v>1574.5363051824811</v>
          </cell>
          <cell r="AR37">
            <v>3933.0114536017563</v>
          </cell>
          <cell r="AS37">
            <v>724.56422230308624</v>
          </cell>
          <cell r="AT37">
            <v>839.93668285981755</v>
          </cell>
        </row>
        <row r="38">
          <cell r="T38">
            <v>754.53298265184833</v>
          </cell>
          <cell r="U38">
            <v>603.90542763569226</v>
          </cell>
          <cell r="V38">
            <v>648.84148620515305</v>
          </cell>
          <cell r="W38">
            <v>648.91197256052703</v>
          </cell>
          <cell r="X38">
            <v>732.73618161791762</v>
          </cell>
          <cell r="Y38">
            <v>1020.0483367188149</v>
          </cell>
          <cell r="Z38">
            <v>1147.0284020186962</v>
          </cell>
          <cell r="AA38">
            <v>721.84962085917812</v>
          </cell>
          <cell r="AB38">
            <v>1124.795786056422</v>
          </cell>
          <cell r="AC38">
            <v>3228.2326190450563</v>
          </cell>
          <cell r="AD38">
            <v>937.31228874264264</v>
          </cell>
          <cell r="AE38">
            <v>743.30630802086898</v>
          </cell>
          <cell r="AI38">
            <v>703.42725229962082</v>
          </cell>
          <cell r="AJ38">
            <v>562.87661597304987</v>
          </cell>
          <cell r="AK38">
            <v>605.9116667154924</v>
          </cell>
          <cell r="AL38">
            <v>606.30967280037214</v>
          </cell>
          <cell r="AM38">
            <v>684.3629092537509</v>
          </cell>
          <cell r="AN38">
            <v>952.36166621421353</v>
          </cell>
          <cell r="AO38">
            <v>1070.9009228272143</v>
          </cell>
          <cell r="AP38">
            <v>668.38292110261534</v>
          </cell>
          <cell r="AQ38">
            <v>1049.3727938273423</v>
          </cell>
          <cell r="AR38">
            <v>3053.6458924678313</v>
          </cell>
          <cell r="AS38">
            <v>881.7126195779573</v>
          </cell>
          <cell r="AT38">
            <v>697.85795117694317</v>
          </cell>
        </row>
        <row r="39">
          <cell r="T39">
            <v>1360.8300501795652</v>
          </cell>
          <cell r="U39">
            <v>1198.1142590809575</v>
          </cell>
          <cell r="V39">
            <v>1275.0500133473774</v>
          </cell>
          <cell r="W39">
            <v>1329.4607237670048</v>
          </cell>
          <cell r="X39">
            <v>1491.0952282311152</v>
          </cell>
          <cell r="Y39">
            <v>1495.5293996740747</v>
          </cell>
          <cell r="Z39">
            <v>2003.0022056420689</v>
          </cell>
          <cell r="AA39">
            <v>1392.7484588052589</v>
          </cell>
          <cell r="AB39">
            <v>1326.0215362787103</v>
          </cell>
          <cell r="AC39">
            <v>2673.2949658560301</v>
          </cell>
          <cell r="AD39">
            <v>1116.7742472436339</v>
          </cell>
          <cell r="AE39">
            <v>1171.6767115695939</v>
          </cell>
          <cell r="AI39">
            <v>1351.1895851311187</v>
          </cell>
          <cell r="AJ39">
            <v>1189.3616962827341</v>
          </cell>
          <cell r="AK39">
            <v>1268.1463078635388</v>
          </cell>
          <cell r="AL39">
            <v>1322.9872485759445</v>
          </cell>
          <cell r="AM39">
            <v>1483.2543964011768</v>
          </cell>
          <cell r="AN39">
            <v>1487.1252450443144</v>
          </cell>
          <cell r="AO39">
            <v>1991.7186297566248</v>
          </cell>
          <cell r="AP39">
            <v>1373.4812495524122</v>
          </cell>
          <cell r="AQ39">
            <v>1317.5834602639775</v>
          </cell>
          <cell r="AR39">
            <v>2693.2221031570166</v>
          </cell>
          <cell r="AS39">
            <v>1118.8698558166459</v>
          </cell>
          <cell r="AT39">
            <v>1171.5975304674737</v>
          </cell>
        </row>
        <row r="40">
          <cell r="T40">
            <v>763.23724888287086</v>
          </cell>
          <cell r="U40">
            <v>617.64442389188741</v>
          </cell>
          <cell r="V40">
            <v>401.52918065390327</v>
          </cell>
          <cell r="W40">
            <v>476.88786694392007</v>
          </cell>
          <cell r="X40">
            <v>568.05871461889706</v>
          </cell>
          <cell r="Y40">
            <v>542.82739850268604</v>
          </cell>
          <cell r="Z40">
            <v>1015.9272473471159</v>
          </cell>
          <cell r="AA40">
            <v>635.51235359843508</v>
          </cell>
          <cell r="AB40">
            <v>765.45407934401385</v>
          </cell>
          <cell r="AC40">
            <v>1547.4002204376852</v>
          </cell>
          <cell r="AD40">
            <v>537.05119616150216</v>
          </cell>
          <cell r="AE40">
            <v>548.79817118820006</v>
          </cell>
          <cell r="AI40">
            <v>719.5582367078797</v>
          </cell>
          <cell r="AJ40">
            <v>582.16786498260194</v>
          </cell>
          <cell r="AK40">
            <v>379.18683212291705</v>
          </cell>
          <cell r="AL40">
            <v>450.59919683072837</v>
          </cell>
          <cell r="AM40">
            <v>536.53429110401396</v>
          </cell>
          <cell r="AN40">
            <v>512.51708153454774</v>
          </cell>
          <cell r="AO40">
            <v>959.18672528848651</v>
          </cell>
          <cell r="AP40">
            <v>595.06997613509031</v>
          </cell>
          <cell r="AQ40">
            <v>722.17207652123659</v>
          </cell>
          <cell r="AR40">
            <v>1480.2052395048263</v>
          </cell>
          <cell r="AS40">
            <v>510.8858383642538</v>
          </cell>
          <cell r="AT40">
            <v>521.04747833712872</v>
          </cell>
        </row>
        <row r="41">
          <cell r="T41">
            <v>586.82361978377867</v>
          </cell>
          <cell r="U41">
            <v>567.17967760834631</v>
          </cell>
          <cell r="V41">
            <v>568.93228574026693</v>
          </cell>
          <cell r="W41">
            <v>657.16799580575116</v>
          </cell>
          <cell r="X41">
            <v>736.03160095919293</v>
          </cell>
          <cell r="Y41">
            <v>781.69759310565598</v>
          </cell>
          <cell r="Z41">
            <v>1080.4782291254942</v>
          </cell>
          <cell r="AA41">
            <v>740.70227502202738</v>
          </cell>
          <cell r="AB41">
            <v>1040.3733072133757</v>
          </cell>
          <cell r="AC41">
            <v>2758.0241625153144</v>
          </cell>
          <cell r="AD41">
            <v>712.15134279844176</v>
          </cell>
          <cell r="AE41">
            <v>619.73080090246765</v>
          </cell>
          <cell r="AI41">
            <v>545.90072198971961</v>
          </cell>
          <cell r="AJ41">
            <v>527.50922260331458</v>
          </cell>
          <cell r="AK41">
            <v>530.14711921338744</v>
          </cell>
          <cell r="AL41">
            <v>612.70332398655512</v>
          </cell>
          <cell r="AM41">
            <v>685.96255497705204</v>
          </cell>
          <cell r="AN41">
            <v>728.25764177738085</v>
          </cell>
          <cell r="AO41">
            <v>1006.598463671275</v>
          </cell>
          <cell r="AP41">
            <v>684.36440255009177</v>
          </cell>
          <cell r="AQ41">
            <v>968.52412355444824</v>
          </cell>
          <cell r="AR41">
            <v>2603.2569749062841</v>
          </cell>
          <cell r="AS41">
            <v>668.46729619414089</v>
          </cell>
          <cell r="AT41">
            <v>580.58714478417824</v>
          </cell>
        </row>
        <row r="42">
          <cell r="T42">
            <v>1749.5587188011546</v>
          </cell>
          <cell r="U42">
            <v>1341.7992402205412</v>
          </cell>
          <cell r="V42">
            <v>1366.615475877009</v>
          </cell>
          <cell r="W42">
            <v>1563.7121072013631</v>
          </cell>
          <cell r="X42">
            <v>1897.0229101671844</v>
          </cell>
          <cell r="Y42">
            <v>1844.0555557185241</v>
          </cell>
          <cell r="Z42">
            <v>2374.4643994785438</v>
          </cell>
          <cell r="AA42">
            <v>1640.1668962768388</v>
          </cell>
          <cell r="AB42">
            <v>2800.5669031296129</v>
          </cell>
          <cell r="AC42">
            <v>6117.4051561352335</v>
          </cell>
          <cell r="AD42">
            <v>1897.1851164780669</v>
          </cell>
          <cell r="AE42">
            <v>1619.8457022767257</v>
          </cell>
          <cell r="AI42">
            <v>1742.3266026651122</v>
          </cell>
          <cell r="AJ42">
            <v>1335.9552138609654</v>
          </cell>
          <cell r="AK42">
            <v>1363.2550733552409</v>
          </cell>
          <cell r="AL42">
            <v>1560.7221436067061</v>
          </cell>
          <cell r="AM42">
            <v>1892.6551306042631</v>
          </cell>
          <cell r="AN42">
            <v>1839.1418997351336</v>
          </cell>
          <cell r="AO42">
            <v>2368.1045229564456</v>
          </cell>
          <cell r="AP42">
            <v>1622.283448315588</v>
          </cell>
          <cell r="AQ42">
            <v>2791.0149034138658</v>
          </cell>
          <cell r="AR42">
            <v>6181.3193427550459</v>
          </cell>
          <cell r="AS42">
            <v>1906.3934552709741</v>
          </cell>
          <cell r="AT42">
            <v>1624.5494830791902</v>
          </cell>
        </row>
        <row r="43">
          <cell r="T43">
            <v>2072.2799366038407</v>
          </cell>
          <cell r="U43">
            <v>1621.6089032196912</v>
          </cell>
          <cell r="V43">
            <v>1639.5827840455672</v>
          </cell>
          <cell r="W43">
            <v>1729.1236144943605</v>
          </cell>
          <cell r="X43">
            <v>1802.3623461891375</v>
          </cell>
          <cell r="Y43">
            <v>2176.7459749291265</v>
          </cell>
          <cell r="Z43">
            <v>2353.7752102418135</v>
          </cell>
          <cell r="AA43">
            <v>2019.3542980608061</v>
          </cell>
          <cell r="AB43">
            <v>2558.402959700014</v>
          </cell>
          <cell r="AC43">
            <v>5527.227234439014</v>
          </cell>
          <cell r="AD43">
            <v>2224.148997299169</v>
          </cell>
          <cell r="AE43">
            <v>2036.5879104776097</v>
          </cell>
          <cell r="AI43">
            <v>2006.8846114049309</v>
          </cell>
          <cell r="AJ43">
            <v>1570.0859001193012</v>
          </cell>
          <cell r="AK43">
            <v>1590.512451524884</v>
          </cell>
          <cell r="AL43">
            <v>1678.2929537070672</v>
          </cell>
          <cell r="AM43">
            <v>1748.6945322490301</v>
          </cell>
          <cell r="AN43">
            <v>2111.1637670241898</v>
          </cell>
          <cell r="AO43">
            <v>2282.8276548829585</v>
          </cell>
          <cell r="AP43">
            <v>1942.3350798585191</v>
          </cell>
          <cell r="AQ43">
            <v>2479.465604521969</v>
          </cell>
          <cell r="AR43">
            <v>5431.1799386488128</v>
          </cell>
          <cell r="AS43">
            <v>2173.3999003543972</v>
          </cell>
          <cell r="AT43">
            <v>1986.256783843995</v>
          </cell>
        </row>
        <row r="44">
          <cell r="T44">
            <v>1170.096439992737</v>
          </cell>
          <cell r="U44">
            <v>1082.4271894087954</v>
          </cell>
          <cell r="V44">
            <v>990.06658197764602</v>
          </cell>
          <cell r="W44">
            <v>1195.0650655542399</v>
          </cell>
          <cell r="X44">
            <v>1178.2058502698692</v>
          </cell>
          <cell r="Y44">
            <v>1310.3692109885267</v>
          </cell>
          <cell r="Z44">
            <v>1488.3247033940936</v>
          </cell>
          <cell r="AA44">
            <v>1268.2424015993788</v>
          </cell>
          <cell r="AB44">
            <v>1714.5872035152406</v>
          </cell>
          <cell r="AC44">
            <v>3595.330411548232</v>
          </cell>
          <cell r="AD44">
            <v>1457.5226947441174</v>
          </cell>
          <cell r="AE44">
            <v>1554.8402098919207</v>
          </cell>
          <cell r="AI44">
            <v>1226.871004943016</v>
          </cell>
          <cell r="AJ44">
            <v>1134.695285108779</v>
          </cell>
          <cell r="AK44">
            <v>1039.8516611715384</v>
          </cell>
          <cell r="AL44">
            <v>1255.8464566705709</v>
          </cell>
          <cell r="AM44">
            <v>1237.6455518927771</v>
          </cell>
          <cell r="AN44">
            <v>1375.9768205805808</v>
          </cell>
          <cell r="AO44">
            <v>1562.8204841204092</v>
          </cell>
          <cell r="AP44">
            <v>1320.7394916927915</v>
          </cell>
          <cell r="AQ44">
            <v>1799.0862383825872</v>
          </cell>
          <cell r="AR44">
            <v>3824.9780245733564</v>
          </cell>
          <cell r="AS44">
            <v>1542.0354404615707</v>
          </cell>
          <cell r="AT44">
            <v>1641.8038120752469</v>
          </cell>
        </row>
        <row r="45">
          <cell r="T45">
            <v>874.03564018501527</v>
          </cell>
          <cell r="U45">
            <v>730.03382829164457</v>
          </cell>
          <cell r="V45">
            <v>746.68325555695947</v>
          </cell>
          <cell r="W45">
            <v>838.00893719783721</v>
          </cell>
          <cell r="X45">
            <v>928.20164570500606</v>
          </cell>
          <cell r="Y45">
            <v>997.33319458903975</v>
          </cell>
          <cell r="Z45">
            <v>1188.195468476569</v>
          </cell>
          <cell r="AA45">
            <v>878.05757842877279</v>
          </cell>
          <cell r="AB45">
            <v>1445.6829792220667</v>
          </cell>
          <cell r="AC45">
            <v>3509.7183982612414</v>
          </cell>
          <cell r="AD45">
            <v>1369.7696006962219</v>
          </cell>
          <cell r="AE45">
            <v>938.87361326777102</v>
          </cell>
          <cell r="AI45">
            <v>848.58759598776828</v>
          </cell>
          <cell r="AJ45">
            <v>708.62070051286662</v>
          </cell>
          <cell r="AK45">
            <v>726.16229149325807</v>
          </cell>
          <cell r="AL45">
            <v>815.42483840243187</v>
          </cell>
          <cell r="AM45">
            <v>902.83364901634968</v>
          </cell>
          <cell r="AN45">
            <v>969.72368760900974</v>
          </cell>
          <cell r="AO45">
            <v>1155.2862085712081</v>
          </cell>
          <cell r="AP45">
            <v>846.69731595693247</v>
          </cell>
          <cell r="AQ45">
            <v>1404.6100251978244</v>
          </cell>
          <cell r="AR45">
            <v>3457.4244659171686</v>
          </cell>
          <cell r="AS45">
            <v>1341.8897809971459</v>
          </cell>
          <cell r="AT45">
            <v>917.97937213935893</v>
          </cell>
        </row>
        <row r="46">
          <cell r="T46">
            <v>1641.5530431540021</v>
          </cell>
          <cell r="U46">
            <v>1563.6859464963202</v>
          </cell>
          <cell r="V46">
            <v>1548.8107126070888</v>
          </cell>
          <cell r="W46">
            <v>1737.1302846046103</v>
          </cell>
          <cell r="X46">
            <v>1744.4734970616405</v>
          </cell>
          <cell r="Y46">
            <v>2003.0091121493915</v>
          </cell>
          <cell r="Z46">
            <v>2462.7088036316331</v>
          </cell>
          <cell r="AA46">
            <v>1927.5037037404109</v>
          </cell>
          <cell r="AB46">
            <v>2906.3347372407989</v>
          </cell>
          <cell r="AC46">
            <v>6332.5789816615234</v>
          </cell>
          <cell r="AD46">
            <v>2201.0122132167762</v>
          </cell>
          <cell r="AE46">
            <v>2247.1533757254201</v>
          </cell>
          <cell r="AI46">
            <v>1648.1060381139089</v>
          </cell>
          <cell r="AJ46">
            <v>1569.5786250585188</v>
          </cell>
          <cell r="AK46">
            <v>1557.6085308474167</v>
          </cell>
          <cell r="AL46">
            <v>1747.9554930654178</v>
          </cell>
          <cell r="AM46">
            <v>1754.6579622571801</v>
          </cell>
          <cell r="AN46">
            <v>2013.9716273724648</v>
          </cell>
          <cell r="AO46">
            <v>2476.1528676257044</v>
          </cell>
          <cell r="AP46">
            <v>1922.0430083253193</v>
          </cell>
          <cell r="AQ46">
            <v>2920.0549312355465</v>
          </cell>
          <cell r="AR46">
            <v>6450.9509005080863</v>
          </cell>
          <cell r="AS46">
            <v>2229.7412432436959</v>
          </cell>
          <cell r="AT46">
            <v>2272.0673295758556</v>
          </cell>
        </row>
        <row r="47">
          <cell r="T47">
            <v>660.89076155066459</v>
          </cell>
          <cell r="U47">
            <v>562.48923656478303</v>
          </cell>
          <cell r="V47">
            <v>549.16572297596042</v>
          </cell>
          <cell r="W47">
            <v>615.55408786235967</v>
          </cell>
          <cell r="X47">
            <v>653.30936957214089</v>
          </cell>
          <cell r="Y47">
            <v>714.73773060609255</v>
          </cell>
          <cell r="Z47">
            <v>981.30409382621201</v>
          </cell>
          <cell r="AA47">
            <v>855.08021515728444</v>
          </cell>
          <cell r="AB47">
            <v>1215.6153269537813</v>
          </cell>
          <cell r="AC47">
            <v>1993.0928019333646</v>
          </cell>
          <cell r="AD47">
            <v>857.45294597505745</v>
          </cell>
          <cell r="AE47">
            <v>798.33648879832174</v>
          </cell>
          <cell r="AI47">
            <v>629.45295845793578</v>
          </cell>
          <cell r="AJ47">
            <v>535.61302223596658</v>
          </cell>
          <cell r="AK47">
            <v>523.92215486422594</v>
          </cell>
          <cell r="AL47">
            <v>587.58075986955953</v>
          </cell>
          <cell r="AM47">
            <v>623.37639136415328</v>
          </cell>
          <cell r="AN47">
            <v>681.74270580766927</v>
          </cell>
          <cell r="AO47">
            <v>935.99034448632744</v>
          </cell>
          <cell r="AP47">
            <v>808.86884128974248</v>
          </cell>
          <cell r="AQ47">
            <v>1158.630412499582</v>
          </cell>
          <cell r="AR47">
            <v>1926.0786183387725</v>
          </cell>
          <cell r="AS47">
            <v>824.03504035003482</v>
          </cell>
          <cell r="AT47">
            <v>765.73382054720048</v>
          </cell>
        </row>
        <row r="48">
          <cell r="T48">
            <v>1173.4100680884401</v>
          </cell>
          <cell r="U48">
            <v>1076.4458812982002</v>
          </cell>
          <cell r="V48">
            <v>1062.4809671446635</v>
          </cell>
          <cell r="W48">
            <v>1165.8382085194287</v>
          </cell>
          <cell r="X48">
            <v>1335.7792997325178</v>
          </cell>
          <cell r="Y48">
            <v>1509.3965365526717</v>
          </cell>
          <cell r="Z48">
            <v>1744.2271093984612</v>
          </cell>
          <cell r="AA48">
            <v>1399.4470155218487</v>
          </cell>
          <cell r="AB48">
            <v>2012.7261339901409</v>
          </cell>
          <cell r="AC48">
            <v>5187.115956652362</v>
          </cell>
          <cell r="AD48">
            <v>1471.4550911790122</v>
          </cell>
          <cell r="AE48">
            <v>1411.0326279588301</v>
          </cell>
          <cell r="AI48">
            <v>1134.8999552477464</v>
          </cell>
          <cell r="AJ48">
            <v>1040.8862746183263</v>
          </cell>
          <cell r="AK48">
            <v>1029.3395763820001</v>
          </cell>
          <cell r="AL48">
            <v>1130.0920034411483</v>
          </cell>
          <cell r="AM48">
            <v>1294.3160701976481</v>
          </cell>
          <cell r="AN48">
            <v>1462.0132574927384</v>
          </cell>
          <cell r="AO48">
            <v>1689.4485123371885</v>
          </cell>
          <cell r="AP48">
            <v>1344.3175833785654</v>
          </cell>
          <cell r="AQ48">
            <v>1948.0837021383588</v>
          </cell>
          <cell r="AR48">
            <v>5090.3379537152814</v>
          </cell>
          <cell r="AS48">
            <v>1436.007027599177</v>
          </cell>
          <cell r="AT48">
            <v>1374.3681319915959</v>
          </cell>
        </row>
        <row r="49">
          <cell r="T49">
            <v>2540.8682566142643</v>
          </cell>
          <cell r="U49">
            <v>2374.8335874868553</v>
          </cell>
          <cell r="V49">
            <v>2336.1037587552905</v>
          </cell>
          <cell r="W49">
            <v>2277.071192074698</v>
          </cell>
          <cell r="X49">
            <v>2325.9103376323424</v>
          </cell>
          <cell r="Y49">
            <v>2385.1335125980409</v>
          </cell>
          <cell r="Z49">
            <v>2963.1544831724514</v>
          </cell>
          <cell r="AA49">
            <v>2171.5851039081645</v>
          </cell>
          <cell r="AB49">
            <v>2646.5572996289679</v>
          </cell>
          <cell r="AC49">
            <v>5015.6362707513772</v>
          </cell>
          <cell r="AD49">
            <v>2633.9163696666005</v>
          </cell>
          <cell r="AE49">
            <v>2876.131773500591</v>
          </cell>
          <cell r="AI49">
            <v>2527.9874823436094</v>
          </cell>
          <cell r="AJ49">
            <v>2362.2685441223457</v>
          </cell>
          <cell r="AK49">
            <v>2328.1697551163893</v>
          </cell>
          <cell r="AL49">
            <v>2270.5816784896697</v>
          </cell>
          <cell r="AM49">
            <v>2318.3745796685666</v>
          </cell>
          <cell r="AN49">
            <v>2376.5429044625002</v>
          </cell>
          <cell r="AO49">
            <v>2952.4409844845331</v>
          </cell>
          <cell r="AP49">
            <v>2145.8891095324834</v>
          </cell>
          <cell r="AQ49">
            <v>2635.0522515117286</v>
          </cell>
          <cell r="AR49">
            <v>5063.2771162622621</v>
          </cell>
          <cell r="AS49">
            <v>2644.2136185363879</v>
          </cell>
          <cell r="AT49">
            <v>2881.7732320393206</v>
          </cell>
        </row>
        <row r="50">
          <cell r="T50">
            <v>834.21008736191357</v>
          </cell>
          <cell r="U50">
            <v>708.71629372798577</v>
          </cell>
          <cell r="V50">
            <v>691.75520432415135</v>
          </cell>
          <cell r="W50">
            <v>788.97638836699048</v>
          </cell>
          <cell r="X50">
            <v>819.37133543811808</v>
          </cell>
          <cell r="Y50">
            <v>922.4177180522023</v>
          </cell>
          <cell r="Z50">
            <v>1313.3491274363155</v>
          </cell>
          <cell r="AA50">
            <v>960.59503803034227</v>
          </cell>
          <cell r="AB50">
            <v>1219.8760604988395</v>
          </cell>
          <cell r="AC50">
            <v>2657.1577341110465</v>
          </cell>
          <cell r="AD50">
            <v>1560.2659114564754</v>
          </cell>
          <cell r="AE50">
            <v>978.00051368006211</v>
          </cell>
          <cell r="AI50">
            <v>845.90570958292051</v>
          </cell>
          <cell r="AJ50">
            <v>718.49251729088508</v>
          </cell>
          <cell r="AK50">
            <v>702.63325018052751</v>
          </cell>
          <cell r="AL50">
            <v>801.8225652583925</v>
          </cell>
          <cell r="AM50">
            <v>832.38673694981799</v>
          </cell>
          <cell r="AN50">
            <v>936.72982608927919</v>
          </cell>
          <cell r="AO50">
            <v>1333.7083464869488</v>
          </cell>
          <cell r="AP50">
            <v>967.44104369216109</v>
          </cell>
          <cell r="AQ50">
            <v>1237.8766942812174</v>
          </cell>
          <cell r="AR50">
            <v>2733.862993739428</v>
          </cell>
          <cell r="AS50">
            <v>1596.4191327199608</v>
          </cell>
          <cell r="AT50">
            <v>998.72024530446993</v>
          </cell>
        </row>
        <row r="51">
          <cell r="T51">
            <v>1555.8810289466628</v>
          </cell>
          <cell r="U51">
            <v>1459.9475088517147</v>
          </cell>
          <cell r="V51">
            <v>1446.1088823290347</v>
          </cell>
          <cell r="W51">
            <v>1552.2092962987742</v>
          </cell>
          <cell r="X51">
            <v>1660.9130093177769</v>
          </cell>
          <cell r="Y51">
            <v>1815.9476356768657</v>
          </cell>
          <cell r="Z51">
            <v>2265.3491646816638</v>
          </cell>
          <cell r="AA51">
            <v>2010.8440109965622</v>
          </cell>
          <cell r="AB51">
            <v>2444.5076888886051</v>
          </cell>
          <cell r="AC51">
            <v>3792.1212559364003</v>
          </cell>
          <cell r="AD51">
            <v>1958.0444623873373</v>
          </cell>
          <cell r="AE51">
            <v>2268.5231873600937</v>
          </cell>
          <cell r="AI51">
            <v>1601.2107658875821</v>
          </cell>
          <cell r="AJ51">
            <v>1502.1478143724157</v>
          </cell>
          <cell r="AK51">
            <v>1490.7432549839505</v>
          </cell>
          <cell r="AL51">
            <v>1600.9956238589896</v>
          </cell>
          <cell r="AM51">
            <v>1712.4459334709909</v>
          </cell>
          <cell r="AN51">
            <v>1871.6111775018485</v>
          </cell>
          <cell r="AO51">
            <v>2334.7556040698573</v>
          </cell>
          <cell r="AP51">
            <v>2055.3611731882902</v>
          </cell>
          <cell r="AQ51">
            <v>2517.5533487688117</v>
          </cell>
          <cell r="AR51">
            <v>3959.7450369629978</v>
          </cell>
          <cell r="AS51">
            <v>2033.2765411994196</v>
          </cell>
          <cell r="AT51">
            <v>2351.1134732924838</v>
          </cell>
        </row>
        <row r="52">
          <cell r="T52">
            <v>723.44574290171943</v>
          </cell>
          <cell r="U52">
            <v>673.74829625837299</v>
          </cell>
          <cell r="V52">
            <v>661.45909451794682</v>
          </cell>
          <cell r="W52">
            <v>811.21580278604495</v>
          </cell>
          <cell r="X52">
            <v>844.78097848471566</v>
          </cell>
          <cell r="Y52">
            <v>1068.331754796789</v>
          </cell>
          <cell r="Z52">
            <v>1162.8304769153353</v>
          </cell>
          <cell r="AA52">
            <v>959.52897391413455</v>
          </cell>
          <cell r="AB52">
            <v>1512.1753774345818</v>
          </cell>
          <cell r="AC52">
            <v>4105.2217646303034</v>
          </cell>
          <cell r="AD52">
            <v>1167.949455913777</v>
          </cell>
          <cell r="AE52">
            <v>772.42811114131143</v>
          </cell>
          <cell r="AI52">
            <v>686.21390425136951</v>
          </cell>
          <cell r="AJ52">
            <v>638.93185477910492</v>
          </cell>
          <cell r="AK52">
            <v>628.4725064962953</v>
          </cell>
          <cell r="AL52">
            <v>771.18344707378628</v>
          </cell>
          <cell r="AM52">
            <v>802.778144601191</v>
          </cell>
          <cell r="AN52">
            <v>1014.845379292321</v>
          </cell>
          <cell r="AO52">
            <v>1104.5976473894825</v>
          </cell>
          <cell r="AP52">
            <v>903.96016266123911</v>
          </cell>
          <cell r="AQ52">
            <v>1435.3931491898613</v>
          </cell>
          <cell r="AR52">
            <v>3950.963906630946</v>
          </cell>
          <cell r="AS52">
            <v>1117.8393192285628</v>
          </cell>
          <cell r="AT52">
            <v>737.85303926447307</v>
          </cell>
        </row>
        <row r="53">
          <cell r="T53">
            <v>718.91476090077947</v>
          </cell>
          <cell r="U53">
            <v>623.15410561251429</v>
          </cell>
          <cell r="V53">
            <v>673.36864343928323</v>
          </cell>
          <cell r="W53">
            <v>780.35432346629932</v>
          </cell>
          <cell r="X53">
            <v>781.35599483452052</v>
          </cell>
          <cell r="Y53">
            <v>860.61463332543565</v>
          </cell>
          <cell r="Z53">
            <v>1138.9811737266291</v>
          </cell>
          <cell r="AA53">
            <v>894.23366382446363</v>
          </cell>
          <cell r="AB53">
            <v>1162.7151212403382</v>
          </cell>
          <cell r="AC53">
            <v>2717.5669211151821</v>
          </cell>
          <cell r="AD53">
            <v>1035.5530388796697</v>
          </cell>
          <cell r="AE53">
            <v>892.81365522184194</v>
          </cell>
          <cell r="AI53">
            <v>686.72036717839978</v>
          </cell>
          <cell r="AJ53">
            <v>595.11555366059918</v>
          </cell>
          <cell r="AK53">
            <v>644.29559128275741</v>
          </cell>
          <cell r="AL53">
            <v>747.07141077381038</v>
          </cell>
          <cell r="AM53">
            <v>747.73781007368905</v>
          </cell>
          <cell r="AN53">
            <v>823.28735814693584</v>
          </cell>
          <cell r="AO53">
            <v>1089.5652233671976</v>
          </cell>
          <cell r="AP53">
            <v>848.38150598500306</v>
          </cell>
          <cell r="AQ53">
            <v>1111.4527549528932</v>
          </cell>
          <cell r="AR53">
            <v>2633.8780700316011</v>
          </cell>
          <cell r="AS53">
            <v>998.10598448078849</v>
          </cell>
          <cell r="AT53">
            <v>858.85846995159773</v>
          </cell>
        </row>
        <row r="54">
          <cell r="T54">
            <v>925.16384730119296</v>
          </cell>
          <cell r="U54">
            <v>849.94748765194493</v>
          </cell>
          <cell r="V54">
            <v>982.36184742089847</v>
          </cell>
          <cell r="W54">
            <v>1116.511801343255</v>
          </cell>
          <cell r="X54">
            <v>1095.3223866833889</v>
          </cell>
          <cell r="Y54">
            <v>1017.0992445457673</v>
          </cell>
          <cell r="Z54">
            <v>1605.075355011978</v>
          </cell>
          <cell r="AA54">
            <v>1117.7065270077005</v>
          </cell>
          <cell r="AB54">
            <v>1474.571876630401</v>
          </cell>
          <cell r="AC54">
            <v>3472.2340756934709</v>
          </cell>
          <cell r="AD54">
            <v>1624.9663150599033</v>
          </cell>
          <cell r="AE54">
            <v>1056.3131509035743</v>
          </cell>
          <cell r="AI54">
            <v>940.11951928028429</v>
          </cell>
          <cell r="AJ54">
            <v>863.49499306786379</v>
          </cell>
          <cell r="AK54">
            <v>999.92090208260197</v>
          </cell>
          <cell r="AL54">
            <v>1137.0916826926539</v>
          </cell>
          <cell r="AM54">
            <v>1115.0754290759221</v>
          </cell>
          <cell r="AN54">
            <v>1035.065757083092</v>
          </cell>
          <cell r="AO54">
            <v>1633.4054591436698</v>
          </cell>
          <cell r="AP54">
            <v>1128.0539059453442</v>
          </cell>
          <cell r="AQ54">
            <v>1499.4967255554657</v>
          </cell>
          <cell r="AR54">
            <v>3580.02700405012</v>
          </cell>
          <cell r="AS54">
            <v>1666.1364428614577</v>
          </cell>
          <cell r="AT54">
            <v>1080.9742646897505</v>
          </cell>
        </row>
        <row r="55">
          <cell r="T55">
            <v>1224.408458955201</v>
          </cell>
          <cell r="U55">
            <v>1320.5330655666626</v>
          </cell>
          <cell r="V55">
            <v>1188.0746846386799</v>
          </cell>
          <cell r="W55">
            <v>1367.7396065158641</v>
          </cell>
          <cell r="X55">
            <v>1530.5594734779693</v>
          </cell>
          <cell r="Y55">
            <v>1479.5152271338043</v>
          </cell>
          <cell r="Z55">
            <v>1813.2031160066738</v>
          </cell>
          <cell r="AA55">
            <v>1792.3181358241061</v>
          </cell>
          <cell r="AB55">
            <v>2067.1204743175649</v>
          </cell>
          <cell r="AC55">
            <v>3555.0236757356329</v>
          </cell>
          <cell r="AD55">
            <v>1609.7208410585447</v>
          </cell>
          <cell r="AE55">
            <v>2103.6372183385934</v>
          </cell>
          <cell r="AI55">
            <v>1265.161674947653</v>
          </cell>
          <cell r="AJ55">
            <v>1364.1819510302851</v>
          </cell>
          <cell r="AK55">
            <v>1229.6830638110168</v>
          </cell>
          <cell r="AL55">
            <v>1416.4161766915286</v>
          </cell>
          <cell r="AM55">
            <v>1584.4107549875332</v>
          </cell>
          <cell r="AN55">
            <v>1531.0146221860061</v>
          </cell>
          <cell r="AO55">
            <v>1876.2915507457258</v>
          </cell>
          <cell r="AP55">
            <v>1839.3842171934305</v>
          </cell>
          <cell r="AQ55">
            <v>2137.4730784652302</v>
          </cell>
          <cell r="AR55">
            <v>3727.1347544354726</v>
          </cell>
          <cell r="AS55">
            <v>1678.3095189201324</v>
          </cell>
          <cell r="AT55">
            <v>2189.0153332967288</v>
          </cell>
        </row>
        <row r="56">
          <cell r="T56">
            <v>3860.202439937711</v>
          </cell>
          <cell r="U56">
            <v>3594.7049241825489</v>
          </cell>
          <cell r="V56">
            <v>3405.731126535517</v>
          </cell>
          <cell r="W56">
            <v>3681.5135711951766</v>
          </cell>
          <cell r="X56">
            <v>3892.6874106369773</v>
          </cell>
          <cell r="Y56">
            <v>3989.2630953796711</v>
          </cell>
          <cell r="Z56">
            <v>4987.7841752963122</v>
          </cell>
          <cell r="AA56">
            <v>4764.2814296954766</v>
          </cell>
          <cell r="AB56">
            <v>6215.3484093824527</v>
          </cell>
          <cell r="AC56">
            <v>11667.639417362569</v>
          </cell>
          <cell r="AD56">
            <v>4346.1900366026366</v>
          </cell>
          <cell r="AE56">
            <v>4884.9183673051739</v>
          </cell>
          <cell r="AI56">
            <v>4056.9614659659237</v>
          </cell>
          <cell r="AJ56">
            <v>3777.0902427146748</v>
          </cell>
          <cell r="AK56">
            <v>3585.3446009251866</v>
          </cell>
          <cell r="AL56">
            <v>3877.795981056554</v>
          </cell>
          <cell r="AM56">
            <v>4098.6251254509834</v>
          </cell>
          <cell r="AN56">
            <v>4198.7853589676679</v>
          </cell>
          <cell r="AO56">
            <v>5249.6773817276144</v>
          </cell>
          <cell r="AP56">
            <v>4973.0847411981031</v>
          </cell>
          <cell r="AQ56">
            <v>6536.8939459475041</v>
          </cell>
          <cell r="AR56">
            <v>12441.89958959272</v>
          </cell>
          <cell r="AS56">
            <v>4608.9425881111811</v>
          </cell>
          <cell r="AT56">
            <v>5170.1883396129133</v>
          </cell>
        </row>
        <row r="57">
          <cell r="T57">
            <v>716.78559157053189</v>
          </cell>
          <cell r="U57">
            <v>707.05096505680592</v>
          </cell>
          <cell r="V57">
            <v>739.55703017245162</v>
          </cell>
          <cell r="W57">
            <v>900.12996464625849</v>
          </cell>
          <cell r="X57">
            <v>966.72307152489827</v>
          </cell>
          <cell r="Y57">
            <v>925.00927161774416</v>
          </cell>
          <cell r="Z57">
            <v>1166.2002411785156</v>
          </cell>
          <cell r="AA57">
            <v>977.86243520178107</v>
          </cell>
          <cell r="AB57">
            <v>1379.2393023055058</v>
          </cell>
          <cell r="AC57">
            <v>2971.3539201232898</v>
          </cell>
          <cell r="AD57">
            <v>874.61983399478413</v>
          </cell>
          <cell r="AE57">
            <v>935.7450983413064</v>
          </cell>
          <cell r="AI57">
            <v>688.70537990390972</v>
          </cell>
          <cell r="AJ57">
            <v>679.20088156932422</v>
          </cell>
          <cell r="AK57">
            <v>711.77973952816819</v>
          </cell>
          <cell r="AL57">
            <v>866.79655518954326</v>
          </cell>
          <cell r="AM57">
            <v>930.55952308065616</v>
          </cell>
          <cell r="AN57">
            <v>890.08296148031832</v>
          </cell>
          <cell r="AO57">
            <v>1122.1515032076859</v>
          </cell>
          <cell r="AP57">
            <v>933.16753639622925</v>
          </cell>
          <cell r="AQ57">
            <v>1326.169365775751</v>
          </cell>
          <cell r="AR57">
            <v>2896.7531246087683</v>
          </cell>
          <cell r="AS57">
            <v>847.94037556363992</v>
          </cell>
          <cell r="AT57">
            <v>905.44071831113274</v>
          </cell>
        </row>
        <row r="58">
          <cell r="T58">
            <v>1142.1780050891875</v>
          </cell>
          <cell r="U58">
            <v>980.19876289959655</v>
          </cell>
          <cell r="V58">
            <v>1045.5466986743079</v>
          </cell>
          <cell r="W58">
            <v>1210.4694654065152</v>
          </cell>
          <cell r="X58">
            <v>1385.7160796087346</v>
          </cell>
          <cell r="Y58">
            <v>1443.5974545760987</v>
          </cell>
          <cell r="Z58">
            <v>1806.1479335811916</v>
          </cell>
          <cell r="AA58">
            <v>1254.1778687402439</v>
          </cell>
          <cell r="AB58">
            <v>1988.0911314017126</v>
          </cell>
          <cell r="AC58">
            <v>4868.2345670593986</v>
          </cell>
          <cell r="AD58">
            <v>1498.1704898401417</v>
          </cell>
          <cell r="AE58">
            <v>1180.4878966326141</v>
          </cell>
          <cell r="AI58">
            <v>1158.9076337888746</v>
          </cell>
          <cell r="AJ58">
            <v>994.33446690672895</v>
          </cell>
          <cell r="AK58">
            <v>1062.6450151175829</v>
          </cell>
          <cell r="AL58">
            <v>1230.9392451564852</v>
          </cell>
          <cell r="AM58">
            <v>1408.5982778344924</v>
          </cell>
          <cell r="AN58">
            <v>1466.9027796702094</v>
          </cell>
          <cell r="AO58">
            <v>1835.2807500306635</v>
          </cell>
          <cell r="AP58">
            <v>1263.8973813134164</v>
          </cell>
          <cell r="AQ58">
            <v>2018.6753391417694</v>
          </cell>
          <cell r="AR58">
            <v>5011.8656195481435</v>
          </cell>
          <cell r="AS58">
            <v>1533.8329173742056</v>
          </cell>
          <cell r="AT58">
            <v>1206.2430416985185</v>
          </cell>
        </row>
        <row r="59">
          <cell r="T59">
            <v>1541.0683295020062</v>
          </cell>
          <cell r="U59">
            <v>1350.5801353907691</v>
          </cell>
          <cell r="V59">
            <v>1541.2594360208484</v>
          </cell>
          <cell r="W59">
            <v>1569.867099343234</v>
          </cell>
          <cell r="X59">
            <v>1711.6446645639733</v>
          </cell>
          <cell r="Y59">
            <v>1804.2767330488557</v>
          </cell>
          <cell r="Z59">
            <v>2208.6300117209971</v>
          </cell>
          <cell r="AA59">
            <v>1824.6917730532966</v>
          </cell>
          <cell r="AB59">
            <v>2497.4526911198568</v>
          </cell>
          <cell r="AC59">
            <v>5059.4184598674001</v>
          </cell>
          <cell r="AD59">
            <v>1962.7909788715897</v>
          </cell>
          <cell r="AE59">
            <v>2365.3692912927613</v>
          </cell>
          <cell r="AI59">
            <v>1577.7049576758977</v>
          </cell>
          <cell r="AJ59">
            <v>1382.3803932127926</v>
          </cell>
          <cell r="AK59">
            <v>1580.5541764485295</v>
          </cell>
          <cell r="AL59">
            <v>1610.7737048226961</v>
          </cell>
          <cell r="AM59">
            <v>1755.5587641857667</v>
          </cell>
          <cell r="AN59">
            <v>1849.8956733767056</v>
          </cell>
          <cell r="AO59">
            <v>2264.4410751483242</v>
          </cell>
          <cell r="AP59">
            <v>1855.3722597920769</v>
          </cell>
          <cell r="AQ59">
            <v>2558.6820579071036</v>
          </cell>
          <cell r="AR59">
            <v>5255.5405003619153</v>
          </cell>
          <cell r="AS59">
            <v>2027.58809598375</v>
          </cell>
          <cell r="AT59">
            <v>2438.7152869990168</v>
          </cell>
        </row>
        <row r="60">
          <cell r="T60">
            <v>738.21416213114071</v>
          </cell>
          <cell r="U60">
            <v>607.63520308250463</v>
          </cell>
          <cell r="V60">
            <v>510.16343818991498</v>
          </cell>
          <cell r="W60">
            <v>619.81673695859376</v>
          </cell>
          <cell r="X60">
            <v>975.5791278330571</v>
          </cell>
          <cell r="Y60">
            <v>755.52407875300958</v>
          </cell>
          <cell r="Z60">
            <v>1118.8612236630813</v>
          </cell>
          <cell r="AA60">
            <v>730.36811626558324</v>
          </cell>
          <cell r="AB60">
            <v>960.63771200638098</v>
          </cell>
          <cell r="AC60">
            <v>2260.0507374525823</v>
          </cell>
          <cell r="AD60">
            <v>792.51977496665677</v>
          </cell>
          <cell r="AE60">
            <v>1227.2367355236458</v>
          </cell>
          <cell r="AI60">
            <v>707.27031432929709</v>
          </cell>
          <cell r="AJ60">
            <v>582.03526235176332</v>
          </cell>
          <cell r="AK60">
            <v>489.60081467736563</v>
          </cell>
          <cell r="AL60">
            <v>595.16050774925941</v>
          </cell>
          <cell r="AM60">
            <v>936.40435210041448</v>
          </cell>
          <cell r="AN60">
            <v>724.92246844053454</v>
          </cell>
          <cell r="AO60">
            <v>1073.5281582409914</v>
          </cell>
          <cell r="AP60">
            <v>694.99633423743501</v>
          </cell>
          <cell r="AQ60">
            <v>921.03863523567361</v>
          </cell>
          <cell r="AR60">
            <v>2197.0206452092616</v>
          </cell>
          <cell r="AS60">
            <v>766.15201796581982</v>
          </cell>
          <cell r="AT60">
            <v>1184.1034756801528</v>
          </cell>
        </row>
        <row r="61">
          <cell r="T61">
            <v>1913.9793687932802</v>
          </cell>
          <cell r="U61">
            <v>1737.1339279284439</v>
          </cell>
          <cell r="V61">
            <v>1638.1679616052613</v>
          </cell>
          <cell r="W61">
            <v>1802.1906293233187</v>
          </cell>
          <cell r="X61">
            <v>2009.5403060448568</v>
          </cell>
          <cell r="Y61">
            <v>1960.8675793648936</v>
          </cell>
          <cell r="Z61">
            <v>2640.5306683521117</v>
          </cell>
          <cell r="AA61">
            <v>2067.4807166244213</v>
          </cell>
          <cell r="AB61">
            <v>2989.3429435030921</v>
          </cell>
          <cell r="AC61">
            <v>5240.6826384743845</v>
          </cell>
          <cell r="AD61">
            <v>2509.590036089191</v>
          </cell>
          <cell r="AE61">
            <v>2567.6168999569004</v>
          </cell>
          <cell r="AI61">
            <v>1973.297958345712</v>
          </cell>
          <cell r="AJ61">
            <v>1790.5729930622449</v>
          </cell>
          <cell r="AK61">
            <v>1691.778828470111</v>
          </cell>
          <cell r="AL61">
            <v>1862.189571854484</v>
          </cell>
          <cell r="AM61">
            <v>2075.6302984613076</v>
          </cell>
          <cell r="AN61">
            <v>2024.621635496934</v>
          </cell>
          <cell r="AO61">
            <v>2726.3448643302272</v>
          </cell>
          <cell r="AP61">
            <v>2117.0666569423679</v>
          </cell>
          <cell r="AQ61">
            <v>3084.2268537472742</v>
          </cell>
          <cell r="AR61">
            <v>5482.2163000718501</v>
          </cell>
          <cell r="AS61">
            <v>2610.7181022142258</v>
          </cell>
          <cell r="AT61">
            <v>2665.9002261408737</v>
          </cell>
        </row>
        <row r="62">
          <cell r="T62">
            <v>2804.9212371891772</v>
          </cell>
          <cell r="U62">
            <v>2612.0064554741125</v>
          </cell>
          <cell r="V62">
            <v>2521.0198610430862</v>
          </cell>
          <cell r="W62">
            <v>2652.0601475360004</v>
          </cell>
          <cell r="X62">
            <v>2995.3640383918196</v>
          </cell>
          <cell r="Y62">
            <v>2982.627809114078</v>
          </cell>
          <cell r="Z62">
            <v>3694.050212422228</v>
          </cell>
          <cell r="AA62">
            <v>2981.8825995361808</v>
          </cell>
          <cell r="AB62">
            <v>4025.289253932533</v>
          </cell>
          <cell r="AC62">
            <v>7752.6614325728806</v>
          </cell>
          <cell r="AD62">
            <v>3295.7743652715058</v>
          </cell>
          <cell r="AE62">
            <v>3645.2321099970827</v>
          </cell>
          <cell r="AI62">
            <v>2881.1824435628373</v>
          </cell>
          <cell r="AJ62">
            <v>2682.4253692760572</v>
          </cell>
          <cell r="AK62">
            <v>2593.917143842134</v>
          </cell>
          <cell r="AL62">
            <v>2730.2424019830605</v>
          </cell>
          <cell r="AM62">
            <v>3082.4608277475868</v>
          </cell>
          <cell r="AN62">
            <v>3068.240123074675</v>
          </cell>
          <cell r="AO62">
            <v>3800.0301589070996</v>
          </cell>
          <cell r="AP62">
            <v>3042.1335800736651</v>
          </cell>
          <cell r="AQ62">
            <v>4137.7318430947153</v>
          </cell>
          <cell r="AR62">
            <v>8080.0453565851458</v>
          </cell>
          <cell r="AS62">
            <v>3415.9330103241768</v>
          </cell>
          <cell r="AT62">
            <v>3770.8002553006177</v>
          </cell>
        </row>
        <row r="63">
          <cell r="T63">
            <v>1330.9958096110586</v>
          </cell>
          <cell r="U63">
            <v>1137.8778833976219</v>
          </cell>
          <cell r="V63">
            <v>1031.7727348956294</v>
          </cell>
          <cell r="W63">
            <v>1023.8851398694628</v>
          </cell>
          <cell r="X63">
            <v>1236.3908263434278</v>
          </cell>
          <cell r="Y63">
            <v>1390.6126903360578</v>
          </cell>
          <cell r="Z63">
            <v>1938.4451876598939</v>
          </cell>
          <cell r="AA63">
            <v>1324.1736130145257</v>
          </cell>
          <cell r="AB63">
            <v>2134.3504631358319</v>
          </cell>
          <cell r="AC63">
            <v>4325.457443524796</v>
          </cell>
          <cell r="AD63">
            <v>1442.3799715773373</v>
          </cell>
          <cell r="AE63">
            <v>1814.8878100708475</v>
          </cell>
          <cell r="AI63">
            <v>1273.7902909337615</v>
          </cell>
          <cell r="AJ63">
            <v>1088.730062850824</v>
          </cell>
          <cell r="AK63">
            <v>989.08823640225035</v>
          </cell>
          <cell r="AL63">
            <v>982.06500287719859</v>
          </cell>
          <cell r="AM63">
            <v>1185.4271941345962</v>
          </cell>
          <cell r="AN63">
            <v>1332.808112258555</v>
          </cell>
          <cell r="AO63">
            <v>1857.842661123356</v>
          </cell>
          <cell r="AP63">
            <v>1258.6466542320127</v>
          </cell>
          <cell r="AQ63">
            <v>2044.0999963498421</v>
          </cell>
          <cell r="AR63">
            <v>4200.1633493619556</v>
          </cell>
          <cell r="AS63">
            <v>1392.8447579744118</v>
          </cell>
          <cell r="AT63">
            <v>1749.1589689486077</v>
          </cell>
        </row>
        <row r="64">
          <cell r="T64">
            <v>1463.7494348855828</v>
          </cell>
          <cell r="U64">
            <v>1294.8416433558809</v>
          </cell>
          <cell r="V64">
            <v>1209.2130772814899</v>
          </cell>
          <cell r="W64">
            <v>1414.9154156246759</v>
          </cell>
          <cell r="X64">
            <v>1552.1592063739615</v>
          </cell>
          <cell r="Y64">
            <v>1605.9364225786007</v>
          </cell>
          <cell r="Z64">
            <v>2632.1573357939133</v>
          </cell>
          <cell r="AA64">
            <v>1431.0418927972678</v>
          </cell>
          <cell r="AB64">
            <v>1929.2583934408149</v>
          </cell>
          <cell r="AC64">
            <v>2561.1887299730747</v>
          </cell>
          <cell r="AD64">
            <v>1904.3222833299997</v>
          </cell>
          <cell r="AE64">
            <v>3654.930971156029</v>
          </cell>
          <cell r="AI64">
            <v>1375.6982900286923</v>
          </cell>
          <cell r="AJ64">
            <v>1216.6801653818311</v>
          </cell>
          <cell r="AK64">
            <v>1138.3846620083325</v>
          </cell>
          <cell r="AL64">
            <v>1332.7683906440172</v>
          </cell>
          <cell r="AM64">
            <v>1461.4722985743795</v>
          </cell>
          <cell r="AN64">
            <v>1511.5586331616212</v>
          </cell>
          <cell r="AO64">
            <v>2477.4361044094471</v>
          </cell>
          <cell r="AP64">
            <v>1335.8154274916285</v>
          </cell>
          <cell r="AQ64">
            <v>1814.5210639647441</v>
          </cell>
          <cell r="AR64">
            <v>2442.3670401177224</v>
          </cell>
          <cell r="AS64">
            <v>1805.9207622897673</v>
          </cell>
          <cell r="AT64">
            <v>3459.345090341827</v>
          </cell>
        </row>
        <row r="65">
          <cell r="T65">
            <v>1319.7169631318086</v>
          </cell>
          <cell r="U65">
            <v>1196.7732980882831</v>
          </cell>
          <cell r="V65">
            <v>1293.7821062656044</v>
          </cell>
          <cell r="W65">
            <v>1359.4598730620164</v>
          </cell>
          <cell r="X65">
            <v>1629.9082391395109</v>
          </cell>
          <cell r="Y65">
            <v>1902.2763880950645</v>
          </cell>
          <cell r="Z65">
            <v>2882.227728278322</v>
          </cell>
          <cell r="AA65">
            <v>2023.765544673387</v>
          </cell>
          <cell r="AB65">
            <v>2177.5181814436551</v>
          </cell>
          <cell r="AC65">
            <v>4399.3842534699725</v>
          </cell>
          <cell r="AD65">
            <v>2606.8836974188225</v>
          </cell>
          <cell r="AE65">
            <v>3417.804667742002</v>
          </cell>
          <cell r="AI65">
            <v>1294.5347104213292</v>
          </cell>
          <cell r="AJ65">
            <v>1173.6756766799469</v>
          </cell>
          <cell r="AK65">
            <v>1271.2289784586601</v>
          </cell>
          <cell r="AL65">
            <v>1336.4940895039892</v>
          </cell>
          <cell r="AM65">
            <v>1601.7470083877449</v>
          </cell>
          <cell r="AN65">
            <v>1868.7306597597221</v>
          </cell>
          <cell r="AO65">
            <v>2831.3616970371509</v>
          </cell>
          <cell r="AP65">
            <v>1971.6542013089872</v>
          </cell>
          <cell r="AQ65">
            <v>2137.5183379593068</v>
          </cell>
          <cell r="AR65">
            <v>4378.6243516254153</v>
          </cell>
          <cell r="AS65">
            <v>2580.2176487837401</v>
          </cell>
          <cell r="AT65">
            <v>3376.2794919391977</v>
          </cell>
        </row>
        <row r="66">
          <cell r="T66">
            <v>1332.4395691248073</v>
          </cell>
          <cell r="U66">
            <v>1084.5688410899559</v>
          </cell>
          <cell r="V66">
            <v>1310.3235335510251</v>
          </cell>
          <cell r="W66">
            <v>1245.0055065278498</v>
          </cell>
          <cell r="X66">
            <v>1352.1052848847187</v>
          </cell>
          <cell r="Y66">
            <v>1474.9951722281287</v>
          </cell>
          <cell r="Z66">
            <v>1650.3521305866311</v>
          </cell>
          <cell r="AA66">
            <v>1349.1067088074922</v>
          </cell>
          <cell r="AB66">
            <v>1736.7444894545408</v>
          </cell>
          <cell r="AC66">
            <v>2053.8545488890645</v>
          </cell>
          <cell r="AD66">
            <v>1267.3661033570563</v>
          </cell>
          <cell r="AE66">
            <v>1840.1590326296919</v>
          </cell>
          <cell r="AI66">
            <v>1325.9119916959194</v>
          </cell>
          <cell r="AJ66">
            <v>1079.0153257081909</v>
          </cell>
          <cell r="AK66">
            <v>1306.097088891763</v>
          </cell>
          <cell r="AL66">
            <v>1241.6700279326033</v>
          </cell>
          <cell r="AM66">
            <v>1347.955493831334</v>
          </cell>
          <cell r="AN66">
            <v>1469.9344521055707</v>
          </cell>
          <cell r="AO66">
            <v>1644.6669119281401</v>
          </cell>
          <cell r="AP66">
            <v>1333.3713806466897</v>
          </cell>
          <cell r="AQ66">
            <v>1729.490836656069</v>
          </cell>
          <cell r="AR66">
            <v>2073.7182638159802</v>
          </cell>
          <cell r="AS66">
            <v>1272.5388475142856</v>
          </cell>
          <cell r="AT66">
            <v>1844.0843680086448</v>
          </cell>
        </row>
        <row r="67">
          <cell r="T67">
            <v>2692.2632662842789</v>
          </cell>
          <cell r="U67">
            <v>2458.1509160234596</v>
          </cell>
          <cell r="V67">
            <v>2779.8069543506235</v>
          </cell>
          <cell r="W67">
            <v>2568.5598680294561</v>
          </cell>
          <cell r="X67">
            <v>2739.7865636146917</v>
          </cell>
          <cell r="Y67">
            <v>3044.8051749318797</v>
          </cell>
          <cell r="Z67">
            <v>3450.0503120436952</v>
          </cell>
          <cell r="AA67">
            <v>3138.9554974509765</v>
          </cell>
          <cell r="AB67">
            <v>4223.5992598301764</v>
          </cell>
          <cell r="AC67">
            <v>5152.163471414191</v>
          </cell>
          <cell r="AD67">
            <v>2805.2390669897982</v>
          </cell>
          <cell r="AE67">
            <v>3799.1745780172623</v>
          </cell>
          <cell r="AI67">
            <v>2607.7137166817993</v>
          </cell>
          <cell r="AJ67">
            <v>2380.4235658346943</v>
          </cell>
          <cell r="AK67">
            <v>2697.0361410332443</v>
          </cell>
          <cell r="AL67">
            <v>2493.4451956510693</v>
          </cell>
          <cell r="AM67">
            <v>2658.6243799177632</v>
          </cell>
          <cell r="AN67">
            <v>2953.53476977946</v>
          </cell>
          <cell r="AO67">
            <v>3346.585878288914</v>
          </cell>
          <cell r="AP67">
            <v>3019.7097032152637</v>
          </cell>
          <cell r="AQ67">
            <v>4093.9284627774791</v>
          </cell>
          <cell r="AR67">
            <v>5063.4311758872618</v>
          </cell>
          <cell r="AS67">
            <v>2741.6628597285339</v>
          </cell>
          <cell r="AT67">
            <v>3705.8675031301836</v>
          </cell>
        </row>
        <row r="68">
          <cell r="T68">
            <v>2458.0491189494519</v>
          </cell>
          <cell r="U68">
            <v>2145.3877321853297</v>
          </cell>
          <cell r="V68">
            <v>2466.087149700219</v>
          </cell>
          <cell r="W68">
            <v>2443.6734827228606</v>
          </cell>
          <cell r="X68">
            <v>2867.7472849698602</v>
          </cell>
          <cell r="Y68">
            <v>2986.274439271584</v>
          </cell>
          <cell r="Z68">
            <v>3307.4046081298311</v>
          </cell>
          <cell r="AA68">
            <v>3229.220558915848</v>
          </cell>
          <cell r="AB68">
            <v>4080.6302318829721</v>
          </cell>
          <cell r="AC68">
            <v>2240.1259387299533</v>
          </cell>
          <cell r="AD68">
            <v>1790.9224890004746</v>
          </cell>
          <cell r="AE68">
            <v>2388.3079893391441</v>
          </cell>
          <cell r="AI68">
            <v>2450.8370928767417</v>
          </cell>
          <cell r="AJ68">
            <v>2138.6168942623872</v>
          </cell>
          <cell r="AK68">
            <v>2462.9866113982512</v>
          </cell>
          <cell r="AL68">
            <v>2441.9390076854502</v>
          </cell>
          <cell r="AM68">
            <v>2864.5910490016258</v>
          </cell>
          <cell r="AN68">
            <v>2981.9049611286773</v>
          </cell>
          <cell r="AO68">
            <v>3302.5193784602675</v>
          </cell>
          <cell r="AP68">
            <v>3197.8585258692456</v>
          </cell>
          <cell r="AQ68">
            <v>4071.6110938472416</v>
          </cell>
          <cell r="AR68">
            <v>2266.2572878927299</v>
          </cell>
          <cell r="AS68">
            <v>1801.7829056039157</v>
          </cell>
          <cell r="AT68">
            <v>2398.1286112251901</v>
          </cell>
        </row>
        <row r="72">
          <cell r="T72">
            <v>2062.1450272576685</v>
          </cell>
          <cell r="U72">
            <v>2272.9905977988301</v>
          </cell>
          <cell r="V72">
            <v>2042.5853316108009</v>
          </cell>
          <cell r="W72">
            <v>2502.9076307261221</v>
          </cell>
          <cell r="X72">
            <v>2494.5371613874145</v>
          </cell>
          <cell r="Y72">
            <v>2111.4196673060869</v>
          </cell>
          <cell r="Z72">
            <v>2841.5821384742621</v>
          </cell>
          <cell r="AA72">
            <v>2264.9667296420071</v>
          </cell>
          <cell r="AB72">
            <v>2969.3152569714507</v>
          </cell>
          <cell r="AC72">
            <v>6286.4226222785082</v>
          </cell>
          <cell r="AD72">
            <v>2274.2591987209676</v>
          </cell>
          <cell r="AE72">
            <v>2350.5084239113753</v>
          </cell>
          <cell r="AI72">
            <v>2060.9655839209354</v>
          </cell>
          <cell r="AJ72">
            <v>2271.1848700849209</v>
          </cell>
          <cell r="AK72">
            <v>2044.8501440327393</v>
          </cell>
          <cell r="AL72">
            <v>2507.0564066947536</v>
          </cell>
          <cell r="AM72">
            <v>2497.6948483935325</v>
          </cell>
          <cell r="AN72">
            <v>2113.3249964567603</v>
          </cell>
          <cell r="AO72">
            <v>2844.106850890375</v>
          </cell>
          <cell r="AP72">
            <v>2248.2831804846151</v>
          </cell>
          <cell r="AQ72">
            <v>2969.7712787421683</v>
          </cell>
          <cell r="AR72">
            <v>6374.8210783604445</v>
          </cell>
          <cell r="AS72">
            <v>2293.4711369265183</v>
          </cell>
          <cell r="AT72">
            <v>2365.7649751286776</v>
          </cell>
        </row>
        <row r="73">
          <cell r="T73">
            <v>1711.9659187605184</v>
          </cell>
          <cell r="U73">
            <v>1501.5236345770195</v>
          </cell>
          <cell r="V73">
            <v>1359.7492323178474</v>
          </cell>
          <cell r="W73">
            <v>1486.7017106957114</v>
          </cell>
          <cell r="X73">
            <v>1672.9446809509877</v>
          </cell>
          <cell r="Y73">
            <v>1714.8796344291652</v>
          </cell>
          <cell r="Z73">
            <v>1933.0315311814625</v>
          </cell>
          <cell r="AA73">
            <v>1425.1735552160849</v>
          </cell>
          <cell r="AB73">
            <v>2204.0640321886322</v>
          </cell>
          <cell r="AC73">
            <v>4133.6942655677722</v>
          </cell>
          <cell r="AD73">
            <v>1817.360546607176</v>
          </cell>
          <cell r="AE73">
            <v>2179.5629443126254</v>
          </cell>
          <cell r="AI73">
            <v>1702.6738885978011</v>
          </cell>
          <cell r="AJ73">
            <v>1493.0413875587385</v>
          </cell>
          <cell r="AK73">
            <v>1354.643217589467</v>
          </cell>
          <cell r="AL73">
            <v>1481.930891274756</v>
          </cell>
          <cell r="AM73">
            <v>1666.9240305428621</v>
          </cell>
          <cell r="AN73">
            <v>1708.0878250049559</v>
          </cell>
          <cell r="AO73">
            <v>1925.3489809196708</v>
          </cell>
          <cell r="AP73">
            <v>1407.8026122322578</v>
          </cell>
          <cell r="AQ73">
            <v>2193.692383690508</v>
          </cell>
          <cell r="AR73">
            <v>4171.45540411397</v>
          </cell>
          <cell r="AS73">
            <v>1823.8085259035818</v>
          </cell>
          <cell r="AT73">
            <v>2183.051737780549</v>
          </cell>
        </row>
        <row r="74">
          <cell r="T74">
            <v>1516.41677131437</v>
          </cell>
          <cell r="U74">
            <v>1482.2476312684664</v>
          </cell>
          <cell r="V74">
            <v>1574.41351799976</v>
          </cell>
          <cell r="W74">
            <v>1548.2725770471066</v>
          </cell>
          <cell r="X74">
            <v>1953.6819933681518</v>
          </cell>
          <cell r="Y74">
            <v>1969.5979910170611</v>
          </cell>
          <cell r="Z74">
            <v>2842.8245234461679</v>
          </cell>
          <cell r="AA74">
            <v>2254.0232369193463</v>
          </cell>
          <cell r="AB74">
            <v>2935.0811227552272</v>
          </cell>
          <cell r="AC74">
            <v>4114.1718541411537</v>
          </cell>
          <cell r="AD74">
            <v>2750.8375797618528</v>
          </cell>
          <cell r="AE74">
            <v>4817.6825678650011</v>
          </cell>
          <cell r="AI74">
            <v>1491.2996625278292</v>
          </cell>
          <cell r="AJ74">
            <v>1457.3719901020245</v>
          </cell>
          <cell r="AK74">
            <v>1550.9396319679718</v>
          </cell>
          <cell r="AL74">
            <v>1526.0245165222657</v>
          </cell>
          <cell r="AM74">
            <v>1924.8552681627045</v>
          </cell>
          <cell r="AN74">
            <v>1939.8320308690684</v>
          </cell>
          <cell r="AO74">
            <v>2799.8228506818773</v>
          </cell>
          <cell r="AP74">
            <v>2201.6200906913118</v>
          </cell>
          <cell r="AQ74">
            <v>2888.5614334336005</v>
          </cell>
          <cell r="AR74">
            <v>4105.2693865945803</v>
          </cell>
          <cell r="AS74">
            <v>2729.6883983667744</v>
          </cell>
          <cell r="AT74">
            <v>4771.3664611235054</v>
          </cell>
        </row>
        <row r="75">
          <cell r="T75">
            <v>1486.9442142356029</v>
          </cell>
          <cell r="U75">
            <v>1424.4139425284216</v>
          </cell>
          <cell r="V75">
            <v>1343.9007884005641</v>
          </cell>
          <cell r="W75">
            <v>1494.6427522239628</v>
          </cell>
          <cell r="X75">
            <v>1707.5343598294951</v>
          </cell>
          <cell r="Y75">
            <v>1614.7491474829089</v>
          </cell>
          <cell r="Z75">
            <v>2246.8166036559364</v>
          </cell>
          <cell r="AA75">
            <v>1757.5849863223234</v>
          </cell>
          <cell r="AB75">
            <v>2601.2119272817017</v>
          </cell>
          <cell r="AC75">
            <v>5557.8592906127187</v>
          </cell>
          <cell r="AD75">
            <v>1869.1979230119109</v>
          </cell>
          <cell r="AE75">
            <v>2053.1856505406045</v>
          </cell>
          <cell r="AI75">
            <v>1463.7552458385355</v>
          </cell>
          <cell r="AJ75">
            <v>1401.8879990379685</v>
          </cell>
          <cell r="AK75">
            <v>1325.1673931813352</v>
          </cell>
          <cell r="AL75">
            <v>1474.6159880769171</v>
          </cell>
          <cell r="AM75">
            <v>1683.9961969750975</v>
          </cell>
          <cell r="AN75">
            <v>1591.9119617937811</v>
          </cell>
          <cell r="AO75">
            <v>2215.0094002042761</v>
          </cell>
          <cell r="AP75">
            <v>1718.413885958814</v>
          </cell>
          <cell r="AQ75">
            <v>2562.5047819989459</v>
          </cell>
          <cell r="AR75">
            <v>5551.2939933938678</v>
          </cell>
          <cell r="AS75">
            <v>1856.653512645795</v>
          </cell>
          <cell r="AT75">
            <v>2035.4491678886486</v>
          </cell>
        </row>
        <row r="77"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T79">
            <v>369.28438794382498</v>
          </cell>
          <cell r="U79">
            <v>374.39936714104948</v>
          </cell>
          <cell r="V79">
            <v>301.50549838282996</v>
          </cell>
          <cell r="W79">
            <v>338.47697567812168</v>
          </cell>
          <cell r="X79">
            <v>364.70944895123858</v>
          </cell>
          <cell r="Y79">
            <v>348.33108698992584</v>
          </cell>
          <cell r="Z79">
            <v>364.80641116985328</v>
          </cell>
          <cell r="AA79">
            <v>321.02335273410154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I79">
            <v>562.82103517259634</v>
          </cell>
          <cell r="AJ79">
            <v>570.48967900988146</v>
          </cell>
          <cell r="AK79">
            <v>460.29298151495988</v>
          </cell>
          <cell r="AL79">
            <v>517.01870266933338</v>
          </cell>
          <cell r="AM79">
            <v>556.87055394456274</v>
          </cell>
          <cell r="AN79">
            <v>531.66956610078273</v>
          </cell>
          <cell r="AO79">
            <v>606.80867774947103</v>
          </cell>
          <cell r="AP79">
            <v>435.94111897096002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7">
          <cell r="T87">
            <v>1719.0347249750869</v>
          </cell>
          <cell r="U87">
            <v>1564.2338059062699</v>
          </cell>
          <cell r="V87">
            <v>1703.0281076405965</v>
          </cell>
          <cell r="W87">
            <v>1773.9442740562843</v>
          </cell>
          <cell r="X87">
            <v>1884.4076999627318</v>
          </cell>
          <cell r="Y87">
            <v>2011.5630946302124</v>
          </cell>
          <cell r="Z87">
            <v>2327.4999776996292</v>
          </cell>
          <cell r="AA87">
            <v>1512.8324003133846</v>
          </cell>
          <cell r="AB87">
            <v>1793.6824119282373</v>
          </cell>
          <cell r="AC87">
            <v>3036.4983639612437</v>
          </cell>
          <cell r="AD87">
            <v>1324.503025658832</v>
          </cell>
          <cell r="AE87">
            <v>1446.8954816669304</v>
          </cell>
          <cell r="AI87">
            <v>942.3144674334319</v>
          </cell>
          <cell r="AJ87">
            <v>857.26716481338872</v>
          </cell>
          <cell r="AK87">
            <v>935.11014448885749</v>
          </cell>
          <cell r="AL87">
            <v>974.58322295139533</v>
          </cell>
          <cell r="AM87">
            <v>1034.8655865974683</v>
          </cell>
          <cell r="AN87">
            <v>1104.2948873912023</v>
          </cell>
          <cell r="AO87">
            <v>1277.7181226508214</v>
          </cell>
          <cell r="AP87">
            <v>823.64426102087714</v>
          </cell>
          <cell r="AQ87">
            <v>983.94747962851352</v>
          </cell>
          <cell r="AR87">
            <v>1688.8736198276388</v>
          </cell>
          <cell r="AS87">
            <v>732.59837105237557</v>
          </cell>
          <cell r="AT87">
            <v>798.74218363786065</v>
          </cell>
        </row>
        <row r="88">
          <cell r="T88">
            <v>1719.0347249750869</v>
          </cell>
          <cell r="U88">
            <v>1564.2338059062699</v>
          </cell>
          <cell r="V88">
            <v>1703.0281076405965</v>
          </cell>
          <cell r="W88">
            <v>1773.9442740562843</v>
          </cell>
          <cell r="X88">
            <v>1884.4076999627318</v>
          </cell>
          <cell r="Y88">
            <v>2011.5630946302124</v>
          </cell>
          <cell r="Z88">
            <v>2327.4999776996292</v>
          </cell>
          <cell r="AA88">
            <v>1512.8324003133846</v>
          </cell>
          <cell r="AB88">
            <v>1793.6824119282373</v>
          </cell>
          <cell r="AC88">
            <v>3036.4983639612437</v>
          </cell>
          <cell r="AD88">
            <v>1324.503025658832</v>
          </cell>
          <cell r="AE88">
            <v>1446.8954816669304</v>
          </cell>
          <cell r="AI88">
            <v>1490.8625603200289</v>
          </cell>
          <cell r="AJ88">
            <v>1356.306800311615</v>
          </cell>
          <cell r="AK88">
            <v>1479.4643957775977</v>
          </cell>
          <cell r="AL88">
            <v>1541.9158775856374</v>
          </cell>
          <cell r="AM88">
            <v>1637.2903222254545</v>
          </cell>
          <cell r="AN88">
            <v>1747.1363966728775</v>
          </cell>
          <cell r="AO88">
            <v>2021.5142370581016</v>
          </cell>
          <cell r="AP88">
            <v>1303.111046488553</v>
          </cell>
          <cell r="AQ88">
            <v>1556.7313348110449</v>
          </cell>
          <cell r="AR88">
            <v>2672.0150607165128</v>
          </cell>
          <cell r="AS88">
            <v>1159.0647505691447</v>
          </cell>
          <cell r="AT88">
            <v>1263.7127605366779</v>
          </cell>
        </row>
        <row r="89">
          <cell r="T89">
            <v>1213.6686225400549</v>
          </cell>
          <cell r="U89">
            <v>1234.1367377428344</v>
          </cell>
          <cell r="V89">
            <v>1093.3139340688713</v>
          </cell>
          <cell r="W89">
            <v>1173.0603648159965</v>
          </cell>
          <cell r="X89">
            <v>1138.8525328441726</v>
          </cell>
          <cell r="Y89">
            <v>1134.9008034845101</v>
          </cell>
          <cell r="Z89">
            <v>1155.1827015902174</v>
          </cell>
          <cell r="AA89">
            <v>1040.7718012786854</v>
          </cell>
          <cell r="AB89">
            <v>1205.965422800803</v>
          </cell>
          <cell r="AC89">
            <v>1479.227817124872</v>
          </cell>
          <cell r="AD89">
            <v>906.51008344480397</v>
          </cell>
          <cell r="AE89">
            <v>1041.4198173277664</v>
          </cell>
          <cell r="AI89">
            <v>1616.1796606378086</v>
          </cell>
          <cell r="AJ89">
            <v>1643.0701515640662</v>
          </cell>
          <cell r="AK89">
            <v>1458.3579695676333</v>
          </cell>
          <cell r="AL89">
            <v>1565.5885003684589</v>
          </cell>
          <cell r="AM89">
            <v>1519.3396460351985</v>
          </cell>
          <cell r="AN89">
            <v>1513.5180663394503</v>
          </cell>
          <cell r="AO89">
            <v>1540.5448612118889</v>
          </cell>
          <cell r="AP89">
            <v>1376.5204885854032</v>
          </cell>
          <cell r="AQ89">
            <v>1607.0875161157107</v>
          </cell>
          <cell r="AR89">
            <v>1998.6533202550499</v>
          </cell>
          <cell r="AS89">
            <v>1218.0466923557799</v>
          </cell>
          <cell r="AT89">
            <v>1396.6050305793685</v>
          </cell>
        </row>
        <row r="90">
          <cell r="T90">
            <v>1494.0357937677024</v>
          </cell>
          <cell r="U90">
            <v>1327.5461086360926</v>
          </cell>
          <cell r="V90">
            <v>1175.5265434268836</v>
          </cell>
          <cell r="W90">
            <v>1226.8485532545128</v>
          </cell>
          <cell r="X90">
            <v>1321.1818367755882</v>
          </cell>
          <cell r="Y90">
            <v>1533.2032058101322</v>
          </cell>
          <cell r="Z90">
            <v>1877.1854109723358</v>
          </cell>
          <cell r="AA90">
            <v>1254.9025651476502</v>
          </cell>
          <cell r="AB90">
            <v>1955.7852244670089</v>
          </cell>
          <cell r="AC90">
            <v>2569.0523696337996</v>
          </cell>
          <cell r="AD90">
            <v>1242.6172346617752</v>
          </cell>
          <cell r="AE90">
            <v>1353.2894313570303</v>
          </cell>
          <cell r="AI90">
            <v>1195.855493977971</v>
          </cell>
          <cell r="AJ90">
            <v>1062.357351611482</v>
          </cell>
          <cell r="AK90">
            <v>942.49679932761433</v>
          </cell>
          <cell r="AL90">
            <v>984.18423604078998</v>
          </cell>
          <cell r="AM90">
            <v>1059.4443786978284</v>
          </cell>
          <cell r="AN90">
            <v>1229.0162140595371</v>
          </cell>
          <cell r="AO90">
            <v>1504.7315638777459</v>
          </cell>
          <cell r="AP90">
            <v>997.6204843249476</v>
          </cell>
          <cell r="AQ90">
            <v>1566.5852033676183</v>
          </cell>
          <cell r="AR90">
            <v>2086.4287067343225</v>
          </cell>
          <cell r="AS90">
            <v>1003.5912316785078</v>
          </cell>
          <cell r="AT90">
            <v>1090.8540351538109</v>
          </cell>
        </row>
        <row r="91">
          <cell r="T91">
            <v>1201.9976200634194</v>
          </cell>
          <cell r="U91">
            <v>969.92304163629126</v>
          </cell>
          <cell r="V91">
            <v>889.13347578824812</v>
          </cell>
          <cell r="W91">
            <v>942.23337060104484</v>
          </cell>
          <cell r="X91">
            <v>838.07924438923988</v>
          </cell>
          <cell r="Y91">
            <v>954.21277484510961</v>
          </cell>
          <cell r="Z91">
            <v>998.37675390674588</v>
          </cell>
          <cell r="AA91">
            <v>873.87185506536696</v>
          </cell>
          <cell r="AB91">
            <v>1100.3213072165645</v>
          </cell>
          <cell r="AC91">
            <v>1423.0198879512147</v>
          </cell>
          <cell r="AD91">
            <v>726.12540713082569</v>
          </cell>
          <cell r="AE91">
            <v>880.00746301837194</v>
          </cell>
          <cell r="AI91">
            <v>1655.2121441565448</v>
          </cell>
          <cell r="AJ91">
            <v>1335.3362711234222</v>
          </cell>
          <cell r="AK91">
            <v>1226.4412844194906</v>
          </cell>
          <cell r="AL91">
            <v>1300.3979802931087</v>
          </cell>
          <cell r="AM91">
            <v>1156.2001122090185</v>
          </cell>
          <cell r="AN91">
            <v>1315.9381445794879</v>
          </cell>
          <cell r="AO91">
            <v>1376.8247888820422</v>
          </cell>
          <cell r="AP91">
            <v>1195.1858936009673</v>
          </cell>
          <cell r="AQ91">
            <v>1516.2986137057169</v>
          </cell>
          <cell r="AR91">
            <v>1988.2633967907259</v>
          </cell>
          <cell r="AS91">
            <v>1008.9356642751819</v>
          </cell>
          <cell r="AT91">
            <v>1220.3788237283738</v>
          </cell>
        </row>
        <row r="92">
          <cell r="T92">
            <v>833.44792404238945</v>
          </cell>
          <cell r="U92">
            <v>829.43915518739425</v>
          </cell>
          <cell r="V92">
            <v>622.55403311513624</v>
          </cell>
          <cell r="W92">
            <v>838.92822944917441</v>
          </cell>
          <cell r="X92">
            <v>853.51038844197126</v>
          </cell>
          <cell r="Y92">
            <v>967.90178416930962</v>
          </cell>
          <cell r="Z92">
            <v>1183.4615174370638</v>
          </cell>
          <cell r="AA92">
            <v>987.9096039920413</v>
          </cell>
          <cell r="AB92">
            <v>1178.1768068508018</v>
          </cell>
          <cell r="AC92">
            <v>1997.345612396547</v>
          </cell>
          <cell r="AD92">
            <v>730.58220272282256</v>
          </cell>
          <cell r="AE92">
            <v>761.24060839597519</v>
          </cell>
          <cell r="AI92">
            <v>1102.5072674037217</v>
          </cell>
          <cell r="AJ92">
            <v>1096.960116482232</v>
          </cell>
          <cell r="AK92">
            <v>824.91611163991604</v>
          </cell>
          <cell r="AL92">
            <v>1112.2324168595831</v>
          </cell>
          <cell r="AM92">
            <v>1131.1225717521488</v>
          </cell>
          <cell r="AN92">
            <v>1282.2552182505617</v>
          </cell>
          <cell r="AO92">
            <v>1567.8022818085401</v>
          </cell>
          <cell r="AP92">
            <v>1297.9496610841334</v>
          </cell>
          <cell r="AQ92">
            <v>1559.6552789527859</v>
          </cell>
          <cell r="AR92">
            <v>2680.8289387097198</v>
          </cell>
          <cell r="AS92">
            <v>975.15547800382558</v>
          </cell>
          <cell r="AT92">
            <v>1014.1056232904475</v>
          </cell>
        </row>
        <row r="93">
          <cell r="T93">
            <v>940.87871007779688</v>
          </cell>
          <cell r="U93">
            <v>857.16754223849864</v>
          </cell>
          <cell r="V93">
            <v>947.16229908866865</v>
          </cell>
          <cell r="W93">
            <v>951.24770827949806</v>
          </cell>
          <cell r="X93">
            <v>1055.630045848796</v>
          </cell>
          <cell r="Y93">
            <v>1076.0007440102841</v>
          </cell>
          <cell r="Z93">
            <v>1304.9176786318371</v>
          </cell>
          <cell r="AA93">
            <v>951.9104028573812</v>
          </cell>
          <cell r="AB93">
            <v>779.99626531846729</v>
          </cell>
          <cell r="AC93">
            <v>1159.3975210011226</v>
          </cell>
          <cell r="AD93">
            <v>640.33620967508034</v>
          </cell>
          <cell r="AE93">
            <v>647.35143341146534</v>
          </cell>
          <cell r="AI93">
            <v>1110.3795287899777</v>
          </cell>
          <cell r="AJ93">
            <v>1011.3624737131636</v>
          </cell>
          <cell r="AK93">
            <v>1119.6749221359109</v>
          </cell>
          <cell r="AL93">
            <v>1125.1208608881425</v>
          </cell>
          <cell r="AM93">
            <v>1248.0943391668886</v>
          </cell>
          <cell r="AN93">
            <v>1271.7172713164518</v>
          </cell>
          <cell r="AO93">
            <v>1542.251067974385</v>
          </cell>
          <cell r="AP93">
            <v>1115.7619016000942</v>
          </cell>
          <cell r="AQ93">
            <v>921.18209248517292</v>
          </cell>
          <cell r="AR93">
            <v>1388.2991688005945</v>
          </cell>
          <cell r="AS93">
            <v>762.5136990963473</v>
          </cell>
          <cell r="AT93">
            <v>769.37163425693564</v>
          </cell>
        </row>
        <row r="94">
          <cell r="T94">
            <v>1432.7755867932544</v>
          </cell>
          <cell r="U94">
            <v>1160.1485480283959</v>
          </cell>
          <cell r="V94">
            <v>1217.9530081379717</v>
          </cell>
          <cell r="W94">
            <v>1237.2120862353413</v>
          </cell>
          <cell r="X94">
            <v>1275.9935181342296</v>
          </cell>
          <cell r="Y94">
            <v>1566.1211936425784</v>
          </cell>
          <cell r="Z94">
            <v>1533.4395911887368</v>
          </cell>
          <cell r="AA94">
            <v>1380.1805711763664</v>
          </cell>
          <cell r="AB94">
            <v>1504.9112696509706</v>
          </cell>
          <cell r="AC94">
            <v>2397.1367303145548</v>
          </cell>
          <cell r="AD94">
            <v>1275.2829340382152</v>
          </cell>
          <cell r="AE94">
            <v>1125.2149079160336</v>
          </cell>
          <cell r="AI94">
            <v>1793.8473834612344</v>
          </cell>
          <cell r="AJ94">
            <v>1452.1926428507034</v>
          </cell>
          <cell r="AK94">
            <v>1527.4520801291055</v>
          </cell>
          <cell r="AL94">
            <v>1552.4557175700711</v>
          </cell>
          <cell r="AM94">
            <v>1600.4925337434315</v>
          </cell>
          <cell r="AN94">
            <v>1963.6897729970972</v>
          </cell>
          <cell r="AO94">
            <v>1872.68505430914</v>
          </cell>
          <cell r="AP94">
            <v>1766.2512964151499</v>
          </cell>
          <cell r="AQ94">
            <v>1885.5296743369922</v>
          </cell>
          <cell r="AR94">
            <v>3045.1803335029599</v>
          </cell>
          <cell r="AS94">
            <v>1611.0746018330581</v>
          </cell>
          <cell r="AT94">
            <v>1418.7342313570668</v>
          </cell>
        </row>
        <row r="95">
          <cell r="T95">
            <v>920.25129831646564</v>
          </cell>
          <cell r="U95">
            <v>814.07259890859802</v>
          </cell>
          <cell r="V95">
            <v>766.44541429019364</v>
          </cell>
          <cell r="W95">
            <v>732.60411190075388</v>
          </cell>
          <cell r="X95">
            <v>875.31049659938014</v>
          </cell>
          <cell r="Y95">
            <v>1000.5154627905234</v>
          </cell>
          <cell r="Z95">
            <v>1262.860014487783</v>
          </cell>
          <cell r="AA95">
            <v>905.04112889061162</v>
          </cell>
          <cell r="AB95">
            <v>1255.4738702047568</v>
          </cell>
          <cell r="AC95">
            <v>1875.933894789139</v>
          </cell>
          <cell r="AD95">
            <v>827.03207581181744</v>
          </cell>
          <cell r="AE95">
            <v>1002.7255929295434</v>
          </cell>
          <cell r="AI95">
            <v>1627.6360678055462</v>
          </cell>
          <cell r="AJ95">
            <v>1439.5187168388015</v>
          </cell>
          <cell r="AK95">
            <v>1357.8814007430226</v>
          </cell>
          <cell r="AL95">
            <v>1298.6375814447522</v>
          </cell>
          <cell r="AM95">
            <v>1550.9966810415708</v>
          </cell>
          <cell r="AN95">
            <v>1772.2087000578442</v>
          </cell>
          <cell r="AO95">
            <v>2236.8673925376984</v>
          </cell>
          <cell r="AP95">
            <v>1589.8524932661001</v>
          </cell>
          <cell r="AQ95">
            <v>2222.1516977999499</v>
          </cell>
          <cell r="AR95">
            <v>3366.520690632181</v>
          </cell>
          <cell r="AS95">
            <v>1475.9614163197596</v>
          </cell>
          <cell r="AT95">
            <v>1786.0401498580213</v>
          </cell>
        </row>
        <row r="96">
          <cell r="T96">
            <v>1425.7683044135601</v>
          </cell>
          <cell r="U96">
            <v>1626.1669114437843</v>
          </cell>
          <cell r="V96">
            <v>1517.320731360358</v>
          </cell>
          <cell r="W96">
            <v>1790.8653525448228</v>
          </cell>
          <cell r="X96">
            <v>1766.0229395079032</v>
          </cell>
          <cell r="Y96">
            <v>1519.1203418899124</v>
          </cell>
          <cell r="Z96">
            <v>1851.2364875758606</v>
          </cell>
          <cell r="AA96">
            <v>1548.0508188259698</v>
          </cell>
          <cell r="AB96">
            <v>1746.6193026476428</v>
          </cell>
          <cell r="AC96">
            <v>2726.3967864845022</v>
          </cell>
          <cell r="AD96">
            <v>1304.0151299351796</v>
          </cell>
          <cell r="AE96">
            <v>1298.6560050565404</v>
          </cell>
          <cell r="AI96">
            <v>935.08774612145294</v>
          </cell>
          <cell r="AJ96">
            <v>1066.2814225370073</v>
          </cell>
          <cell r="AK96">
            <v>996.80577389776499</v>
          </cell>
          <cell r="AL96">
            <v>1177.156196113345</v>
          </cell>
          <cell r="AM96">
            <v>1160.373003235228</v>
          </cell>
          <cell r="AN96">
            <v>997.78226921340433</v>
          </cell>
          <cell r="AO96">
            <v>1215.9045158105075</v>
          </cell>
          <cell r="AP96">
            <v>1008.3847602824734</v>
          </cell>
          <cell r="AQ96">
            <v>1146.3489143934557</v>
          </cell>
          <cell r="AR96">
            <v>1814.2843837770336</v>
          </cell>
          <cell r="AS96">
            <v>862.95435527156576</v>
          </cell>
          <cell r="AT96">
            <v>857.74024885038114</v>
          </cell>
        </row>
        <row r="107"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1284.5261848168998</v>
          </cell>
          <cell r="AD107">
            <v>1242.6172346617752</v>
          </cell>
          <cell r="AE107">
            <v>1353.2894313570303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883.88747738314203</v>
          </cell>
          <cell r="AS107">
            <v>850.31587154548322</v>
          </cell>
          <cell r="AT107">
            <v>924.25129908653855</v>
          </cell>
        </row>
        <row r="108"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520.38590063934271</v>
          </cell>
          <cell r="AB108">
            <v>1205.965422800803</v>
          </cell>
          <cell r="AC108">
            <v>1479.227817124872</v>
          </cell>
          <cell r="AD108">
            <v>906.51008344480397</v>
          </cell>
          <cell r="AE108">
            <v>1041.4198173277664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791.11140002911782</v>
          </cell>
          <cell r="AQ108">
            <v>1847.2449417010432</v>
          </cell>
          <cell r="AR108">
            <v>2297.3249428124554</v>
          </cell>
          <cell r="AS108">
            <v>1400.0672450297957</v>
          </cell>
          <cell r="AT108">
            <v>1605.3087043619444</v>
          </cell>
        </row>
        <row r="109"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1828.005207432929</v>
          </cell>
          <cell r="AC109">
            <v>5060.2093630522559</v>
          </cell>
          <cell r="AD109">
            <v>2492.0191895852258</v>
          </cell>
          <cell r="AE109">
            <v>2698.9176075171749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736.33073988763863</v>
          </cell>
          <cell r="AR109">
            <v>2066.6252032799034</v>
          </cell>
          <cell r="AS109">
            <v>1012.1235058804906</v>
          </cell>
          <cell r="AT109">
            <v>1094.0274588179172</v>
          </cell>
        </row>
        <row r="110"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766.71979559436841</v>
          </cell>
          <cell r="AA110">
            <v>1380.1805711763664</v>
          </cell>
          <cell r="AB110">
            <v>1504.9112696509706</v>
          </cell>
          <cell r="AC110">
            <v>2397.1367303145548</v>
          </cell>
          <cell r="AD110">
            <v>1275.2829340382152</v>
          </cell>
          <cell r="AE110">
            <v>1125.2149079160336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1038.8933056006674</v>
          </cell>
          <cell r="AP110">
            <v>1854.6999973584664</v>
          </cell>
          <cell r="AQ110">
            <v>2037.6339346788809</v>
          </cell>
          <cell r="AR110">
            <v>3290.8327401127922</v>
          </cell>
          <cell r="AS110">
            <v>1741.0387779490266</v>
          </cell>
          <cell r="AT110">
            <v>1533.1824544846959</v>
          </cell>
        </row>
      </sheetData>
      <sheetData sheetId="8"/>
      <sheetData sheetId="9" refreshError="1">
        <row r="4">
          <cell r="T4">
            <v>1743.8941295505463</v>
          </cell>
          <cell r="U4">
            <v>1594.3283657481934</v>
          </cell>
          <cell r="V4">
            <v>1596.8456935309239</v>
          </cell>
          <cell r="W4">
            <v>1751.9657026871118</v>
          </cell>
          <cell r="X4">
            <v>1896.9709882232553</v>
          </cell>
          <cell r="Y4">
            <v>2034.2064270939527</v>
          </cell>
          <cell r="Z4">
            <v>2981.7677316732447</v>
          </cell>
          <cell r="AA4">
            <v>2031.503654923918</v>
          </cell>
          <cell r="AB4">
            <v>2351.1708441105834</v>
          </cell>
          <cell r="AC4">
            <v>5402.3187507095299</v>
          </cell>
          <cell r="AD4">
            <v>2523.5279169694968</v>
          </cell>
          <cell r="AE4">
            <v>2241.4172463444906</v>
          </cell>
          <cell r="AI4">
            <v>1712.9193685701521</v>
          </cell>
          <cell r="AJ4">
            <v>1556.9537879503484</v>
          </cell>
          <cell r="AK4">
            <v>1587.2338639578218</v>
          </cell>
          <cell r="AL4">
            <v>1706.0352093480558</v>
          </cell>
          <cell r="AM4">
            <v>1883.3082521311248</v>
          </cell>
          <cell r="AN4">
            <v>2036.7521598490905</v>
          </cell>
          <cell r="AO4">
            <v>2860.2248731692616</v>
          </cell>
          <cell r="AP4">
            <v>1947.6371059529174</v>
          </cell>
          <cell r="AQ4">
            <v>2255.030576793928</v>
          </cell>
          <cell r="AR4">
            <v>5827.6968104661346</v>
          </cell>
          <cell r="AS4">
            <v>2519.4912008794963</v>
          </cell>
          <cell r="AT4">
            <v>2694.0628429095709</v>
          </cell>
        </row>
        <row r="5">
          <cell r="T5">
            <v>2382.0162172989226</v>
          </cell>
          <cell r="U5">
            <v>1953.9966355101826</v>
          </cell>
          <cell r="V5">
            <v>2042.3733312017869</v>
          </cell>
          <cell r="W5">
            <v>2129.9460848306412</v>
          </cell>
          <cell r="X5">
            <v>2215.3794964373305</v>
          </cell>
          <cell r="Y5">
            <v>2437.9519549997294</v>
          </cell>
          <cell r="Z5">
            <v>3624.9343854473523</v>
          </cell>
          <cell r="AA5">
            <v>2855.1591893525169</v>
          </cell>
          <cell r="AB5">
            <v>3252.8782612810041</v>
          </cell>
          <cell r="AC5">
            <v>7291.8307851331037</v>
          </cell>
          <cell r="AD5">
            <v>2778.5289431835395</v>
          </cell>
          <cell r="AE5">
            <v>2619.5695209331502</v>
          </cell>
          <cell r="AI5">
            <v>2217.3616542096274</v>
          </cell>
          <cell r="AJ5">
            <v>1808.4094821619674</v>
          </cell>
          <cell r="AK5">
            <v>1923.9248966624029</v>
          </cell>
          <cell r="AL5">
            <v>1965.6492037717919</v>
          </cell>
          <cell r="AM5">
            <v>2084.4134500122909</v>
          </cell>
          <cell r="AN5">
            <v>2313.3605250755154</v>
          </cell>
          <cell r="AO5">
            <v>3295.3498857216327</v>
          </cell>
          <cell r="AP5">
            <v>2594.1541181246075</v>
          </cell>
          <cell r="AQ5">
            <v>2956.7259439649283</v>
          </cell>
          <cell r="AR5">
            <v>7454.6685822137624</v>
          </cell>
          <cell r="AS5">
            <v>2629.0247338523077</v>
          </cell>
          <cell r="AT5">
            <v>2986.2832829106915</v>
          </cell>
        </row>
        <row r="6">
          <cell r="T6">
            <v>4757.7939262272093</v>
          </cell>
          <cell r="U6">
            <v>3787.9062203763119</v>
          </cell>
          <cell r="V6">
            <v>3130.0061126030032</v>
          </cell>
          <cell r="W6">
            <v>3169.3421317882207</v>
          </cell>
          <cell r="X6">
            <v>3403.4920932845012</v>
          </cell>
          <cell r="Y6">
            <v>3454.0094583995869</v>
          </cell>
          <cell r="Z6">
            <v>4538.2974147839413</v>
          </cell>
          <cell r="AA6">
            <v>3318.7395497598441</v>
          </cell>
          <cell r="AB6">
            <v>4797.9109987864013</v>
          </cell>
          <cell r="AC6">
            <v>8188.7027688688868</v>
          </cell>
          <cell r="AD6">
            <v>3978.7886369697599</v>
          </cell>
          <cell r="AE6">
            <v>4012.7919332494071</v>
          </cell>
          <cell r="AI6">
            <v>4446.9400658434297</v>
          </cell>
          <cell r="AJ6">
            <v>3519.9460902115397</v>
          </cell>
          <cell r="AK6">
            <v>2960.4790984752917</v>
          </cell>
          <cell r="AL6">
            <v>2936.7728616243235</v>
          </cell>
          <cell r="AM6">
            <v>3215.320805375316</v>
          </cell>
          <cell r="AN6">
            <v>3290.8306242245176</v>
          </cell>
          <cell r="AO6">
            <v>4142.4585023203736</v>
          </cell>
          <cell r="AP6">
            <v>3027.6275411937563</v>
          </cell>
          <cell r="AQ6">
            <v>4378.842042794271</v>
          </cell>
          <cell r="AR6">
            <v>8405.6382579845522</v>
          </cell>
          <cell r="AS6">
            <v>3780.0230286024153</v>
          </cell>
          <cell r="AT6">
            <v>4593.405190511412</v>
          </cell>
        </row>
        <row r="7">
          <cell r="T7">
            <v>1713.7247940566403</v>
          </cell>
          <cell r="U7">
            <v>1515.2911291870962</v>
          </cell>
          <cell r="V7">
            <v>1916.4380303707617</v>
          </cell>
          <cell r="W7">
            <v>1336.6112103068413</v>
          </cell>
          <cell r="X7">
            <v>1733.1875585709217</v>
          </cell>
          <cell r="Y7">
            <v>1954.8166649052409</v>
          </cell>
          <cell r="Z7">
            <v>2987.503009215196</v>
          </cell>
          <cell r="AA7">
            <v>2162.2478500878501</v>
          </cell>
          <cell r="AB7">
            <v>2275.1881732403458</v>
          </cell>
          <cell r="AC7">
            <v>5311.7693830360013</v>
          </cell>
          <cell r="AD7">
            <v>2126.4913630049282</v>
          </cell>
          <cell r="AE7">
            <v>1563.8791527336516</v>
          </cell>
          <cell r="AI7">
            <v>1554.6853494462287</v>
          </cell>
          <cell r="AJ7">
            <v>1366.7171740027231</v>
          </cell>
          <cell r="AK7">
            <v>1759.3707657070656</v>
          </cell>
          <cell r="AL7">
            <v>1202.1318693783337</v>
          </cell>
          <cell r="AM7">
            <v>1589.2451866956822</v>
          </cell>
          <cell r="AN7">
            <v>1807.7310500690505</v>
          </cell>
          <cell r="AO7">
            <v>2646.7891240329823</v>
          </cell>
          <cell r="AP7">
            <v>1914.6109019325634</v>
          </cell>
          <cell r="AQ7">
            <v>2015.4414701461144</v>
          </cell>
          <cell r="AR7">
            <v>5292.2527467380723</v>
          </cell>
          <cell r="AS7">
            <v>1960.8888498834754</v>
          </cell>
          <cell r="AT7">
            <v>1737.7276847410678</v>
          </cell>
        </row>
        <row r="8">
          <cell r="T8">
            <v>2494.39997325492</v>
          </cell>
          <cell r="U8">
            <v>2459.2106767766509</v>
          </cell>
          <cell r="V8">
            <v>2086.1808289125142</v>
          </cell>
          <cell r="W8">
            <v>2120.9561851315179</v>
          </cell>
          <cell r="X8">
            <v>2310.661581506301</v>
          </cell>
          <cell r="Y8">
            <v>2164.512243088463</v>
          </cell>
          <cell r="Z8">
            <v>2605.3359375898385</v>
          </cell>
          <cell r="AA8">
            <v>2100.0290153400169</v>
          </cell>
          <cell r="AB8">
            <v>2375.3185046887552</v>
          </cell>
          <cell r="AC8">
            <v>3653.624294093212</v>
          </cell>
          <cell r="AD8">
            <v>1848.8085364811679</v>
          </cell>
          <cell r="AE8">
            <v>2261.5100335489633</v>
          </cell>
          <cell r="AI8">
            <v>2551.4775521693118</v>
          </cell>
          <cell r="AJ8">
            <v>2500.9357766626295</v>
          </cell>
          <cell r="AK8">
            <v>2159.4282250627316</v>
          </cell>
          <cell r="AL8">
            <v>2150.8144278363015</v>
          </cell>
          <cell r="AM8">
            <v>2388.9437179536581</v>
          </cell>
          <cell r="AN8">
            <v>2256.8986888238569</v>
          </cell>
          <cell r="AO8">
            <v>2602.5492263645906</v>
          </cell>
          <cell r="AP8">
            <v>2096.6434489475755</v>
          </cell>
          <cell r="AQ8">
            <v>2372.4602993902677</v>
          </cell>
          <cell r="AR8">
            <v>4104.3981643879542</v>
          </cell>
          <cell r="AS8">
            <v>1922.2307674191254</v>
          </cell>
          <cell r="AT8">
            <v>2575.9029409566547</v>
          </cell>
        </row>
        <row r="9">
          <cell r="T9">
            <v>3744.271449508331</v>
          </cell>
          <cell r="U9">
            <v>3283.6297445128116</v>
          </cell>
          <cell r="V9">
            <v>3510.9676281388092</v>
          </cell>
          <cell r="W9">
            <v>3450.8115624338202</v>
          </cell>
          <cell r="X9">
            <v>3569.980645684851</v>
          </cell>
          <cell r="Y9">
            <v>3785.4973468601343</v>
          </cell>
          <cell r="Z9">
            <v>5507.0188917569139</v>
          </cell>
          <cell r="AA9">
            <v>3746.9236490431713</v>
          </cell>
          <cell r="AB9">
            <v>4000.89100601467</v>
          </cell>
          <cell r="AC9">
            <v>10579.078816520368</v>
          </cell>
          <cell r="AD9">
            <v>3122.4322911834079</v>
          </cell>
          <cell r="AE9">
            <v>3203.805219738696</v>
          </cell>
          <cell r="AI9">
            <v>3446.0123066347987</v>
          </cell>
          <cell r="AJ9">
            <v>3004.5872765124609</v>
          </cell>
          <cell r="AK9">
            <v>3269.9227120734622</v>
          </cell>
          <cell r="AL9">
            <v>3148.5915663876895</v>
          </cell>
          <cell r="AM9">
            <v>3320.9265889660824</v>
          </cell>
          <cell r="AN9">
            <v>3551.3935602771235</v>
          </cell>
          <cell r="AO9">
            <v>4949.66296972289</v>
          </cell>
          <cell r="AP9">
            <v>3365.8748882093141</v>
          </cell>
          <cell r="AQ9">
            <v>3595.4864884676904</v>
          </cell>
          <cell r="AR9">
            <v>10692.943946370749</v>
          </cell>
          <cell r="AS9">
            <v>2920.9925906971366</v>
          </cell>
          <cell r="AT9">
            <v>3610.8764539283957</v>
          </cell>
        </row>
        <row r="10">
          <cell r="T10">
            <v>3551.5359863432332</v>
          </cell>
          <cell r="U10">
            <v>3090.3816950316232</v>
          </cell>
          <cell r="V10">
            <v>3027.1388151693168</v>
          </cell>
          <cell r="W10">
            <v>2975.679409262229</v>
          </cell>
          <cell r="X10">
            <v>3302.5762864755688</v>
          </cell>
          <cell r="Y10">
            <v>3401.0938762225501</v>
          </cell>
          <cell r="Z10">
            <v>5113.0506577974993</v>
          </cell>
          <cell r="AA10">
            <v>3568.3437002567093</v>
          </cell>
          <cell r="AB10">
            <v>4531.9047392224757</v>
          </cell>
          <cell r="AC10">
            <v>8845.9167883725149</v>
          </cell>
          <cell r="AD10">
            <v>3484.341468231657</v>
          </cell>
          <cell r="AE10">
            <v>3712.312618795826</v>
          </cell>
          <cell r="AI10">
            <v>3231.8732436363366</v>
          </cell>
          <cell r="AJ10">
            <v>2795.9626612429433</v>
          </cell>
          <cell r="AK10">
            <v>2787.6073517507125</v>
          </cell>
          <cell r="AL10">
            <v>2684.5396633714217</v>
          </cell>
          <cell r="AM10">
            <v>3037.6300031929923</v>
          </cell>
          <cell r="AN10">
            <v>3154.8816925167084</v>
          </cell>
          <cell r="AO10">
            <v>4543.8894757433372</v>
          </cell>
          <cell r="AP10">
            <v>3169.4098682409281</v>
          </cell>
          <cell r="AQ10">
            <v>4026.8950861933013</v>
          </cell>
          <cell r="AR10">
            <v>8840.5826566773158</v>
          </cell>
          <cell r="AS10">
            <v>3222.8993077093046</v>
          </cell>
          <cell r="AT10">
            <v>4137.3926659180552</v>
          </cell>
        </row>
        <row r="11">
          <cell r="T11">
            <v>1759.6443896594978</v>
          </cell>
          <cell r="U11">
            <v>1486.3483577622271</v>
          </cell>
          <cell r="V11">
            <v>1298.8499518209862</v>
          </cell>
          <cell r="W11">
            <v>1279.244873952033</v>
          </cell>
          <cell r="X11">
            <v>1454.1309182992234</v>
          </cell>
          <cell r="Y11">
            <v>1533.8629114401292</v>
          </cell>
          <cell r="Z11">
            <v>2043.1184720439737</v>
          </cell>
          <cell r="AA11">
            <v>1617.9625865450998</v>
          </cell>
          <cell r="AB11">
            <v>1811.9510870752733</v>
          </cell>
          <cell r="AC11">
            <v>4935.5649231414136</v>
          </cell>
          <cell r="AD11">
            <v>1799.8825738671187</v>
          </cell>
          <cell r="AE11">
            <v>1682.2477194825474</v>
          </cell>
          <cell r="AI11">
            <v>1644.9010310540248</v>
          </cell>
          <cell r="AJ11">
            <v>1381.3909814265439</v>
          </cell>
          <cell r="AK11">
            <v>1228.6693117707059</v>
          </cell>
          <cell r="AL11">
            <v>1185.5343302698079</v>
          </cell>
          <cell r="AM11">
            <v>1373.9226662571302</v>
          </cell>
          <cell r="AN11">
            <v>1461.5974244523898</v>
          </cell>
          <cell r="AO11">
            <v>1865.1680956080502</v>
          </cell>
          <cell r="AP11">
            <v>1476.23999116911</v>
          </cell>
          <cell r="AQ11">
            <v>1653.9134407658159</v>
          </cell>
          <cell r="AR11">
            <v>5067.0089624511829</v>
          </cell>
          <cell r="AS11">
            <v>1710.2002433174607</v>
          </cell>
          <cell r="AT11">
            <v>1926.4209392597361</v>
          </cell>
        </row>
        <row r="12">
          <cell r="T12">
            <v>1514.8069707660072</v>
          </cell>
          <cell r="U12">
            <v>1387.669108419007</v>
          </cell>
          <cell r="V12">
            <v>1088.0992286229512</v>
          </cell>
          <cell r="W12">
            <v>1265.3386868061079</v>
          </cell>
          <cell r="X12">
            <v>1365.3138404847994</v>
          </cell>
          <cell r="Y12">
            <v>1473.857716567871</v>
          </cell>
          <cell r="Z12">
            <v>2192.5554712877492</v>
          </cell>
          <cell r="AA12">
            <v>1771.3450833032168</v>
          </cell>
          <cell r="AB12">
            <v>1935.4884111914625</v>
          </cell>
          <cell r="AC12">
            <v>5712.0192410527843</v>
          </cell>
          <cell r="AD12">
            <v>1623.9852277610137</v>
          </cell>
          <cell r="AE12">
            <v>1762.1642528995537</v>
          </cell>
          <cell r="AI12">
            <v>1397.6666144629876</v>
          </cell>
          <cell r="AJ12">
            <v>1272.9559105311421</v>
          </cell>
          <cell r="AK12">
            <v>1015.9584896945294</v>
          </cell>
          <cell r="AL12">
            <v>1157.4404836663548</v>
          </cell>
          <cell r="AM12">
            <v>1273.276446129446</v>
          </cell>
          <cell r="AN12">
            <v>1386.2074068813829</v>
          </cell>
          <cell r="AO12">
            <v>1975.6338122998743</v>
          </cell>
          <cell r="AP12">
            <v>1595.2292356360213</v>
          </cell>
          <cell r="AQ12">
            <v>1743.7664388821026</v>
          </cell>
          <cell r="AR12">
            <v>5788.0982968117296</v>
          </cell>
          <cell r="AS12">
            <v>1523.0574978560103</v>
          </cell>
          <cell r="AT12">
            <v>1991.4465521133013</v>
          </cell>
        </row>
        <row r="13">
          <cell r="T13">
            <v>3946.6558792717478</v>
          </cell>
          <cell r="U13">
            <v>3204.9092058346555</v>
          </cell>
          <cell r="V13">
            <v>3246.7645303550084</v>
          </cell>
          <cell r="W13">
            <v>3464.4391087203453</v>
          </cell>
          <cell r="X13">
            <v>3470.1802501252446</v>
          </cell>
          <cell r="Y13">
            <v>4437.9298207084721</v>
          </cell>
          <cell r="Z13">
            <v>6187.6244031524175</v>
          </cell>
          <cell r="AA13">
            <v>3974.6915280071216</v>
          </cell>
          <cell r="AB13">
            <v>4445.0782761312175</v>
          </cell>
          <cell r="AC13">
            <v>7218.6182254813702</v>
          </cell>
          <cell r="AD13">
            <v>3008.029904500911</v>
          </cell>
          <cell r="AE13">
            <v>4421.2446683456301</v>
          </cell>
          <cell r="AI13">
            <v>3876.5976467172127</v>
          </cell>
          <cell r="AJ13">
            <v>3129.8126592480385</v>
          </cell>
          <cell r="AK13">
            <v>3227.2560592449427</v>
          </cell>
          <cell r="AL13">
            <v>3373.6496945718272</v>
          </cell>
          <cell r="AM13">
            <v>3445.2236273509393</v>
          </cell>
          <cell r="AN13">
            <v>4443.5314302906772</v>
          </cell>
          <cell r="AO13">
            <v>5935.4680951261371</v>
          </cell>
          <cell r="AP13">
            <v>3810.6452823594122</v>
          </cell>
          <cell r="AQ13">
            <v>4263.363113108484</v>
          </cell>
          <cell r="AR13">
            <v>7787.0951368148426</v>
          </cell>
          <cell r="AS13">
            <v>3003.2504075893376</v>
          </cell>
          <cell r="AT13">
            <v>5319.1436549553482</v>
          </cell>
        </row>
        <row r="14">
          <cell r="T14">
            <v>1915.9747898030755</v>
          </cell>
          <cell r="U14">
            <v>1705.1435031692099</v>
          </cell>
          <cell r="V14">
            <v>1901.0477501228868</v>
          </cell>
          <cell r="W14">
            <v>2028.8948583456006</v>
          </cell>
          <cell r="X14">
            <v>2091.2723305156005</v>
          </cell>
          <cell r="Y14">
            <v>2326.8452247179694</v>
          </cell>
          <cell r="Z14">
            <v>3064.5415442930475</v>
          </cell>
          <cell r="AA14">
            <v>2375.3339883727122</v>
          </cell>
          <cell r="AB14">
            <v>2674.4988226997389</v>
          </cell>
          <cell r="AC14">
            <v>5936.6156785075555</v>
          </cell>
          <cell r="AD14">
            <v>2158.5909144343777</v>
          </cell>
          <cell r="AE14">
            <v>2561.856135494595</v>
          </cell>
          <cell r="AI14">
            <v>1870.3091868634515</v>
          </cell>
          <cell r="AJ14">
            <v>1654.8769100326306</v>
          </cell>
          <cell r="AK14">
            <v>1877.9231128045842</v>
          </cell>
          <cell r="AL14">
            <v>1963.4902264950945</v>
          </cell>
          <cell r="AM14">
            <v>2063.374809082658</v>
          </cell>
          <cell r="AN14">
            <v>2315.3543793192584</v>
          </cell>
          <cell r="AO14">
            <v>2921.4515888355731</v>
          </cell>
          <cell r="AP14">
            <v>2263.1947521082479</v>
          </cell>
          <cell r="AQ14">
            <v>2549.2796008945743</v>
          </cell>
          <cell r="AR14">
            <v>6364.4736266809405</v>
          </cell>
          <cell r="AS14">
            <v>2141.8146731083766</v>
          </cell>
          <cell r="AT14">
            <v>3063.1727238928365</v>
          </cell>
        </row>
        <row r="15">
          <cell r="T15">
            <v>934.31699141693798</v>
          </cell>
          <cell r="U15">
            <v>876.92416795268889</v>
          </cell>
          <cell r="V15">
            <v>1036.0507936541626</v>
          </cell>
          <cell r="W15">
            <v>1132.3234943054103</v>
          </cell>
          <cell r="X15">
            <v>1156.2328829590651</v>
          </cell>
          <cell r="Y15">
            <v>1245.4961003251553</v>
          </cell>
          <cell r="Z15">
            <v>1742.5263683207083</v>
          </cell>
          <cell r="AA15">
            <v>1300.7811722568392</v>
          </cell>
          <cell r="AB15">
            <v>1432.5598075937387</v>
          </cell>
          <cell r="AC15">
            <v>4006.7756354423836</v>
          </cell>
          <cell r="AD15">
            <v>1254.5602437847133</v>
          </cell>
          <cell r="AE15">
            <v>1330.0339112990005</v>
          </cell>
          <cell r="AI15">
            <v>870.6383264040636</v>
          </cell>
          <cell r="AJ15">
            <v>812.43143461144268</v>
          </cell>
          <cell r="AK15">
            <v>976.98016587434711</v>
          </cell>
          <cell r="AL15">
            <v>1046.0673292669551</v>
          </cell>
          <cell r="AM15">
            <v>1089.0122544699268</v>
          </cell>
          <cell r="AN15">
            <v>1183.074967962164</v>
          </cell>
          <cell r="AO15">
            <v>1585.7417373467551</v>
          </cell>
          <cell r="AP15">
            <v>1183.099863463586</v>
          </cell>
          <cell r="AQ15">
            <v>1303.4901078613505</v>
          </cell>
          <cell r="AR15">
            <v>4100.5158822631101</v>
          </cell>
          <cell r="AS15">
            <v>1188.2914800570522</v>
          </cell>
          <cell r="AT15">
            <v>1517.9993411071387</v>
          </cell>
        </row>
        <row r="16">
          <cell r="T16">
            <v>2803.2957305247019</v>
          </cell>
          <cell r="U16">
            <v>2131.8661319370431</v>
          </cell>
          <cell r="V16">
            <v>1522.5407231635784</v>
          </cell>
          <cell r="W16">
            <v>1565.3939125308766</v>
          </cell>
          <cell r="X16">
            <v>1503.4789023497806</v>
          </cell>
          <cell r="Y16">
            <v>1548.2612472580265</v>
          </cell>
          <cell r="Z16">
            <v>1984.5565540421871</v>
          </cell>
          <cell r="AA16">
            <v>1439.6380681556329</v>
          </cell>
          <cell r="AB16">
            <v>1701.228622122447</v>
          </cell>
          <cell r="AC16">
            <v>3925.3535845751699</v>
          </cell>
          <cell r="AD16">
            <v>1599.8339992551444</v>
          </cell>
          <cell r="AE16">
            <v>1869.4640126487798</v>
          </cell>
          <cell r="AI16">
            <v>2549.2185459965108</v>
          </cell>
          <cell r="AJ16">
            <v>1927.4327278928695</v>
          </cell>
          <cell r="AK16">
            <v>1401.0971063823515</v>
          </cell>
          <cell r="AL16">
            <v>1411.2611298883446</v>
          </cell>
          <cell r="AM16">
            <v>1381.9088814903064</v>
          </cell>
          <cell r="AN16">
            <v>1435.187874220813</v>
          </cell>
          <cell r="AO16">
            <v>1762.4272433059414</v>
          </cell>
          <cell r="AP16">
            <v>1277.8065310861095</v>
          </cell>
          <cell r="AQ16">
            <v>1510.6097298642603</v>
          </cell>
          <cell r="AR16">
            <v>3920.2780994177374</v>
          </cell>
          <cell r="AS16">
            <v>1478.7712682618537</v>
          </cell>
          <cell r="AT16">
            <v>2081.7442512317798</v>
          </cell>
        </row>
        <row r="17">
          <cell r="T17">
            <v>4043.2344744724473</v>
          </cell>
          <cell r="U17">
            <v>3922.2089119688876</v>
          </cell>
          <cell r="V17">
            <v>4178.9041338377629</v>
          </cell>
          <cell r="W17">
            <v>4632.6774347090604</v>
          </cell>
          <cell r="X17">
            <v>4833.3275250185634</v>
          </cell>
          <cell r="Y17">
            <v>5092.9627462629824</v>
          </cell>
          <cell r="Z17">
            <v>6626.8881907233736</v>
          </cell>
          <cell r="AA17">
            <v>5314.8813990950175</v>
          </cell>
          <cell r="AB17">
            <v>6194.4222806425632</v>
          </cell>
          <cell r="AC17">
            <v>11946.087859662837</v>
          </cell>
          <cell r="AD17">
            <v>4781.2120765720874</v>
          </cell>
          <cell r="AE17">
            <v>5633.3776312798427</v>
          </cell>
          <cell r="AI17">
            <v>3947.4090974094684</v>
          </cell>
          <cell r="AJ17">
            <v>3807.1069502252712</v>
          </cell>
          <cell r="AK17">
            <v>4128.6377889390078</v>
          </cell>
          <cell r="AL17">
            <v>4483.9509972154319</v>
          </cell>
          <cell r="AM17">
            <v>4769.5054757639064</v>
          </cell>
          <cell r="AN17">
            <v>5068.5072088927327</v>
          </cell>
          <cell r="AO17">
            <v>6318.3316364993752</v>
          </cell>
          <cell r="AP17">
            <v>5064.6613968927622</v>
          </cell>
          <cell r="AQ17">
            <v>5905.2115631871429</v>
          </cell>
          <cell r="AR17">
            <v>12808.812087953675</v>
          </cell>
          <cell r="AS17">
            <v>4744.7042392272215</v>
          </cell>
          <cell r="AT17">
            <v>6734.6365378748924</v>
          </cell>
        </row>
        <row r="18">
          <cell r="T18">
            <v>1370.0542083316311</v>
          </cell>
          <cell r="U18">
            <v>1398.3077829049337</v>
          </cell>
          <cell r="V18">
            <v>1029.8253632810722</v>
          </cell>
          <cell r="W18">
            <v>1055.2234160176017</v>
          </cell>
          <cell r="X18">
            <v>1119.8298340021465</v>
          </cell>
          <cell r="Y18">
            <v>1114.1772402800241</v>
          </cell>
          <cell r="Z18">
            <v>1359.5973009556046</v>
          </cell>
          <cell r="AA18">
            <v>1165.2902218188506</v>
          </cell>
          <cell r="AB18">
            <v>1289.1202875386489</v>
          </cell>
          <cell r="AC18">
            <v>1991.0113081781956</v>
          </cell>
          <cell r="AD18">
            <v>958.62269592580151</v>
          </cell>
          <cell r="AE18">
            <v>1201.0245541602967</v>
          </cell>
          <cell r="AI18">
            <v>1324.7192405895123</v>
          </cell>
          <cell r="AJ18">
            <v>1344.2189486981404</v>
          </cell>
          <cell r="AK18">
            <v>1007.6526276897195</v>
          </cell>
          <cell r="AL18">
            <v>1011.5237835511188</v>
          </cell>
          <cell r="AM18">
            <v>1094.4150148954268</v>
          </cell>
          <cell r="AN18">
            <v>1098.162817317628</v>
          </cell>
          <cell r="AO18">
            <v>1283.8253622153018</v>
          </cell>
          <cell r="AP18">
            <v>1099.7496260784746</v>
          </cell>
          <cell r="AQ18">
            <v>1217.1132191016025</v>
          </cell>
          <cell r="AR18">
            <v>2114.2666508511361</v>
          </cell>
          <cell r="AS18">
            <v>942.15363507902191</v>
          </cell>
          <cell r="AT18">
            <v>1421.5668153559361</v>
          </cell>
        </row>
        <row r="19">
          <cell r="T19">
            <v>7317.5278372269941</v>
          </cell>
          <cell r="U19">
            <v>6616.0309241430623</v>
          </cell>
          <cell r="V19">
            <v>7471.1005087193353</v>
          </cell>
          <cell r="W19">
            <v>7819.1418576834176</v>
          </cell>
          <cell r="X19">
            <v>8097.953693867752</v>
          </cell>
          <cell r="Y19">
            <v>8318.9471725582898</v>
          </cell>
          <cell r="Z19">
            <v>10251.319997664881</v>
          </cell>
          <cell r="AA19">
            <v>7937.6807813546829</v>
          </cell>
          <cell r="AB19">
            <v>8984.3609880261101</v>
          </cell>
          <cell r="AC19">
            <v>19846.479865984355</v>
          </cell>
          <cell r="AD19">
            <v>7751.0291536591822</v>
          </cell>
          <cell r="AE19">
            <v>9164.3423929243345</v>
          </cell>
          <cell r="AI19">
            <v>7285.9135448168563</v>
          </cell>
          <cell r="AJ19">
            <v>6549.3515373818045</v>
          </cell>
          <cell r="AK19">
            <v>7527.7532355716212</v>
          </cell>
          <cell r="AL19">
            <v>7718.3471534489818</v>
          </cell>
          <cell r="AM19">
            <v>8149.6477053459967</v>
          </cell>
          <cell r="AN19">
            <v>8443.3415118248795</v>
          </cell>
          <cell r="AO19">
            <v>9968.0219298893808</v>
          </cell>
          <cell r="AP19">
            <v>7714.1288286036825</v>
          </cell>
          <cell r="AQ19">
            <v>8734.9066237454808</v>
          </cell>
          <cell r="AR19">
            <v>21702.164845845939</v>
          </cell>
          <cell r="AS19">
            <v>7844.5300088582717</v>
          </cell>
          <cell r="AT19">
            <v>11144.317118657249</v>
          </cell>
        </row>
        <row r="20">
          <cell r="T20">
            <v>1043.3538851768776</v>
          </cell>
          <cell r="U20">
            <v>1104.001954074178</v>
          </cell>
          <cell r="V20">
            <v>1234.525537003402</v>
          </cell>
          <cell r="W20">
            <v>1390.6978132418255</v>
          </cell>
          <cell r="X20">
            <v>1474.5664536281845</v>
          </cell>
          <cell r="Y20">
            <v>1450.7657479764207</v>
          </cell>
          <cell r="Z20">
            <v>1586.3207513574969</v>
          </cell>
          <cell r="AA20">
            <v>1004.723811159309</v>
          </cell>
          <cell r="AB20">
            <v>1297.4773372722821</v>
          </cell>
          <cell r="AC20">
            <v>3888.2416494729055</v>
          </cell>
          <cell r="AD20">
            <v>1040.530810771339</v>
          </cell>
          <cell r="AE20">
            <v>991.10168019580908</v>
          </cell>
          <cell r="AI20">
            <v>970.80894706801553</v>
          </cell>
          <cell r="AJ20">
            <v>1021.2995010627697</v>
          </cell>
          <cell r="AK20">
            <v>1162.4208080737619</v>
          </cell>
          <cell r="AL20">
            <v>1282.8636216077939</v>
          </cell>
          <cell r="AM20">
            <v>1386.7890316714468</v>
          </cell>
          <cell r="AN20">
            <v>1376.0232914009848</v>
          </cell>
          <cell r="AO20">
            <v>1441.4603544471761</v>
          </cell>
          <cell r="AP20">
            <v>912.47811072457557</v>
          </cell>
          <cell r="AQ20">
            <v>1178.8359086970827</v>
          </cell>
          <cell r="AR20">
            <v>3973.3362575835877</v>
          </cell>
          <cell r="AS20">
            <v>984.11308215389204</v>
          </cell>
          <cell r="AT20">
            <v>1129.3283385008442</v>
          </cell>
        </row>
        <row r="21">
          <cell r="T21">
            <v>1330.634708323453</v>
          </cell>
          <cell r="U21">
            <v>1251.8318873344635</v>
          </cell>
          <cell r="V21">
            <v>1354.5062741263655</v>
          </cell>
          <cell r="W21">
            <v>1509.818192906228</v>
          </cell>
          <cell r="X21">
            <v>1568.8098115319633</v>
          </cell>
          <cell r="Y21">
            <v>1640.4701514825997</v>
          </cell>
          <cell r="Z21">
            <v>2043.3815530894285</v>
          </cell>
          <cell r="AA21">
            <v>1537.2951446220636</v>
          </cell>
          <cell r="AB21">
            <v>1925.9002439578212</v>
          </cell>
          <cell r="AC21">
            <v>4475.6768650699432</v>
          </cell>
          <cell r="AD21">
            <v>1323.3318161702955</v>
          </cell>
          <cell r="AE21">
            <v>1460.2809841549963</v>
          </cell>
          <cell r="AI21">
            <v>1274.1727211788375</v>
          </cell>
          <cell r="AJ21">
            <v>1191.781420434032</v>
          </cell>
          <cell r="AK21">
            <v>1312.5372618770732</v>
          </cell>
          <cell r="AL21">
            <v>1433.3085627178832</v>
          </cell>
          <cell r="AM21">
            <v>1518.3911662033806</v>
          </cell>
          <cell r="AN21">
            <v>1601.2684521796293</v>
          </cell>
          <cell r="AO21">
            <v>1910.858322207444</v>
          </cell>
          <cell r="AP21">
            <v>1436.8132977408798</v>
          </cell>
          <cell r="AQ21">
            <v>1800.7552383825218</v>
          </cell>
          <cell r="AR21">
            <v>4706.8257330463921</v>
          </cell>
          <cell r="AS21">
            <v>1288.0304724196797</v>
          </cell>
          <cell r="AT21">
            <v>1712.9388391390407</v>
          </cell>
        </row>
        <row r="22">
          <cell r="T22">
            <v>5450.5727652641408</v>
          </cell>
          <cell r="U22">
            <v>5124.9955374772162</v>
          </cell>
          <cell r="V22">
            <v>5713.0507347216853</v>
          </cell>
          <cell r="W22">
            <v>6078.3759521554657</v>
          </cell>
          <cell r="X22">
            <v>6587.8185765109083</v>
          </cell>
          <cell r="Y22">
            <v>6392.9507443337397</v>
          </cell>
          <cell r="Z22">
            <v>8930.5323295705894</v>
          </cell>
          <cell r="AA22">
            <v>7530.5992836813648</v>
          </cell>
          <cell r="AB22">
            <v>9043.5538573447848</v>
          </cell>
          <cell r="AC22">
            <v>15836.988197496497</v>
          </cell>
          <cell r="AD22">
            <v>6555.3796349844897</v>
          </cell>
          <cell r="AE22">
            <v>7761.0123389389419</v>
          </cell>
          <cell r="AI22">
            <v>5571.1729917651319</v>
          </cell>
          <cell r="AJ22">
            <v>5208.097893562428</v>
          </cell>
          <cell r="AK22">
            <v>5909.2688317709844</v>
          </cell>
          <cell r="AL22">
            <v>6159.3891801512227</v>
          </cell>
          <cell r="AM22">
            <v>6805.9702866326988</v>
          </cell>
          <cell r="AN22">
            <v>6660.8893540839845</v>
          </cell>
          <cell r="AO22">
            <v>8914.3855452964381</v>
          </cell>
          <cell r="AP22">
            <v>7512.9010420807508</v>
          </cell>
          <cell r="AQ22">
            <v>9025.9947070736616</v>
          </cell>
          <cell r="AR22">
            <v>17777.759839622959</v>
          </cell>
          <cell r="AS22">
            <v>6810.6769008536494</v>
          </cell>
          <cell r="AT22">
            <v>9708.2467106992772</v>
          </cell>
        </row>
        <row r="23">
          <cell r="T23">
            <v>657.12067285520618</v>
          </cell>
          <cell r="U23">
            <v>592.71952560705574</v>
          </cell>
          <cell r="V23">
            <v>641.95244432139668</v>
          </cell>
          <cell r="W23">
            <v>691.73829969698636</v>
          </cell>
          <cell r="X23">
            <v>714.92110824402971</v>
          </cell>
          <cell r="Y23">
            <v>782.17360492587159</v>
          </cell>
          <cell r="Z23">
            <v>1093.5471611860314</v>
          </cell>
          <cell r="AA23">
            <v>851.24316480769039</v>
          </cell>
          <cell r="AB23">
            <v>977.70599005672148</v>
          </cell>
          <cell r="AC23">
            <v>2211.7944108938718</v>
          </cell>
          <cell r="AD23">
            <v>794.50033097207631</v>
          </cell>
          <cell r="AE23">
            <v>794.23619363172497</v>
          </cell>
          <cell r="AI23">
            <v>623.34986369744513</v>
          </cell>
          <cell r="AJ23">
            <v>559.00683477802784</v>
          </cell>
          <cell r="AK23">
            <v>616.24124229087124</v>
          </cell>
          <cell r="AL23">
            <v>650.54021113938938</v>
          </cell>
          <cell r="AM23">
            <v>685.47050854431495</v>
          </cell>
          <cell r="AN23">
            <v>756.33858008056256</v>
          </cell>
          <cell r="AO23">
            <v>1013.0568565060549</v>
          </cell>
          <cell r="AP23">
            <v>788.15929915210143</v>
          </cell>
          <cell r="AQ23">
            <v>905.6209437658938</v>
          </cell>
          <cell r="AR23">
            <v>2304.2597547274609</v>
          </cell>
          <cell r="AS23">
            <v>766.07051826614088</v>
          </cell>
          <cell r="AT23">
            <v>922.77093060765776</v>
          </cell>
        </row>
        <row r="24">
          <cell r="T24">
            <v>992.25968679654864</v>
          </cell>
          <cell r="U24">
            <v>954.41219817654769</v>
          </cell>
          <cell r="V24">
            <v>772.77372210379554</v>
          </cell>
          <cell r="W24">
            <v>833.63643062180336</v>
          </cell>
          <cell r="X24">
            <v>976.63866246103044</v>
          </cell>
          <cell r="Y24">
            <v>1015.1245603554352</v>
          </cell>
          <cell r="Z24">
            <v>1419.9119465517417</v>
          </cell>
          <cell r="AA24">
            <v>1213.5244417316992</v>
          </cell>
          <cell r="AB24">
            <v>1459.9594218074744</v>
          </cell>
          <cell r="AC24">
            <v>3298.6107178866309</v>
          </cell>
          <cell r="AD24">
            <v>1215.7409012613007</v>
          </cell>
          <cell r="AE24">
            <v>1341.4969885290709</v>
          </cell>
          <cell r="AI24">
            <v>969.15052577425786</v>
          </cell>
          <cell r="AJ24">
            <v>926.7935758169375</v>
          </cell>
          <cell r="AK24">
            <v>763.79955123561842</v>
          </cell>
          <cell r="AL24">
            <v>807.21302203575135</v>
          </cell>
          <cell r="AM24">
            <v>964.14802776322517</v>
          </cell>
          <cell r="AN24">
            <v>1010.6751387469411</v>
          </cell>
          <cell r="AO24">
            <v>1354.3685663738913</v>
          </cell>
          <cell r="AP24">
            <v>1156.8792829486276</v>
          </cell>
          <cell r="AQ24">
            <v>1392.3810902068478</v>
          </cell>
          <cell r="AR24">
            <v>3538.3182616124782</v>
          </cell>
          <cell r="AS24">
            <v>1206.9654665186454</v>
          </cell>
          <cell r="AT24">
            <v>1605.0600114099018</v>
          </cell>
        </row>
        <row r="25">
          <cell r="T25">
            <v>1347.8254661212939</v>
          </cell>
          <cell r="U25">
            <v>1263.984668066309</v>
          </cell>
          <cell r="V25">
            <v>1135.8945623811935</v>
          </cell>
          <cell r="W25">
            <v>1195.5635794339867</v>
          </cell>
          <cell r="X25">
            <v>1105.9984573719858</v>
          </cell>
          <cell r="Y25">
            <v>1214.0344034297621</v>
          </cell>
          <cell r="Z25">
            <v>1500.2251717356805</v>
          </cell>
          <cell r="AA25">
            <v>1430.2223868241701</v>
          </cell>
          <cell r="AB25">
            <v>1420.2782108740294</v>
          </cell>
          <cell r="AC25">
            <v>3444.5471216852297</v>
          </cell>
          <cell r="AD25">
            <v>1287.1739335558452</v>
          </cell>
          <cell r="AE25">
            <v>1565.7522188531295</v>
          </cell>
          <cell r="AI25">
            <v>1278.3956113027966</v>
          </cell>
          <cell r="AJ25">
            <v>1191.9404665662164</v>
          </cell>
          <cell r="AK25">
            <v>1090.2618073392002</v>
          </cell>
          <cell r="AL25">
            <v>1124.2162939176442</v>
          </cell>
          <cell r="AM25">
            <v>1060.3031472854241</v>
          </cell>
          <cell r="AN25">
            <v>1173.7861107753299</v>
          </cell>
          <cell r="AO25">
            <v>1389.6250216763958</v>
          </cell>
          <cell r="AP25">
            <v>1324.0634965277459</v>
          </cell>
          <cell r="AQ25">
            <v>1315.3958904284052</v>
          </cell>
          <cell r="AR25">
            <v>3588.0929365733173</v>
          </cell>
          <cell r="AS25">
            <v>1240.9571270026904</v>
          </cell>
          <cell r="AT25">
            <v>1819.201045064663</v>
          </cell>
        </row>
        <row r="26">
          <cell r="T26">
            <v>3815.6447807523991</v>
          </cell>
          <cell r="U26">
            <v>3208.1147869934289</v>
          </cell>
          <cell r="V26">
            <v>2695.335359571397</v>
          </cell>
          <cell r="W26">
            <v>3006.8281788717773</v>
          </cell>
          <cell r="X26">
            <v>3271.9941400057801</v>
          </cell>
          <cell r="Y26">
            <v>3113.9438484776874</v>
          </cell>
          <cell r="Z26">
            <v>4309.7066986404598</v>
          </cell>
          <cell r="AA26">
            <v>3612.9217290949659</v>
          </cell>
          <cell r="AB26">
            <v>3959.0650837512826</v>
          </cell>
          <cell r="AC26">
            <v>9515.1388806875639</v>
          </cell>
          <cell r="AD26">
            <v>3600.1947175620526</v>
          </cell>
          <cell r="AE26">
            <v>4459.215532106813</v>
          </cell>
          <cell r="AI26">
            <v>3657.9153733126022</v>
          </cell>
          <cell r="AJ26">
            <v>3057.7132894307656</v>
          </cell>
          <cell r="AK26">
            <v>2614.8073094828865</v>
          </cell>
          <cell r="AL26">
            <v>2857.7215768997162</v>
          </cell>
          <cell r="AM26">
            <v>3170.4590627422699</v>
          </cell>
          <cell r="AN26">
            <v>3043.0063082791085</v>
          </cell>
          <cell r="AO26">
            <v>4034.8091368878786</v>
          </cell>
          <cell r="AP26">
            <v>3380.6319947321217</v>
          </cell>
          <cell r="AQ26">
            <v>3706.037427504245</v>
          </cell>
          <cell r="AR26">
            <v>10017.994478158542</v>
          </cell>
          <cell r="AS26">
            <v>3508.1619598101679</v>
          </cell>
          <cell r="AT26">
            <v>5234.0814014389071</v>
          </cell>
        </row>
        <row r="27">
          <cell r="T27">
            <v>6398.0986917258861</v>
          </cell>
          <cell r="U27">
            <v>5767.7895806907418</v>
          </cell>
          <cell r="V27">
            <v>3974.8519757846652</v>
          </cell>
          <cell r="W27">
            <v>4216.4183660656627</v>
          </cell>
          <cell r="X27">
            <v>4427.1653841427578</v>
          </cell>
          <cell r="Y27">
            <v>4884.597829230278</v>
          </cell>
          <cell r="Z27">
            <v>5789.555572514204</v>
          </cell>
          <cell r="AA27">
            <v>5179.029480525237</v>
          </cell>
          <cell r="AB27">
            <v>5392.3672971869655</v>
          </cell>
          <cell r="AC27">
            <v>6397.2657258141626</v>
          </cell>
          <cell r="AD27">
            <v>4382.6092423792661</v>
          </cell>
          <cell r="AE27">
            <v>5895.2109303663419</v>
          </cell>
          <cell r="AI27">
            <v>6392.8679720462578</v>
          </cell>
          <cell r="AJ27">
            <v>5729.7457832380624</v>
          </cell>
          <cell r="AK27">
            <v>4019.0825400975768</v>
          </cell>
          <cell r="AL27">
            <v>4176.7076949490511</v>
          </cell>
          <cell r="AM27">
            <v>4471.1008153230587</v>
          </cell>
          <cell r="AN27">
            <v>4975.0788877713958</v>
          </cell>
          <cell r="AO27">
            <v>5649.3644346290939</v>
          </cell>
          <cell r="AP27">
            <v>5050.8772165436003</v>
          </cell>
          <cell r="AQ27">
            <v>5261.0897389106731</v>
          </cell>
          <cell r="AR27">
            <v>7020.0326294925835</v>
          </cell>
          <cell r="AS27">
            <v>4451.0808068544366</v>
          </cell>
          <cell r="AT27">
            <v>7210.2666590808503</v>
          </cell>
        </row>
        <row r="28">
          <cell r="T28">
            <v>5717.3709646283869</v>
          </cell>
          <cell r="U28">
            <v>5404.2361706210731</v>
          </cell>
          <cell r="V28">
            <v>5706.3815534438663</v>
          </cell>
          <cell r="W28">
            <v>5995.2829185740402</v>
          </cell>
          <cell r="X28">
            <v>6453.8435764724227</v>
          </cell>
          <cell r="Y28">
            <v>6631.0308031343702</v>
          </cell>
          <cell r="Z28">
            <v>7891.1785217451788</v>
          </cell>
          <cell r="AA28">
            <v>6394.1472267062072</v>
          </cell>
          <cell r="AB28">
            <v>6308.1874474281703</v>
          </cell>
          <cell r="AC28">
            <v>12292.535087713459</v>
          </cell>
          <cell r="AD28">
            <v>5999.5614067234992</v>
          </cell>
          <cell r="AE28">
            <v>6960.5915125101128</v>
          </cell>
          <cell r="AI28">
            <v>5787.2364676901207</v>
          </cell>
          <cell r="AJ28">
            <v>5438.6401092342039</v>
          </cell>
          <cell r="AK28">
            <v>5845.1657152354855</v>
          </cell>
          <cell r="AL28">
            <v>6016.3088691102939</v>
          </cell>
          <cell r="AM28">
            <v>6602.9378179418663</v>
          </cell>
          <cell r="AN28">
            <v>6841.9872514331391</v>
          </cell>
          <cell r="AO28">
            <v>7800.5691105672713</v>
          </cell>
          <cell r="AP28">
            <v>6317.2943890664837</v>
          </cell>
          <cell r="AQ28">
            <v>6234.9200541205828</v>
          </cell>
          <cell r="AR28">
            <v>13665.208192690174</v>
          </cell>
          <cell r="AS28">
            <v>6172.8011530106851</v>
          </cell>
          <cell r="AT28">
            <v>8623.088435249816</v>
          </cell>
        </row>
        <row r="29">
          <cell r="T29">
            <v>1356.0049262592718</v>
          </cell>
          <cell r="U29">
            <v>1165.9742936831178</v>
          </cell>
          <cell r="V29">
            <v>1209.6014408313604</v>
          </cell>
          <cell r="W29">
            <v>1238.6651588773486</v>
          </cell>
          <cell r="X29">
            <v>1371.3692512594246</v>
          </cell>
          <cell r="Y29">
            <v>1548.1368639459854</v>
          </cell>
          <cell r="Z29">
            <v>2053.4669991514356</v>
          </cell>
          <cell r="AA29">
            <v>1527.0972548332984</v>
          </cell>
          <cell r="AB29">
            <v>1802.6975714210939</v>
          </cell>
          <cell r="AC29">
            <v>5356.2103696265158</v>
          </cell>
          <cell r="AD29">
            <v>1490.68841261233</v>
          </cell>
          <cell r="AE29">
            <v>1451.2683732509547</v>
          </cell>
          <cell r="AI29">
            <v>1270.1520067520848</v>
          </cell>
          <cell r="AJ29">
            <v>1085.8367896842262</v>
          </cell>
          <cell r="AK29">
            <v>1146.5629179942093</v>
          </cell>
          <cell r="AL29">
            <v>1150.2544946392422</v>
          </cell>
          <cell r="AM29">
            <v>1298.3529078732822</v>
          </cell>
          <cell r="AN29">
            <v>1478.1896003296158</v>
          </cell>
          <cell r="AO29">
            <v>1878.4157598894667</v>
          </cell>
          <cell r="AP29">
            <v>1396.1585989606399</v>
          </cell>
          <cell r="AQ29">
            <v>1648.8029207525469</v>
          </cell>
          <cell r="AR29">
            <v>5510.0050529474311</v>
          </cell>
          <cell r="AS29">
            <v>1419.2837653042193</v>
          </cell>
          <cell r="AT29">
            <v>1661.4748037628367</v>
          </cell>
        </row>
        <row r="30">
          <cell r="T30">
            <v>6143.4761698958928</v>
          </cell>
          <cell r="U30">
            <v>5540.462826924756</v>
          </cell>
          <cell r="V30">
            <v>4878.0541739982291</v>
          </cell>
          <cell r="W30">
            <v>5238.7891377620572</v>
          </cell>
          <cell r="X30">
            <v>5351.6096432122413</v>
          </cell>
          <cell r="Y30">
            <v>5604.6469130154364</v>
          </cell>
          <cell r="Z30">
            <v>7323.3524939138515</v>
          </cell>
          <cell r="AA30">
            <v>6366.3133340060294</v>
          </cell>
          <cell r="AB30">
            <v>6149.5823560584495</v>
          </cell>
          <cell r="AC30">
            <v>10654.312796357837</v>
          </cell>
          <cell r="AD30">
            <v>5161.7733293920428</v>
          </cell>
          <cell r="AE30">
            <v>6443.457000614806</v>
          </cell>
          <cell r="AI30">
            <v>6122.5353403176505</v>
          </cell>
          <cell r="AJ30">
            <v>5489.6456610191635</v>
          </cell>
          <cell r="AK30">
            <v>4919.5446501858278</v>
          </cell>
          <cell r="AL30">
            <v>5175.9923593167514</v>
          </cell>
          <cell r="AM30">
            <v>5390.7037592175993</v>
          </cell>
          <cell r="AN30">
            <v>5693.6627510252856</v>
          </cell>
          <cell r="AO30">
            <v>7127.4901400523131</v>
          </cell>
          <cell r="AP30">
            <v>6192.6817259848121</v>
          </cell>
          <cell r="AQ30">
            <v>5984.3114445688188</v>
          </cell>
          <cell r="AR30">
            <v>11661.180166621209</v>
          </cell>
          <cell r="AS30">
            <v>5228.8234705360073</v>
          </cell>
          <cell r="AT30">
            <v>7866.548578868722</v>
          </cell>
        </row>
        <row r="31">
          <cell r="T31">
            <v>3256.3024961395899</v>
          </cell>
          <cell r="U31">
            <v>2972.5899996532303</v>
          </cell>
          <cell r="V31">
            <v>3199.0263634543107</v>
          </cell>
          <cell r="W31">
            <v>3487.3098414417373</v>
          </cell>
          <cell r="X31">
            <v>3498.6495530801108</v>
          </cell>
          <cell r="Y31">
            <v>3664.7879887976069</v>
          </cell>
          <cell r="Z31">
            <v>4578.4105653012675</v>
          </cell>
          <cell r="AA31">
            <v>4048.9116555631867</v>
          </cell>
          <cell r="AB31">
            <v>4033.7229721826034</v>
          </cell>
          <cell r="AC31">
            <v>7929.4903849025559</v>
          </cell>
          <cell r="AD31">
            <v>3474.867596303272</v>
          </cell>
          <cell r="AE31">
            <v>3893.8055677124935</v>
          </cell>
          <cell r="AI31">
            <v>3351.4455480468037</v>
          </cell>
          <cell r="AJ31">
            <v>3041.7504642395866</v>
          </cell>
          <cell r="AK31">
            <v>3331.8574290682609</v>
          </cell>
          <cell r="AL31">
            <v>3558.3080778247468</v>
          </cell>
          <cell r="AM31">
            <v>3639.5843132075606</v>
          </cell>
          <cell r="AN31">
            <v>3844.8786724777465</v>
          </cell>
          <cell r="AO31">
            <v>4601.8422251959128</v>
          </cell>
          <cell r="AP31">
            <v>4067.423130549726</v>
          </cell>
          <cell r="AQ31">
            <v>4053.8244432738734</v>
          </cell>
          <cell r="AR31">
            <v>8962.9844328079762</v>
          </cell>
          <cell r="AS31">
            <v>3635.2444055972305</v>
          </cell>
          <cell r="AT31">
            <v>4758.8364929234367</v>
          </cell>
        </row>
        <row r="32">
          <cell r="T32">
            <v>8048.2920142425601</v>
          </cell>
          <cell r="U32">
            <v>6503.927572204916</v>
          </cell>
          <cell r="V32">
            <v>5305.5544186331445</v>
          </cell>
          <cell r="W32">
            <v>6102.2413022819483</v>
          </cell>
          <cell r="X32">
            <v>6268.1748455088582</v>
          </cell>
          <cell r="Y32">
            <v>6244.2741972903732</v>
          </cell>
          <cell r="Z32">
            <v>7490.7711455862309</v>
          </cell>
          <cell r="AA32">
            <v>6362.9132698718322</v>
          </cell>
          <cell r="AB32">
            <v>6519.6606450310346</v>
          </cell>
          <cell r="AC32">
            <v>8207.1574708576554</v>
          </cell>
          <cell r="AD32">
            <v>6075.4397733171563</v>
          </cell>
          <cell r="AE32">
            <v>7590.8603007690863</v>
          </cell>
          <cell r="AI32">
            <v>7821.4156868488944</v>
          </cell>
          <cell r="AJ32">
            <v>6284.0333906451624</v>
          </cell>
          <cell r="AK32">
            <v>5217.6336331566999</v>
          </cell>
          <cell r="AL32">
            <v>5879.1779467666329</v>
          </cell>
          <cell r="AM32">
            <v>6156.9646616213613</v>
          </cell>
          <cell r="AN32">
            <v>6185.7158635969054</v>
          </cell>
          <cell r="AO32">
            <v>7109.1509484322951</v>
          </cell>
          <cell r="AP32">
            <v>6035.4724783954225</v>
          </cell>
          <cell r="AQ32">
            <v>6186.6860315084914</v>
          </cell>
          <cell r="AR32">
            <v>8759.3997939770034</v>
          </cell>
          <cell r="AS32">
            <v>6001.3269923632561</v>
          </cell>
          <cell r="AT32">
            <v>9028.4719828396337</v>
          </cell>
        </row>
        <row r="33">
          <cell r="T33">
            <v>1164.3646069639785</v>
          </cell>
          <cell r="U33">
            <v>1099.3018602999246</v>
          </cell>
          <cell r="V33">
            <v>839.01729567457869</v>
          </cell>
          <cell r="W33">
            <v>902.17851797949379</v>
          </cell>
          <cell r="X33">
            <v>1058.4491160116493</v>
          </cell>
          <cell r="Y33">
            <v>1262.1562964113466</v>
          </cell>
          <cell r="Z33">
            <v>1768.9359190522011</v>
          </cell>
          <cell r="AA33">
            <v>1269.988808724363</v>
          </cell>
          <cell r="AB33">
            <v>1410.6182902472917</v>
          </cell>
          <cell r="AC33">
            <v>2930.7307664697128</v>
          </cell>
          <cell r="AD33">
            <v>1247.4005593074305</v>
          </cell>
          <cell r="AE33">
            <v>1553.8216479961943</v>
          </cell>
          <cell r="AI33">
            <v>1113.8179609312192</v>
          </cell>
          <cell r="AJ33">
            <v>1045.4982953162009</v>
          </cell>
          <cell r="AK33">
            <v>812.18936700033248</v>
          </cell>
          <cell r="AL33">
            <v>855.58524914945065</v>
          </cell>
          <cell r="AM33">
            <v>1023.385175574896</v>
          </cell>
          <cell r="AN33">
            <v>1230.7354728757241</v>
          </cell>
          <cell r="AO33">
            <v>1652.5206141908393</v>
          </cell>
          <cell r="AP33">
            <v>1185.7653151261479</v>
          </cell>
          <cell r="AQ33">
            <v>1317.6078535373463</v>
          </cell>
          <cell r="AR33">
            <v>3078.9389972292242</v>
          </cell>
          <cell r="AS33">
            <v>1212.8834875697198</v>
          </cell>
          <cell r="AT33">
            <v>1820.4158768026002</v>
          </cell>
        </row>
        <row r="34">
          <cell r="T34">
            <v>214.3660836373312</v>
          </cell>
          <cell r="U34">
            <v>211.03802102498642</v>
          </cell>
          <cell r="V34">
            <v>212.46340645225561</v>
          </cell>
          <cell r="W34">
            <v>281.78674207166824</v>
          </cell>
          <cell r="X34">
            <v>266.49638226775932</v>
          </cell>
          <cell r="Y34">
            <v>309.55545270868441</v>
          </cell>
          <cell r="Z34">
            <v>534.77407042243703</v>
          </cell>
          <cell r="AA34">
            <v>536.61216645149761</v>
          </cell>
          <cell r="AB34">
            <v>451.51867729439908</v>
          </cell>
          <cell r="AC34">
            <v>698.41545421622402</v>
          </cell>
          <cell r="AD34">
            <v>337.95364129372035</v>
          </cell>
          <cell r="AE34">
            <v>424.82303747881025</v>
          </cell>
          <cell r="AI34">
            <v>195.31578395028131</v>
          </cell>
          <cell r="AJ34">
            <v>191.17148696649895</v>
          </cell>
          <cell r="AK34">
            <v>195.8964530437498</v>
          </cell>
          <cell r="AL34">
            <v>254.53494151684171</v>
          </cell>
          <cell r="AM34">
            <v>245.42370113439557</v>
          </cell>
          <cell r="AN34">
            <v>287.50545207275752</v>
          </cell>
          <cell r="AO34">
            <v>475.84024781191903</v>
          </cell>
          <cell r="AP34">
            <v>477.21645488124778</v>
          </cell>
          <cell r="AQ34">
            <v>401.70610337444987</v>
          </cell>
          <cell r="AR34">
            <v>698.86782709747672</v>
          </cell>
          <cell r="AS34">
            <v>312.98701887379821</v>
          </cell>
          <cell r="AT34">
            <v>473.29936629075104</v>
          </cell>
        </row>
        <row r="35">
          <cell r="T35">
            <v>286.12976731931298</v>
          </cell>
          <cell r="U35">
            <v>266.05551130172154</v>
          </cell>
          <cell r="V35">
            <v>267.05035461606445</v>
          </cell>
          <cell r="W35">
            <v>262.09644259589669</v>
          </cell>
          <cell r="X35">
            <v>303.39620361147121</v>
          </cell>
          <cell r="Y35">
            <v>306.45840897107269</v>
          </cell>
          <cell r="Z35">
            <v>545.56984455477357</v>
          </cell>
          <cell r="AA35">
            <v>357.54479376344995</v>
          </cell>
          <cell r="AB35">
            <v>503.54597178011585</v>
          </cell>
          <cell r="AC35">
            <v>1349.2664409496417</v>
          </cell>
          <cell r="AD35">
            <v>360.66981419842051</v>
          </cell>
          <cell r="AE35">
            <v>270.81647183389993</v>
          </cell>
          <cell r="AI35">
            <v>256.34905398871797</v>
          </cell>
          <cell r="AJ35">
            <v>236.98566791666693</v>
          </cell>
          <cell r="AK35">
            <v>242.11572736556235</v>
          </cell>
          <cell r="AL35">
            <v>232.79593328468428</v>
          </cell>
          <cell r="AM35">
            <v>274.74053245524902</v>
          </cell>
          <cell r="AN35">
            <v>279.8765932759286</v>
          </cell>
          <cell r="AO35">
            <v>477.34084648898914</v>
          </cell>
          <cell r="AP35">
            <v>312.66031684537717</v>
          </cell>
          <cell r="AQ35">
            <v>440.5135244983594</v>
          </cell>
          <cell r="AR35">
            <v>1327.5972246602162</v>
          </cell>
          <cell r="AS35">
            <v>328.44783349404531</v>
          </cell>
          <cell r="AT35">
            <v>294.59373517010152</v>
          </cell>
        </row>
        <row r="36">
          <cell r="T36">
            <v>372.84449493534083</v>
          </cell>
          <cell r="U36">
            <v>386.07601417211396</v>
          </cell>
          <cell r="V36">
            <v>383.02509989103959</v>
          </cell>
          <cell r="W36">
            <v>426.45252362767815</v>
          </cell>
          <cell r="X36">
            <v>418.96849411724406</v>
          </cell>
          <cell r="Y36">
            <v>499.14360073422932</v>
          </cell>
          <cell r="Z36">
            <v>794.18864563865304</v>
          </cell>
          <cell r="AA36">
            <v>491.20956171352498</v>
          </cell>
          <cell r="AB36">
            <v>710.20130135980048</v>
          </cell>
          <cell r="AC36">
            <v>2363.7620768549164</v>
          </cell>
          <cell r="AD36">
            <v>862.02724372531713</v>
          </cell>
          <cell r="AE36">
            <v>468.80338761399503</v>
          </cell>
          <cell r="AI36">
            <v>363.03648302805641</v>
          </cell>
          <cell r="AJ36">
            <v>373.74595597328403</v>
          </cell>
          <cell r="AK36">
            <v>377.40785556324283</v>
          </cell>
          <cell r="AL36">
            <v>411.66013349611757</v>
          </cell>
          <cell r="AM36">
            <v>412.3327381297421</v>
          </cell>
          <cell r="AN36">
            <v>495.42098994338278</v>
          </cell>
          <cell r="AO36">
            <v>755.18920618477546</v>
          </cell>
          <cell r="AP36">
            <v>466.83453445330332</v>
          </cell>
          <cell r="AQ36">
            <v>675.23577369095483</v>
          </cell>
          <cell r="AR36">
            <v>2527.7041220359065</v>
          </cell>
          <cell r="AS36">
            <v>853.16190594424108</v>
          </cell>
          <cell r="AT36">
            <v>557.99742598691864</v>
          </cell>
        </row>
        <row r="37">
          <cell r="T37">
            <v>992.53438745972153</v>
          </cell>
          <cell r="U37">
            <v>932.89723364214854</v>
          </cell>
          <cell r="V37">
            <v>867.03060244573692</v>
          </cell>
          <cell r="W37">
            <v>837.93747795794866</v>
          </cell>
          <cell r="X37">
            <v>1036.629668143702</v>
          </cell>
          <cell r="Y37">
            <v>1093.413179768379</v>
          </cell>
          <cell r="Z37">
            <v>1588.9046841799091</v>
          </cell>
          <cell r="AA37">
            <v>1006.5154468332697</v>
          </cell>
          <cell r="AB37">
            <v>1531.1067277085831</v>
          </cell>
          <cell r="AC37">
            <v>4003.9607452727259</v>
          </cell>
          <cell r="AD37">
            <v>1019.343640503857</v>
          </cell>
          <cell r="AE37">
            <v>841.69209575413538</v>
          </cell>
          <cell r="AI37">
            <v>913.99324438055191</v>
          </cell>
          <cell r="AJ37">
            <v>854.10718191608964</v>
          </cell>
          <cell r="AK37">
            <v>807.96586818632886</v>
          </cell>
          <cell r="AL37">
            <v>764.98800294965315</v>
          </cell>
          <cell r="AM37">
            <v>964.8614912509355</v>
          </cell>
          <cell r="AN37">
            <v>1026.3797780711122</v>
          </cell>
          <cell r="AO37">
            <v>1428.9098595486048</v>
          </cell>
          <cell r="AP37">
            <v>904.6727217055095</v>
          </cell>
          <cell r="AQ37">
            <v>1376.7476100441056</v>
          </cell>
          <cell r="AR37">
            <v>4049.3673254314044</v>
          </cell>
          <cell r="AS37">
            <v>954.1265242949213</v>
          </cell>
          <cell r="AT37">
            <v>953.12422538462795</v>
          </cell>
        </row>
        <row r="38">
          <cell r="T38">
            <v>585.55704499456192</v>
          </cell>
          <cell r="U38">
            <v>491.10952050292764</v>
          </cell>
          <cell r="V38">
            <v>519.42525958652652</v>
          </cell>
          <cell r="W38">
            <v>537.69126917805352</v>
          </cell>
          <cell r="X38">
            <v>557.12246519620101</v>
          </cell>
          <cell r="Y38">
            <v>774.11690620841</v>
          </cell>
          <cell r="Z38">
            <v>1019.3123314776411</v>
          </cell>
          <cell r="AA38">
            <v>626.13375619471265</v>
          </cell>
          <cell r="AB38">
            <v>692.11983378771379</v>
          </cell>
          <cell r="AC38">
            <v>2367.6291474282652</v>
          </cell>
          <cell r="AD38">
            <v>816.50430110438197</v>
          </cell>
          <cell r="AE38">
            <v>517.05250904921354</v>
          </cell>
          <cell r="AI38">
            <v>527.69952326414693</v>
          </cell>
          <cell r="AJ38">
            <v>440.02463335852025</v>
          </cell>
          <cell r="AK38">
            <v>473.69818612285405</v>
          </cell>
          <cell r="AL38">
            <v>480.39232645667477</v>
          </cell>
          <cell r="AM38">
            <v>507.47199261082051</v>
          </cell>
          <cell r="AN38">
            <v>711.13229617236414</v>
          </cell>
          <cell r="AO38">
            <v>897.08652601133929</v>
          </cell>
          <cell r="AP38">
            <v>550.75473189579475</v>
          </cell>
          <cell r="AQ38">
            <v>609.0461878661514</v>
          </cell>
          <cell r="AR38">
            <v>2343.3173548683399</v>
          </cell>
          <cell r="AS38">
            <v>747.93506795545852</v>
          </cell>
          <cell r="AT38">
            <v>570.80395403860143</v>
          </cell>
        </row>
        <row r="39">
          <cell r="T39">
            <v>2153.6422953917377</v>
          </cell>
          <cell r="U39">
            <v>1921.5125175364769</v>
          </cell>
          <cell r="V39">
            <v>2093.7340303801684</v>
          </cell>
          <cell r="W39">
            <v>2215.967581233615</v>
          </cell>
          <cell r="X39">
            <v>2317.2224428170407</v>
          </cell>
          <cell r="Y39">
            <v>2287.9356189972477</v>
          </cell>
          <cell r="Z39">
            <v>3366.9279964218358</v>
          </cell>
          <cell r="AA39">
            <v>2302.5245535370336</v>
          </cell>
          <cell r="AB39">
            <v>1820.1962829804954</v>
          </cell>
          <cell r="AC39">
            <v>3750.8769690379286</v>
          </cell>
          <cell r="AD39">
            <v>1517.7979937298701</v>
          </cell>
          <cell r="AE39">
            <v>1323.0129642119798</v>
          </cell>
          <cell r="AI39">
            <v>2051.5306195752137</v>
          </cell>
          <cell r="AJ39">
            <v>1819.8215124525968</v>
          </cell>
          <cell r="AK39">
            <v>2018.3064509881142</v>
          </cell>
          <cell r="AL39">
            <v>2092.7310580573662</v>
          </cell>
          <cell r="AM39">
            <v>2231.0847805867584</v>
          </cell>
          <cell r="AN39">
            <v>2221.6446240495106</v>
          </cell>
          <cell r="AO39">
            <v>3132.1880228240807</v>
          </cell>
          <cell r="AP39">
            <v>2140.8307260020265</v>
          </cell>
          <cell r="AQ39">
            <v>1693.0668163667312</v>
          </cell>
          <cell r="AR39">
            <v>3924.0740171146367</v>
          </cell>
          <cell r="AS39">
            <v>1469.6243326493843</v>
          </cell>
          <cell r="AT39">
            <v>1543.2270314092448</v>
          </cell>
        </row>
        <row r="40">
          <cell r="T40">
            <v>2304.0833982482718</v>
          </cell>
          <cell r="U40">
            <v>1900.7393721771339</v>
          </cell>
          <cell r="V40">
            <v>1736.1875586505271</v>
          </cell>
          <cell r="W40">
            <v>1679.2714530648191</v>
          </cell>
          <cell r="X40">
            <v>1687.872716357776</v>
          </cell>
          <cell r="Y40">
            <v>1662.4494214233405</v>
          </cell>
          <cell r="Z40">
            <v>2240.2109521952571</v>
          </cell>
          <cell r="AA40">
            <v>1496.5193560354119</v>
          </cell>
          <cell r="AB40">
            <v>1444.7924631460196</v>
          </cell>
          <cell r="AC40">
            <v>2265.9217876600892</v>
          </cell>
          <cell r="AD40">
            <v>1180.8910395559124</v>
          </cell>
          <cell r="AE40">
            <v>1227.5822727298009</v>
          </cell>
          <cell r="AI40">
            <v>2092.9873700371786</v>
          </cell>
          <cell r="AJ40">
            <v>1716.6119395258161</v>
          </cell>
          <cell r="AK40">
            <v>1595.9754905860955</v>
          </cell>
          <cell r="AL40">
            <v>1512.2893848513786</v>
          </cell>
          <cell r="AM40">
            <v>1549.7156614152034</v>
          </cell>
          <cell r="AN40">
            <v>1539.370689479744</v>
          </cell>
          <cell r="AO40">
            <v>1987.3158356780805</v>
          </cell>
          <cell r="AP40">
            <v>1326.8577913142985</v>
          </cell>
          <cell r="AQ40">
            <v>1281.5198083189814</v>
          </cell>
          <cell r="AR40">
            <v>2260.5455788149261</v>
          </cell>
          <cell r="AS40">
            <v>1090.3506032575337</v>
          </cell>
          <cell r="AT40">
            <v>1365.0836640572361</v>
          </cell>
        </row>
        <row r="41">
          <cell r="T41">
            <v>253.6029416984145</v>
          </cell>
          <cell r="U41">
            <v>253.1900477050643</v>
          </cell>
          <cell r="V41">
            <v>238.84062455663468</v>
          </cell>
          <cell r="W41">
            <v>304.16229544889171</v>
          </cell>
          <cell r="X41">
            <v>304.5503859326073</v>
          </cell>
          <cell r="Y41">
            <v>393.42303826465724</v>
          </cell>
          <cell r="Z41">
            <v>538.90849350561905</v>
          </cell>
          <cell r="AA41">
            <v>316.88965388274625</v>
          </cell>
          <cell r="AB41">
            <v>375.20731939811731</v>
          </cell>
          <cell r="AC41">
            <v>1059.1194313288368</v>
          </cell>
          <cell r="AD41">
            <v>330.22858368945498</v>
          </cell>
          <cell r="AE41">
            <v>260.26739623192481</v>
          </cell>
          <cell r="AI41">
            <v>228.33001059924004</v>
          </cell>
          <cell r="AJ41">
            <v>226.6399603798674</v>
          </cell>
          <cell r="AK41">
            <v>217.60961118504193</v>
          </cell>
          <cell r="AL41">
            <v>271.49364769245989</v>
          </cell>
          <cell r="AM41">
            <v>277.14801992303251</v>
          </cell>
          <cell r="AN41">
            <v>361.07286908814228</v>
          </cell>
          <cell r="AO41">
            <v>473.84172690929341</v>
          </cell>
          <cell r="AP41">
            <v>278.47768355209104</v>
          </cell>
          <cell r="AQ41">
            <v>329.86136727529936</v>
          </cell>
          <cell r="AR41">
            <v>1047.25775654068</v>
          </cell>
          <cell r="AS41">
            <v>302.21171808184607</v>
          </cell>
          <cell r="AT41">
            <v>287.07773042305081</v>
          </cell>
        </row>
        <row r="42">
          <cell r="T42">
            <v>3191.4947216189598</v>
          </cell>
          <cell r="U42">
            <v>2803.4251652009925</v>
          </cell>
          <cell r="V42">
            <v>2936.7909770400202</v>
          </cell>
          <cell r="W42">
            <v>3212.033762546479</v>
          </cell>
          <cell r="X42">
            <v>3517.3406188535769</v>
          </cell>
          <cell r="Y42">
            <v>3752.0301248782312</v>
          </cell>
          <cell r="Z42">
            <v>5019.1264244355043</v>
          </cell>
          <cell r="AA42">
            <v>3814.5139993745906</v>
          </cell>
          <cell r="AB42">
            <v>4841.0102459532245</v>
          </cell>
          <cell r="AC42">
            <v>12282.936275354603</v>
          </cell>
          <cell r="AD42">
            <v>4060.9941979417749</v>
          </cell>
          <cell r="AE42">
            <v>3332.8780018216257</v>
          </cell>
          <cell r="AI42">
            <v>3069.6368496309947</v>
          </cell>
          <cell r="AJ42">
            <v>2680.7911543074119</v>
          </cell>
          <cell r="AK42">
            <v>2858.426775191208</v>
          </cell>
          <cell r="AL42">
            <v>3062.7994218982449</v>
          </cell>
          <cell r="AM42">
            <v>3419.410277121392</v>
          </cell>
          <cell r="AN42">
            <v>3678.6252278307902</v>
          </cell>
          <cell r="AO42">
            <v>4714.4449446995941</v>
          </cell>
          <cell r="AP42">
            <v>3581.011452842883</v>
          </cell>
          <cell r="AQ42">
            <v>4546.5326485419564</v>
          </cell>
          <cell r="AR42">
            <v>12974.630772734423</v>
          </cell>
          <cell r="AS42">
            <v>3970.2071417537363</v>
          </cell>
          <cell r="AT42">
            <v>3923.9928598501306</v>
          </cell>
        </row>
        <row r="43">
          <cell r="T43">
            <v>3829.8769599625061</v>
          </cell>
          <cell r="U43">
            <v>3008.3886934744955</v>
          </cell>
          <cell r="V43">
            <v>3354.9082787191965</v>
          </cell>
          <cell r="W43">
            <v>3345.4250186156423</v>
          </cell>
          <cell r="X43">
            <v>3498.8170414669235</v>
          </cell>
          <cell r="Y43">
            <v>3762.7370359717406</v>
          </cell>
          <cell r="Z43">
            <v>4907.2525188317486</v>
          </cell>
          <cell r="AA43">
            <v>3849.1407951995425</v>
          </cell>
          <cell r="AB43">
            <v>3935.2004569168371</v>
          </cell>
          <cell r="AC43">
            <v>7314.3312673614064</v>
          </cell>
          <cell r="AD43">
            <v>3846.0034716707551</v>
          </cell>
          <cell r="AE43">
            <v>3504.4389171851367</v>
          </cell>
          <cell r="AI43">
            <v>3578.0746845492945</v>
          </cell>
          <cell r="AJ43">
            <v>2794.3427323928986</v>
          </cell>
          <cell r="AK43">
            <v>3171.8043878284457</v>
          </cell>
          <cell r="AL43">
            <v>3098.5710962115877</v>
          </cell>
          <cell r="AM43">
            <v>3303.9215644542064</v>
          </cell>
          <cell r="AN43">
            <v>3583.3960159783001</v>
          </cell>
          <cell r="AO43">
            <v>4477.2624224386382</v>
          </cell>
          <cell r="AP43">
            <v>3509.9586823881164</v>
          </cell>
          <cell r="AQ43">
            <v>3589.9043919803403</v>
          </cell>
          <cell r="AR43">
            <v>7504.8003786853587</v>
          </cell>
          <cell r="AS43">
            <v>3652.2641414390514</v>
          </cell>
          <cell r="AT43">
            <v>3861.3803610502832</v>
          </cell>
        </row>
        <row r="44">
          <cell r="T44">
            <v>2842.0963490875015</v>
          </cell>
          <cell r="U44">
            <v>2573.8346057158815</v>
          </cell>
          <cell r="V44">
            <v>2837.0821163741557</v>
          </cell>
          <cell r="W44">
            <v>3231.3907984007228</v>
          </cell>
          <cell r="X44">
            <v>2991.5424177361347</v>
          </cell>
          <cell r="Y44">
            <v>3128.55203050622</v>
          </cell>
          <cell r="Z44">
            <v>3856.2256973069684</v>
          </cell>
          <cell r="AA44">
            <v>3304.7396837757065</v>
          </cell>
          <cell r="AB44">
            <v>3342.9140911886825</v>
          </cell>
          <cell r="AC44">
            <v>5599.3173056543665</v>
          </cell>
          <cell r="AD44">
            <v>3095.4807479788319</v>
          </cell>
          <cell r="AE44">
            <v>3641.6785917356988</v>
          </cell>
          <cell r="AI44">
            <v>2880.9771839904647</v>
          </cell>
          <cell r="AJ44">
            <v>2593.9571818765121</v>
          </cell>
          <cell r="AK44">
            <v>2910.2754327695061</v>
          </cell>
          <cell r="AL44">
            <v>3247.4022832727969</v>
          </cell>
          <cell r="AM44">
            <v>3065.0679248664956</v>
          </cell>
          <cell r="AN44">
            <v>3232.7398976650602</v>
          </cell>
          <cell r="AO44">
            <v>3817.447126958647</v>
          </cell>
          <cell r="AP44">
            <v>3269.7301003062039</v>
          </cell>
          <cell r="AQ44">
            <v>3308.854581462972</v>
          </cell>
          <cell r="AR44">
            <v>6233.5585203706742</v>
          </cell>
          <cell r="AS44">
            <v>3189.4592477191236</v>
          </cell>
          <cell r="AT44">
            <v>4520.2304390694835</v>
          </cell>
        </row>
        <row r="45">
          <cell r="T45">
            <v>789.61179210994908</v>
          </cell>
          <cell r="U45">
            <v>632.96470706168452</v>
          </cell>
          <cell r="V45">
            <v>694.22316827625491</v>
          </cell>
          <cell r="W45">
            <v>731.83140814193177</v>
          </cell>
          <cell r="X45">
            <v>830.14020237318221</v>
          </cell>
          <cell r="Y45">
            <v>850.86549988615332</v>
          </cell>
          <cell r="Z45">
            <v>1275.983951459353</v>
          </cell>
          <cell r="AA45">
            <v>838.8030431381336</v>
          </cell>
          <cell r="AB45">
            <v>922.21739902675733</v>
          </cell>
          <cell r="AC45">
            <v>2626.0579022535599</v>
          </cell>
          <cell r="AD45">
            <v>1245.3619826384081</v>
          </cell>
          <cell r="AE45">
            <v>810.45772345493572</v>
          </cell>
          <cell r="AI45">
            <v>741.76469681874221</v>
          </cell>
          <cell r="AJ45">
            <v>591.17107238620906</v>
          </cell>
          <cell r="AK45">
            <v>659.95268868179937</v>
          </cell>
          <cell r="AL45">
            <v>681.56795663226001</v>
          </cell>
          <cell r="AM45">
            <v>788.22081070700528</v>
          </cell>
          <cell r="AN45">
            <v>814.77896436726587</v>
          </cell>
          <cell r="AO45">
            <v>1170.5967408740185</v>
          </cell>
          <cell r="AP45">
            <v>769.10592918061013</v>
          </cell>
          <cell r="AQ45">
            <v>845.93557467279754</v>
          </cell>
          <cell r="AR45">
            <v>2709.2979714184767</v>
          </cell>
          <cell r="AS45">
            <v>1189.1484283524283</v>
          </cell>
          <cell r="AT45">
            <v>932.28100269965444</v>
          </cell>
        </row>
        <row r="46">
          <cell r="T46">
            <v>2458.9202714547537</v>
          </cell>
          <cell r="U46">
            <v>2129.7437651779264</v>
          </cell>
          <cell r="V46">
            <v>2499.0568717971569</v>
          </cell>
          <cell r="W46">
            <v>2533.3793515559059</v>
          </cell>
          <cell r="X46">
            <v>2565.7841481908877</v>
          </cell>
          <cell r="Y46">
            <v>2668.7559562495358</v>
          </cell>
          <cell r="Z46">
            <v>3866.2536959487593</v>
          </cell>
          <cell r="AA46">
            <v>3057.2685578038399</v>
          </cell>
          <cell r="AB46">
            <v>3194.1080414630123</v>
          </cell>
          <cell r="AC46">
            <v>7225.8474189096951</v>
          </cell>
          <cell r="AD46">
            <v>3043.146976053858</v>
          </cell>
          <cell r="AE46">
            <v>3163.6879640362736</v>
          </cell>
          <cell r="AI46">
            <v>2390.0779623872031</v>
          </cell>
          <cell r="AJ46">
            <v>2058.1457224612604</v>
          </cell>
          <cell r="AK46">
            <v>2458.1304389146626</v>
          </cell>
          <cell r="AL46">
            <v>2441.2566104023713</v>
          </cell>
          <cell r="AM46">
            <v>2520.7609005310692</v>
          </cell>
          <cell r="AN46">
            <v>2644.2519959514329</v>
          </cell>
          <cell r="AO46">
            <v>3670.012407261625</v>
          </cell>
          <cell r="AP46">
            <v>2900.5131429108401</v>
          </cell>
          <cell r="AQ46">
            <v>3031.5774320469291</v>
          </cell>
          <cell r="AR46">
            <v>7713.5863695830712</v>
          </cell>
          <cell r="AS46">
            <v>3006.6195451774752</v>
          </cell>
          <cell r="AT46">
            <v>3766.2777419845938</v>
          </cell>
        </row>
        <row r="47">
          <cell r="T47">
            <v>284.42649886782954</v>
          </cell>
          <cell r="U47">
            <v>243.55525116298651</v>
          </cell>
          <cell r="V47">
            <v>277.57440623551167</v>
          </cell>
          <cell r="W47">
            <v>305.79302933394149</v>
          </cell>
          <cell r="X47">
            <v>323.41719865321636</v>
          </cell>
          <cell r="Y47">
            <v>308.72766151567293</v>
          </cell>
          <cell r="Z47">
            <v>486.66742877308479</v>
          </cell>
          <cell r="AA47">
            <v>309.2136239199894</v>
          </cell>
          <cell r="AB47">
            <v>394.22067348117434</v>
          </cell>
          <cell r="AC47">
            <v>630.83736488669683</v>
          </cell>
          <cell r="AD47">
            <v>378.98009047120581</v>
          </cell>
          <cell r="AE47">
            <v>374.66363675025877</v>
          </cell>
          <cell r="AI47">
            <v>262.50496725698531</v>
          </cell>
          <cell r="AJ47">
            <v>223.4838338359576</v>
          </cell>
          <cell r="AK47">
            <v>259.24360659227</v>
          </cell>
          <cell r="AL47">
            <v>279.79544321524946</v>
          </cell>
          <cell r="AM47">
            <v>301.6994354034743</v>
          </cell>
          <cell r="AN47">
            <v>290.44865700033932</v>
          </cell>
          <cell r="AO47">
            <v>438.64109358673147</v>
          </cell>
          <cell r="AP47">
            <v>278.54779097300855</v>
          </cell>
          <cell r="AQ47">
            <v>355.26981426500032</v>
          </cell>
          <cell r="AR47">
            <v>639.41794303381425</v>
          </cell>
          <cell r="AS47">
            <v>355.5263494274385</v>
          </cell>
          <cell r="AT47">
            <v>423.0020709901807</v>
          </cell>
        </row>
        <row r="48">
          <cell r="T48">
            <v>1054.7859833498514</v>
          </cell>
          <cell r="U48">
            <v>939.86696249786621</v>
          </cell>
          <cell r="V48">
            <v>1034.326194154733</v>
          </cell>
          <cell r="W48">
            <v>1121.8741794151117</v>
          </cell>
          <cell r="X48">
            <v>1214.9326349887729</v>
          </cell>
          <cell r="Y48">
            <v>1403.964807027872</v>
          </cell>
          <cell r="Z48">
            <v>1917.0165682131453</v>
          </cell>
          <cell r="AA48">
            <v>1435.1888444914487</v>
          </cell>
          <cell r="AB48">
            <v>1679.283465152917</v>
          </cell>
          <cell r="AC48">
            <v>4906.5588864659039</v>
          </cell>
          <cell r="AD48">
            <v>1707.107619465444</v>
          </cell>
          <cell r="AE48">
            <v>1152.5592803257421</v>
          </cell>
          <cell r="AI48">
            <v>987.63768740035698</v>
          </cell>
          <cell r="AJ48">
            <v>874.94515949789991</v>
          </cell>
          <cell r="AK48">
            <v>980.05848283585283</v>
          </cell>
          <cell r="AL48">
            <v>1041.4131136411193</v>
          </cell>
          <cell r="AM48">
            <v>1149.8188336245689</v>
          </cell>
          <cell r="AN48">
            <v>1340.0342060784199</v>
          </cell>
          <cell r="AO48">
            <v>1752.9467936940518</v>
          </cell>
          <cell r="AP48">
            <v>1311.6440138361777</v>
          </cell>
          <cell r="AQ48">
            <v>1535.3548269750161</v>
          </cell>
          <cell r="AR48">
            <v>5045.5702709119651</v>
          </cell>
          <cell r="AS48">
            <v>1624.733490605598</v>
          </cell>
          <cell r="AT48">
            <v>1321.0737716586998</v>
          </cell>
        </row>
        <row r="49">
          <cell r="T49">
            <v>3394.2993054680569</v>
          </cell>
          <cell r="U49">
            <v>2955.2577375428173</v>
          </cell>
          <cell r="V49">
            <v>3331.8720662475321</v>
          </cell>
          <cell r="W49">
            <v>3679.2463463778863</v>
          </cell>
          <cell r="X49">
            <v>3062.5937651152067</v>
          </cell>
          <cell r="Y49">
            <v>3032.042985115706</v>
          </cell>
          <cell r="Z49">
            <v>3716.0252165298343</v>
          </cell>
          <cell r="AA49">
            <v>3767.7617108594409</v>
          </cell>
          <cell r="AB49">
            <v>2912.135852163553</v>
          </cell>
          <cell r="AC49">
            <v>6024.5332836008838</v>
          </cell>
          <cell r="AD49">
            <v>3283.0655959825181</v>
          </cell>
          <cell r="AE49">
            <v>3472.0601038773571</v>
          </cell>
          <cell r="AI49">
            <v>3242.6978352915016</v>
          </cell>
          <cell r="AJ49">
            <v>2806.9382231989439</v>
          </cell>
          <cell r="AK49">
            <v>3221.1120219436143</v>
          </cell>
          <cell r="AL49">
            <v>3484.6631218113494</v>
          </cell>
          <cell r="AM49">
            <v>2957.2610036915185</v>
          </cell>
          <cell r="AN49">
            <v>2952.6914014853342</v>
          </cell>
          <cell r="AO49">
            <v>3466.9259278070285</v>
          </cell>
          <cell r="AP49">
            <v>3513.2851691194528</v>
          </cell>
          <cell r="AQ49">
            <v>2716.56074358367</v>
          </cell>
          <cell r="AR49">
            <v>6320.9112735257195</v>
          </cell>
          <cell r="AS49">
            <v>3188.0405332554005</v>
          </cell>
          <cell r="AT49">
            <v>4060.1909350883593</v>
          </cell>
        </row>
        <row r="50">
          <cell r="T50">
            <v>440.14818423570296</v>
          </cell>
          <cell r="U50">
            <v>376.5018404780389</v>
          </cell>
          <cell r="V50">
            <v>391.95566934659985</v>
          </cell>
          <cell r="W50">
            <v>431.53970003744519</v>
          </cell>
          <cell r="X50">
            <v>466.27040699605743</v>
          </cell>
          <cell r="Y50">
            <v>520.88471451192402</v>
          </cell>
          <cell r="Z50">
            <v>793.68123746295055</v>
          </cell>
          <cell r="AA50">
            <v>502.57944934033037</v>
          </cell>
          <cell r="AB50">
            <v>542.82003159520548</v>
          </cell>
          <cell r="AC50">
            <v>1293.0190579179716</v>
          </cell>
          <cell r="AD50">
            <v>948.3525735805872</v>
          </cell>
          <cell r="AE50">
            <v>496.7736222819043</v>
          </cell>
          <cell r="AI50">
            <v>430.52230005603991</v>
          </cell>
          <cell r="AJ50">
            <v>366.1381525246054</v>
          </cell>
          <cell r="AK50">
            <v>387.96705903366194</v>
          </cell>
          <cell r="AL50">
            <v>418.46879476936095</v>
          </cell>
          <cell r="AM50">
            <v>460.9762026316601</v>
          </cell>
          <cell r="AN50">
            <v>519.35546914298914</v>
          </cell>
          <cell r="AO50">
            <v>758.14524434563805</v>
          </cell>
          <cell r="AP50">
            <v>479.81640338964826</v>
          </cell>
          <cell r="AQ50">
            <v>518.44661856022628</v>
          </cell>
          <cell r="AR50">
            <v>1388.9979444138255</v>
          </cell>
          <cell r="AS50">
            <v>942.87580680938254</v>
          </cell>
          <cell r="AT50">
            <v>594.98921950606734</v>
          </cell>
        </row>
        <row r="51">
          <cell r="T51">
            <v>3615.2843919934526</v>
          </cell>
          <cell r="U51">
            <v>3307.005688081048</v>
          </cell>
          <cell r="V51">
            <v>3687.1011963917995</v>
          </cell>
          <cell r="W51">
            <v>3780.6795108112037</v>
          </cell>
          <cell r="X51">
            <v>3819.5542748790967</v>
          </cell>
          <cell r="Y51">
            <v>3988.8152079683596</v>
          </cell>
          <cell r="Z51">
            <v>5691.6473943580822</v>
          </cell>
          <cell r="AA51">
            <v>4374.8710564645207</v>
          </cell>
          <cell r="AB51">
            <v>5060.2150362872071</v>
          </cell>
          <cell r="AC51">
            <v>6544.1374654881956</v>
          </cell>
          <cell r="AD51">
            <v>4389.0506613171847</v>
          </cell>
          <cell r="AE51">
            <v>4999.4744896309148</v>
          </cell>
          <cell r="AI51">
            <v>3591.9891948108007</v>
          </cell>
          <cell r="AJ51">
            <v>3266.6954100856769</v>
          </cell>
          <cell r="AK51">
            <v>3707.13820929547</v>
          </cell>
          <cell r="AL51">
            <v>3723.9856997925276</v>
          </cell>
          <cell r="AM51">
            <v>3835.7399603386498</v>
          </cell>
          <cell r="AN51">
            <v>4039.8275942017417</v>
          </cell>
          <cell r="AO51">
            <v>5522.555721936983</v>
          </cell>
          <cell r="AP51">
            <v>4242.5936760606655</v>
          </cell>
          <cell r="AQ51">
            <v>4909.2253842346709</v>
          </cell>
          <cell r="AR51">
            <v>7140.7677586351692</v>
          </cell>
          <cell r="AS51">
            <v>4432.5238098825321</v>
          </cell>
          <cell r="AT51">
            <v>6083.5283738376393</v>
          </cell>
        </row>
        <row r="52">
          <cell r="T52">
            <v>431.0276702263406</v>
          </cell>
          <cell r="U52">
            <v>394.94555017249996</v>
          </cell>
          <cell r="V52">
            <v>433.41635806267209</v>
          </cell>
          <cell r="W52">
            <v>496.18098537843741</v>
          </cell>
          <cell r="X52">
            <v>516.59525401086103</v>
          </cell>
          <cell r="Y52">
            <v>623.13254506554722</v>
          </cell>
          <cell r="Z52">
            <v>833.30904854447931</v>
          </cell>
          <cell r="AA52">
            <v>617.91022138725805</v>
          </cell>
          <cell r="AB52">
            <v>726.17717201769608</v>
          </cell>
          <cell r="AC52">
            <v>2613.3438611389711</v>
          </cell>
          <cell r="AD52">
            <v>1037.3078363820912</v>
          </cell>
          <cell r="AE52">
            <v>431.58101905923019</v>
          </cell>
          <cell r="AI52">
            <v>397.35471584141857</v>
          </cell>
          <cell r="AJ52">
            <v>361.98584698441903</v>
          </cell>
          <cell r="AK52">
            <v>404.33346168145118</v>
          </cell>
          <cell r="AL52">
            <v>453.48082020234762</v>
          </cell>
          <cell r="AM52">
            <v>481.35728464447919</v>
          </cell>
          <cell r="AN52">
            <v>585.57161136936713</v>
          </cell>
          <cell r="AO52">
            <v>750.22042261419097</v>
          </cell>
          <cell r="AP52">
            <v>555.99671747371656</v>
          </cell>
          <cell r="AQ52">
            <v>653.68309844437215</v>
          </cell>
          <cell r="AR52">
            <v>2645.8774070335294</v>
          </cell>
          <cell r="AS52">
            <v>972.00569045235295</v>
          </cell>
          <cell r="AT52">
            <v>486.92353910032796</v>
          </cell>
        </row>
        <row r="53">
          <cell r="T53">
            <v>234.13610379319206</v>
          </cell>
          <cell r="U53">
            <v>208.76546653669243</v>
          </cell>
          <cell r="V53">
            <v>227.44525637744292</v>
          </cell>
          <cell r="W53">
            <v>271.09552935776367</v>
          </cell>
          <cell r="X53">
            <v>286.37435096091104</v>
          </cell>
          <cell r="Y53">
            <v>332.10403705157711</v>
          </cell>
          <cell r="Z53">
            <v>546.82617412346542</v>
          </cell>
          <cell r="AA53">
            <v>453.28055903871399</v>
          </cell>
          <cell r="AB53">
            <v>472.69785967136545</v>
          </cell>
          <cell r="AC53">
            <v>1136.4994701851929</v>
          </cell>
          <cell r="AD53">
            <v>510.81813896988439</v>
          </cell>
          <cell r="AE53">
            <v>298.89322278059586</v>
          </cell>
          <cell r="AI53">
            <v>215.91528466695667</v>
          </cell>
          <cell r="AJ53">
            <v>191.4056729968307</v>
          </cell>
          <cell r="AK53">
            <v>212.25261450452697</v>
          </cell>
          <cell r="AL53">
            <v>247.8465861928664</v>
          </cell>
          <cell r="AM53">
            <v>266.92732488240188</v>
          </cell>
          <cell r="AN53">
            <v>312.1875029430895</v>
          </cell>
          <cell r="AO53">
            <v>492.46328566442673</v>
          </cell>
          <cell r="AP53">
            <v>407.99582643400311</v>
          </cell>
          <cell r="AQ53">
            <v>425.64749219892428</v>
          </cell>
          <cell r="AR53">
            <v>1151.0234653050361</v>
          </cell>
          <cell r="AS53">
            <v>478.81664426033836</v>
          </cell>
          <cell r="AT53">
            <v>337.56406815830502</v>
          </cell>
        </row>
        <row r="54">
          <cell r="T54">
            <v>1026.8398845947331</v>
          </cell>
          <cell r="U54">
            <v>876.51310601979264</v>
          </cell>
          <cell r="V54">
            <v>1030.5716203563352</v>
          </cell>
          <cell r="W54">
            <v>1065.8908099571177</v>
          </cell>
          <cell r="X54">
            <v>1178.3516593198988</v>
          </cell>
          <cell r="Y54">
            <v>1176.8833021967023</v>
          </cell>
          <cell r="Z54">
            <v>1959.6137169093302</v>
          </cell>
          <cell r="AA54">
            <v>1352.8733667597314</v>
          </cell>
          <cell r="AB54">
            <v>1336.2992246618098</v>
          </cell>
          <cell r="AC54">
            <v>3434.6147632250882</v>
          </cell>
          <cell r="AD54">
            <v>1933.5581644993781</v>
          </cell>
          <cell r="AE54">
            <v>1242.8023743258923</v>
          </cell>
          <cell r="AI54">
            <v>1006.4581158775626</v>
          </cell>
          <cell r="AJ54">
            <v>854.14683575508354</v>
          </cell>
          <cell r="AK54">
            <v>1022.1916304927813</v>
          </cell>
          <cell r="AL54">
            <v>1035.7412675610165</v>
          </cell>
          <cell r="AM54">
            <v>1167.3788233041546</v>
          </cell>
          <cell r="AN54">
            <v>1175.8522028169523</v>
          </cell>
          <cell r="AO54">
            <v>1875.7416072148126</v>
          </cell>
          <cell r="AP54">
            <v>1294.2666237710614</v>
          </cell>
          <cell r="AQ54">
            <v>1278.9340100692639</v>
          </cell>
          <cell r="AR54">
            <v>3697.183014534965</v>
          </cell>
          <cell r="AS54">
            <v>1926.3630791542705</v>
          </cell>
          <cell r="AT54">
            <v>1491.7672804291062</v>
          </cell>
        </row>
        <row r="55">
          <cell r="T55">
            <v>2781.3360884353033</v>
          </cell>
          <cell r="U55">
            <v>2638.7797237417312</v>
          </cell>
          <cell r="V55">
            <v>2890.1425455944568</v>
          </cell>
          <cell r="W55">
            <v>2848.0931408491788</v>
          </cell>
          <cell r="X55">
            <v>3384.0104652060468</v>
          </cell>
          <cell r="Y55">
            <v>3318.5494000480999</v>
          </cell>
          <cell r="Z55">
            <v>4186.7068046772665</v>
          </cell>
          <cell r="AA55">
            <v>3342.271129687228</v>
          </cell>
          <cell r="AB55">
            <v>3953.2353509216823</v>
          </cell>
          <cell r="AC55">
            <v>5813.364104734389</v>
          </cell>
          <cell r="AD55">
            <v>3371.1609320793614</v>
          </cell>
          <cell r="AE55">
            <v>3676.4032920152467</v>
          </cell>
          <cell r="AI55">
            <v>2779.7858984044096</v>
          </cell>
          <cell r="AJ55">
            <v>2622.0571902038996</v>
          </cell>
          <cell r="AK55">
            <v>2923.0638682362437</v>
          </cell>
          <cell r="AL55">
            <v>2822.0041626094926</v>
          </cell>
          <cell r="AM55">
            <v>3418.4835156757772</v>
          </cell>
          <cell r="AN55">
            <v>3380.9015342217449</v>
          </cell>
          <cell r="AO55">
            <v>4086.3916574632308</v>
          </cell>
          <cell r="AP55">
            <v>3260.4172465564402</v>
          </cell>
          <cell r="AQ55">
            <v>3857.9979263591854</v>
          </cell>
          <cell r="AR55">
            <v>6380.9499916404529</v>
          </cell>
          <cell r="AS55">
            <v>3424.7217338387763</v>
          </cell>
          <cell r="AT55">
            <v>4498.9022162888423</v>
          </cell>
        </row>
        <row r="56">
          <cell r="T56">
            <v>8456.2460217524003</v>
          </cell>
          <cell r="U56">
            <v>7606.6216719250833</v>
          </cell>
          <cell r="V56">
            <v>8448.5586464050521</v>
          </cell>
          <cell r="W56">
            <v>8881.5507124506621</v>
          </cell>
          <cell r="X56">
            <v>10059.173521614126</v>
          </cell>
          <cell r="Y56">
            <v>9934.9799433237204</v>
          </cell>
          <cell r="Z56">
            <v>13246.805646392362</v>
          </cell>
          <cell r="AA56">
            <v>10195.676970358467</v>
          </cell>
          <cell r="AB56">
            <v>11392.432159845268</v>
          </cell>
          <cell r="AC56">
            <v>21901.875965809046</v>
          </cell>
          <cell r="AD56">
            <v>10105.874754249244</v>
          </cell>
          <cell r="AE56">
            <v>10867.775571827067</v>
          </cell>
          <cell r="AI56">
            <v>8594.9249919828399</v>
          </cell>
          <cell r="AJ56">
            <v>7686.6559509547342</v>
          </cell>
          <cell r="AK56">
            <v>8689.7697513593412</v>
          </cell>
          <cell r="AL56">
            <v>8949.501946104001</v>
          </cell>
          <cell r="AM56">
            <v>10334.053299749579</v>
          </cell>
          <cell r="AN56">
            <v>10293.375949897603</v>
          </cell>
          <cell r="AO56">
            <v>13148.772459262491</v>
          </cell>
          <cell r="AP56">
            <v>10114.727249341513</v>
          </cell>
          <cell r="AQ56">
            <v>11306.609041584936</v>
          </cell>
          <cell r="AR56">
            <v>24448.135066922459</v>
          </cell>
          <cell r="AS56">
            <v>10440.620758685591</v>
          </cell>
          <cell r="AT56">
            <v>13527.483918187005</v>
          </cell>
        </row>
        <row r="57">
          <cell r="T57">
            <v>1120.0307450878865</v>
          </cell>
          <cell r="U57">
            <v>1016.1456116403067</v>
          </cell>
          <cell r="V57">
            <v>1062.3166918269658</v>
          </cell>
          <cell r="W57">
            <v>1230.1794221930802</v>
          </cell>
          <cell r="X57">
            <v>1458.1391355015523</v>
          </cell>
          <cell r="Y57">
            <v>1424.006737105512</v>
          </cell>
          <cell r="Z57">
            <v>1999.7143578441214</v>
          </cell>
          <cell r="AA57">
            <v>1594.8392810214832</v>
          </cell>
          <cell r="AB57">
            <v>1666.8045111400825</v>
          </cell>
          <cell r="AC57">
            <v>4227.3945390146928</v>
          </cell>
          <cell r="AD57">
            <v>1460.8065240602364</v>
          </cell>
          <cell r="AE57">
            <v>1119.802645620533</v>
          </cell>
          <cell r="AI57">
            <v>1042.8142300682796</v>
          </cell>
          <cell r="AJ57">
            <v>940.61975483879542</v>
          </cell>
          <cell r="AK57">
            <v>1000.9034238422807</v>
          </cell>
          <cell r="AL57">
            <v>1135.5102221929883</v>
          </cell>
          <cell r="AM57">
            <v>1372.207810132981</v>
          </cell>
          <cell r="AN57">
            <v>1351.4980005421824</v>
          </cell>
          <cell r="AO57">
            <v>1818.2539238636405</v>
          </cell>
          <cell r="AP57">
            <v>1449.3309148596959</v>
          </cell>
          <cell r="AQ57">
            <v>1515.3505633012419</v>
          </cell>
          <cell r="AR57">
            <v>4322.6465531712083</v>
          </cell>
          <cell r="AS57">
            <v>1382.4761009203989</v>
          </cell>
          <cell r="AT57">
            <v>1276.0880398407724</v>
          </cell>
        </row>
        <row r="58">
          <cell r="T58">
            <v>1442.9988429535324</v>
          </cell>
          <cell r="U58">
            <v>1212.2268834907889</v>
          </cell>
          <cell r="V58">
            <v>1424.7316060523408</v>
          </cell>
          <cell r="W58">
            <v>1630.1772906917565</v>
          </cell>
          <cell r="X58">
            <v>1756.3457470759756</v>
          </cell>
          <cell r="Y58">
            <v>1961.6842123610713</v>
          </cell>
          <cell r="Z58">
            <v>2954.1861751849378</v>
          </cell>
          <cell r="AA58">
            <v>2087.8494693607386</v>
          </cell>
          <cell r="AB58">
            <v>2594.0697733072493</v>
          </cell>
          <cell r="AC58">
            <v>6967.2310536022014</v>
          </cell>
          <cell r="AD58">
            <v>2383.541490514418</v>
          </cell>
          <cell r="AE58">
            <v>1747.3506586715182</v>
          </cell>
          <cell r="AI58">
            <v>1414.2459573668336</v>
          </cell>
          <cell r="AJ58">
            <v>1181.201580182382</v>
          </cell>
          <cell r="AK58">
            <v>1413.0358704992</v>
          </cell>
          <cell r="AL58">
            <v>1583.9424114524459</v>
          </cell>
          <cell r="AM58">
            <v>1739.8543469953784</v>
          </cell>
          <cell r="AN58">
            <v>1959.8120291868461</v>
          </cell>
          <cell r="AO58">
            <v>2827.5245778135923</v>
          </cell>
          <cell r="AP58">
            <v>1997.2469851568676</v>
          </cell>
          <cell r="AQ58">
            <v>2482.5160179251725</v>
          </cell>
          <cell r="AR58">
            <v>7499.2721775737591</v>
          </cell>
          <cell r="AS58">
            <v>2374.4859668540953</v>
          </cell>
          <cell r="AT58">
            <v>2097.2470913827515</v>
          </cell>
        </row>
        <row r="59">
          <cell r="T59">
            <v>3402.7607512798018</v>
          </cell>
          <cell r="U59">
            <v>3028.927390512657</v>
          </cell>
          <cell r="V59">
            <v>3318.7418970265885</v>
          </cell>
          <cell r="W59">
            <v>3549.0295292253713</v>
          </cell>
          <cell r="X59">
            <v>4068.8733278933437</v>
          </cell>
          <cell r="Y59">
            <v>4024.5797364195373</v>
          </cell>
          <cell r="Z59">
            <v>5074.4500636603234</v>
          </cell>
          <cell r="AA59">
            <v>4178.4368986920836</v>
          </cell>
          <cell r="AB59">
            <v>4286.0689501852103</v>
          </cell>
          <cell r="AC59">
            <v>7875.6381466931389</v>
          </cell>
          <cell r="AD59">
            <v>3639.5101815152598</v>
          </cell>
          <cell r="AE59">
            <v>3978.2809239178578</v>
          </cell>
          <cell r="AI59">
            <v>3371.7733843552974</v>
          </cell>
          <cell r="AJ59">
            <v>2983.9873033776485</v>
          </cell>
          <cell r="AK59">
            <v>3327.8336299015396</v>
          </cell>
          <cell r="AL59">
            <v>3486.4397283089866</v>
          </cell>
          <cell r="AM59">
            <v>4075.1636046706958</v>
          </cell>
          <cell r="AN59">
            <v>4065.1245704512016</v>
          </cell>
          <cell r="AO59">
            <v>4910.497683559197</v>
          </cell>
          <cell r="AP59">
            <v>4041.238101432953</v>
          </cell>
          <cell r="AQ59">
            <v>4147.0336526229003</v>
          </cell>
          <cell r="AR59">
            <v>8570.628228357089</v>
          </cell>
          <cell r="AS59">
            <v>3665.707684764006</v>
          </cell>
          <cell r="AT59">
            <v>4827.3968135496543</v>
          </cell>
        </row>
        <row r="60">
          <cell r="T60">
            <v>889.86064852812331</v>
          </cell>
          <cell r="U60">
            <v>647.68911135813005</v>
          </cell>
          <cell r="V60">
            <v>593.75428383101928</v>
          </cell>
          <cell r="W60">
            <v>678.64528129482039</v>
          </cell>
          <cell r="X60">
            <v>956.12983437596176</v>
          </cell>
          <cell r="Y60">
            <v>876.72815449620805</v>
          </cell>
          <cell r="Z60">
            <v>1477.3049831648586</v>
          </cell>
          <cell r="AA60">
            <v>867.80650827094257</v>
          </cell>
          <cell r="AB60">
            <v>985.85189206224027</v>
          </cell>
          <cell r="AC60">
            <v>2188.0300351251949</v>
          </cell>
          <cell r="AD60">
            <v>913.06450653012314</v>
          </cell>
          <cell r="AE60">
            <v>1087.7955369626304</v>
          </cell>
          <cell r="AI60">
            <v>823.12349927177627</v>
          </cell>
          <cell r="AJ60">
            <v>595.6494426053456</v>
          </cell>
          <cell r="AK60">
            <v>555.79024451855287</v>
          </cell>
          <cell r="AL60">
            <v>622.34530566296235</v>
          </cell>
          <cell r="AM60">
            <v>893.93056033401331</v>
          </cell>
          <cell r="AN60">
            <v>826.67406154218929</v>
          </cell>
          <cell r="AO60">
            <v>1334.512744340173</v>
          </cell>
          <cell r="AP60">
            <v>783.50095327132306</v>
          </cell>
          <cell r="AQ60">
            <v>890.4429832784873</v>
          </cell>
          <cell r="AR60">
            <v>2222.7786552617645</v>
          </cell>
          <cell r="AS60">
            <v>858.48436000181562</v>
          </cell>
          <cell r="AT60">
            <v>1193.3264250579896</v>
          </cell>
        </row>
        <row r="61">
          <cell r="T61">
            <v>2726.6584587705702</v>
          </cell>
          <cell r="U61">
            <v>2368.8208352909619</v>
          </cell>
          <cell r="V61">
            <v>2390.3588650441943</v>
          </cell>
          <cell r="W61">
            <v>2470.9391792241754</v>
          </cell>
          <cell r="X61">
            <v>2525.1327386639887</v>
          </cell>
          <cell r="Y61">
            <v>2665.6002758640125</v>
          </cell>
          <cell r="Z61">
            <v>3719.5135405371702</v>
          </cell>
          <cell r="AA61">
            <v>2910.107902901766</v>
          </cell>
          <cell r="AB61">
            <v>3515.0009080861491</v>
          </cell>
          <cell r="AC61">
            <v>6583.9895413661725</v>
          </cell>
          <cell r="AD61">
            <v>3135.2399074707046</v>
          </cell>
          <cell r="AE61">
            <v>3126.4949316468269</v>
          </cell>
          <cell r="AI61">
            <v>2710.6172028697683</v>
          </cell>
          <cell r="AJ61">
            <v>2341.2662676424643</v>
          </cell>
          <cell r="AK61">
            <v>2404.7045219216598</v>
          </cell>
          <cell r="AL61">
            <v>2435.2586230777092</v>
          </cell>
          <cell r="AM61">
            <v>2537.2635310633073</v>
          </cell>
          <cell r="AN61">
            <v>2701.213006989954</v>
          </cell>
          <cell r="AO61">
            <v>3611.0471305836036</v>
          </cell>
          <cell r="AP61">
            <v>2823.7104988795759</v>
          </cell>
          <cell r="AQ61">
            <v>3412.0417233703693</v>
          </cell>
          <cell r="AR61">
            <v>7188.3054095753023</v>
          </cell>
          <cell r="AS61">
            <v>3168.0801117196247</v>
          </cell>
          <cell r="AT61">
            <v>3801.7490531087356</v>
          </cell>
        </row>
        <row r="62">
          <cell r="T62">
            <v>3542.6060787498036</v>
          </cell>
          <cell r="U62">
            <v>3348.54261359466</v>
          </cell>
          <cell r="V62">
            <v>3679.5625500574124</v>
          </cell>
          <cell r="W62">
            <v>3755.3888965844121</v>
          </cell>
          <cell r="X62">
            <v>3776.7501608830585</v>
          </cell>
          <cell r="Y62">
            <v>4100.5406775480633</v>
          </cell>
          <cell r="Z62">
            <v>5187.1263153707296</v>
          </cell>
          <cell r="AA62">
            <v>4219.1781795842244</v>
          </cell>
          <cell r="AB62">
            <v>4407.6319944344959</v>
          </cell>
          <cell r="AC62">
            <v>9893.5272158873195</v>
          </cell>
          <cell r="AD62">
            <v>4368.9537894944697</v>
          </cell>
          <cell r="AE62">
            <v>4581.5206498079642</v>
          </cell>
          <cell r="AI62">
            <v>3507.9489606515085</v>
          </cell>
          <cell r="AJ62">
            <v>3296.6085268513298</v>
          </cell>
          <cell r="AK62">
            <v>3687.1241181442711</v>
          </cell>
          <cell r="AL62">
            <v>3686.6414856830515</v>
          </cell>
          <cell r="AM62">
            <v>3780.0067452620642</v>
          </cell>
          <cell r="AN62">
            <v>4139.0234399652763</v>
          </cell>
          <cell r="AO62">
            <v>5016.1069824118031</v>
          </cell>
          <cell r="AP62">
            <v>4077.8561017768575</v>
          </cell>
          <cell r="AQ62">
            <v>4261.7421742175356</v>
          </cell>
          <cell r="AR62">
            <v>10759.23751762621</v>
          </cell>
          <cell r="AS62">
            <v>4397.3980715349262</v>
          </cell>
          <cell r="AT62">
            <v>5556.6614388050857</v>
          </cell>
        </row>
        <row r="63">
          <cell r="T63">
            <v>1175.4105722712675</v>
          </cell>
          <cell r="U63">
            <v>935.0966716914146</v>
          </cell>
          <cell r="V63">
            <v>997.94678621332787</v>
          </cell>
          <cell r="W63">
            <v>964.53647924192467</v>
          </cell>
          <cell r="X63">
            <v>1063.7563985649963</v>
          </cell>
          <cell r="Y63">
            <v>1266.215169208205</v>
          </cell>
          <cell r="Z63">
            <v>2086.8022458163787</v>
          </cell>
          <cell r="AA63">
            <v>1441.0470765667087</v>
          </cell>
          <cell r="AB63">
            <v>1640.2883139447431</v>
          </cell>
          <cell r="AC63">
            <v>3932.5177588013139</v>
          </cell>
          <cell r="AD63">
            <v>1482.3513621521279</v>
          </cell>
          <cell r="AE63">
            <v>1584.2981855976952</v>
          </cell>
          <cell r="AI63">
            <v>1086.8926953337655</v>
          </cell>
          <cell r="AJ63">
            <v>859.67586361984024</v>
          </cell>
          <cell r="AK63">
            <v>933.8252786651816</v>
          </cell>
          <cell r="AL63">
            <v>884.22200859057568</v>
          </cell>
          <cell r="AM63">
            <v>994.22156468936157</v>
          </cell>
          <cell r="AN63">
            <v>1193.5234281792038</v>
          </cell>
          <cell r="AO63">
            <v>1884.4643974254043</v>
          </cell>
          <cell r="AP63">
            <v>1300.6153451580262</v>
          </cell>
          <cell r="AQ63">
            <v>1481.0465580640976</v>
          </cell>
          <cell r="AR63">
            <v>3993.6289289718493</v>
          </cell>
          <cell r="AS63">
            <v>1393.2728108932172</v>
          </cell>
          <cell r="AT63">
            <v>1774.4727817926273</v>
          </cell>
        </row>
        <row r="64">
          <cell r="T64">
            <v>2214.6875945540546</v>
          </cell>
          <cell r="U64">
            <v>1790.6662755120526</v>
          </cell>
          <cell r="V64">
            <v>2062.0813377443133</v>
          </cell>
          <cell r="W64">
            <v>2029.8453219427822</v>
          </cell>
          <cell r="X64">
            <v>2052.9462254875411</v>
          </cell>
          <cell r="Y64">
            <v>2232.0990866527864</v>
          </cell>
          <cell r="Z64">
            <v>3748.3137117936312</v>
          </cell>
          <cell r="AA64">
            <v>2102.7870109848704</v>
          </cell>
          <cell r="AB64">
            <v>2045.5285713660255</v>
          </cell>
          <cell r="AC64">
            <v>2471.9081364808762</v>
          </cell>
          <cell r="AD64">
            <v>2116.3962585331055</v>
          </cell>
          <cell r="AE64">
            <v>5085.7965508409452</v>
          </cell>
          <cell r="AI64">
            <v>2002.2349403088376</v>
          </cell>
          <cell r="AJ64">
            <v>1609.5273553662819</v>
          </cell>
          <cell r="AK64">
            <v>1886.5552108124316</v>
          </cell>
          <cell r="AL64">
            <v>1819.3283772644982</v>
          </cell>
          <cell r="AM64">
            <v>1875.9620674045043</v>
          </cell>
          <cell r="AN64">
            <v>2057.0383648915354</v>
          </cell>
          <cell r="AO64">
            <v>3309.3908254308699</v>
          </cell>
          <cell r="AP64">
            <v>1855.5449359435038</v>
          </cell>
          <cell r="AQ64">
            <v>1805.7580343909638</v>
          </cell>
          <cell r="AR64">
            <v>2454.3405889045807</v>
          </cell>
          <cell r="AS64">
            <v>1944.8561114895651</v>
          </cell>
          <cell r="AT64">
            <v>5629.7472014644218</v>
          </cell>
        </row>
        <row r="65">
          <cell r="T65">
            <v>414.96588323734932</v>
          </cell>
          <cell r="U65">
            <v>310.68041628590692</v>
          </cell>
          <cell r="V65">
            <v>352.53862242728712</v>
          </cell>
          <cell r="W65">
            <v>339.37225579279965</v>
          </cell>
          <cell r="X65">
            <v>396.81112605889365</v>
          </cell>
          <cell r="Y65">
            <v>461.60554820092017</v>
          </cell>
          <cell r="Z65">
            <v>724.57458467633478</v>
          </cell>
          <cell r="AA65">
            <v>603.00445996320309</v>
          </cell>
          <cell r="AB65">
            <v>648.80934086743821</v>
          </cell>
          <cell r="AC65">
            <v>1606.6494595295533</v>
          </cell>
          <cell r="AD65">
            <v>810.89270951192282</v>
          </cell>
          <cell r="AE65">
            <v>1121.994146867534</v>
          </cell>
          <cell r="AI65">
            <v>391.25957258437438</v>
          </cell>
          <cell r="AJ65">
            <v>291.23770985454513</v>
          </cell>
          <cell r="AK65">
            <v>336.37247589147836</v>
          </cell>
          <cell r="AL65">
            <v>317.23018511547104</v>
          </cell>
          <cell r="AM65">
            <v>378.16413718103456</v>
          </cell>
          <cell r="AN65">
            <v>443.65968138418367</v>
          </cell>
          <cell r="AO65">
            <v>667.18341893918853</v>
          </cell>
          <cell r="AP65">
            <v>554.94090207463114</v>
          </cell>
          <cell r="AQ65">
            <v>597.33934396800771</v>
          </cell>
          <cell r="AR65">
            <v>1663.6947873363304</v>
          </cell>
          <cell r="AS65">
            <v>777.14831139390628</v>
          </cell>
          <cell r="AT65">
            <v>1297.0032256258048</v>
          </cell>
        </row>
        <row r="66">
          <cell r="T66">
            <v>2848.9257908010427</v>
          </cell>
          <cell r="U66">
            <v>2294.7890656089121</v>
          </cell>
          <cell r="V66">
            <v>2511.5298524194218</v>
          </cell>
          <cell r="W66">
            <v>2341.7285071127003</v>
          </cell>
          <cell r="X66">
            <v>2291.4695453581789</v>
          </cell>
          <cell r="Y66">
            <v>2544.9902597119576</v>
          </cell>
          <cell r="Z66">
            <v>3113.9210533047076</v>
          </cell>
          <cell r="AA66">
            <v>2483.547456061548</v>
          </cell>
          <cell r="AB66">
            <v>2703.5072368092001</v>
          </cell>
          <cell r="AC66">
            <v>2535.6871203981841</v>
          </cell>
          <cell r="AD66">
            <v>1894.2375627054325</v>
          </cell>
          <cell r="AE66">
            <v>2344.1578937228478</v>
          </cell>
          <cell r="AI66">
            <v>2733.6630823595297</v>
          </cell>
          <cell r="AJ66">
            <v>2189.2117368557001</v>
          </cell>
          <cell r="AK66">
            <v>2438.7279764093341</v>
          </cell>
          <cell r="AL66">
            <v>2227.6449846938935</v>
          </cell>
          <cell r="AM66">
            <v>2222.3980973710973</v>
          </cell>
          <cell r="AN66">
            <v>2489.2948145693022</v>
          </cell>
          <cell r="AO66">
            <v>2917.9712782973288</v>
          </cell>
          <cell r="AP66">
            <v>2326.0012379374757</v>
          </cell>
          <cell r="AQ66">
            <v>2533.044563762257</v>
          </cell>
          <cell r="AR66">
            <v>2672.1415211686467</v>
          </cell>
          <cell r="AS66">
            <v>1847.507556319149</v>
          </cell>
          <cell r="AT66">
            <v>2754.9317236566371</v>
          </cell>
        </row>
        <row r="67">
          <cell r="T67">
            <v>4415.4832714558233</v>
          </cell>
          <cell r="U67">
            <v>4423.8349056285642</v>
          </cell>
          <cell r="V67">
            <v>5365.1636793361949</v>
          </cell>
          <cell r="W67">
            <v>5199.3530878776528</v>
          </cell>
          <cell r="X67">
            <v>5442.0530227833824</v>
          </cell>
          <cell r="Y67">
            <v>6349.2291046103728</v>
          </cell>
          <cell r="Z67">
            <v>7358.1807955293034</v>
          </cell>
          <cell r="AA67">
            <v>6145.052335279508</v>
          </cell>
          <cell r="AB67">
            <v>6839.3759482786045</v>
          </cell>
          <cell r="AC67">
            <v>7263.9670750020969</v>
          </cell>
          <cell r="AD67">
            <v>5308.6376202808287</v>
          </cell>
          <cell r="AE67">
            <v>6440.2307837221833</v>
          </cell>
          <cell r="AI67">
            <v>4130.3061759972061</v>
          </cell>
          <cell r="AJ67">
            <v>4114.1872985513755</v>
          </cell>
          <cell r="AK67">
            <v>5078.6483592779296</v>
          </cell>
          <cell r="AL67">
            <v>4821.6857257004276</v>
          </cell>
          <cell r="AM67">
            <v>5145.2998367159898</v>
          </cell>
          <cell r="AN67">
            <v>6054.1246756396431</v>
          </cell>
          <cell r="AO67">
            <v>6721.7757820249626</v>
          </cell>
          <cell r="AP67">
            <v>5610.5213143759402</v>
          </cell>
          <cell r="AQ67">
            <v>6247.0059960920271</v>
          </cell>
          <cell r="AR67">
            <v>7462.3877203080656</v>
          </cell>
          <cell r="AS67">
            <v>5047.4847027695942</v>
          </cell>
          <cell r="AT67">
            <v>7378.491660620959</v>
          </cell>
        </row>
        <row r="68">
          <cell r="T68">
            <v>6173.4549304788861</v>
          </cell>
          <cell r="U68">
            <v>4829.618337797242</v>
          </cell>
          <cell r="V68">
            <v>5762.4299140553667</v>
          </cell>
          <cell r="W68">
            <v>5596.3235052483988</v>
          </cell>
          <cell r="X68">
            <v>6030.9865675983629</v>
          </cell>
          <cell r="Y68">
            <v>6524.0094161894795</v>
          </cell>
          <cell r="Z68">
            <v>7752.4834326590217</v>
          </cell>
          <cell r="AA68">
            <v>7725.2519605350117</v>
          </cell>
          <cell r="AB68">
            <v>8410.6465486855759</v>
          </cell>
          <cell r="AC68">
            <v>3254.9328656179878</v>
          </cell>
          <cell r="AD68">
            <v>3261.3663698935948</v>
          </cell>
          <cell r="AE68">
            <v>3346.0395697173599</v>
          </cell>
          <cell r="AI68">
            <v>5941.8079281009386</v>
          </cell>
          <cell r="AJ68">
            <v>4621.5141160873309</v>
          </cell>
          <cell r="AK68">
            <v>5612.5102631073096</v>
          </cell>
          <cell r="AL68">
            <v>5339.9688579605236</v>
          </cell>
          <cell r="AM68">
            <v>5867.0880270231964</v>
          </cell>
          <cell r="AN68">
            <v>6400.7558997321812</v>
          </cell>
          <cell r="AO68">
            <v>7286.8652393174962</v>
          </cell>
          <cell r="AP68">
            <v>7257.3255900833701</v>
          </cell>
          <cell r="AQ68">
            <v>7904.4408236827749</v>
          </cell>
          <cell r="AR68">
            <v>3440.5850842581449</v>
          </cell>
          <cell r="AS68">
            <v>3190.6402798888544</v>
          </cell>
          <cell r="AT68">
            <v>3944.3908040726992</v>
          </cell>
        </row>
        <row r="72">
          <cell r="T72">
            <v>2712.0945810668372</v>
          </cell>
          <cell r="U72">
            <v>2455.323594748384</v>
          </cell>
          <cell r="V72">
            <v>2660.0866707815103</v>
          </cell>
          <cell r="W72">
            <v>2880.7020119677145</v>
          </cell>
          <cell r="X72">
            <v>3773.7439421235267</v>
          </cell>
          <cell r="Y72">
            <v>3611.8040146862381</v>
          </cell>
          <cell r="Z72">
            <v>5208.8247846215409</v>
          </cell>
          <cell r="AA72">
            <v>3444.2502036123715</v>
          </cell>
          <cell r="AB72">
            <v>3276.9474439279916</v>
          </cell>
          <cell r="AC72">
            <v>7765.4273373274027</v>
          </cell>
          <cell r="AD72">
            <v>2932.4150595396563</v>
          </cell>
          <cell r="AE72">
            <v>3006.0793143279366</v>
          </cell>
          <cell r="AI72">
            <v>2610.6754148290902</v>
          </cell>
          <cell r="AJ72">
            <v>2349.8380436727648</v>
          </cell>
          <cell r="AK72">
            <v>2591.2242555207322</v>
          </cell>
          <cell r="AL72">
            <v>2749.1090653100337</v>
          </cell>
          <cell r="AM72">
            <v>3671.6763597771005</v>
          </cell>
          <cell r="AN72">
            <v>3544.0397459493761</v>
          </cell>
          <cell r="AO72">
            <v>4896.6308150386321</v>
          </cell>
          <cell r="AP72">
            <v>3236.0585357291666</v>
          </cell>
          <cell r="AQ72">
            <v>3080.1294388330562</v>
          </cell>
          <cell r="AR72">
            <v>8209.4365092288044</v>
          </cell>
          <cell r="AS72">
            <v>2869.2039337139558</v>
          </cell>
          <cell r="AT72">
            <v>3542.5947003248466</v>
          </cell>
        </row>
        <row r="73">
          <cell r="T73">
            <v>2484.0791064646878</v>
          </cell>
          <cell r="U73">
            <v>2093.4315813000544</v>
          </cell>
          <cell r="V73">
            <v>2005.528294751839</v>
          </cell>
          <cell r="W73">
            <v>2391.0883871267929</v>
          </cell>
          <cell r="X73">
            <v>2690.2651626594138</v>
          </cell>
          <cell r="Y73">
            <v>2640.6434043722047</v>
          </cell>
          <cell r="Z73">
            <v>3876.5534595739668</v>
          </cell>
          <cell r="AA73">
            <v>2913.8685037672421</v>
          </cell>
          <cell r="AB73">
            <v>3640.1775548813789</v>
          </cell>
          <cell r="AC73">
            <v>7199.2462308543682</v>
          </cell>
          <cell r="AD73">
            <v>3264.1916585580088</v>
          </cell>
          <cell r="AE73">
            <v>3611.8201333983593</v>
          </cell>
          <cell r="AI73">
            <v>2375.1733685795061</v>
          </cell>
          <cell r="AJ73">
            <v>1990.0766762265355</v>
          </cell>
          <cell r="AK73">
            <v>1940.527722835895</v>
          </cell>
          <cell r="AL73">
            <v>2266.580295552923</v>
          </cell>
          <cell r="AM73">
            <v>2599.9733531451066</v>
          </cell>
          <cell r="AN73">
            <v>2573.7479259145048</v>
          </cell>
          <cell r="AO73">
            <v>3619.8054928078109</v>
          </cell>
          <cell r="AP73">
            <v>2719.4023587685801</v>
          </cell>
          <cell r="AQ73">
            <v>3398.6301330982096</v>
          </cell>
          <cell r="AR73">
            <v>7559.9140954987815</v>
          </cell>
          <cell r="AS73">
            <v>3172.4403994863874</v>
          </cell>
          <cell r="AT73">
            <v>4243.488543338719</v>
          </cell>
        </row>
        <row r="74">
          <cell r="T74">
            <v>1691.0167365855236</v>
          </cell>
          <cell r="U74">
            <v>1431.2438723124153</v>
          </cell>
          <cell r="V74">
            <v>1727.3604331891697</v>
          </cell>
          <cell r="W74">
            <v>1769.4753879438229</v>
          </cell>
          <cell r="X74">
            <v>1968.3179329001039</v>
          </cell>
          <cell r="Y74">
            <v>2088.0454960777879</v>
          </cell>
          <cell r="Z74">
            <v>3352.1518917662056</v>
          </cell>
          <cell r="AA74">
            <v>2637.0327956595629</v>
          </cell>
          <cell r="AB74">
            <v>2735.8165411086966</v>
          </cell>
          <cell r="AC74">
            <v>4005.6548097285313</v>
          </cell>
          <cell r="AD74">
            <v>2788.0538574436296</v>
          </cell>
          <cell r="AE74">
            <v>6782.5719054650981</v>
          </cell>
          <cell r="AI74">
            <v>1603.3648733927375</v>
          </cell>
          <cell r="AJ74">
            <v>1349.2090456112937</v>
          </cell>
          <cell r="AK74">
            <v>1657.4047957881373</v>
          </cell>
          <cell r="AL74">
            <v>1663.3152553370478</v>
          </cell>
          <cell r="AM74">
            <v>1886.3558537457491</v>
          </cell>
          <cell r="AN74">
            <v>2018.137605572324</v>
          </cell>
          <cell r="AO74">
            <v>3103.9714068617491</v>
          </cell>
          <cell r="AP74">
            <v>2440.4708095316601</v>
          </cell>
          <cell r="AQ74">
            <v>2532.9281633141782</v>
          </cell>
          <cell r="AR74">
            <v>4171.1702806239591</v>
          </cell>
          <cell r="AS74">
            <v>2687.0363756030488</v>
          </cell>
          <cell r="AT74">
            <v>7829.0471743516828</v>
          </cell>
        </row>
        <row r="75">
          <cell r="T75">
            <v>2365.8376989632025</v>
          </cell>
          <cell r="U75">
            <v>2213.9853736861774</v>
          </cell>
          <cell r="V75">
            <v>2316.2809883815412</v>
          </cell>
          <cell r="W75">
            <v>2515.5113520775394</v>
          </cell>
          <cell r="X75">
            <v>2886.3466091513515</v>
          </cell>
          <cell r="Y75">
            <v>2591.5467844093919</v>
          </cell>
          <cell r="Z75">
            <v>3471.6526717530019</v>
          </cell>
          <cell r="AA75">
            <v>2806.3389015182993</v>
          </cell>
          <cell r="AB75">
            <v>3224.2149101949835</v>
          </cell>
          <cell r="AC75">
            <v>7014.2284057146599</v>
          </cell>
          <cell r="AD75">
            <v>2755.0075856108097</v>
          </cell>
          <cell r="AE75">
            <v>3041.2963922962304</v>
          </cell>
          <cell r="AI75">
            <v>2254.4588414836198</v>
          </cell>
          <cell r="AJ75">
            <v>2097.5545091766498</v>
          </cell>
          <cell r="AK75">
            <v>2233.6224734972966</v>
          </cell>
          <cell r="AL75">
            <v>2376.4530043157488</v>
          </cell>
          <cell r="AM75">
            <v>2780.0317867007948</v>
          </cell>
          <cell r="AN75">
            <v>2517.3452101655598</v>
          </cell>
          <cell r="AO75">
            <v>3230.7488327877863</v>
          </cell>
          <cell r="AP75">
            <v>2610.1839043960285</v>
          </cell>
          <cell r="AQ75">
            <v>3000.0796714536132</v>
          </cell>
          <cell r="AR75">
            <v>7340.695453590165</v>
          </cell>
          <cell r="AS75">
            <v>2668.505425470215</v>
          </cell>
          <cell r="AT75">
            <v>3549.2830433182312</v>
          </cell>
        </row>
        <row r="77"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T79">
            <v>286.04841259157081</v>
          </cell>
          <cell r="U79">
            <v>283.73181278229345</v>
          </cell>
          <cell r="V79">
            <v>247.28557809964963</v>
          </cell>
          <cell r="W79">
            <v>281.59181887355493</v>
          </cell>
          <cell r="X79">
            <v>304.02077206952106</v>
          </cell>
          <cell r="Y79">
            <v>348.14632697497177</v>
          </cell>
          <cell r="Z79">
            <v>318.97607515377439</v>
          </cell>
          <cell r="AA79">
            <v>261.98070617719191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I79">
            <v>568.15967548176707</v>
          </cell>
          <cell r="AJ79">
            <v>511.93710713590968</v>
          </cell>
          <cell r="AK79">
            <v>444.30642792544535</v>
          </cell>
          <cell r="AL79">
            <v>489.91915617868443</v>
          </cell>
          <cell r="AM79">
            <v>498.73644850817021</v>
          </cell>
          <cell r="AN79">
            <v>517.10586365993515</v>
          </cell>
          <cell r="AO79">
            <v>537.78092102892356</v>
          </cell>
          <cell r="AP79">
            <v>347.51393206944493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7">
          <cell r="T87">
            <v>1556.3586105702793</v>
          </cell>
          <cell r="U87">
            <v>1547.4987897712288</v>
          </cell>
          <cell r="V87">
            <v>1785.0707758759602</v>
          </cell>
          <cell r="W87">
            <v>1830.6981856206223</v>
          </cell>
          <cell r="X87">
            <v>2015.7865978563841</v>
          </cell>
          <cell r="Y87">
            <v>2407.773551111854</v>
          </cell>
          <cell r="Z87">
            <v>2400.504003317581</v>
          </cell>
          <cell r="AA87">
            <v>2009.4043538595981</v>
          </cell>
          <cell r="AB87">
            <v>2170.4841499565327</v>
          </cell>
          <cell r="AC87">
            <v>4090.2285124562322</v>
          </cell>
          <cell r="AD87">
            <v>2090.7190924839538</v>
          </cell>
          <cell r="AE87">
            <v>2563.6682173537729</v>
          </cell>
          <cell r="AI87">
            <v>1438.9291146318669</v>
          </cell>
          <cell r="AJ87">
            <v>1299.6952433975748</v>
          </cell>
          <cell r="AK87">
            <v>1493.0488486775942</v>
          </cell>
          <cell r="AL87">
            <v>1482.7156666684277</v>
          </cell>
          <cell r="AM87">
            <v>1539.4194929593805</v>
          </cell>
          <cell r="AN87">
            <v>1664.8486339349975</v>
          </cell>
          <cell r="AO87">
            <v>1975.2257535930157</v>
          </cell>
          <cell r="AP87">
            <v>1232.1788106378856</v>
          </cell>
          <cell r="AQ87">
            <v>1167.9852502067506</v>
          </cell>
          <cell r="AR87">
            <v>3049.6545819732532</v>
          </cell>
          <cell r="AS87">
            <v>946.5199223789316</v>
          </cell>
          <cell r="AT87">
            <v>1356.0221157846854</v>
          </cell>
        </row>
        <row r="88">
          <cell r="T88">
            <v>1556.3586105702793</v>
          </cell>
          <cell r="U88">
            <v>1547.4987897712288</v>
          </cell>
          <cell r="V88">
            <v>1785.0707758759602</v>
          </cell>
          <cell r="W88">
            <v>1830.6981856206223</v>
          </cell>
          <cell r="X88">
            <v>2015.7865978563841</v>
          </cell>
          <cell r="Y88">
            <v>2407.773551111854</v>
          </cell>
          <cell r="Z88">
            <v>2400.504003317581</v>
          </cell>
          <cell r="AA88">
            <v>2009.4043538595981</v>
          </cell>
          <cell r="AB88">
            <v>2170.4841499565327</v>
          </cell>
          <cell r="AC88">
            <v>4090.2285124562322</v>
          </cell>
          <cell r="AD88">
            <v>2090.7190924839538</v>
          </cell>
          <cell r="AE88">
            <v>2563.6682173537729</v>
          </cell>
          <cell r="AI88">
            <v>1996.4533128154194</v>
          </cell>
          <cell r="AJ88">
            <v>1803.2722028808023</v>
          </cell>
          <cell r="AK88">
            <v>2071.542155778975</v>
          </cell>
          <cell r="AL88">
            <v>2057.2053025981268</v>
          </cell>
          <cell r="AM88">
            <v>2135.8794643040337</v>
          </cell>
          <cell r="AN88">
            <v>2309.9070946285669</v>
          </cell>
          <cell r="AO88">
            <v>2740.5422263125115</v>
          </cell>
          <cell r="AP88">
            <v>1709.5960068250672</v>
          </cell>
          <cell r="AQ88">
            <v>1620.530155643826</v>
          </cell>
          <cell r="AR88">
            <v>4231.2668019653593</v>
          </cell>
          <cell r="AS88">
            <v>1313.2563761924196</v>
          </cell>
          <cell r="AT88">
            <v>1881.4233569816417</v>
          </cell>
        </row>
        <row r="89">
          <cell r="T89">
            <v>1036.8321124504334</v>
          </cell>
          <cell r="U89">
            <v>1158.9691415312077</v>
          </cell>
          <cell r="V89">
            <v>1060.6706826455493</v>
          </cell>
          <cell r="W89">
            <v>1125.1934710577439</v>
          </cell>
          <cell r="X89">
            <v>1304.7131372580607</v>
          </cell>
          <cell r="Y89">
            <v>1376.7425657526824</v>
          </cell>
          <cell r="Z89">
            <v>1135.6633182306564</v>
          </cell>
          <cell r="AA89">
            <v>1126.2058803181915</v>
          </cell>
          <cell r="AB89">
            <v>1288.6107513988325</v>
          </cell>
          <cell r="AC89">
            <v>1412.6143231077851</v>
          </cell>
          <cell r="AD89">
            <v>1237.9257402899593</v>
          </cell>
          <cell r="AE89">
            <v>1809.6485268567637</v>
          </cell>
          <cell r="AI89">
            <v>1850.9322219523087</v>
          </cell>
          <cell r="AJ89">
            <v>1879.4701528985631</v>
          </cell>
          <cell r="AK89">
            <v>1712.9768390238798</v>
          </cell>
          <cell r="AL89">
            <v>1759.6272458295302</v>
          </cell>
          <cell r="AM89">
            <v>1923.8881185530192</v>
          </cell>
          <cell r="AN89">
            <v>1838.0791287919362</v>
          </cell>
          <cell r="AO89">
            <v>1804.3311726480392</v>
          </cell>
          <cell r="AP89">
            <v>1333.4493895481537</v>
          </cell>
          <cell r="AQ89">
            <v>1338.9206486712603</v>
          </cell>
          <cell r="AR89">
            <v>2033.6632220128758</v>
          </cell>
          <cell r="AS89">
            <v>1082.1339355242042</v>
          </cell>
          <cell r="AT89">
            <v>2109.016020930394</v>
          </cell>
        </row>
        <row r="90">
          <cell r="T90">
            <v>1476.2454292199684</v>
          </cell>
          <cell r="U90">
            <v>1456.4254514335169</v>
          </cell>
          <cell r="V90">
            <v>1539.0791388022701</v>
          </cell>
          <cell r="W90">
            <v>1578.6347057684295</v>
          </cell>
          <cell r="X90">
            <v>1864.7969491718773</v>
          </cell>
          <cell r="Y90">
            <v>2163.2729149340271</v>
          </cell>
          <cell r="Z90">
            <v>2228.7736458613676</v>
          </cell>
          <cell r="AA90">
            <v>1913.6353016412068</v>
          </cell>
          <cell r="AB90">
            <v>2458.5592036393527</v>
          </cell>
          <cell r="AC90">
            <v>3420.1296440021524</v>
          </cell>
          <cell r="AD90">
            <v>2333.0463411280411</v>
          </cell>
          <cell r="AE90">
            <v>2970.5731843661938</v>
          </cell>
          <cell r="AI90">
            <v>1361.2726803619992</v>
          </cell>
          <cell r="AJ90">
            <v>1219.9901006295802</v>
          </cell>
          <cell r="AK90">
            <v>1283.9152698496989</v>
          </cell>
          <cell r="AL90">
            <v>1275.2038263480065</v>
          </cell>
          <cell r="AM90">
            <v>1420.3677848888133</v>
          </cell>
          <cell r="AN90">
            <v>1491.8572282170194</v>
          </cell>
          <cell r="AO90">
            <v>1829.0985443688021</v>
          </cell>
          <cell r="AP90">
            <v>1170.3679131753713</v>
          </cell>
          <cell r="AQ90">
            <v>1319.5268931046712</v>
          </cell>
          <cell r="AR90">
            <v>2543.3286552216532</v>
          </cell>
          <cell r="AS90">
            <v>1053.4508427830958</v>
          </cell>
          <cell r="AT90">
            <v>1275.9240925027179</v>
          </cell>
        </row>
        <row r="91">
          <cell r="T91">
            <v>1165.2289389301427</v>
          </cell>
          <cell r="U91">
            <v>1004.6992248866727</v>
          </cell>
          <cell r="V91">
            <v>774.10082856306587</v>
          </cell>
          <cell r="W91">
            <v>830.46081873872311</v>
          </cell>
          <cell r="X91">
            <v>848.93810984096228</v>
          </cell>
          <cell r="Y91">
            <v>984.77482343274846</v>
          </cell>
          <cell r="Z91">
            <v>865.06620849244382</v>
          </cell>
          <cell r="AA91">
            <v>772.05069360638561</v>
          </cell>
          <cell r="AB91">
            <v>922.91685882422746</v>
          </cell>
          <cell r="AC91">
            <v>1517.6740273481187</v>
          </cell>
          <cell r="AD91">
            <v>1071.217299568729</v>
          </cell>
          <cell r="AE91">
            <v>1495.9353468764316</v>
          </cell>
          <cell r="AI91">
            <v>2533.9487175604345</v>
          </cell>
          <cell r="AJ91">
            <v>1984.7422317168637</v>
          </cell>
          <cell r="AK91">
            <v>1522.9054515807572</v>
          </cell>
          <cell r="AL91">
            <v>1582.038705726125</v>
          </cell>
          <cell r="AM91">
            <v>1524.9137844150296</v>
          </cell>
          <cell r="AN91">
            <v>1601.5956614487807</v>
          </cell>
          <cell r="AO91">
            <v>1674.2506829181816</v>
          </cell>
          <cell r="AP91">
            <v>1113.5482680237517</v>
          </cell>
          <cell r="AQ91">
            <v>1168.1541360632682</v>
          </cell>
          <cell r="AR91">
            <v>2661.5731955798287</v>
          </cell>
          <cell r="AS91">
            <v>1140.692231830131</v>
          </cell>
          <cell r="AT91">
            <v>2496.2238153727781</v>
          </cell>
        </row>
        <row r="92">
          <cell r="T92">
            <v>629.6506287259532</v>
          </cell>
          <cell r="U92">
            <v>653.97637156558994</v>
          </cell>
          <cell r="V92">
            <v>553.21903816517158</v>
          </cell>
          <cell r="W92">
            <v>671.27781283361458</v>
          </cell>
          <cell r="X92">
            <v>770.92332274790817</v>
          </cell>
          <cell r="Y92">
            <v>937.45030121278489</v>
          </cell>
          <cell r="Z92">
            <v>955.73272759247175</v>
          </cell>
          <cell r="AA92">
            <v>949.93889813746432</v>
          </cell>
          <cell r="AB92">
            <v>1050.0028400174365</v>
          </cell>
          <cell r="AC92">
            <v>2208.4592022292286</v>
          </cell>
          <cell r="AD92">
            <v>1087.3884859501725</v>
          </cell>
          <cell r="AE92">
            <v>1410.0746390830839</v>
          </cell>
          <cell r="AI92">
            <v>1287.1475819015948</v>
          </cell>
          <cell r="AJ92">
            <v>1214.4293242800113</v>
          </cell>
          <cell r="AK92">
            <v>1023.0919575478283</v>
          </cell>
          <cell r="AL92">
            <v>1202.1049761367528</v>
          </cell>
          <cell r="AM92">
            <v>1301.7350218019442</v>
          </cell>
          <cell r="AN92">
            <v>1433.1984971584814</v>
          </cell>
          <cell r="AO92">
            <v>1738.800431963856</v>
          </cell>
          <cell r="AP92">
            <v>1287.9560553279605</v>
          </cell>
          <cell r="AQ92">
            <v>1249.3099242270232</v>
          </cell>
          <cell r="AR92">
            <v>3640.7548560214514</v>
          </cell>
          <cell r="AS92">
            <v>1088.4733011430583</v>
          </cell>
          <cell r="AT92">
            <v>1287.5071082524275</v>
          </cell>
        </row>
        <row r="93">
          <cell r="T93">
            <v>895.19143462779903</v>
          </cell>
          <cell r="U93">
            <v>905.56442923778718</v>
          </cell>
          <cell r="V93">
            <v>1064.5109342890428</v>
          </cell>
          <cell r="W93">
            <v>1175.5981910230134</v>
          </cell>
          <cell r="X93">
            <v>1308.4177221320906</v>
          </cell>
          <cell r="Y93">
            <v>1455.2462636481778</v>
          </cell>
          <cell r="Z93">
            <v>1467.6405316841287</v>
          </cell>
          <cell r="AA93">
            <v>1234.8004112460192</v>
          </cell>
          <cell r="AB93">
            <v>987.4568380092669</v>
          </cell>
          <cell r="AC93">
            <v>1450.2154858243664</v>
          </cell>
          <cell r="AD93">
            <v>1016.287607896278</v>
          </cell>
          <cell r="AE93">
            <v>1058.6680696443498</v>
          </cell>
          <cell r="AI93">
            <v>1493.9212970855531</v>
          </cell>
          <cell r="AJ93">
            <v>1372.8169719018624</v>
          </cell>
          <cell r="AK93">
            <v>1607.1291442296567</v>
          </cell>
          <cell r="AL93">
            <v>1718.6288885783367</v>
          </cell>
          <cell r="AM93">
            <v>1803.6028760344909</v>
          </cell>
          <cell r="AN93">
            <v>1816.2585873427165</v>
          </cell>
          <cell r="AO93">
            <v>2179.7971234956422</v>
          </cell>
          <cell r="AP93">
            <v>1366.7378940895662</v>
          </cell>
          <cell r="AQ93">
            <v>959.1376395603537</v>
          </cell>
          <cell r="AR93">
            <v>1951.7208049525088</v>
          </cell>
          <cell r="AS93">
            <v>830.48688295017303</v>
          </cell>
          <cell r="AT93">
            <v>1369.9492216219776</v>
          </cell>
        </row>
        <row r="94">
          <cell r="T94">
            <v>1591.9417340441701</v>
          </cell>
          <cell r="U94">
            <v>1417.7840452605467</v>
          </cell>
          <cell r="V94">
            <v>1705.7259873571206</v>
          </cell>
          <cell r="W94">
            <v>1774.7893215559923</v>
          </cell>
          <cell r="X94">
            <v>1975.6041280127322</v>
          </cell>
          <cell r="Y94">
            <v>2393.2968074898795</v>
          </cell>
          <cell r="Z94">
            <v>2139.066443802908</v>
          </cell>
          <cell r="AA94">
            <v>2064.2214779230058</v>
          </cell>
          <cell r="AB94">
            <v>2134.8470142773949</v>
          </cell>
          <cell r="AC94">
            <v>2827.9670487559556</v>
          </cell>
          <cell r="AD94">
            <v>2575.2080871973353</v>
          </cell>
          <cell r="AE94">
            <v>2804.2337331537155</v>
          </cell>
          <cell r="AI94">
            <v>2068.6058969981977</v>
          </cell>
          <cell r="AJ94">
            <v>1673.5633602051548</v>
          </cell>
          <cell r="AK94">
            <v>2005.158492318066</v>
          </cell>
          <cell r="AL94">
            <v>2020.2671176658203</v>
          </cell>
          <cell r="AM94">
            <v>2120.4752898447764</v>
          </cell>
          <cell r="AN94">
            <v>2325.8223468494216</v>
          </cell>
          <cell r="AO94">
            <v>2473.7707073111328</v>
          </cell>
          <cell r="AP94">
            <v>1779.0311505605184</v>
          </cell>
          <cell r="AQ94">
            <v>1614.6126879333149</v>
          </cell>
          <cell r="AR94">
            <v>2963.4546651702854</v>
          </cell>
          <cell r="AS94">
            <v>1638.5785471716322</v>
          </cell>
          <cell r="AT94">
            <v>1883.32441546566</v>
          </cell>
        </row>
        <row r="95">
          <cell r="T95">
            <v>488.57578564447942</v>
          </cell>
          <cell r="U95">
            <v>440.68944441123858</v>
          </cell>
          <cell r="V95">
            <v>507.38310136259588</v>
          </cell>
          <cell r="W95">
            <v>511.69852383006167</v>
          </cell>
          <cell r="X95">
            <v>600.64916435980808</v>
          </cell>
          <cell r="Y95">
            <v>805.37882214206752</v>
          </cell>
          <cell r="Z95">
            <v>909.6350028347523</v>
          </cell>
          <cell r="AA95">
            <v>772.80631819365567</v>
          </cell>
          <cell r="AB95">
            <v>889.8567297693927</v>
          </cell>
          <cell r="AC95">
            <v>1520.4439386226443</v>
          </cell>
          <cell r="AD95">
            <v>992.55324234635509</v>
          </cell>
          <cell r="AE95">
            <v>1267.7471402457254</v>
          </cell>
          <cell r="AI95">
            <v>1907.3129732488298</v>
          </cell>
          <cell r="AJ95">
            <v>1562.8027119432386</v>
          </cell>
          <cell r="AK95">
            <v>1791.9045496791628</v>
          </cell>
          <cell r="AL95">
            <v>1749.9094880579805</v>
          </cell>
          <cell r="AM95">
            <v>1936.8393584537143</v>
          </cell>
          <cell r="AN95">
            <v>2351.3626559692602</v>
          </cell>
          <cell r="AO95">
            <v>3160.3979035660632</v>
          </cell>
          <cell r="AP95">
            <v>2000.9551656626418</v>
          </cell>
          <cell r="AQ95">
            <v>2021.9067651494336</v>
          </cell>
          <cell r="AR95">
            <v>4786.6733130609073</v>
          </cell>
          <cell r="AS95">
            <v>1897.3531956358754</v>
          </cell>
          <cell r="AT95">
            <v>1885.6494259114456</v>
          </cell>
        </row>
        <row r="96">
          <cell r="T96">
            <v>1127.3199101199339</v>
          </cell>
          <cell r="U96">
            <v>1157.1372496303206</v>
          </cell>
          <cell r="V96">
            <v>1352.4599142562979</v>
          </cell>
          <cell r="W96">
            <v>1528.248022590805</v>
          </cell>
          <cell r="X96">
            <v>2130.8413734593273</v>
          </cell>
          <cell r="Y96">
            <v>2297.295541779823</v>
          </cell>
          <cell r="Z96">
            <v>2270.5214915423571</v>
          </cell>
          <cell r="AA96">
            <v>1847.0863041705832</v>
          </cell>
          <cell r="AB96">
            <v>1777.7446265328731</v>
          </cell>
          <cell r="AC96">
            <v>3002.3759967591186</v>
          </cell>
          <cell r="AD96">
            <v>1963.4873010307685</v>
          </cell>
          <cell r="AE96">
            <v>2405.4489797028632</v>
          </cell>
          <cell r="AI96">
            <v>1170.237320334636</v>
          </cell>
          <cell r="AJ96">
            <v>1091.1717791451829</v>
          </cell>
          <cell r="AK96">
            <v>1270.1061483690653</v>
          </cell>
          <cell r="AL96">
            <v>1389.7350391573002</v>
          </cell>
          <cell r="AM96">
            <v>1827.0927250590582</v>
          </cell>
          <cell r="AN96">
            <v>1783.4996316299826</v>
          </cell>
          <cell r="AO96">
            <v>2097.6690067621462</v>
          </cell>
          <cell r="AP96">
            <v>1271.7174334529666</v>
          </cell>
          <cell r="AQ96">
            <v>1074.1060278636407</v>
          </cell>
          <cell r="AR96">
            <v>2513.4207669007646</v>
          </cell>
          <cell r="AS96">
            <v>998.06588367682139</v>
          </cell>
          <cell r="AT96">
            <v>1074.0746481448182</v>
          </cell>
        </row>
        <row r="107"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1710.0648220010762</v>
          </cell>
          <cell r="AD107">
            <v>2333.0463411280411</v>
          </cell>
          <cell r="AE107">
            <v>2970.5731843661938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1280.1033677347364</v>
          </cell>
          <cell r="AS107">
            <v>1069.3189929825392</v>
          </cell>
          <cell r="AT107">
            <v>1292.2229912675707</v>
          </cell>
        </row>
        <row r="108"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1126.2058803181915</v>
          </cell>
          <cell r="AB108">
            <v>1288.6107513988325</v>
          </cell>
          <cell r="AC108">
            <v>1412.6143231077851</v>
          </cell>
          <cell r="AD108">
            <v>1237.9257402899593</v>
          </cell>
          <cell r="AE108">
            <v>1809.6485268567637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1540.1479589663218</v>
          </cell>
          <cell r="AQ108">
            <v>1615.2324578916591</v>
          </cell>
          <cell r="AR108">
            <v>2332.6353772555221</v>
          </cell>
          <cell r="AS108">
            <v>1251.6107780579587</v>
          </cell>
          <cell r="AT108">
            <v>2433.8161938941785</v>
          </cell>
        </row>
        <row r="109"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6180.3966654493142</v>
          </cell>
          <cell r="AC109">
            <v>8468.0036045990582</v>
          </cell>
          <cell r="AD109">
            <v>6766.694462717307</v>
          </cell>
          <cell r="AE109">
            <v>8696.3372976523096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1996.3220149501938</v>
          </cell>
          <cell r="AR109">
            <v>3603.340065866596</v>
          </cell>
          <cell r="AS109">
            <v>1762.9996745785495</v>
          </cell>
          <cell r="AT109">
            <v>1729.2313367387098</v>
          </cell>
        </row>
        <row r="110"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2139.066443802908</v>
          </cell>
          <cell r="AA110">
            <v>2064.2214779230058</v>
          </cell>
          <cell r="AB110">
            <v>2134.8470142773949</v>
          </cell>
          <cell r="AC110">
            <v>2827.9670487559556</v>
          </cell>
          <cell r="AD110">
            <v>2575.2080871973353</v>
          </cell>
          <cell r="AE110">
            <v>2804.2337331537155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2389.20476785047</v>
          </cell>
          <cell r="AP110">
            <v>2673.2705971577798</v>
          </cell>
          <cell r="AQ110">
            <v>3139.2962724671402</v>
          </cell>
          <cell r="AR110">
            <v>4256.7888507219805</v>
          </cell>
          <cell r="AS110">
            <v>2473.4032879321499</v>
          </cell>
          <cell r="AT110">
            <v>2821.75501368596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plier"/>
      <sheetName val="Budget"/>
      <sheetName val="Jan"/>
      <sheetName val="feb"/>
      <sheetName val="mar"/>
      <sheetName val="apr"/>
      <sheetName val="mei"/>
      <sheetName val="jun"/>
      <sheetName val="jul"/>
      <sheetName val="agt"/>
      <sheetName val="sep"/>
      <sheetName val="oct"/>
      <sheetName val="nov"/>
      <sheetName val="dec"/>
      <sheetName val="jan11"/>
      <sheetName val="sum purc"/>
      <sheetName val="By Supp"/>
      <sheetName val="By Class"/>
      <sheetName val="By Delivery"/>
      <sheetName val="Sheet3"/>
      <sheetName val="Sheet1"/>
      <sheetName val="SUMMARY"/>
      <sheetName val="feb 11"/>
      <sheetName val="mar 11"/>
      <sheetName val="apr 11"/>
    </sheetNames>
    <sheetDataSet>
      <sheetData sheetId="0" refreshError="1">
        <row r="1">
          <cell r="A1" t="str">
            <v xml:space="preserve">NO SUPP </v>
          </cell>
          <cell r="B1" t="str">
            <v>NAMA SUPPLIER</v>
          </cell>
          <cell r="C1" t="str">
            <v>KONTAK PERSON</v>
          </cell>
          <cell r="D1" t="str">
            <v>HP</v>
          </cell>
          <cell r="E1" t="str">
            <v>TLP KANTOR</v>
          </cell>
          <cell r="F1" t="str">
            <v>FAX</v>
          </cell>
          <cell r="G1" t="str">
            <v>ALAMAT</v>
          </cell>
          <cell r="H1" t="str">
            <v>MEREK</v>
          </cell>
          <cell r="I1" t="str">
            <v>KREDIT</v>
          </cell>
        </row>
        <row r="2">
          <cell r="A2">
            <v>599</v>
          </cell>
          <cell r="B2" t="str">
            <v>PT Sinar Pratama Agung</v>
          </cell>
          <cell r="C2" t="str">
            <v>Tatang</v>
          </cell>
          <cell r="D2">
            <v>8161898582</v>
          </cell>
          <cell r="E2" t="str">
            <v>021-5443301</v>
          </cell>
          <cell r="F2" t="str">
            <v>021-5443302</v>
          </cell>
          <cell r="G2" t="str">
            <v>JAKARTA</v>
          </cell>
          <cell r="H2" t="str">
            <v>Minnie</v>
          </cell>
          <cell r="I2">
            <v>2</v>
          </cell>
        </row>
        <row r="3">
          <cell r="A3">
            <v>5076</v>
          </cell>
          <cell r="B3" t="str">
            <v>PT LUCKY BUSANA P.I</v>
          </cell>
          <cell r="C3" t="str">
            <v>Lily</v>
          </cell>
          <cell r="D3" t="str">
            <v>0811-172161</v>
          </cell>
          <cell r="E3" t="str">
            <v>021-5815377</v>
          </cell>
          <cell r="F3" t="str">
            <v>021-5814971</v>
          </cell>
          <cell r="G3" t="str">
            <v xml:space="preserve">JAKARTA </v>
          </cell>
          <cell r="H3" t="str">
            <v>LITTLE M</v>
          </cell>
          <cell r="I3">
            <v>2</v>
          </cell>
        </row>
        <row r="4">
          <cell r="A4">
            <v>80700</v>
          </cell>
          <cell r="B4" t="str">
            <v>PT HALIM JAYA SAKTI</v>
          </cell>
          <cell r="C4" t="str">
            <v>Heni</v>
          </cell>
          <cell r="D4" t="str">
            <v>0812-3206185</v>
          </cell>
          <cell r="E4" t="str">
            <v>0343-854689</v>
          </cell>
          <cell r="F4" t="str">
            <v>0343-252103</v>
          </cell>
          <cell r="G4" t="str">
            <v>SURABAYA</v>
          </cell>
          <cell r="H4" t="str">
            <v>HELLOKITTY</v>
          </cell>
          <cell r="I4">
            <v>2</v>
          </cell>
        </row>
        <row r="5">
          <cell r="A5">
            <v>80982</v>
          </cell>
          <cell r="B5" t="str">
            <v>Cv.Sephindo Limpah Anugerah</v>
          </cell>
          <cell r="C5" t="str">
            <v>Agus</v>
          </cell>
          <cell r="D5" t="str">
            <v>0818-291305</v>
          </cell>
          <cell r="E5" t="str">
            <v>024-3553638</v>
          </cell>
          <cell r="G5" t="str">
            <v xml:space="preserve">SEMARANG </v>
          </cell>
          <cell r="H5" t="str">
            <v>Nevada</v>
          </cell>
          <cell r="I5">
            <v>2</v>
          </cell>
        </row>
        <row r="6">
          <cell r="A6">
            <v>81011</v>
          </cell>
          <cell r="B6" t="str">
            <v>LIE ALI GUNAWAN</v>
          </cell>
          <cell r="C6" t="str">
            <v>Erick</v>
          </cell>
          <cell r="D6" t="str">
            <v>0811-174756</v>
          </cell>
          <cell r="E6" t="str">
            <v>021-86612938 / 939</v>
          </cell>
          <cell r="F6" t="str">
            <v>021-86612952</v>
          </cell>
          <cell r="G6" t="str">
            <v>JAKARTA</v>
          </cell>
          <cell r="H6" t="str">
            <v>LITTLE M &amp; NEVADA</v>
          </cell>
          <cell r="I6">
            <v>2</v>
          </cell>
        </row>
        <row r="7">
          <cell r="A7">
            <v>81022</v>
          </cell>
          <cell r="B7" t="str">
            <v>Petrick Cahyadi</v>
          </cell>
          <cell r="C7" t="str">
            <v>Yulius</v>
          </cell>
          <cell r="D7" t="str">
            <v>0811225376</v>
          </cell>
          <cell r="G7" t="str">
            <v>BANDUNG</v>
          </cell>
          <cell r="H7" t="str">
            <v>Nevada</v>
          </cell>
          <cell r="I7">
            <v>2</v>
          </cell>
        </row>
        <row r="8">
          <cell r="A8">
            <v>81061</v>
          </cell>
          <cell r="B8" t="str">
            <v>Lie Ka Hok</v>
          </cell>
          <cell r="C8" t="str">
            <v>Kahok</v>
          </cell>
          <cell r="D8" t="str">
            <v>0811-327617</v>
          </cell>
          <cell r="E8" t="str">
            <v>031-3810548</v>
          </cell>
          <cell r="F8" t="str">
            <v>031-3824621</v>
          </cell>
          <cell r="G8" t="str">
            <v>Surabaya</v>
          </cell>
          <cell r="H8" t="str">
            <v>Nevada</v>
          </cell>
          <cell r="I8">
            <v>2</v>
          </cell>
        </row>
        <row r="9">
          <cell r="A9">
            <v>81083</v>
          </cell>
          <cell r="B9" t="str">
            <v>Baby Millioner</v>
          </cell>
          <cell r="C9" t="str">
            <v>Ramli</v>
          </cell>
          <cell r="D9" t="str">
            <v>0811-140799</v>
          </cell>
          <cell r="E9" t="str">
            <v>021-6517245</v>
          </cell>
          <cell r="F9" t="str">
            <v>021-6503630</v>
          </cell>
          <cell r="G9" t="str">
            <v>Jakarta</v>
          </cell>
          <cell r="H9" t="str">
            <v>Baby Millioner</v>
          </cell>
          <cell r="I9">
            <v>2</v>
          </cell>
        </row>
        <row r="10">
          <cell r="A10">
            <v>81089</v>
          </cell>
          <cell r="B10" t="str">
            <v>PT Citra Tenos Utama</v>
          </cell>
          <cell r="C10" t="str">
            <v>Ivan</v>
          </cell>
          <cell r="D10" t="str">
            <v>0816624686</v>
          </cell>
          <cell r="E10" t="str">
            <v>022-5400353</v>
          </cell>
          <cell r="F10" t="str">
            <v>022-5404962</v>
          </cell>
          <cell r="G10" t="str">
            <v>BANDUNG</v>
          </cell>
          <cell r="H10" t="str">
            <v>Nevada</v>
          </cell>
          <cell r="I10">
            <v>1</v>
          </cell>
        </row>
        <row r="11">
          <cell r="A11">
            <v>81146</v>
          </cell>
          <cell r="B11" t="str">
            <v>PT Mentari Esa Cipta</v>
          </cell>
          <cell r="C11" t="str">
            <v>Iwan</v>
          </cell>
          <cell r="D11" t="str">
            <v>0816988388</v>
          </cell>
          <cell r="E11" t="str">
            <v>021-5467619</v>
          </cell>
          <cell r="F11" t="str">
            <v>021-54204742</v>
          </cell>
          <cell r="G11" t="str">
            <v>Tangerang</v>
          </cell>
          <cell r="H11" t="str">
            <v>Nevada</v>
          </cell>
          <cell r="I11">
            <v>2</v>
          </cell>
        </row>
        <row r="12">
          <cell r="A12">
            <v>81147</v>
          </cell>
          <cell r="B12" t="str">
            <v>PT Sama Bahagia Perkasa</v>
          </cell>
          <cell r="C12" t="str">
            <v>Widodod</v>
          </cell>
          <cell r="D12" t="str">
            <v>0811817841</v>
          </cell>
          <cell r="E12" t="str">
            <v>021-55915049</v>
          </cell>
          <cell r="F12" t="str">
            <v>021-5594223</v>
          </cell>
          <cell r="G12" t="str">
            <v>TANGERANG</v>
          </cell>
          <cell r="H12" t="str">
            <v>Nevada</v>
          </cell>
          <cell r="I12">
            <v>2</v>
          </cell>
        </row>
        <row r="13">
          <cell r="A13">
            <v>81202</v>
          </cell>
          <cell r="B13" t="str">
            <v>PT. Rippers Footwear</v>
          </cell>
          <cell r="C13" t="str">
            <v>Herman</v>
          </cell>
          <cell r="D13" t="str">
            <v>081511170777</v>
          </cell>
          <cell r="G13" t="str">
            <v>Jakarta</v>
          </cell>
          <cell r="H13" t="str">
            <v>Rippers</v>
          </cell>
          <cell r="I13">
            <v>2</v>
          </cell>
        </row>
        <row r="14">
          <cell r="A14">
            <v>81218</v>
          </cell>
          <cell r="B14" t="str">
            <v>CV. Rizky Mandiri</v>
          </cell>
          <cell r="C14" t="str">
            <v>H.Iis Juanda</v>
          </cell>
          <cell r="D14" t="str">
            <v>08128048486</v>
          </cell>
          <cell r="E14" t="str">
            <v>021-55763008</v>
          </cell>
          <cell r="F14" t="str">
            <v>021-55763008</v>
          </cell>
          <cell r="G14" t="str">
            <v>Tangerang</v>
          </cell>
          <cell r="H14" t="str">
            <v>Nevada</v>
          </cell>
          <cell r="I14">
            <v>2</v>
          </cell>
        </row>
        <row r="15">
          <cell r="A15">
            <v>81228</v>
          </cell>
          <cell r="B15" t="str">
            <v>PT. Citra Pasifik Utama</v>
          </cell>
          <cell r="C15" t="str">
            <v>Ivan</v>
          </cell>
          <cell r="D15" t="str">
            <v>0816-624585</v>
          </cell>
          <cell r="E15" t="str">
            <v>022-5400353</v>
          </cell>
          <cell r="F15" t="str">
            <v>022-5404962</v>
          </cell>
          <cell r="G15" t="str">
            <v>Bandung</v>
          </cell>
          <cell r="H15" t="str">
            <v>Nevada</v>
          </cell>
          <cell r="I15">
            <v>1</v>
          </cell>
        </row>
        <row r="16">
          <cell r="A16">
            <v>81234</v>
          </cell>
          <cell r="B16" t="str">
            <v>Vivena Sinergy</v>
          </cell>
          <cell r="C16" t="str">
            <v>Vito</v>
          </cell>
          <cell r="D16" t="str">
            <v>0816-4805664</v>
          </cell>
          <cell r="G16" t="str">
            <v>Jakarta</v>
          </cell>
          <cell r="H16" t="str">
            <v>Nevada</v>
          </cell>
          <cell r="I16">
            <v>2</v>
          </cell>
        </row>
        <row r="17">
          <cell r="A17">
            <v>81240</v>
          </cell>
          <cell r="B17" t="str">
            <v>Tjai Untung Alimansyah</v>
          </cell>
          <cell r="C17" t="str">
            <v>Vivi</v>
          </cell>
          <cell r="D17" t="str">
            <v>0816-839904</v>
          </cell>
          <cell r="G17" t="str">
            <v>Jakarta</v>
          </cell>
          <cell r="H17" t="str">
            <v>Nevada</v>
          </cell>
          <cell r="I17">
            <v>2</v>
          </cell>
        </row>
        <row r="18">
          <cell r="A18">
            <v>81319</v>
          </cell>
          <cell r="B18" t="str">
            <v>CV. Megajaya</v>
          </cell>
          <cell r="C18" t="str">
            <v>Anton</v>
          </cell>
          <cell r="D18" t="str">
            <v>0811-307898</v>
          </cell>
          <cell r="E18" t="str">
            <v>031-5017836</v>
          </cell>
          <cell r="F18" t="str">
            <v>031-5024157</v>
          </cell>
          <cell r="G18" t="str">
            <v>Surabaya</v>
          </cell>
          <cell r="H18" t="str">
            <v>Nevada</v>
          </cell>
          <cell r="I18">
            <v>2</v>
          </cell>
        </row>
        <row r="19">
          <cell r="A19">
            <v>81321</v>
          </cell>
          <cell r="B19" t="str">
            <v>CV. Aryadira</v>
          </cell>
          <cell r="C19" t="str">
            <v>H. Aryo</v>
          </cell>
          <cell r="D19" t="str">
            <v>081802271066</v>
          </cell>
          <cell r="F19" t="str">
            <v>022-5414880</v>
          </cell>
          <cell r="G19" t="str">
            <v>Bandung</v>
          </cell>
          <cell r="H19" t="str">
            <v>Little M</v>
          </cell>
          <cell r="I19">
            <v>2</v>
          </cell>
        </row>
        <row r="20">
          <cell r="A20">
            <v>81333</v>
          </cell>
          <cell r="B20" t="str">
            <v>PT. Happy Holykids</v>
          </cell>
          <cell r="C20" t="str">
            <v>Dhamar</v>
          </cell>
          <cell r="D20" t="str">
            <v>0815-9842100</v>
          </cell>
          <cell r="E20" t="str">
            <v>021-7562303</v>
          </cell>
          <cell r="F20" t="str">
            <v>021-7562172</v>
          </cell>
          <cell r="G20" t="str">
            <v>Jakarta</v>
          </cell>
          <cell r="H20" t="str">
            <v>Happy Holykids</v>
          </cell>
          <cell r="I20">
            <v>2</v>
          </cell>
        </row>
        <row r="21">
          <cell r="A21">
            <v>81488</v>
          </cell>
          <cell r="B21" t="str">
            <v xml:space="preserve">Yanto/UD Kreasindo </v>
          </cell>
          <cell r="C21" t="str">
            <v>Yanto</v>
          </cell>
          <cell r="D21" t="str">
            <v>0811-983953</v>
          </cell>
          <cell r="E21" t="str">
            <v>021-53127568 / 569</v>
          </cell>
          <cell r="F21" t="str">
            <v>021-53127571</v>
          </cell>
          <cell r="G21" t="str">
            <v>Jakarta</v>
          </cell>
          <cell r="H21" t="str">
            <v>Nevada</v>
          </cell>
          <cell r="I21">
            <v>2</v>
          </cell>
        </row>
        <row r="22">
          <cell r="A22">
            <v>81478</v>
          </cell>
          <cell r="B22" t="str">
            <v>SUSI MARIAWATI</v>
          </cell>
          <cell r="C22" t="str">
            <v>Susi</v>
          </cell>
          <cell r="G22" t="str">
            <v>Bandung</v>
          </cell>
          <cell r="H22" t="str">
            <v>Nevada</v>
          </cell>
          <cell r="I22">
            <v>2</v>
          </cell>
        </row>
        <row r="23">
          <cell r="A23">
            <v>81399</v>
          </cell>
          <cell r="B23" t="str">
            <v>PT Spotec</v>
          </cell>
          <cell r="C23" t="str">
            <v>Agus</v>
          </cell>
          <cell r="D23" t="str">
            <v>085959988022</v>
          </cell>
          <cell r="E23" t="str">
            <v>021-56981055</v>
          </cell>
          <cell r="F23" t="str">
            <v>02156981060</v>
          </cell>
          <cell r="G23" t="str">
            <v>JAKARTA</v>
          </cell>
          <cell r="H23" t="str">
            <v>Spotec</v>
          </cell>
          <cell r="I23">
            <v>2</v>
          </cell>
        </row>
        <row r="24">
          <cell r="A24">
            <v>81432</v>
          </cell>
          <cell r="B24" t="str">
            <v>PT Vivena Sinergy Cemerlang</v>
          </cell>
          <cell r="C24" t="str">
            <v>Vito</v>
          </cell>
          <cell r="D24" t="str">
            <v>08164805664</v>
          </cell>
          <cell r="E24" t="str">
            <v>021-70260406</v>
          </cell>
          <cell r="F24" t="str">
            <v>021-5978096</v>
          </cell>
          <cell r="G24" t="str">
            <v>TANGERANG</v>
          </cell>
          <cell r="H24" t="str">
            <v>Nevada</v>
          </cell>
          <cell r="I24">
            <v>2</v>
          </cell>
        </row>
        <row r="25">
          <cell r="A25">
            <v>80752</v>
          </cell>
          <cell r="B25" t="str">
            <v>PT. Mitra Adi Perkasa</v>
          </cell>
          <cell r="C25" t="str">
            <v>Tio</v>
          </cell>
          <cell r="D25">
            <v>811826731</v>
          </cell>
          <cell r="G25" t="str">
            <v>Jakarta</v>
          </cell>
          <cell r="H25" t="str">
            <v>Barbie</v>
          </cell>
          <cell r="I25">
            <v>2</v>
          </cell>
        </row>
        <row r="26">
          <cell r="A26">
            <v>81380</v>
          </cell>
          <cell r="B26" t="str">
            <v>PT. Wangta Agung</v>
          </cell>
          <cell r="C26" t="str">
            <v>Rini</v>
          </cell>
          <cell r="G26" t="str">
            <v>Surabaya</v>
          </cell>
          <cell r="H26" t="str">
            <v>Ardilles</v>
          </cell>
        </row>
        <row r="28">
          <cell r="A28">
            <v>42</v>
          </cell>
          <cell r="B28" t="str">
            <v>Girls Shoes</v>
          </cell>
        </row>
        <row r="29">
          <cell r="A29">
            <v>210</v>
          </cell>
          <cell r="B29" t="str">
            <v>Mix Brand</v>
          </cell>
        </row>
        <row r="30">
          <cell r="A30">
            <v>212</v>
          </cell>
          <cell r="B30" t="str">
            <v>Nevada - sport</v>
          </cell>
        </row>
        <row r="31">
          <cell r="A31">
            <v>213</v>
          </cell>
          <cell r="B31" t="str">
            <v>Disney</v>
          </cell>
        </row>
        <row r="32">
          <cell r="A32">
            <v>214</v>
          </cell>
          <cell r="B32" t="str">
            <v>Sdl Boneka</v>
          </cell>
        </row>
        <row r="33">
          <cell r="A33">
            <v>215</v>
          </cell>
          <cell r="B33" t="str">
            <v>Nevada - sandal</v>
          </cell>
        </row>
        <row r="34">
          <cell r="A34">
            <v>217</v>
          </cell>
          <cell r="B34" t="str">
            <v>Sponge</v>
          </cell>
        </row>
        <row r="35">
          <cell r="A35">
            <v>218</v>
          </cell>
          <cell r="B35" t="str">
            <v>Baby Millioner</v>
          </cell>
        </row>
        <row r="36">
          <cell r="A36">
            <v>219</v>
          </cell>
          <cell r="B36" t="str">
            <v>Little M</v>
          </cell>
        </row>
        <row r="37">
          <cell r="A37">
            <v>222</v>
          </cell>
          <cell r="B37" t="str">
            <v>Nevada - shoes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61D0F-E0D8-4E2C-AB87-C0BAFA7903C2}">
  <dimension ref="A1:P6"/>
  <sheetViews>
    <sheetView workbookViewId="0">
      <selection activeCell="G6" sqref="G6"/>
    </sheetView>
  </sheetViews>
  <sheetFormatPr defaultRowHeight="14.4" x14ac:dyDescent="0.3"/>
  <cols>
    <col min="1" max="1" width="25.33203125" style="28" customWidth="1"/>
    <col min="2" max="3" width="11.6640625" style="28" customWidth="1"/>
    <col min="4" max="7" width="8.6640625" style="28" customWidth="1"/>
    <col min="8" max="11" width="11.6640625" style="28" customWidth="1"/>
    <col min="12" max="12" width="35.6640625" customWidth="1"/>
    <col min="13" max="13" width="15.6640625" style="37" customWidth="1"/>
    <col min="14" max="14" width="8.6640625" customWidth="1"/>
    <col min="15" max="15" width="15.6640625" style="37" customWidth="1"/>
    <col min="16" max="16" width="15.6640625" customWidth="1"/>
  </cols>
  <sheetData>
    <row r="1" spans="1:16" ht="30.6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1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25" t="s">
        <v>2679</v>
      </c>
      <c r="B2" s="26">
        <v>46108</v>
      </c>
      <c r="C2" s="26">
        <v>46113</v>
      </c>
      <c r="D2" s="28">
        <v>3319</v>
      </c>
      <c r="E2" s="28">
        <v>327</v>
      </c>
      <c r="F2" s="28">
        <v>2</v>
      </c>
      <c r="G2" s="28">
        <v>1</v>
      </c>
      <c r="H2" s="28">
        <v>81778</v>
      </c>
      <c r="I2" s="28" t="s">
        <v>17</v>
      </c>
      <c r="J2" s="28">
        <v>15806121</v>
      </c>
      <c r="K2" s="28" t="s">
        <v>2130</v>
      </c>
      <c r="L2" t="s">
        <v>2131</v>
      </c>
      <c r="M2" s="37">
        <v>199900</v>
      </c>
      <c r="N2" s="29" t="s">
        <v>2603</v>
      </c>
      <c r="O2" s="36">
        <v>20000</v>
      </c>
      <c r="P2" s="28" t="s">
        <v>2604</v>
      </c>
    </row>
    <row r="3" spans="1:16" x14ac:dyDescent="0.3">
      <c r="A3" s="25" t="s">
        <v>2679</v>
      </c>
      <c r="B3" s="26">
        <v>46108</v>
      </c>
      <c r="C3" s="26">
        <v>46113</v>
      </c>
      <c r="D3" s="28">
        <v>3319</v>
      </c>
      <c r="E3" s="28">
        <v>327</v>
      </c>
      <c r="F3" s="28">
        <v>2</v>
      </c>
      <c r="G3" s="28">
        <v>1</v>
      </c>
      <c r="H3" s="28">
        <v>81778</v>
      </c>
      <c r="I3" s="28" t="s">
        <v>17</v>
      </c>
      <c r="J3" s="28">
        <v>15806130</v>
      </c>
      <c r="K3" s="28" t="s">
        <v>2130</v>
      </c>
      <c r="L3" t="s">
        <v>2132</v>
      </c>
      <c r="M3" s="37">
        <v>199900</v>
      </c>
      <c r="N3" s="29" t="str">
        <f>N2</f>
        <v>SP</v>
      </c>
      <c r="O3" s="36">
        <v>20000</v>
      </c>
      <c r="P3" s="28" t="str">
        <f>P2</f>
        <v>SPECIAL PRICE</v>
      </c>
    </row>
    <row r="4" spans="1:16" x14ac:dyDescent="0.3">
      <c r="A4" s="25" t="s">
        <v>2679</v>
      </c>
      <c r="B4" s="26">
        <v>46108</v>
      </c>
      <c r="C4" s="26">
        <v>46113</v>
      </c>
      <c r="D4" s="28">
        <v>3319</v>
      </c>
      <c r="E4" s="28">
        <v>327</v>
      </c>
      <c r="F4" s="28">
        <v>2</v>
      </c>
      <c r="G4" s="28">
        <v>1</v>
      </c>
      <c r="H4" s="28">
        <v>81778</v>
      </c>
      <c r="I4" s="28" t="s">
        <v>17</v>
      </c>
      <c r="J4" s="28">
        <v>15806149</v>
      </c>
      <c r="K4" s="28" t="s">
        <v>2130</v>
      </c>
      <c r="L4" t="s">
        <v>2133</v>
      </c>
      <c r="M4" s="37">
        <v>199900</v>
      </c>
      <c r="N4" s="29" t="str">
        <f>N3</f>
        <v>SP</v>
      </c>
      <c r="O4" s="36">
        <v>20000</v>
      </c>
      <c r="P4" s="28" t="str">
        <f>P3</f>
        <v>SPECIAL PRICE</v>
      </c>
    </row>
    <row r="5" spans="1:16" x14ac:dyDescent="0.3">
      <c r="A5" s="25" t="s">
        <v>2679</v>
      </c>
      <c r="B5" s="26">
        <v>46108</v>
      </c>
      <c r="C5" s="26">
        <v>46113</v>
      </c>
      <c r="D5" s="28">
        <v>3319</v>
      </c>
      <c r="E5" s="28">
        <v>327</v>
      </c>
      <c r="F5" s="28">
        <v>2</v>
      </c>
      <c r="G5" s="28">
        <v>1</v>
      </c>
      <c r="H5" s="28">
        <v>81778</v>
      </c>
      <c r="I5" s="28" t="s">
        <v>17</v>
      </c>
      <c r="J5" s="28">
        <v>15806158</v>
      </c>
      <c r="K5" s="28" t="s">
        <v>2130</v>
      </c>
      <c r="L5" t="s">
        <v>2134</v>
      </c>
      <c r="M5" s="37">
        <v>199900</v>
      </c>
      <c r="N5" s="29" t="str">
        <f>N4</f>
        <v>SP</v>
      </c>
      <c r="O5" s="36">
        <v>20000</v>
      </c>
      <c r="P5" s="28" t="str">
        <f>P4</f>
        <v>SPECIAL PRICE</v>
      </c>
    </row>
    <row r="6" spans="1:16" x14ac:dyDescent="0.3">
      <c r="A6" s="25" t="s">
        <v>2679</v>
      </c>
      <c r="B6" s="26">
        <v>46108</v>
      </c>
      <c r="C6" s="26">
        <v>46113</v>
      </c>
      <c r="D6" s="28">
        <v>3319</v>
      </c>
      <c r="E6" s="28">
        <v>327</v>
      </c>
      <c r="F6" s="28">
        <v>2</v>
      </c>
      <c r="G6" s="28">
        <v>1</v>
      </c>
      <c r="H6" s="28">
        <v>81778</v>
      </c>
      <c r="I6" s="28" t="s">
        <v>17</v>
      </c>
      <c r="J6" s="28">
        <v>15806112</v>
      </c>
      <c r="K6" s="28" t="s">
        <v>2130</v>
      </c>
      <c r="L6" t="s">
        <v>2136</v>
      </c>
      <c r="M6" s="37">
        <v>199900</v>
      </c>
      <c r="N6" s="29" t="str">
        <f>N5</f>
        <v>SP</v>
      </c>
      <c r="O6" s="36">
        <v>20000</v>
      </c>
      <c r="P6" s="28" t="str">
        <f>P5</f>
        <v>SPECIAL PRICE</v>
      </c>
    </row>
  </sheetData>
  <phoneticPr fontId="14" type="noConversion"/>
  <conditionalFormatting sqref="J1">
    <cfRule type="duplicateValues" dxfId="430" priority="1"/>
    <cfRule type="duplicateValues" dxfId="429" priority="2"/>
    <cfRule type="duplicateValues" dxfId="428" priority="3"/>
    <cfRule type="duplicateValues" dxfId="427" priority="4"/>
    <cfRule type="duplicateValues" dxfId="426" priority="5"/>
    <cfRule type="duplicateValues" dxfId="425" priority="6"/>
    <cfRule type="duplicateValues" dxfId="424" priority="7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6"/>
  <sheetViews>
    <sheetView zoomScale="90" zoomScaleNormal="90" workbookViewId="0">
      <selection activeCell="K17" sqref="K17"/>
    </sheetView>
  </sheetViews>
  <sheetFormatPr defaultColWidth="19.44140625" defaultRowHeight="14.4" x14ac:dyDescent="0.3"/>
  <cols>
    <col min="1" max="1" width="20.6640625" style="46" customWidth="1"/>
    <col min="2" max="2" width="11.6640625" style="75" customWidth="1"/>
    <col min="3" max="3" width="11.6640625" style="73" customWidth="1"/>
    <col min="4" max="4" width="8.6640625" style="77" customWidth="1"/>
    <col min="5" max="7" width="8.6640625" style="76" customWidth="1"/>
    <col min="8" max="10" width="11.6640625" style="76" customWidth="1"/>
    <col min="11" max="11" width="11.6640625" style="70" customWidth="1"/>
    <col min="12" max="12" width="35.6640625" style="70" customWidth="1"/>
    <col min="13" max="13" width="15.6640625" style="74" customWidth="1"/>
    <col min="14" max="14" width="8.6640625" style="78" customWidth="1"/>
    <col min="15" max="15" width="15.6640625" style="74" customWidth="1"/>
    <col min="16" max="16" width="15.6640625" style="70" customWidth="1"/>
    <col min="17" max="16384" width="19.44140625" style="70"/>
  </cols>
  <sheetData>
    <row r="1" spans="1:16" ht="30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35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46" t="s">
        <v>2143</v>
      </c>
      <c r="B2" s="26">
        <v>46108</v>
      </c>
      <c r="C2" s="26">
        <v>46113</v>
      </c>
      <c r="D2" s="71">
        <v>3319</v>
      </c>
      <c r="E2" s="25">
        <v>327</v>
      </c>
      <c r="F2" s="46">
        <v>2</v>
      </c>
      <c r="G2" s="46">
        <v>1</v>
      </c>
      <c r="H2" s="46">
        <v>80700</v>
      </c>
      <c r="I2" s="46" t="s">
        <v>17</v>
      </c>
      <c r="J2" s="46">
        <v>20896202</v>
      </c>
      <c r="K2" s="44" t="s">
        <v>32</v>
      </c>
      <c r="L2" s="44" t="s">
        <v>33</v>
      </c>
      <c r="M2" s="72">
        <v>119900</v>
      </c>
      <c r="N2" s="64">
        <v>0.95</v>
      </c>
      <c r="O2" s="72">
        <f>M2*5%</f>
        <v>5995</v>
      </c>
      <c r="P2" s="44" t="s">
        <v>0</v>
      </c>
    </row>
    <row r="3" spans="1:16" x14ac:dyDescent="0.3">
      <c r="A3" s="46" t="s">
        <v>2143</v>
      </c>
      <c r="B3" s="26">
        <v>46108</v>
      </c>
      <c r="C3" s="26">
        <v>46113</v>
      </c>
      <c r="D3" s="71">
        <v>3319</v>
      </c>
      <c r="E3" s="25">
        <v>327</v>
      </c>
      <c r="F3" s="46">
        <v>2</v>
      </c>
      <c r="G3" s="46">
        <v>1</v>
      </c>
      <c r="H3" s="46">
        <v>80700</v>
      </c>
      <c r="I3" s="46" t="s">
        <v>17</v>
      </c>
      <c r="J3" s="46">
        <v>20963737</v>
      </c>
      <c r="K3" s="44" t="s">
        <v>34</v>
      </c>
      <c r="L3" s="44" t="s">
        <v>35</v>
      </c>
      <c r="M3" s="72">
        <v>149900</v>
      </c>
      <c r="N3" s="64">
        <v>0.95</v>
      </c>
      <c r="O3" s="72">
        <f t="shared" ref="O3:O66" si="0">M3*5%</f>
        <v>7495</v>
      </c>
      <c r="P3" s="44" t="s">
        <v>0</v>
      </c>
    </row>
    <row r="4" spans="1:16" x14ac:dyDescent="0.3">
      <c r="A4" s="46" t="s">
        <v>2143</v>
      </c>
      <c r="B4" s="26">
        <v>46108</v>
      </c>
      <c r="C4" s="26">
        <v>46113</v>
      </c>
      <c r="D4" s="71">
        <v>3319</v>
      </c>
      <c r="E4" s="25">
        <v>327</v>
      </c>
      <c r="F4" s="46">
        <v>2</v>
      </c>
      <c r="G4" s="46">
        <v>1</v>
      </c>
      <c r="H4" s="46">
        <v>80700</v>
      </c>
      <c r="I4" s="46" t="s">
        <v>17</v>
      </c>
      <c r="J4" s="46">
        <v>20963817</v>
      </c>
      <c r="K4" s="44" t="s">
        <v>36</v>
      </c>
      <c r="L4" s="44" t="s">
        <v>37</v>
      </c>
      <c r="M4" s="72">
        <v>149900</v>
      </c>
      <c r="N4" s="64">
        <v>0.95</v>
      </c>
      <c r="O4" s="72">
        <f t="shared" si="0"/>
        <v>7495</v>
      </c>
      <c r="P4" s="44" t="s">
        <v>0</v>
      </c>
    </row>
    <row r="5" spans="1:16" x14ac:dyDescent="0.3">
      <c r="A5" s="46" t="s">
        <v>2143</v>
      </c>
      <c r="B5" s="26">
        <v>46108</v>
      </c>
      <c r="C5" s="26">
        <v>46113</v>
      </c>
      <c r="D5" s="71">
        <v>3319</v>
      </c>
      <c r="E5" s="25">
        <v>327</v>
      </c>
      <c r="F5" s="46">
        <v>2</v>
      </c>
      <c r="G5" s="46">
        <v>1</v>
      </c>
      <c r="H5" s="46">
        <v>80700</v>
      </c>
      <c r="I5" s="46" t="s">
        <v>17</v>
      </c>
      <c r="J5" s="46">
        <v>21087558</v>
      </c>
      <c r="K5" s="44" t="s">
        <v>38</v>
      </c>
      <c r="L5" s="44" t="s">
        <v>39</v>
      </c>
      <c r="M5" s="72">
        <v>119900</v>
      </c>
      <c r="N5" s="64">
        <v>0.95</v>
      </c>
      <c r="O5" s="72">
        <f t="shared" si="0"/>
        <v>5995</v>
      </c>
      <c r="P5" s="44" t="s">
        <v>0</v>
      </c>
    </row>
    <row r="6" spans="1:16" x14ac:dyDescent="0.3">
      <c r="A6" s="46" t="s">
        <v>2143</v>
      </c>
      <c r="B6" s="26">
        <v>46108</v>
      </c>
      <c r="C6" s="26">
        <v>46113</v>
      </c>
      <c r="D6" s="71">
        <v>3319</v>
      </c>
      <c r="E6" s="25">
        <v>327</v>
      </c>
      <c r="F6" s="46">
        <v>2</v>
      </c>
      <c r="G6" s="46">
        <v>1</v>
      </c>
      <c r="H6" s="46">
        <v>80700</v>
      </c>
      <c r="I6" s="46" t="s">
        <v>17</v>
      </c>
      <c r="J6" s="46">
        <v>21429474</v>
      </c>
      <c r="K6" s="44" t="s">
        <v>40</v>
      </c>
      <c r="L6" s="44" t="s">
        <v>41</v>
      </c>
      <c r="M6" s="72">
        <v>129900</v>
      </c>
      <c r="N6" s="64">
        <v>0.95</v>
      </c>
      <c r="O6" s="72">
        <f t="shared" si="0"/>
        <v>6495</v>
      </c>
      <c r="P6" s="44" t="s">
        <v>0</v>
      </c>
    </row>
    <row r="7" spans="1:16" x14ac:dyDescent="0.3">
      <c r="A7" s="46" t="s">
        <v>2143</v>
      </c>
      <c r="B7" s="26">
        <v>46108</v>
      </c>
      <c r="C7" s="26">
        <v>46113</v>
      </c>
      <c r="D7" s="71">
        <v>3319</v>
      </c>
      <c r="E7" s="25">
        <v>327</v>
      </c>
      <c r="F7" s="46">
        <v>2</v>
      </c>
      <c r="G7" s="46">
        <v>1</v>
      </c>
      <c r="H7" s="46">
        <v>80700</v>
      </c>
      <c r="I7" s="46" t="s">
        <v>17</v>
      </c>
      <c r="J7" s="46">
        <v>21429492</v>
      </c>
      <c r="K7" s="44" t="s">
        <v>40</v>
      </c>
      <c r="L7" s="44" t="s">
        <v>42</v>
      </c>
      <c r="M7" s="72">
        <v>129900</v>
      </c>
      <c r="N7" s="64">
        <v>0.95</v>
      </c>
      <c r="O7" s="72">
        <f t="shared" si="0"/>
        <v>6495</v>
      </c>
      <c r="P7" s="44" t="s">
        <v>0</v>
      </c>
    </row>
    <row r="8" spans="1:16" x14ac:dyDescent="0.3">
      <c r="A8" s="46" t="s">
        <v>2143</v>
      </c>
      <c r="B8" s="26">
        <v>46108</v>
      </c>
      <c r="C8" s="26">
        <v>46113</v>
      </c>
      <c r="D8" s="71">
        <v>3319</v>
      </c>
      <c r="E8" s="25">
        <v>327</v>
      </c>
      <c r="F8" s="46">
        <v>2</v>
      </c>
      <c r="G8" s="46">
        <v>1</v>
      </c>
      <c r="H8" s="46">
        <v>80700</v>
      </c>
      <c r="I8" s="46" t="s">
        <v>17</v>
      </c>
      <c r="J8" s="46">
        <v>22439667</v>
      </c>
      <c r="K8" s="44" t="s">
        <v>43</v>
      </c>
      <c r="L8" s="44" t="s">
        <v>44</v>
      </c>
      <c r="M8" s="72">
        <v>139900</v>
      </c>
      <c r="N8" s="64">
        <v>0.95</v>
      </c>
      <c r="O8" s="72">
        <f t="shared" si="0"/>
        <v>6995</v>
      </c>
      <c r="P8" s="44" t="s">
        <v>0</v>
      </c>
    </row>
    <row r="9" spans="1:16" x14ac:dyDescent="0.3">
      <c r="A9" s="46" t="s">
        <v>2143</v>
      </c>
      <c r="B9" s="26">
        <v>46108</v>
      </c>
      <c r="C9" s="26">
        <v>46113</v>
      </c>
      <c r="D9" s="71">
        <v>3319</v>
      </c>
      <c r="E9" s="25">
        <v>327</v>
      </c>
      <c r="F9" s="46">
        <v>2</v>
      </c>
      <c r="G9" s="46">
        <v>1</v>
      </c>
      <c r="H9" s="46">
        <v>80700</v>
      </c>
      <c r="I9" s="46" t="s">
        <v>17</v>
      </c>
      <c r="J9" s="46">
        <v>22439676</v>
      </c>
      <c r="K9" s="44" t="s">
        <v>43</v>
      </c>
      <c r="L9" s="44" t="s">
        <v>45</v>
      </c>
      <c r="M9" s="72">
        <v>139900</v>
      </c>
      <c r="N9" s="64">
        <v>0.95</v>
      </c>
      <c r="O9" s="72">
        <f t="shared" si="0"/>
        <v>6995</v>
      </c>
      <c r="P9" s="44" t="s">
        <v>0</v>
      </c>
    </row>
    <row r="10" spans="1:16" x14ac:dyDescent="0.3">
      <c r="A10" s="46" t="s">
        <v>2143</v>
      </c>
      <c r="B10" s="26">
        <v>46108</v>
      </c>
      <c r="C10" s="26">
        <v>46113</v>
      </c>
      <c r="D10" s="71">
        <v>3319</v>
      </c>
      <c r="E10" s="25">
        <v>327</v>
      </c>
      <c r="F10" s="46">
        <v>2</v>
      </c>
      <c r="G10" s="46">
        <v>1</v>
      </c>
      <c r="H10" s="46">
        <v>80700</v>
      </c>
      <c r="I10" s="46" t="s">
        <v>17</v>
      </c>
      <c r="J10" s="46">
        <v>22439818</v>
      </c>
      <c r="K10" s="44" t="s">
        <v>46</v>
      </c>
      <c r="L10" s="44" t="s">
        <v>47</v>
      </c>
      <c r="M10" s="72">
        <v>139900</v>
      </c>
      <c r="N10" s="64">
        <v>0.95</v>
      </c>
      <c r="O10" s="72">
        <f t="shared" si="0"/>
        <v>6995</v>
      </c>
      <c r="P10" s="44" t="s">
        <v>0</v>
      </c>
    </row>
    <row r="11" spans="1:16" x14ac:dyDescent="0.3">
      <c r="A11" s="46" t="s">
        <v>2143</v>
      </c>
      <c r="B11" s="26">
        <v>46108</v>
      </c>
      <c r="C11" s="26">
        <v>46113</v>
      </c>
      <c r="D11" s="71">
        <v>3319</v>
      </c>
      <c r="E11" s="25">
        <v>327</v>
      </c>
      <c r="F11" s="46">
        <v>2</v>
      </c>
      <c r="G11" s="46">
        <v>1</v>
      </c>
      <c r="H11" s="46">
        <v>80700</v>
      </c>
      <c r="I11" s="46" t="s">
        <v>17</v>
      </c>
      <c r="J11" s="46">
        <v>23791462</v>
      </c>
      <c r="K11" s="44" t="s">
        <v>48</v>
      </c>
      <c r="L11" s="44" t="s">
        <v>49</v>
      </c>
      <c r="M11" s="72">
        <v>149900</v>
      </c>
      <c r="N11" s="64">
        <v>0.95</v>
      </c>
      <c r="O11" s="72">
        <f t="shared" si="0"/>
        <v>7495</v>
      </c>
      <c r="P11" s="44" t="s">
        <v>0</v>
      </c>
    </row>
    <row r="12" spans="1:16" x14ac:dyDescent="0.3">
      <c r="A12" s="46" t="s">
        <v>2143</v>
      </c>
      <c r="B12" s="26">
        <v>46108</v>
      </c>
      <c r="C12" s="26">
        <v>46113</v>
      </c>
      <c r="D12" s="71">
        <v>3319</v>
      </c>
      <c r="E12" s="25">
        <v>327</v>
      </c>
      <c r="F12" s="46">
        <v>2</v>
      </c>
      <c r="G12" s="46">
        <v>1</v>
      </c>
      <c r="H12" s="46">
        <v>80700</v>
      </c>
      <c r="I12" s="46" t="s">
        <v>17</v>
      </c>
      <c r="J12" s="46">
        <v>23791499</v>
      </c>
      <c r="K12" s="44" t="s">
        <v>50</v>
      </c>
      <c r="L12" s="44" t="s">
        <v>51</v>
      </c>
      <c r="M12" s="72">
        <v>149900</v>
      </c>
      <c r="N12" s="64">
        <v>0.95</v>
      </c>
      <c r="O12" s="72">
        <f t="shared" si="0"/>
        <v>7495</v>
      </c>
      <c r="P12" s="44" t="s">
        <v>0</v>
      </c>
    </row>
    <row r="13" spans="1:16" x14ac:dyDescent="0.3">
      <c r="A13" s="46" t="s">
        <v>2143</v>
      </c>
      <c r="B13" s="26">
        <v>46108</v>
      </c>
      <c r="C13" s="26">
        <v>46113</v>
      </c>
      <c r="D13" s="71">
        <v>3319</v>
      </c>
      <c r="E13" s="25">
        <v>327</v>
      </c>
      <c r="F13" s="46">
        <v>2</v>
      </c>
      <c r="G13" s="46">
        <v>1</v>
      </c>
      <c r="H13" s="46">
        <v>80700</v>
      </c>
      <c r="I13" s="46" t="s">
        <v>17</v>
      </c>
      <c r="J13" s="46">
        <v>23791506</v>
      </c>
      <c r="K13" s="44" t="s">
        <v>50</v>
      </c>
      <c r="L13" s="44" t="s">
        <v>52</v>
      </c>
      <c r="M13" s="72">
        <v>149900</v>
      </c>
      <c r="N13" s="64">
        <v>0.95</v>
      </c>
      <c r="O13" s="72">
        <f t="shared" si="0"/>
        <v>7495</v>
      </c>
      <c r="P13" s="44" t="s">
        <v>0</v>
      </c>
    </row>
    <row r="14" spans="1:16" x14ac:dyDescent="0.3">
      <c r="A14" s="46" t="s">
        <v>2143</v>
      </c>
      <c r="B14" s="26">
        <v>46108</v>
      </c>
      <c r="C14" s="26">
        <v>46113</v>
      </c>
      <c r="D14" s="71">
        <v>3319</v>
      </c>
      <c r="E14" s="25">
        <v>327</v>
      </c>
      <c r="F14" s="46">
        <v>2</v>
      </c>
      <c r="G14" s="46">
        <v>1</v>
      </c>
      <c r="H14" s="46">
        <v>80700</v>
      </c>
      <c r="I14" s="46" t="s">
        <v>17</v>
      </c>
      <c r="J14" s="46">
        <v>23791515</v>
      </c>
      <c r="K14" s="44" t="s">
        <v>50</v>
      </c>
      <c r="L14" s="44" t="s">
        <v>53</v>
      </c>
      <c r="M14" s="72">
        <v>149900</v>
      </c>
      <c r="N14" s="64">
        <v>0.95</v>
      </c>
      <c r="O14" s="72">
        <f t="shared" si="0"/>
        <v>7495</v>
      </c>
      <c r="P14" s="44" t="s">
        <v>0</v>
      </c>
    </row>
    <row r="15" spans="1:16" x14ac:dyDescent="0.3">
      <c r="A15" s="46" t="s">
        <v>2143</v>
      </c>
      <c r="B15" s="26">
        <v>46108</v>
      </c>
      <c r="C15" s="26">
        <v>46113</v>
      </c>
      <c r="D15" s="71">
        <v>3319</v>
      </c>
      <c r="E15" s="25">
        <v>327</v>
      </c>
      <c r="F15" s="46">
        <v>2</v>
      </c>
      <c r="G15" s="46">
        <v>1</v>
      </c>
      <c r="H15" s="46">
        <v>80700</v>
      </c>
      <c r="I15" s="46" t="s">
        <v>17</v>
      </c>
      <c r="J15" s="46">
        <v>23791533</v>
      </c>
      <c r="K15" s="44" t="s">
        <v>54</v>
      </c>
      <c r="L15" s="44" t="s">
        <v>55</v>
      </c>
      <c r="M15" s="72">
        <v>149900</v>
      </c>
      <c r="N15" s="64">
        <v>0.95</v>
      </c>
      <c r="O15" s="72">
        <f t="shared" si="0"/>
        <v>7495</v>
      </c>
      <c r="P15" s="44" t="s">
        <v>0</v>
      </c>
    </row>
    <row r="16" spans="1:16" x14ac:dyDescent="0.3">
      <c r="A16" s="46" t="s">
        <v>2143</v>
      </c>
      <c r="B16" s="26">
        <v>46108</v>
      </c>
      <c r="C16" s="26">
        <v>46113</v>
      </c>
      <c r="D16" s="71">
        <v>3319</v>
      </c>
      <c r="E16" s="25">
        <v>327</v>
      </c>
      <c r="F16" s="46">
        <v>2</v>
      </c>
      <c r="G16" s="46">
        <v>1</v>
      </c>
      <c r="H16" s="46">
        <v>80700</v>
      </c>
      <c r="I16" s="46" t="s">
        <v>17</v>
      </c>
      <c r="J16" s="46">
        <v>23791542</v>
      </c>
      <c r="K16" s="44" t="s">
        <v>54</v>
      </c>
      <c r="L16" s="44" t="s">
        <v>56</v>
      </c>
      <c r="M16" s="72">
        <v>149900</v>
      </c>
      <c r="N16" s="64">
        <v>0.95</v>
      </c>
      <c r="O16" s="72">
        <f t="shared" si="0"/>
        <v>7495</v>
      </c>
      <c r="P16" s="44" t="s">
        <v>0</v>
      </c>
    </row>
    <row r="17" spans="1:16" x14ac:dyDescent="0.3">
      <c r="A17" s="46" t="s">
        <v>2143</v>
      </c>
      <c r="B17" s="26">
        <v>46108</v>
      </c>
      <c r="C17" s="26">
        <v>46113</v>
      </c>
      <c r="D17" s="71">
        <v>3319</v>
      </c>
      <c r="E17" s="25">
        <v>327</v>
      </c>
      <c r="F17" s="46">
        <v>2</v>
      </c>
      <c r="G17" s="46">
        <v>1</v>
      </c>
      <c r="H17" s="46">
        <v>80700</v>
      </c>
      <c r="I17" s="46" t="s">
        <v>17</v>
      </c>
      <c r="J17" s="46">
        <v>23791551</v>
      </c>
      <c r="K17" s="44" t="s">
        <v>54</v>
      </c>
      <c r="L17" s="44" t="s">
        <v>57</v>
      </c>
      <c r="M17" s="72">
        <v>149900</v>
      </c>
      <c r="N17" s="64">
        <v>0.95</v>
      </c>
      <c r="O17" s="72">
        <f t="shared" si="0"/>
        <v>7495</v>
      </c>
      <c r="P17" s="44" t="s">
        <v>0</v>
      </c>
    </row>
    <row r="18" spans="1:16" x14ac:dyDescent="0.3">
      <c r="A18" s="46" t="s">
        <v>2143</v>
      </c>
      <c r="B18" s="26">
        <v>46108</v>
      </c>
      <c r="C18" s="26">
        <v>46113</v>
      </c>
      <c r="D18" s="71">
        <v>3319</v>
      </c>
      <c r="E18" s="25">
        <v>327</v>
      </c>
      <c r="F18" s="46">
        <v>2</v>
      </c>
      <c r="G18" s="46">
        <v>1</v>
      </c>
      <c r="H18" s="46">
        <v>80700</v>
      </c>
      <c r="I18" s="46" t="s">
        <v>17</v>
      </c>
      <c r="J18" s="46">
        <v>23791560</v>
      </c>
      <c r="K18" s="44" t="s">
        <v>54</v>
      </c>
      <c r="L18" s="44" t="s">
        <v>58</v>
      </c>
      <c r="M18" s="72">
        <v>149900</v>
      </c>
      <c r="N18" s="64">
        <v>0.95</v>
      </c>
      <c r="O18" s="72">
        <f t="shared" si="0"/>
        <v>7495</v>
      </c>
      <c r="P18" s="44" t="s">
        <v>0</v>
      </c>
    </row>
    <row r="19" spans="1:16" x14ac:dyDescent="0.3">
      <c r="A19" s="46" t="s">
        <v>2143</v>
      </c>
      <c r="B19" s="26">
        <v>46108</v>
      </c>
      <c r="C19" s="26">
        <v>46113</v>
      </c>
      <c r="D19" s="71">
        <v>3319</v>
      </c>
      <c r="E19" s="25">
        <v>327</v>
      </c>
      <c r="F19" s="46">
        <v>2</v>
      </c>
      <c r="G19" s="46">
        <v>1</v>
      </c>
      <c r="H19" s="46">
        <v>80700</v>
      </c>
      <c r="I19" s="46" t="s">
        <v>17</v>
      </c>
      <c r="J19" s="46">
        <v>24252873</v>
      </c>
      <c r="K19" s="44" t="s">
        <v>59</v>
      </c>
      <c r="L19" s="44" t="s">
        <v>60</v>
      </c>
      <c r="M19" s="72">
        <v>129900</v>
      </c>
      <c r="N19" s="64">
        <v>0.95</v>
      </c>
      <c r="O19" s="72">
        <f t="shared" si="0"/>
        <v>6495</v>
      </c>
      <c r="P19" s="44" t="s">
        <v>0</v>
      </c>
    </row>
    <row r="20" spans="1:16" x14ac:dyDescent="0.3">
      <c r="A20" s="46" t="s">
        <v>2143</v>
      </c>
      <c r="B20" s="26">
        <v>46108</v>
      </c>
      <c r="C20" s="26">
        <v>46113</v>
      </c>
      <c r="D20" s="71">
        <v>3319</v>
      </c>
      <c r="E20" s="25">
        <v>327</v>
      </c>
      <c r="F20" s="46">
        <v>2</v>
      </c>
      <c r="G20" s="46">
        <v>1</v>
      </c>
      <c r="H20" s="46">
        <v>80700</v>
      </c>
      <c r="I20" s="46" t="s">
        <v>17</v>
      </c>
      <c r="J20" s="46">
        <v>24252908</v>
      </c>
      <c r="K20" s="44" t="s">
        <v>59</v>
      </c>
      <c r="L20" s="44" t="s">
        <v>61</v>
      </c>
      <c r="M20" s="72">
        <v>129900</v>
      </c>
      <c r="N20" s="64">
        <v>0.95</v>
      </c>
      <c r="O20" s="72">
        <f t="shared" si="0"/>
        <v>6495</v>
      </c>
      <c r="P20" s="44" t="s">
        <v>0</v>
      </c>
    </row>
    <row r="21" spans="1:16" x14ac:dyDescent="0.3">
      <c r="A21" s="46" t="s">
        <v>2143</v>
      </c>
      <c r="B21" s="26">
        <v>46108</v>
      </c>
      <c r="C21" s="26">
        <v>46113</v>
      </c>
      <c r="D21" s="71">
        <v>3319</v>
      </c>
      <c r="E21" s="25">
        <v>327</v>
      </c>
      <c r="F21" s="46">
        <v>2</v>
      </c>
      <c r="G21" s="46">
        <v>1</v>
      </c>
      <c r="H21" s="46">
        <v>80700</v>
      </c>
      <c r="I21" s="46" t="s">
        <v>17</v>
      </c>
      <c r="J21" s="46">
        <v>24252917</v>
      </c>
      <c r="K21" s="44" t="s">
        <v>62</v>
      </c>
      <c r="L21" s="44" t="s">
        <v>63</v>
      </c>
      <c r="M21" s="72">
        <v>129900</v>
      </c>
      <c r="N21" s="64">
        <v>0.95</v>
      </c>
      <c r="O21" s="72">
        <f t="shared" si="0"/>
        <v>6495</v>
      </c>
      <c r="P21" s="44" t="s">
        <v>0</v>
      </c>
    </row>
    <row r="22" spans="1:16" x14ac:dyDescent="0.3">
      <c r="A22" s="46" t="s">
        <v>2143</v>
      </c>
      <c r="B22" s="26">
        <v>46108</v>
      </c>
      <c r="C22" s="26">
        <v>46113</v>
      </c>
      <c r="D22" s="71">
        <v>3319</v>
      </c>
      <c r="E22" s="25">
        <v>327</v>
      </c>
      <c r="F22" s="46">
        <v>2</v>
      </c>
      <c r="G22" s="46">
        <v>1</v>
      </c>
      <c r="H22" s="46">
        <v>80700</v>
      </c>
      <c r="I22" s="46" t="s">
        <v>17</v>
      </c>
      <c r="J22" s="46">
        <v>24252926</v>
      </c>
      <c r="K22" s="44" t="s">
        <v>62</v>
      </c>
      <c r="L22" s="44" t="s">
        <v>64</v>
      </c>
      <c r="M22" s="72">
        <v>129900</v>
      </c>
      <c r="N22" s="64">
        <v>0.95</v>
      </c>
      <c r="O22" s="72">
        <f t="shared" si="0"/>
        <v>6495</v>
      </c>
      <c r="P22" s="44" t="s">
        <v>0</v>
      </c>
    </row>
    <row r="23" spans="1:16" x14ac:dyDescent="0.3">
      <c r="A23" s="46" t="s">
        <v>2143</v>
      </c>
      <c r="B23" s="26">
        <v>46108</v>
      </c>
      <c r="C23" s="26">
        <v>46113</v>
      </c>
      <c r="D23" s="71">
        <v>3319</v>
      </c>
      <c r="E23" s="25">
        <v>327</v>
      </c>
      <c r="F23" s="46">
        <v>2</v>
      </c>
      <c r="G23" s="46">
        <v>1</v>
      </c>
      <c r="H23" s="46">
        <v>80700</v>
      </c>
      <c r="I23" s="46" t="s">
        <v>17</v>
      </c>
      <c r="J23" s="46">
        <v>24252935</v>
      </c>
      <c r="K23" s="44" t="s">
        <v>62</v>
      </c>
      <c r="L23" s="44" t="s">
        <v>65</v>
      </c>
      <c r="M23" s="72">
        <v>129900</v>
      </c>
      <c r="N23" s="64">
        <v>0.95</v>
      </c>
      <c r="O23" s="72">
        <f t="shared" si="0"/>
        <v>6495</v>
      </c>
      <c r="P23" s="44" t="s">
        <v>0</v>
      </c>
    </row>
    <row r="24" spans="1:16" x14ac:dyDescent="0.3">
      <c r="A24" s="46" t="s">
        <v>2143</v>
      </c>
      <c r="B24" s="26">
        <v>46108</v>
      </c>
      <c r="C24" s="26">
        <v>46113</v>
      </c>
      <c r="D24" s="71">
        <v>3319</v>
      </c>
      <c r="E24" s="25">
        <v>327</v>
      </c>
      <c r="F24" s="46">
        <v>2</v>
      </c>
      <c r="G24" s="46">
        <v>1</v>
      </c>
      <c r="H24" s="46">
        <v>80700</v>
      </c>
      <c r="I24" s="46" t="s">
        <v>17</v>
      </c>
      <c r="J24" s="46">
        <v>24252944</v>
      </c>
      <c r="K24" s="44" t="s">
        <v>62</v>
      </c>
      <c r="L24" s="44" t="s">
        <v>66</v>
      </c>
      <c r="M24" s="72">
        <v>129900</v>
      </c>
      <c r="N24" s="64">
        <v>0.95</v>
      </c>
      <c r="O24" s="72">
        <f t="shared" si="0"/>
        <v>6495</v>
      </c>
      <c r="P24" s="44" t="s">
        <v>0</v>
      </c>
    </row>
    <row r="25" spans="1:16" x14ac:dyDescent="0.3">
      <c r="A25" s="46" t="s">
        <v>2143</v>
      </c>
      <c r="B25" s="26">
        <v>46108</v>
      </c>
      <c r="C25" s="26">
        <v>46113</v>
      </c>
      <c r="D25" s="71">
        <v>3319</v>
      </c>
      <c r="E25" s="25">
        <v>327</v>
      </c>
      <c r="F25" s="46">
        <v>2</v>
      </c>
      <c r="G25" s="46">
        <v>1</v>
      </c>
      <c r="H25" s="46">
        <v>80700</v>
      </c>
      <c r="I25" s="46" t="s">
        <v>17</v>
      </c>
      <c r="J25" s="46">
        <v>24435069</v>
      </c>
      <c r="K25" s="44" t="s">
        <v>67</v>
      </c>
      <c r="L25" s="44" t="s">
        <v>68</v>
      </c>
      <c r="M25" s="72">
        <v>139900</v>
      </c>
      <c r="N25" s="64">
        <v>0.95</v>
      </c>
      <c r="O25" s="72">
        <f t="shared" si="0"/>
        <v>6995</v>
      </c>
      <c r="P25" s="44" t="s">
        <v>0</v>
      </c>
    </row>
    <row r="26" spans="1:16" x14ac:dyDescent="0.3">
      <c r="A26" s="46" t="s">
        <v>2143</v>
      </c>
      <c r="B26" s="26">
        <v>46108</v>
      </c>
      <c r="C26" s="26">
        <v>46113</v>
      </c>
      <c r="D26" s="71">
        <v>3319</v>
      </c>
      <c r="E26" s="25">
        <v>327</v>
      </c>
      <c r="F26" s="46">
        <v>2</v>
      </c>
      <c r="G26" s="46">
        <v>1</v>
      </c>
      <c r="H26" s="46">
        <v>80700</v>
      </c>
      <c r="I26" s="46" t="s">
        <v>17</v>
      </c>
      <c r="J26" s="46">
        <v>24435103</v>
      </c>
      <c r="K26" s="44" t="s">
        <v>69</v>
      </c>
      <c r="L26" s="44" t="s">
        <v>70</v>
      </c>
      <c r="M26" s="72">
        <v>139900</v>
      </c>
      <c r="N26" s="64">
        <v>0.95</v>
      </c>
      <c r="O26" s="72">
        <f t="shared" si="0"/>
        <v>6995</v>
      </c>
      <c r="P26" s="44" t="s">
        <v>0</v>
      </c>
    </row>
    <row r="27" spans="1:16" x14ac:dyDescent="0.3">
      <c r="A27" s="46" t="s">
        <v>2143</v>
      </c>
      <c r="B27" s="26">
        <v>46108</v>
      </c>
      <c r="C27" s="26">
        <v>46113</v>
      </c>
      <c r="D27" s="71">
        <v>3319</v>
      </c>
      <c r="E27" s="25">
        <v>327</v>
      </c>
      <c r="F27" s="46">
        <v>2</v>
      </c>
      <c r="G27" s="46">
        <v>1</v>
      </c>
      <c r="H27" s="46">
        <v>80700</v>
      </c>
      <c r="I27" s="46" t="s">
        <v>17</v>
      </c>
      <c r="J27" s="46">
        <v>24435112</v>
      </c>
      <c r="K27" s="44" t="s">
        <v>69</v>
      </c>
      <c r="L27" s="44" t="s">
        <v>71</v>
      </c>
      <c r="M27" s="72">
        <v>139900</v>
      </c>
      <c r="N27" s="64">
        <v>0.95</v>
      </c>
      <c r="O27" s="72">
        <f t="shared" si="0"/>
        <v>6995</v>
      </c>
      <c r="P27" s="44" t="s">
        <v>0</v>
      </c>
    </row>
    <row r="28" spans="1:16" x14ac:dyDescent="0.3">
      <c r="A28" s="46" t="s">
        <v>2143</v>
      </c>
      <c r="B28" s="26">
        <v>46108</v>
      </c>
      <c r="C28" s="26">
        <v>46113</v>
      </c>
      <c r="D28" s="71">
        <v>3319</v>
      </c>
      <c r="E28" s="25">
        <v>327</v>
      </c>
      <c r="F28" s="46">
        <v>2</v>
      </c>
      <c r="G28" s="46">
        <v>1</v>
      </c>
      <c r="H28" s="46">
        <v>80700</v>
      </c>
      <c r="I28" s="46" t="s">
        <v>17</v>
      </c>
      <c r="J28" s="46">
        <v>24435130</v>
      </c>
      <c r="K28" s="44" t="s">
        <v>69</v>
      </c>
      <c r="L28" s="44" t="s">
        <v>72</v>
      </c>
      <c r="M28" s="72">
        <v>139900</v>
      </c>
      <c r="N28" s="64">
        <v>0.95</v>
      </c>
      <c r="O28" s="72">
        <f t="shared" si="0"/>
        <v>6995</v>
      </c>
      <c r="P28" s="44" t="s">
        <v>0</v>
      </c>
    </row>
    <row r="29" spans="1:16" x14ac:dyDescent="0.3">
      <c r="A29" s="46" t="s">
        <v>2143</v>
      </c>
      <c r="B29" s="26">
        <v>46108</v>
      </c>
      <c r="C29" s="26">
        <v>46113</v>
      </c>
      <c r="D29" s="71">
        <v>3319</v>
      </c>
      <c r="E29" s="25">
        <v>327</v>
      </c>
      <c r="F29" s="46">
        <v>2</v>
      </c>
      <c r="G29" s="46">
        <v>1</v>
      </c>
      <c r="H29" s="46">
        <v>80700</v>
      </c>
      <c r="I29" s="46" t="s">
        <v>17</v>
      </c>
      <c r="J29" s="46">
        <v>24435149</v>
      </c>
      <c r="K29" s="44" t="s">
        <v>73</v>
      </c>
      <c r="L29" s="44" t="s">
        <v>74</v>
      </c>
      <c r="M29" s="72">
        <v>139900</v>
      </c>
      <c r="N29" s="64">
        <v>0.95</v>
      </c>
      <c r="O29" s="72">
        <f t="shared" si="0"/>
        <v>6995</v>
      </c>
      <c r="P29" s="44" t="s">
        <v>0</v>
      </c>
    </row>
    <row r="30" spans="1:16" x14ac:dyDescent="0.3">
      <c r="A30" s="46" t="s">
        <v>2143</v>
      </c>
      <c r="B30" s="26">
        <v>46108</v>
      </c>
      <c r="C30" s="26">
        <v>46113</v>
      </c>
      <c r="D30" s="71">
        <v>3319</v>
      </c>
      <c r="E30" s="25">
        <v>327</v>
      </c>
      <c r="F30" s="46">
        <v>2</v>
      </c>
      <c r="G30" s="46">
        <v>1</v>
      </c>
      <c r="H30" s="46">
        <v>80700</v>
      </c>
      <c r="I30" s="46" t="s">
        <v>17</v>
      </c>
      <c r="J30" s="46">
        <v>24435158</v>
      </c>
      <c r="K30" s="44" t="s">
        <v>73</v>
      </c>
      <c r="L30" s="44" t="s">
        <v>75</v>
      </c>
      <c r="M30" s="72">
        <v>139900</v>
      </c>
      <c r="N30" s="64">
        <v>0.95</v>
      </c>
      <c r="O30" s="72">
        <f t="shared" si="0"/>
        <v>6995</v>
      </c>
      <c r="P30" s="44" t="s">
        <v>0</v>
      </c>
    </row>
    <row r="31" spans="1:16" x14ac:dyDescent="0.3">
      <c r="A31" s="46" t="s">
        <v>2143</v>
      </c>
      <c r="B31" s="26">
        <v>46108</v>
      </c>
      <c r="C31" s="26">
        <v>46113</v>
      </c>
      <c r="D31" s="71">
        <v>3319</v>
      </c>
      <c r="E31" s="25">
        <v>327</v>
      </c>
      <c r="F31" s="46">
        <v>2</v>
      </c>
      <c r="G31" s="46">
        <v>1</v>
      </c>
      <c r="H31" s="46">
        <v>80700</v>
      </c>
      <c r="I31" s="46" t="s">
        <v>17</v>
      </c>
      <c r="J31" s="46">
        <v>24435167</v>
      </c>
      <c r="K31" s="44" t="s">
        <v>73</v>
      </c>
      <c r="L31" s="44" t="s">
        <v>76</v>
      </c>
      <c r="M31" s="72">
        <v>139900</v>
      </c>
      <c r="N31" s="64">
        <v>0.95</v>
      </c>
      <c r="O31" s="72">
        <f t="shared" si="0"/>
        <v>6995</v>
      </c>
      <c r="P31" s="44" t="s">
        <v>0</v>
      </c>
    </row>
    <row r="32" spans="1:16" x14ac:dyDescent="0.3">
      <c r="A32" s="46" t="s">
        <v>2143</v>
      </c>
      <c r="B32" s="26">
        <v>46108</v>
      </c>
      <c r="C32" s="26">
        <v>46113</v>
      </c>
      <c r="D32" s="71">
        <v>3319</v>
      </c>
      <c r="E32" s="25">
        <v>327</v>
      </c>
      <c r="F32" s="46">
        <v>2</v>
      </c>
      <c r="G32" s="46">
        <v>1</v>
      </c>
      <c r="H32" s="46">
        <v>80700</v>
      </c>
      <c r="I32" s="46" t="s">
        <v>17</v>
      </c>
      <c r="J32" s="46">
        <v>24435176</v>
      </c>
      <c r="K32" s="44" t="s">
        <v>73</v>
      </c>
      <c r="L32" s="44" t="s">
        <v>77</v>
      </c>
      <c r="M32" s="72">
        <v>139900</v>
      </c>
      <c r="N32" s="64">
        <v>0.95</v>
      </c>
      <c r="O32" s="72">
        <f t="shared" si="0"/>
        <v>6995</v>
      </c>
      <c r="P32" s="44" t="s">
        <v>0</v>
      </c>
    </row>
    <row r="33" spans="1:16" x14ac:dyDescent="0.3">
      <c r="A33" s="46" t="s">
        <v>2143</v>
      </c>
      <c r="B33" s="26">
        <v>46108</v>
      </c>
      <c r="C33" s="26">
        <v>46113</v>
      </c>
      <c r="D33" s="71">
        <v>3319</v>
      </c>
      <c r="E33" s="25">
        <v>327</v>
      </c>
      <c r="F33" s="46">
        <v>2</v>
      </c>
      <c r="G33" s="46">
        <v>1</v>
      </c>
      <c r="H33" s="46">
        <v>80700</v>
      </c>
      <c r="I33" s="46" t="s">
        <v>17</v>
      </c>
      <c r="J33" s="46">
        <v>24489083</v>
      </c>
      <c r="K33" s="44" t="s">
        <v>78</v>
      </c>
      <c r="L33" s="44" t="s">
        <v>79</v>
      </c>
      <c r="M33" s="72">
        <v>129900</v>
      </c>
      <c r="N33" s="64">
        <v>0.95</v>
      </c>
      <c r="O33" s="72">
        <f t="shared" si="0"/>
        <v>6495</v>
      </c>
      <c r="P33" s="44" t="s">
        <v>0</v>
      </c>
    </row>
    <row r="34" spans="1:16" x14ac:dyDescent="0.3">
      <c r="A34" s="46" t="s">
        <v>2143</v>
      </c>
      <c r="B34" s="26">
        <v>46108</v>
      </c>
      <c r="C34" s="26">
        <v>46113</v>
      </c>
      <c r="D34" s="71">
        <v>3319</v>
      </c>
      <c r="E34" s="25">
        <v>327</v>
      </c>
      <c r="F34" s="46">
        <v>2</v>
      </c>
      <c r="G34" s="46">
        <v>1</v>
      </c>
      <c r="H34" s="46">
        <v>80700</v>
      </c>
      <c r="I34" s="46" t="s">
        <v>17</v>
      </c>
      <c r="J34" s="46">
        <v>24489109</v>
      </c>
      <c r="K34" s="44" t="s">
        <v>78</v>
      </c>
      <c r="L34" s="44" t="s">
        <v>80</v>
      </c>
      <c r="M34" s="72">
        <v>129900</v>
      </c>
      <c r="N34" s="64">
        <v>0.95</v>
      </c>
      <c r="O34" s="72">
        <f t="shared" si="0"/>
        <v>6495</v>
      </c>
      <c r="P34" s="44" t="s">
        <v>0</v>
      </c>
    </row>
    <row r="35" spans="1:16" x14ac:dyDescent="0.3">
      <c r="A35" s="46" t="s">
        <v>2143</v>
      </c>
      <c r="B35" s="26">
        <v>46108</v>
      </c>
      <c r="C35" s="26">
        <v>46113</v>
      </c>
      <c r="D35" s="71">
        <v>3319</v>
      </c>
      <c r="E35" s="25">
        <v>327</v>
      </c>
      <c r="F35" s="46">
        <v>2</v>
      </c>
      <c r="G35" s="46">
        <v>1</v>
      </c>
      <c r="H35" s="46">
        <v>80700</v>
      </c>
      <c r="I35" s="46" t="s">
        <v>17</v>
      </c>
      <c r="J35" s="46">
        <v>24489118</v>
      </c>
      <c r="K35" s="44" t="s">
        <v>81</v>
      </c>
      <c r="L35" s="44" t="s">
        <v>82</v>
      </c>
      <c r="M35" s="72">
        <v>129900</v>
      </c>
      <c r="N35" s="64">
        <v>0.95</v>
      </c>
      <c r="O35" s="72">
        <f t="shared" si="0"/>
        <v>6495</v>
      </c>
      <c r="P35" s="44" t="s">
        <v>0</v>
      </c>
    </row>
    <row r="36" spans="1:16" x14ac:dyDescent="0.3">
      <c r="A36" s="46" t="s">
        <v>2143</v>
      </c>
      <c r="B36" s="26">
        <v>46108</v>
      </c>
      <c r="C36" s="26">
        <v>46113</v>
      </c>
      <c r="D36" s="71">
        <v>3319</v>
      </c>
      <c r="E36" s="25">
        <v>327</v>
      </c>
      <c r="F36" s="46">
        <v>2</v>
      </c>
      <c r="G36" s="46">
        <v>1</v>
      </c>
      <c r="H36" s="46">
        <v>80700</v>
      </c>
      <c r="I36" s="46" t="s">
        <v>17</v>
      </c>
      <c r="J36" s="46">
        <v>24489127</v>
      </c>
      <c r="K36" s="44" t="s">
        <v>81</v>
      </c>
      <c r="L36" s="44" t="s">
        <v>83</v>
      </c>
      <c r="M36" s="72">
        <v>129900</v>
      </c>
      <c r="N36" s="64">
        <v>0.95</v>
      </c>
      <c r="O36" s="72">
        <f t="shared" si="0"/>
        <v>6495</v>
      </c>
      <c r="P36" s="44" t="s">
        <v>0</v>
      </c>
    </row>
    <row r="37" spans="1:16" x14ac:dyDescent="0.3">
      <c r="A37" s="46" t="s">
        <v>2143</v>
      </c>
      <c r="B37" s="26">
        <v>46108</v>
      </c>
      <c r="C37" s="26">
        <v>46113</v>
      </c>
      <c r="D37" s="71">
        <v>3319</v>
      </c>
      <c r="E37" s="25">
        <v>327</v>
      </c>
      <c r="F37" s="46">
        <v>2</v>
      </c>
      <c r="G37" s="46">
        <v>1</v>
      </c>
      <c r="H37" s="46">
        <v>80700</v>
      </c>
      <c r="I37" s="46" t="s">
        <v>17</v>
      </c>
      <c r="J37" s="46">
        <v>24489145</v>
      </c>
      <c r="K37" s="44" t="s">
        <v>81</v>
      </c>
      <c r="L37" s="44" t="s">
        <v>84</v>
      </c>
      <c r="M37" s="72">
        <v>129900</v>
      </c>
      <c r="N37" s="64">
        <v>0.95</v>
      </c>
      <c r="O37" s="72">
        <f t="shared" si="0"/>
        <v>6495</v>
      </c>
      <c r="P37" s="44" t="s">
        <v>0</v>
      </c>
    </row>
    <row r="38" spans="1:16" x14ac:dyDescent="0.3">
      <c r="A38" s="46" t="s">
        <v>2143</v>
      </c>
      <c r="B38" s="26">
        <v>46108</v>
      </c>
      <c r="C38" s="26">
        <v>46113</v>
      </c>
      <c r="D38" s="71">
        <v>3319</v>
      </c>
      <c r="E38" s="25">
        <v>327</v>
      </c>
      <c r="F38" s="46">
        <v>2</v>
      </c>
      <c r="G38" s="46">
        <v>1</v>
      </c>
      <c r="H38" s="46">
        <v>80700</v>
      </c>
      <c r="I38" s="46" t="s">
        <v>17</v>
      </c>
      <c r="J38" s="46">
        <v>24489154</v>
      </c>
      <c r="K38" s="44" t="s">
        <v>85</v>
      </c>
      <c r="L38" s="44" t="s">
        <v>86</v>
      </c>
      <c r="M38" s="72">
        <v>129900</v>
      </c>
      <c r="N38" s="64">
        <v>0.95</v>
      </c>
      <c r="O38" s="72">
        <f t="shared" si="0"/>
        <v>6495</v>
      </c>
      <c r="P38" s="44" t="s">
        <v>0</v>
      </c>
    </row>
    <row r="39" spans="1:16" x14ac:dyDescent="0.3">
      <c r="A39" s="46" t="s">
        <v>2143</v>
      </c>
      <c r="B39" s="26">
        <v>46108</v>
      </c>
      <c r="C39" s="26">
        <v>46113</v>
      </c>
      <c r="D39" s="71">
        <v>3319</v>
      </c>
      <c r="E39" s="25">
        <v>327</v>
      </c>
      <c r="F39" s="46">
        <v>2</v>
      </c>
      <c r="G39" s="46">
        <v>1</v>
      </c>
      <c r="H39" s="46">
        <v>80700</v>
      </c>
      <c r="I39" s="46" t="s">
        <v>17</v>
      </c>
      <c r="J39" s="46">
        <v>24489181</v>
      </c>
      <c r="K39" s="44" t="s">
        <v>85</v>
      </c>
      <c r="L39" s="44" t="s">
        <v>87</v>
      </c>
      <c r="M39" s="72">
        <v>129900</v>
      </c>
      <c r="N39" s="64">
        <v>0.95</v>
      </c>
      <c r="O39" s="72">
        <f t="shared" si="0"/>
        <v>6495</v>
      </c>
      <c r="P39" s="44" t="s">
        <v>0</v>
      </c>
    </row>
    <row r="40" spans="1:16" x14ac:dyDescent="0.3">
      <c r="A40" s="46" t="s">
        <v>2143</v>
      </c>
      <c r="B40" s="26">
        <v>46108</v>
      </c>
      <c r="C40" s="26">
        <v>46113</v>
      </c>
      <c r="D40" s="71">
        <v>3319</v>
      </c>
      <c r="E40" s="25">
        <v>327</v>
      </c>
      <c r="F40" s="46">
        <v>2</v>
      </c>
      <c r="G40" s="46">
        <v>1</v>
      </c>
      <c r="H40" s="46">
        <v>80700</v>
      </c>
      <c r="I40" s="46" t="s">
        <v>17</v>
      </c>
      <c r="J40" s="46">
        <v>24538752</v>
      </c>
      <c r="K40" s="44" t="s">
        <v>88</v>
      </c>
      <c r="L40" s="44" t="s">
        <v>89</v>
      </c>
      <c r="M40" s="72">
        <v>129900</v>
      </c>
      <c r="N40" s="64">
        <v>0.95</v>
      </c>
      <c r="O40" s="72">
        <f t="shared" si="0"/>
        <v>6495</v>
      </c>
      <c r="P40" s="44" t="s">
        <v>0</v>
      </c>
    </row>
    <row r="41" spans="1:16" x14ac:dyDescent="0.3">
      <c r="A41" s="46" t="s">
        <v>2143</v>
      </c>
      <c r="B41" s="26">
        <v>46108</v>
      </c>
      <c r="C41" s="26">
        <v>46113</v>
      </c>
      <c r="D41" s="71">
        <v>3319</v>
      </c>
      <c r="E41" s="25">
        <v>327</v>
      </c>
      <c r="F41" s="46">
        <v>2</v>
      </c>
      <c r="G41" s="46">
        <v>1</v>
      </c>
      <c r="H41" s="46">
        <v>80700</v>
      </c>
      <c r="I41" s="46" t="s">
        <v>17</v>
      </c>
      <c r="J41" s="46">
        <v>24538761</v>
      </c>
      <c r="K41" s="44" t="s">
        <v>88</v>
      </c>
      <c r="L41" s="44" t="s">
        <v>90</v>
      </c>
      <c r="M41" s="72">
        <v>129900</v>
      </c>
      <c r="N41" s="64">
        <v>0.95</v>
      </c>
      <c r="O41" s="72">
        <f t="shared" si="0"/>
        <v>6495</v>
      </c>
      <c r="P41" s="44" t="s">
        <v>0</v>
      </c>
    </row>
    <row r="42" spans="1:16" x14ac:dyDescent="0.3">
      <c r="A42" s="46" t="s">
        <v>2143</v>
      </c>
      <c r="B42" s="26">
        <v>46108</v>
      </c>
      <c r="C42" s="26">
        <v>46113</v>
      </c>
      <c r="D42" s="71">
        <v>3319</v>
      </c>
      <c r="E42" s="25">
        <v>327</v>
      </c>
      <c r="F42" s="46">
        <v>2</v>
      </c>
      <c r="G42" s="46">
        <v>1</v>
      </c>
      <c r="H42" s="46">
        <v>80700</v>
      </c>
      <c r="I42" s="46" t="s">
        <v>17</v>
      </c>
      <c r="J42" s="46">
        <v>24538770</v>
      </c>
      <c r="K42" s="44" t="s">
        <v>88</v>
      </c>
      <c r="L42" s="44" t="s">
        <v>91</v>
      </c>
      <c r="M42" s="72">
        <v>129900</v>
      </c>
      <c r="N42" s="64">
        <v>0.95</v>
      </c>
      <c r="O42" s="72">
        <f t="shared" si="0"/>
        <v>6495</v>
      </c>
      <c r="P42" s="44" t="s">
        <v>0</v>
      </c>
    </row>
    <row r="43" spans="1:16" x14ac:dyDescent="0.3">
      <c r="A43" s="46" t="s">
        <v>2143</v>
      </c>
      <c r="B43" s="26">
        <v>46108</v>
      </c>
      <c r="C43" s="26">
        <v>46113</v>
      </c>
      <c r="D43" s="71">
        <v>3319</v>
      </c>
      <c r="E43" s="25">
        <v>327</v>
      </c>
      <c r="F43" s="46">
        <v>2</v>
      </c>
      <c r="G43" s="46">
        <v>1</v>
      </c>
      <c r="H43" s="46">
        <v>80700</v>
      </c>
      <c r="I43" s="46" t="s">
        <v>17</v>
      </c>
      <c r="J43" s="46">
        <v>24538789</v>
      </c>
      <c r="K43" s="44" t="s">
        <v>88</v>
      </c>
      <c r="L43" s="44" t="s">
        <v>92</v>
      </c>
      <c r="M43" s="72">
        <v>129900</v>
      </c>
      <c r="N43" s="64">
        <v>0.95</v>
      </c>
      <c r="O43" s="72">
        <f t="shared" si="0"/>
        <v>6495</v>
      </c>
      <c r="P43" s="44" t="s">
        <v>0</v>
      </c>
    </row>
    <row r="44" spans="1:16" x14ac:dyDescent="0.3">
      <c r="A44" s="46" t="s">
        <v>2143</v>
      </c>
      <c r="B44" s="26">
        <v>46108</v>
      </c>
      <c r="C44" s="26">
        <v>46113</v>
      </c>
      <c r="D44" s="71">
        <v>3319</v>
      </c>
      <c r="E44" s="25">
        <v>327</v>
      </c>
      <c r="F44" s="46">
        <v>2</v>
      </c>
      <c r="G44" s="46">
        <v>1</v>
      </c>
      <c r="H44" s="46">
        <v>80700</v>
      </c>
      <c r="I44" s="46" t="s">
        <v>17</v>
      </c>
      <c r="J44" s="46">
        <v>24538832</v>
      </c>
      <c r="K44" s="44" t="s">
        <v>93</v>
      </c>
      <c r="L44" s="44" t="s">
        <v>94</v>
      </c>
      <c r="M44" s="72">
        <v>129900</v>
      </c>
      <c r="N44" s="64">
        <v>0.95</v>
      </c>
      <c r="O44" s="72">
        <f t="shared" si="0"/>
        <v>6495</v>
      </c>
      <c r="P44" s="44" t="s">
        <v>0</v>
      </c>
    </row>
    <row r="45" spans="1:16" x14ac:dyDescent="0.3">
      <c r="A45" s="46" t="s">
        <v>2143</v>
      </c>
      <c r="B45" s="26">
        <v>46108</v>
      </c>
      <c r="C45" s="26">
        <v>46113</v>
      </c>
      <c r="D45" s="71">
        <v>3319</v>
      </c>
      <c r="E45" s="25">
        <v>327</v>
      </c>
      <c r="F45" s="46">
        <v>2</v>
      </c>
      <c r="G45" s="46">
        <v>1</v>
      </c>
      <c r="H45" s="46">
        <v>80700</v>
      </c>
      <c r="I45" s="46" t="s">
        <v>17</v>
      </c>
      <c r="J45" s="46">
        <v>24538841</v>
      </c>
      <c r="K45" s="44" t="s">
        <v>93</v>
      </c>
      <c r="L45" s="44" t="s">
        <v>95</v>
      </c>
      <c r="M45" s="72">
        <v>129900</v>
      </c>
      <c r="N45" s="64">
        <v>0.95</v>
      </c>
      <c r="O45" s="72">
        <f t="shared" si="0"/>
        <v>6495</v>
      </c>
      <c r="P45" s="44" t="s">
        <v>0</v>
      </c>
    </row>
    <row r="46" spans="1:16" x14ac:dyDescent="0.3">
      <c r="A46" s="46" t="s">
        <v>2143</v>
      </c>
      <c r="B46" s="26">
        <v>46108</v>
      </c>
      <c r="C46" s="26">
        <v>46113</v>
      </c>
      <c r="D46" s="71">
        <v>3319</v>
      </c>
      <c r="E46" s="25">
        <v>327</v>
      </c>
      <c r="F46" s="46">
        <v>2</v>
      </c>
      <c r="G46" s="46">
        <v>1</v>
      </c>
      <c r="H46" s="46">
        <v>80700</v>
      </c>
      <c r="I46" s="46" t="s">
        <v>17</v>
      </c>
      <c r="J46" s="46">
        <v>24538850</v>
      </c>
      <c r="K46" s="44" t="s">
        <v>93</v>
      </c>
      <c r="L46" s="44" t="s">
        <v>96</v>
      </c>
      <c r="M46" s="72">
        <v>129900</v>
      </c>
      <c r="N46" s="64">
        <v>0.95</v>
      </c>
      <c r="O46" s="72">
        <f t="shared" si="0"/>
        <v>6495</v>
      </c>
      <c r="P46" s="44" t="s">
        <v>0</v>
      </c>
    </row>
    <row r="47" spans="1:16" x14ac:dyDescent="0.3">
      <c r="A47" s="46" t="s">
        <v>2143</v>
      </c>
      <c r="B47" s="26">
        <v>46108</v>
      </c>
      <c r="C47" s="26">
        <v>46113</v>
      </c>
      <c r="D47" s="71">
        <v>3319</v>
      </c>
      <c r="E47" s="25">
        <v>327</v>
      </c>
      <c r="F47" s="46">
        <v>2</v>
      </c>
      <c r="G47" s="46">
        <v>1</v>
      </c>
      <c r="H47" s="46">
        <v>80700</v>
      </c>
      <c r="I47" s="46" t="s">
        <v>17</v>
      </c>
      <c r="J47" s="46">
        <v>24538869</v>
      </c>
      <c r="K47" s="44" t="s">
        <v>93</v>
      </c>
      <c r="L47" s="44" t="s">
        <v>97</v>
      </c>
      <c r="M47" s="72">
        <v>129900</v>
      </c>
      <c r="N47" s="64">
        <v>0.95</v>
      </c>
      <c r="O47" s="72">
        <f t="shared" si="0"/>
        <v>6495</v>
      </c>
      <c r="P47" s="44" t="s">
        <v>0</v>
      </c>
    </row>
    <row r="48" spans="1:16" x14ac:dyDescent="0.3">
      <c r="A48" s="46" t="s">
        <v>2143</v>
      </c>
      <c r="B48" s="26">
        <v>46108</v>
      </c>
      <c r="C48" s="26">
        <v>46113</v>
      </c>
      <c r="D48" s="71">
        <v>3319</v>
      </c>
      <c r="E48" s="25">
        <v>327</v>
      </c>
      <c r="F48" s="46">
        <v>2</v>
      </c>
      <c r="G48" s="46">
        <v>1</v>
      </c>
      <c r="H48" s="46">
        <v>80700</v>
      </c>
      <c r="I48" s="46" t="s">
        <v>17</v>
      </c>
      <c r="J48" s="46">
        <v>24540445</v>
      </c>
      <c r="K48" s="44" t="s">
        <v>98</v>
      </c>
      <c r="L48" s="44" t="s">
        <v>99</v>
      </c>
      <c r="M48" s="72">
        <v>179900</v>
      </c>
      <c r="N48" s="64">
        <v>0.95</v>
      </c>
      <c r="O48" s="72">
        <f t="shared" si="0"/>
        <v>8995</v>
      </c>
      <c r="P48" s="44" t="s">
        <v>0</v>
      </c>
    </row>
    <row r="49" spans="1:16" x14ac:dyDescent="0.3">
      <c r="A49" s="46" t="s">
        <v>2143</v>
      </c>
      <c r="B49" s="26">
        <v>46108</v>
      </c>
      <c r="C49" s="26">
        <v>46113</v>
      </c>
      <c r="D49" s="71">
        <v>3319</v>
      </c>
      <c r="E49" s="25">
        <v>327</v>
      </c>
      <c r="F49" s="46">
        <v>2</v>
      </c>
      <c r="G49" s="46">
        <v>1</v>
      </c>
      <c r="H49" s="46">
        <v>80700</v>
      </c>
      <c r="I49" s="46" t="s">
        <v>17</v>
      </c>
      <c r="J49" s="46">
        <v>24540481</v>
      </c>
      <c r="K49" s="44" t="s">
        <v>100</v>
      </c>
      <c r="L49" s="44" t="s">
        <v>101</v>
      </c>
      <c r="M49" s="72">
        <v>179900</v>
      </c>
      <c r="N49" s="64">
        <v>0.95</v>
      </c>
      <c r="O49" s="72">
        <f t="shared" si="0"/>
        <v>8995</v>
      </c>
      <c r="P49" s="44" t="s">
        <v>0</v>
      </c>
    </row>
    <row r="50" spans="1:16" x14ac:dyDescent="0.3">
      <c r="A50" s="46" t="s">
        <v>2143</v>
      </c>
      <c r="B50" s="26">
        <v>46108</v>
      </c>
      <c r="C50" s="26">
        <v>46113</v>
      </c>
      <c r="D50" s="71">
        <v>3319</v>
      </c>
      <c r="E50" s="25">
        <v>327</v>
      </c>
      <c r="F50" s="46">
        <v>2</v>
      </c>
      <c r="G50" s="46">
        <v>1</v>
      </c>
      <c r="H50" s="46">
        <v>80700</v>
      </c>
      <c r="I50" s="46" t="s">
        <v>17</v>
      </c>
      <c r="J50" s="46">
        <v>24540490</v>
      </c>
      <c r="K50" s="44" t="s">
        <v>100</v>
      </c>
      <c r="L50" s="44" t="s">
        <v>102</v>
      </c>
      <c r="M50" s="72">
        <v>179900</v>
      </c>
      <c r="N50" s="64">
        <v>0.95</v>
      </c>
      <c r="O50" s="72">
        <f t="shared" si="0"/>
        <v>8995</v>
      </c>
      <c r="P50" s="44" t="s">
        <v>0</v>
      </c>
    </row>
    <row r="51" spans="1:16" x14ac:dyDescent="0.3">
      <c r="A51" s="46" t="s">
        <v>2143</v>
      </c>
      <c r="B51" s="26">
        <v>46108</v>
      </c>
      <c r="C51" s="26">
        <v>46113</v>
      </c>
      <c r="D51" s="71">
        <v>3319</v>
      </c>
      <c r="E51" s="25">
        <v>327</v>
      </c>
      <c r="F51" s="46">
        <v>2</v>
      </c>
      <c r="G51" s="46">
        <v>1</v>
      </c>
      <c r="H51" s="46">
        <v>80700</v>
      </c>
      <c r="I51" s="46" t="s">
        <v>17</v>
      </c>
      <c r="J51" s="46">
        <v>24599795</v>
      </c>
      <c r="K51" s="44" t="s">
        <v>103</v>
      </c>
      <c r="L51" s="44" t="s">
        <v>104</v>
      </c>
      <c r="M51" s="72">
        <v>129900</v>
      </c>
      <c r="N51" s="64">
        <v>0.95</v>
      </c>
      <c r="O51" s="72">
        <f t="shared" si="0"/>
        <v>6495</v>
      </c>
      <c r="P51" s="44" t="s">
        <v>0</v>
      </c>
    </row>
    <row r="52" spans="1:16" x14ac:dyDescent="0.3">
      <c r="A52" s="46" t="s">
        <v>2143</v>
      </c>
      <c r="B52" s="26">
        <v>46108</v>
      </c>
      <c r="C52" s="26">
        <v>46113</v>
      </c>
      <c r="D52" s="71">
        <v>3319</v>
      </c>
      <c r="E52" s="25">
        <v>327</v>
      </c>
      <c r="F52" s="46">
        <v>2</v>
      </c>
      <c r="G52" s="46">
        <v>1</v>
      </c>
      <c r="H52" s="46">
        <v>80700</v>
      </c>
      <c r="I52" s="46" t="s">
        <v>17</v>
      </c>
      <c r="J52" s="46">
        <v>24599820</v>
      </c>
      <c r="K52" s="44" t="s">
        <v>103</v>
      </c>
      <c r="L52" s="44" t="s">
        <v>105</v>
      </c>
      <c r="M52" s="72">
        <v>129900</v>
      </c>
      <c r="N52" s="64">
        <v>0.95</v>
      </c>
      <c r="O52" s="72">
        <f t="shared" si="0"/>
        <v>6495</v>
      </c>
      <c r="P52" s="44" t="s">
        <v>0</v>
      </c>
    </row>
    <row r="53" spans="1:16" x14ac:dyDescent="0.3">
      <c r="A53" s="46" t="s">
        <v>2143</v>
      </c>
      <c r="B53" s="26">
        <v>46108</v>
      </c>
      <c r="C53" s="26">
        <v>46113</v>
      </c>
      <c r="D53" s="71">
        <v>3319</v>
      </c>
      <c r="E53" s="25">
        <v>327</v>
      </c>
      <c r="F53" s="46">
        <v>2</v>
      </c>
      <c r="G53" s="46">
        <v>1</v>
      </c>
      <c r="H53" s="46">
        <v>80700</v>
      </c>
      <c r="I53" s="46" t="s">
        <v>17</v>
      </c>
      <c r="J53" s="46">
        <v>24810591</v>
      </c>
      <c r="K53" s="44" t="s">
        <v>106</v>
      </c>
      <c r="L53" s="44" t="s">
        <v>107</v>
      </c>
      <c r="M53" s="72">
        <v>129900</v>
      </c>
      <c r="N53" s="64">
        <v>0.95</v>
      </c>
      <c r="O53" s="72">
        <f t="shared" si="0"/>
        <v>6495</v>
      </c>
      <c r="P53" s="44" t="s">
        <v>0</v>
      </c>
    </row>
    <row r="54" spans="1:16" x14ac:dyDescent="0.3">
      <c r="A54" s="46" t="s">
        <v>2143</v>
      </c>
      <c r="B54" s="26">
        <v>46108</v>
      </c>
      <c r="C54" s="26">
        <v>46113</v>
      </c>
      <c r="D54" s="71">
        <v>3319</v>
      </c>
      <c r="E54" s="25">
        <v>327</v>
      </c>
      <c r="F54" s="46">
        <v>2</v>
      </c>
      <c r="G54" s="46">
        <v>1</v>
      </c>
      <c r="H54" s="46">
        <v>80700</v>
      </c>
      <c r="I54" s="46" t="s">
        <v>17</v>
      </c>
      <c r="J54" s="46">
        <v>24810608</v>
      </c>
      <c r="K54" s="44" t="s">
        <v>106</v>
      </c>
      <c r="L54" s="44" t="s">
        <v>108</v>
      </c>
      <c r="M54" s="72">
        <v>129900</v>
      </c>
      <c r="N54" s="64">
        <v>0.95</v>
      </c>
      <c r="O54" s="72">
        <f t="shared" si="0"/>
        <v>6495</v>
      </c>
      <c r="P54" s="44" t="s">
        <v>0</v>
      </c>
    </row>
    <row r="55" spans="1:16" x14ac:dyDescent="0.3">
      <c r="A55" s="46" t="s">
        <v>2143</v>
      </c>
      <c r="B55" s="26">
        <v>46108</v>
      </c>
      <c r="C55" s="26">
        <v>46113</v>
      </c>
      <c r="D55" s="71">
        <v>3319</v>
      </c>
      <c r="E55" s="25">
        <v>327</v>
      </c>
      <c r="F55" s="46">
        <v>2</v>
      </c>
      <c r="G55" s="46">
        <v>1</v>
      </c>
      <c r="H55" s="46">
        <v>80700</v>
      </c>
      <c r="I55" s="46" t="s">
        <v>17</v>
      </c>
      <c r="J55" s="46">
        <v>24810626</v>
      </c>
      <c r="K55" s="44" t="s">
        <v>106</v>
      </c>
      <c r="L55" s="44" t="s">
        <v>109</v>
      </c>
      <c r="M55" s="72">
        <v>129900</v>
      </c>
      <c r="N55" s="64">
        <v>0.95</v>
      </c>
      <c r="O55" s="72">
        <f t="shared" si="0"/>
        <v>6495</v>
      </c>
      <c r="P55" s="44" t="s">
        <v>0</v>
      </c>
    </row>
    <row r="56" spans="1:16" x14ac:dyDescent="0.3">
      <c r="A56" s="46" t="s">
        <v>2143</v>
      </c>
      <c r="B56" s="26">
        <v>46108</v>
      </c>
      <c r="C56" s="26">
        <v>46113</v>
      </c>
      <c r="D56" s="71">
        <v>3319</v>
      </c>
      <c r="E56" s="25">
        <v>327</v>
      </c>
      <c r="F56" s="46">
        <v>2</v>
      </c>
      <c r="G56" s="46">
        <v>1</v>
      </c>
      <c r="H56" s="46">
        <v>80700</v>
      </c>
      <c r="I56" s="46" t="s">
        <v>17</v>
      </c>
      <c r="J56" s="46">
        <v>24810635</v>
      </c>
      <c r="K56" s="44" t="s">
        <v>110</v>
      </c>
      <c r="L56" s="44" t="s">
        <v>111</v>
      </c>
      <c r="M56" s="72">
        <v>129900</v>
      </c>
      <c r="N56" s="64">
        <v>0.95</v>
      </c>
      <c r="O56" s="72">
        <f t="shared" si="0"/>
        <v>6495</v>
      </c>
      <c r="P56" s="44" t="s">
        <v>0</v>
      </c>
    </row>
    <row r="57" spans="1:16" x14ac:dyDescent="0.3">
      <c r="A57" s="46" t="s">
        <v>2143</v>
      </c>
      <c r="B57" s="26">
        <v>46108</v>
      </c>
      <c r="C57" s="26">
        <v>46113</v>
      </c>
      <c r="D57" s="71">
        <v>3319</v>
      </c>
      <c r="E57" s="25">
        <v>327</v>
      </c>
      <c r="F57" s="46">
        <v>2</v>
      </c>
      <c r="G57" s="46">
        <v>1</v>
      </c>
      <c r="H57" s="46">
        <v>80700</v>
      </c>
      <c r="I57" s="46" t="s">
        <v>17</v>
      </c>
      <c r="J57" s="46">
        <v>24810644</v>
      </c>
      <c r="K57" s="44" t="s">
        <v>110</v>
      </c>
      <c r="L57" s="44" t="s">
        <v>112</v>
      </c>
      <c r="M57" s="72">
        <v>129900</v>
      </c>
      <c r="N57" s="64">
        <v>0.95</v>
      </c>
      <c r="O57" s="72">
        <f t="shared" si="0"/>
        <v>6495</v>
      </c>
      <c r="P57" s="44" t="s">
        <v>0</v>
      </c>
    </row>
    <row r="58" spans="1:16" x14ac:dyDescent="0.3">
      <c r="A58" s="46" t="s">
        <v>2143</v>
      </c>
      <c r="B58" s="26">
        <v>46108</v>
      </c>
      <c r="C58" s="26">
        <v>46113</v>
      </c>
      <c r="D58" s="71">
        <v>3319</v>
      </c>
      <c r="E58" s="25">
        <v>327</v>
      </c>
      <c r="F58" s="46">
        <v>2</v>
      </c>
      <c r="G58" s="46">
        <v>1</v>
      </c>
      <c r="H58" s="46">
        <v>80700</v>
      </c>
      <c r="I58" s="46" t="s">
        <v>17</v>
      </c>
      <c r="J58" s="46">
        <v>24810653</v>
      </c>
      <c r="K58" s="44" t="s">
        <v>110</v>
      </c>
      <c r="L58" s="44" t="s">
        <v>113</v>
      </c>
      <c r="M58" s="72">
        <v>129900</v>
      </c>
      <c r="N58" s="64">
        <v>0.95</v>
      </c>
      <c r="O58" s="72">
        <f t="shared" si="0"/>
        <v>6495</v>
      </c>
      <c r="P58" s="44" t="s">
        <v>0</v>
      </c>
    </row>
    <row r="59" spans="1:16" x14ac:dyDescent="0.3">
      <c r="A59" s="46" t="s">
        <v>2143</v>
      </c>
      <c r="B59" s="26">
        <v>46108</v>
      </c>
      <c r="C59" s="26">
        <v>46113</v>
      </c>
      <c r="D59" s="71">
        <v>3319</v>
      </c>
      <c r="E59" s="25">
        <v>327</v>
      </c>
      <c r="F59" s="46">
        <v>2</v>
      </c>
      <c r="G59" s="46">
        <v>1</v>
      </c>
      <c r="H59" s="46">
        <v>80700</v>
      </c>
      <c r="I59" s="46" t="s">
        <v>17</v>
      </c>
      <c r="J59" s="46">
        <v>24810662</v>
      </c>
      <c r="K59" s="44" t="s">
        <v>110</v>
      </c>
      <c r="L59" s="44" t="s">
        <v>114</v>
      </c>
      <c r="M59" s="72">
        <v>129900</v>
      </c>
      <c r="N59" s="64">
        <v>0.95</v>
      </c>
      <c r="O59" s="72">
        <f t="shared" si="0"/>
        <v>6495</v>
      </c>
      <c r="P59" s="44" t="s">
        <v>0</v>
      </c>
    </row>
    <row r="60" spans="1:16" x14ac:dyDescent="0.3">
      <c r="A60" s="46" t="s">
        <v>2143</v>
      </c>
      <c r="B60" s="26">
        <v>46108</v>
      </c>
      <c r="C60" s="26">
        <v>46113</v>
      </c>
      <c r="D60" s="71">
        <v>3319</v>
      </c>
      <c r="E60" s="25">
        <v>327</v>
      </c>
      <c r="F60" s="46">
        <v>2</v>
      </c>
      <c r="G60" s="46">
        <v>1</v>
      </c>
      <c r="H60" s="46">
        <v>80700</v>
      </c>
      <c r="I60" s="46" t="s">
        <v>17</v>
      </c>
      <c r="J60" s="46">
        <v>24810671</v>
      </c>
      <c r="K60" s="44" t="s">
        <v>115</v>
      </c>
      <c r="L60" s="44" t="s">
        <v>116</v>
      </c>
      <c r="M60" s="72">
        <v>129900</v>
      </c>
      <c r="N60" s="64">
        <v>0.95</v>
      </c>
      <c r="O60" s="72">
        <f t="shared" si="0"/>
        <v>6495</v>
      </c>
      <c r="P60" s="44" t="s">
        <v>0</v>
      </c>
    </row>
    <row r="61" spans="1:16" x14ac:dyDescent="0.3">
      <c r="A61" s="46" t="s">
        <v>2143</v>
      </c>
      <c r="B61" s="26">
        <v>46108</v>
      </c>
      <c r="C61" s="26">
        <v>46113</v>
      </c>
      <c r="D61" s="71">
        <v>3319</v>
      </c>
      <c r="E61" s="25">
        <v>327</v>
      </c>
      <c r="F61" s="46">
        <v>2</v>
      </c>
      <c r="G61" s="46">
        <v>1</v>
      </c>
      <c r="H61" s="46">
        <v>80700</v>
      </c>
      <c r="I61" s="46" t="s">
        <v>17</v>
      </c>
      <c r="J61" s="46">
        <v>24810680</v>
      </c>
      <c r="K61" s="44" t="s">
        <v>115</v>
      </c>
      <c r="L61" s="44" t="s">
        <v>117</v>
      </c>
      <c r="M61" s="72">
        <v>129900</v>
      </c>
      <c r="N61" s="64">
        <v>0.95</v>
      </c>
      <c r="O61" s="72">
        <f t="shared" si="0"/>
        <v>6495</v>
      </c>
      <c r="P61" s="44" t="s">
        <v>0</v>
      </c>
    </row>
    <row r="62" spans="1:16" x14ac:dyDescent="0.3">
      <c r="A62" s="46" t="s">
        <v>2143</v>
      </c>
      <c r="B62" s="26">
        <v>46108</v>
      </c>
      <c r="C62" s="26">
        <v>46113</v>
      </c>
      <c r="D62" s="71">
        <v>3319</v>
      </c>
      <c r="E62" s="25">
        <v>327</v>
      </c>
      <c r="F62" s="46">
        <v>2</v>
      </c>
      <c r="G62" s="46">
        <v>1</v>
      </c>
      <c r="H62" s="46">
        <v>80700</v>
      </c>
      <c r="I62" s="46" t="s">
        <v>17</v>
      </c>
      <c r="J62" s="46">
        <v>24810699</v>
      </c>
      <c r="K62" s="44" t="s">
        <v>115</v>
      </c>
      <c r="L62" s="44" t="s">
        <v>118</v>
      </c>
      <c r="M62" s="72">
        <v>129900</v>
      </c>
      <c r="N62" s="64">
        <v>0.95</v>
      </c>
      <c r="O62" s="72">
        <f t="shared" si="0"/>
        <v>6495</v>
      </c>
      <c r="P62" s="44" t="s">
        <v>0</v>
      </c>
    </row>
    <row r="63" spans="1:16" x14ac:dyDescent="0.3">
      <c r="A63" s="46" t="s">
        <v>2143</v>
      </c>
      <c r="B63" s="26">
        <v>46108</v>
      </c>
      <c r="C63" s="26">
        <v>46113</v>
      </c>
      <c r="D63" s="71">
        <v>3319</v>
      </c>
      <c r="E63" s="25">
        <v>327</v>
      </c>
      <c r="F63" s="46">
        <v>2</v>
      </c>
      <c r="G63" s="46">
        <v>1</v>
      </c>
      <c r="H63" s="46">
        <v>80700</v>
      </c>
      <c r="I63" s="46" t="s">
        <v>17</v>
      </c>
      <c r="J63" s="46">
        <v>24810706</v>
      </c>
      <c r="K63" s="44" t="s">
        <v>115</v>
      </c>
      <c r="L63" s="44" t="s">
        <v>119</v>
      </c>
      <c r="M63" s="72">
        <v>129900</v>
      </c>
      <c r="N63" s="64">
        <v>0.95</v>
      </c>
      <c r="O63" s="72">
        <f t="shared" si="0"/>
        <v>6495</v>
      </c>
      <c r="P63" s="44" t="s">
        <v>0</v>
      </c>
    </row>
    <row r="64" spans="1:16" x14ac:dyDescent="0.3">
      <c r="A64" s="46" t="s">
        <v>2143</v>
      </c>
      <c r="B64" s="26">
        <v>46108</v>
      </c>
      <c r="C64" s="26">
        <v>46113</v>
      </c>
      <c r="D64" s="71">
        <v>3319</v>
      </c>
      <c r="E64" s="25">
        <v>327</v>
      </c>
      <c r="F64" s="46">
        <v>2</v>
      </c>
      <c r="G64" s="46">
        <v>1</v>
      </c>
      <c r="H64" s="46">
        <v>80700</v>
      </c>
      <c r="I64" s="46" t="s">
        <v>17</v>
      </c>
      <c r="J64" s="46">
        <v>24810724</v>
      </c>
      <c r="K64" s="44" t="s">
        <v>120</v>
      </c>
      <c r="L64" s="44" t="s">
        <v>121</v>
      </c>
      <c r="M64" s="72">
        <v>129900</v>
      </c>
      <c r="N64" s="64">
        <v>0.95</v>
      </c>
      <c r="O64" s="72">
        <f t="shared" si="0"/>
        <v>6495</v>
      </c>
      <c r="P64" s="44" t="s">
        <v>0</v>
      </c>
    </row>
    <row r="65" spans="1:16" x14ac:dyDescent="0.3">
      <c r="A65" s="46" t="s">
        <v>2143</v>
      </c>
      <c r="B65" s="26">
        <v>46108</v>
      </c>
      <c r="C65" s="26">
        <v>46113</v>
      </c>
      <c r="D65" s="71">
        <v>3319</v>
      </c>
      <c r="E65" s="25">
        <v>327</v>
      </c>
      <c r="F65" s="46">
        <v>2</v>
      </c>
      <c r="G65" s="46">
        <v>1</v>
      </c>
      <c r="H65" s="46">
        <v>80700</v>
      </c>
      <c r="I65" s="46" t="s">
        <v>17</v>
      </c>
      <c r="J65" s="46">
        <v>24810760</v>
      </c>
      <c r="K65" s="44" t="s">
        <v>122</v>
      </c>
      <c r="L65" s="44" t="s">
        <v>123</v>
      </c>
      <c r="M65" s="72">
        <v>129900</v>
      </c>
      <c r="N65" s="64">
        <v>0.95</v>
      </c>
      <c r="O65" s="72">
        <f t="shared" si="0"/>
        <v>6495</v>
      </c>
      <c r="P65" s="44" t="s">
        <v>0</v>
      </c>
    </row>
    <row r="66" spans="1:16" x14ac:dyDescent="0.3">
      <c r="A66" s="46" t="s">
        <v>2143</v>
      </c>
      <c r="B66" s="26">
        <v>46108</v>
      </c>
      <c r="C66" s="26">
        <v>46113</v>
      </c>
      <c r="D66" s="71">
        <v>3319</v>
      </c>
      <c r="E66" s="25">
        <v>327</v>
      </c>
      <c r="F66" s="46">
        <v>2</v>
      </c>
      <c r="G66" s="46">
        <v>1</v>
      </c>
      <c r="H66" s="46">
        <v>80700</v>
      </c>
      <c r="I66" s="46" t="s">
        <v>17</v>
      </c>
      <c r="J66" s="46">
        <v>24810840</v>
      </c>
      <c r="K66" s="44" t="s">
        <v>124</v>
      </c>
      <c r="L66" s="44" t="s">
        <v>125</v>
      </c>
      <c r="M66" s="72">
        <v>129900</v>
      </c>
      <c r="N66" s="64">
        <v>0.95</v>
      </c>
      <c r="O66" s="72">
        <f t="shared" si="0"/>
        <v>6495</v>
      </c>
      <c r="P66" s="44" t="s">
        <v>0</v>
      </c>
    </row>
    <row r="67" spans="1:16" x14ac:dyDescent="0.3">
      <c r="A67" s="46" t="s">
        <v>2143</v>
      </c>
      <c r="B67" s="26">
        <v>46108</v>
      </c>
      <c r="C67" s="26">
        <v>46113</v>
      </c>
      <c r="D67" s="71">
        <v>3319</v>
      </c>
      <c r="E67" s="25">
        <v>327</v>
      </c>
      <c r="F67" s="46">
        <v>2</v>
      </c>
      <c r="G67" s="46">
        <v>1</v>
      </c>
      <c r="H67" s="46">
        <v>80700</v>
      </c>
      <c r="I67" s="46" t="s">
        <v>17</v>
      </c>
      <c r="J67" s="46">
        <v>24810868</v>
      </c>
      <c r="K67" s="44" t="s">
        <v>124</v>
      </c>
      <c r="L67" s="44" t="s">
        <v>126</v>
      </c>
      <c r="M67" s="72">
        <v>129900</v>
      </c>
      <c r="N67" s="64">
        <v>0.95</v>
      </c>
      <c r="O67" s="72">
        <f t="shared" ref="O67:O130" si="1">M67*5%</f>
        <v>6495</v>
      </c>
      <c r="P67" s="44" t="s">
        <v>0</v>
      </c>
    </row>
    <row r="68" spans="1:16" x14ac:dyDescent="0.3">
      <c r="A68" s="46" t="s">
        <v>2143</v>
      </c>
      <c r="B68" s="26">
        <v>46108</v>
      </c>
      <c r="C68" s="26">
        <v>46113</v>
      </c>
      <c r="D68" s="71">
        <v>3319</v>
      </c>
      <c r="E68" s="25">
        <v>327</v>
      </c>
      <c r="F68" s="46">
        <v>2</v>
      </c>
      <c r="G68" s="46">
        <v>1</v>
      </c>
      <c r="H68" s="46">
        <v>80700</v>
      </c>
      <c r="I68" s="46" t="s">
        <v>17</v>
      </c>
      <c r="J68" s="46">
        <v>24811134</v>
      </c>
      <c r="K68" s="44" t="s">
        <v>127</v>
      </c>
      <c r="L68" s="44" t="s">
        <v>128</v>
      </c>
      <c r="M68" s="72">
        <v>129900</v>
      </c>
      <c r="N68" s="64">
        <v>0.95</v>
      </c>
      <c r="O68" s="72">
        <f t="shared" si="1"/>
        <v>6495</v>
      </c>
      <c r="P68" s="44" t="s">
        <v>0</v>
      </c>
    </row>
    <row r="69" spans="1:16" x14ac:dyDescent="0.3">
      <c r="A69" s="46" t="s">
        <v>2143</v>
      </c>
      <c r="B69" s="26">
        <v>46108</v>
      </c>
      <c r="C69" s="26">
        <v>46113</v>
      </c>
      <c r="D69" s="71">
        <v>3319</v>
      </c>
      <c r="E69" s="25">
        <v>327</v>
      </c>
      <c r="F69" s="46">
        <v>2</v>
      </c>
      <c r="G69" s="46">
        <v>1</v>
      </c>
      <c r="H69" s="46">
        <v>80700</v>
      </c>
      <c r="I69" s="46" t="s">
        <v>17</v>
      </c>
      <c r="J69" s="46">
        <v>24811143</v>
      </c>
      <c r="K69" s="44" t="s">
        <v>127</v>
      </c>
      <c r="L69" s="44" t="s">
        <v>129</v>
      </c>
      <c r="M69" s="72">
        <v>129900</v>
      </c>
      <c r="N69" s="64">
        <v>0.95</v>
      </c>
      <c r="O69" s="72">
        <f t="shared" si="1"/>
        <v>6495</v>
      </c>
      <c r="P69" s="44" t="s">
        <v>0</v>
      </c>
    </row>
    <row r="70" spans="1:16" x14ac:dyDescent="0.3">
      <c r="A70" s="46" t="s">
        <v>2143</v>
      </c>
      <c r="B70" s="26">
        <v>46108</v>
      </c>
      <c r="C70" s="26">
        <v>46113</v>
      </c>
      <c r="D70" s="71">
        <v>3319</v>
      </c>
      <c r="E70" s="25">
        <v>327</v>
      </c>
      <c r="F70" s="46">
        <v>2</v>
      </c>
      <c r="G70" s="46">
        <v>1</v>
      </c>
      <c r="H70" s="46">
        <v>80700</v>
      </c>
      <c r="I70" s="46" t="s">
        <v>17</v>
      </c>
      <c r="J70" s="46">
        <v>24811152</v>
      </c>
      <c r="K70" s="44" t="s">
        <v>127</v>
      </c>
      <c r="L70" s="44" t="s">
        <v>130</v>
      </c>
      <c r="M70" s="72">
        <v>129900</v>
      </c>
      <c r="N70" s="64">
        <v>0.95</v>
      </c>
      <c r="O70" s="72">
        <f t="shared" si="1"/>
        <v>6495</v>
      </c>
      <c r="P70" s="44" t="s">
        <v>0</v>
      </c>
    </row>
    <row r="71" spans="1:16" x14ac:dyDescent="0.3">
      <c r="A71" s="46" t="s">
        <v>2143</v>
      </c>
      <c r="B71" s="26">
        <v>46108</v>
      </c>
      <c r="C71" s="26">
        <v>46113</v>
      </c>
      <c r="D71" s="71">
        <v>3319</v>
      </c>
      <c r="E71" s="25">
        <v>327</v>
      </c>
      <c r="F71" s="46">
        <v>2</v>
      </c>
      <c r="G71" s="46">
        <v>1</v>
      </c>
      <c r="H71" s="46">
        <v>80700</v>
      </c>
      <c r="I71" s="46" t="s">
        <v>17</v>
      </c>
      <c r="J71" s="46">
        <v>24811161</v>
      </c>
      <c r="K71" s="44" t="s">
        <v>127</v>
      </c>
      <c r="L71" s="44" t="s">
        <v>131</v>
      </c>
      <c r="M71" s="72">
        <v>129900</v>
      </c>
      <c r="N71" s="64">
        <v>0.95</v>
      </c>
      <c r="O71" s="72">
        <f t="shared" si="1"/>
        <v>6495</v>
      </c>
      <c r="P71" s="44" t="s">
        <v>0</v>
      </c>
    </row>
    <row r="72" spans="1:16" x14ac:dyDescent="0.3">
      <c r="A72" s="46" t="s">
        <v>2143</v>
      </c>
      <c r="B72" s="26">
        <v>46108</v>
      </c>
      <c r="C72" s="26">
        <v>46113</v>
      </c>
      <c r="D72" s="71">
        <v>3319</v>
      </c>
      <c r="E72" s="25">
        <v>327</v>
      </c>
      <c r="F72" s="46">
        <v>2</v>
      </c>
      <c r="G72" s="46">
        <v>1</v>
      </c>
      <c r="H72" s="46">
        <v>80700</v>
      </c>
      <c r="I72" s="46" t="s">
        <v>17</v>
      </c>
      <c r="J72" s="46">
        <v>24811170</v>
      </c>
      <c r="K72" s="44" t="s">
        <v>132</v>
      </c>
      <c r="L72" s="44" t="s">
        <v>133</v>
      </c>
      <c r="M72" s="72">
        <v>129900</v>
      </c>
      <c r="N72" s="64">
        <v>0.95</v>
      </c>
      <c r="O72" s="72">
        <f t="shared" si="1"/>
        <v>6495</v>
      </c>
      <c r="P72" s="44" t="s">
        <v>0</v>
      </c>
    </row>
    <row r="73" spans="1:16" x14ac:dyDescent="0.3">
      <c r="A73" s="46" t="s">
        <v>2143</v>
      </c>
      <c r="B73" s="26">
        <v>46108</v>
      </c>
      <c r="C73" s="26">
        <v>46113</v>
      </c>
      <c r="D73" s="71">
        <v>3319</v>
      </c>
      <c r="E73" s="25">
        <v>327</v>
      </c>
      <c r="F73" s="46">
        <v>2</v>
      </c>
      <c r="G73" s="46">
        <v>1</v>
      </c>
      <c r="H73" s="46">
        <v>80700</v>
      </c>
      <c r="I73" s="46" t="s">
        <v>17</v>
      </c>
      <c r="J73" s="46">
        <v>24811189</v>
      </c>
      <c r="K73" s="44" t="s">
        <v>132</v>
      </c>
      <c r="L73" s="44" t="s">
        <v>134</v>
      </c>
      <c r="M73" s="72">
        <v>129900</v>
      </c>
      <c r="N73" s="64">
        <v>0.95</v>
      </c>
      <c r="O73" s="72">
        <f t="shared" si="1"/>
        <v>6495</v>
      </c>
      <c r="P73" s="44" t="s">
        <v>0</v>
      </c>
    </row>
    <row r="74" spans="1:16" x14ac:dyDescent="0.3">
      <c r="A74" s="46" t="s">
        <v>2143</v>
      </c>
      <c r="B74" s="26">
        <v>46108</v>
      </c>
      <c r="C74" s="26">
        <v>46113</v>
      </c>
      <c r="D74" s="71">
        <v>3319</v>
      </c>
      <c r="E74" s="25">
        <v>327</v>
      </c>
      <c r="F74" s="46">
        <v>2</v>
      </c>
      <c r="G74" s="46">
        <v>1</v>
      </c>
      <c r="H74" s="46">
        <v>80700</v>
      </c>
      <c r="I74" s="46" t="s">
        <v>17</v>
      </c>
      <c r="J74" s="46">
        <v>24811198</v>
      </c>
      <c r="K74" s="44" t="s">
        <v>132</v>
      </c>
      <c r="L74" s="44" t="s">
        <v>135</v>
      </c>
      <c r="M74" s="72">
        <v>129900</v>
      </c>
      <c r="N74" s="64">
        <v>0.95</v>
      </c>
      <c r="O74" s="72">
        <f t="shared" si="1"/>
        <v>6495</v>
      </c>
      <c r="P74" s="44" t="s">
        <v>0</v>
      </c>
    </row>
    <row r="75" spans="1:16" x14ac:dyDescent="0.3">
      <c r="A75" s="46" t="s">
        <v>2143</v>
      </c>
      <c r="B75" s="26">
        <v>46108</v>
      </c>
      <c r="C75" s="26">
        <v>46113</v>
      </c>
      <c r="D75" s="71">
        <v>3319</v>
      </c>
      <c r="E75" s="25">
        <v>327</v>
      </c>
      <c r="F75" s="46">
        <v>2</v>
      </c>
      <c r="G75" s="46">
        <v>1</v>
      </c>
      <c r="H75" s="46">
        <v>80700</v>
      </c>
      <c r="I75" s="46" t="s">
        <v>17</v>
      </c>
      <c r="J75" s="46">
        <v>24811205</v>
      </c>
      <c r="K75" s="44" t="s">
        <v>132</v>
      </c>
      <c r="L75" s="44" t="s">
        <v>136</v>
      </c>
      <c r="M75" s="72">
        <v>129900</v>
      </c>
      <c r="N75" s="64">
        <v>0.95</v>
      </c>
      <c r="O75" s="72">
        <f t="shared" si="1"/>
        <v>6495</v>
      </c>
      <c r="P75" s="44" t="s">
        <v>0</v>
      </c>
    </row>
    <row r="76" spans="1:16" x14ac:dyDescent="0.3">
      <c r="A76" s="46" t="s">
        <v>2143</v>
      </c>
      <c r="B76" s="26">
        <v>46108</v>
      </c>
      <c r="C76" s="26">
        <v>46113</v>
      </c>
      <c r="D76" s="71">
        <v>3319</v>
      </c>
      <c r="E76" s="25">
        <v>327</v>
      </c>
      <c r="F76" s="46">
        <v>2</v>
      </c>
      <c r="G76" s="46">
        <v>1</v>
      </c>
      <c r="H76" s="46">
        <v>80700</v>
      </c>
      <c r="I76" s="46" t="s">
        <v>17</v>
      </c>
      <c r="J76" s="46">
        <v>24811214</v>
      </c>
      <c r="K76" s="44" t="s">
        <v>137</v>
      </c>
      <c r="L76" s="44" t="s">
        <v>138</v>
      </c>
      <c r="M76" s="72">
        <v>129900</v>
      </c>
      <c r="N76" s="64">
        <v>0.95</v>
      </c>
      <c r="O76" s="72">
        <f t="shared" si="1"/>
        <v>6495</v>
      </c>
      <c r="P76" s="44" t="s">
        <v>0</v>
      </c>
    </row>
    <row r="77" spans="1:16" x14ac:dyDescent="0.3">
      <c r="A77" s="46" t="s">
        <v>2143</v>
      </c>
      <c r="B77" s="26">
        <v>46108</v>
      </c>
      <c r="C77" s="26">
        <v>46113</v>
      </c>
      <c r="D77" s="71">
        <v>3319</v>
      </c>
      <c r="E77" s="25">
        <v>327</v>
      </c>
      <c r="F77" s="46">
        <v>2</v>
      </c>
      <c r="G77" s="46">
        <v>1</v>
      </c>
      <c r="H77" s="46">
        <v>80700</v>
      </c>
      <c r="I77" s="46" t="s">
        <v>17</v>
      </c>
      <c r="J77" s="46">
        <v>24811223</v>
      </c>
      <c r="K77" s="44" t="s">
        <v>137</v>
      </c>
      <c r="L77" s="44" t="s">
        <v>139</v>
      </c>
      <c r="M77" s="72">
        <v>129900</v>
      </c>
      <c r="N77" s="64">
        <v>0.95</v>
      </c>
      <c r="O77" s="72">
        <f t="shared" si="1"/>
        <v>6495</v>
      </c>
      <c r="P77" s="44" t="s">
        <v>0</v>
      </c>
    </row>
    <row r="78" spans="1:16" x14ac:dyDescent="0.3">
      <c r="A78" s="46" t="s">
        <v>2143</v>
      </c>
      <c r="B78" s="26">
        <v>46108</v>
      </c>
      <c r="C78" s="26">
        <v>46113</v>
      </c>
      <c r="D78" s="71">
        <v>3319</v>
      </c>
      <c r="E78" s="25">
        <v>327</v>
      </c>
      <c r="F78" s="46">
        <v>2</v>
      </c>
      <c r="G78" s="46">
        <v>1</v>
      </c>
      <c r="H78" s="46">
        <v>80700</v>
      </c>
      <c r="I78" s="46" t="s">
        <v>17</v>
      </c>
      <c r="J78" s="46">
        <v>24811232</v>
      </c>
      <c r="K78" s="44" t="s">
        <v>137</v>
      </c>
      <c r="L78" s="44" t="s">
        <v>140</v>
      </c>
      <c r="M78" s="72">
        <v>129900</v>
      </c>
      <c r="N78" s="64">
        <v>0.95</v>
      </c>
      <c r="O78" s="72">
        <f t="shared" si="1"/>
        <v>6495</v>
      </c>
      <c r="P78" s="44" t="s">
        <v>0</v>
      </c>
    </row>
    <row r="79" spans="1:16" x14ac:dyDescent="0.3">
      <c r="A79" s="46" t="s">
        <v>2143</v>
      </c>
      <c r="B79" s="26">
        <v>46108</v>
      </c>
      <c r="C79" s="26">
        <v>46113</v>
      </c>
      <c r="D79" s="71">
        <v>3319</v>
      </c>
      <c r="E79" s="25">
        <v>327</v>
      </c>
      <c r="F79" s="46">
        <v>2</v>
      </c>
      <c r="G79" s="46">
        <v>1</v>
      </c>
      <c r="H79" s="46">
        <v>80700</v>
      </c>
      <c r="I79" s="46" t="s">
        <v>17</v>
      </c>
      <c r="J79" s="46">
        <v>24811241</v>
      </c>
      <c r="K79" s="44" t="s">
        <v>137</v>
      </c>
      <c r="L79" s="44" t="s">
        <v>141</v>
      </c>
      <c r="M79" s="72">
        <v>129900</v>
      </c>
      <c r="N79" s="64">
        <v>0.95</v>
      </c>
      <c r="O79" s="72">
        <f t="shared" si="1"/>
        <v>6495</v>
      </c>
      <c r="P79" s="44" t="s">
        <v>0</v>
      </c>
    </row>
    <row r="80" spans="1:16" x14ac:dyDescent="0.3">
      <c r="A80" s="46" t="s">
        <v>2143</v>
      </c>
      <c r="B80" s="26">
        <v>46108</v>
      </c>
      <c r="C80" s="26">
        <v>46113</v>
      </c>
      <c r="D80" s="71">
        <v>3319</v>
      </c>
      <c r="E80" s="25">
        <v>327</v>
      </c>
      <c r="F80" s="46">
        <v>2</v>
      </c>
      <c r="G80" s="46">
        <v>1</v>
      </c>
      <c r="H80" s="46">
        <v>80700</v>
      </c>
      <c r="I80" s="46" t="s">
        <v>17</v>
      </c>
      <c r="J80" s="46">
        <v>24811250</v>
      </c>
      <c r="K80" s="44" t="s">
        <v>142</v>
      </c>
      <c r="L80" s="44" t="s">
        <v>143</v>
      </c>
      <c r="M80" s="72">
        <v>129900</v>
      </c>
      <c r="N80" s="64">
        <v>0.95</v>
      </c>
      <c r="O80" s="72">
        <f t="shared" si="1"/>
        <v>6495</v>
      </c>
      <c r="P80" s="44" t="s">
        <v>0</v>
      </c>
    </row>
    <row r="81" spans="1:16" x14ac:dyDescent="0.3">
      <c r="A81" s="46" t="s">
        <v>2143</v>
      </c>
      <c r="B81" s="26">
        <v>46108</v>
      </c>
      <c r="C81" s="26">
        <v>46113</v>
      </c>
      <c r="D81" s="71">
        <v>3319</v>
      </c>
      <c r="E81" s="25">
        <v>327</v>
      </c>
      <c r="F81" s="46">
        <v>2</v>
      </c>
      <c r="G81" s="46">
        <v>1</v>
      </c>
      <c r="H81" s="46">
        <v>80700</v>
      </c>
      <c r="I81" s="46" t="s">
        <v>17</v>
      </c>
      <c r="J81" s="46">
        <v>24811269</v>
      </c>
      <c r="K81" s="44" t="s">
        <v>142</v>
      </c>
      <c r="L81" s="44" t="s">
        <v>144</v>
      </c>
      <c r="M81" s="72">
        <v>129900</v>
      </c>
      <c r="N81" s="64">
        <v>0.95</v>
      </c>
      <c r="O81" s="72">
        <f t="shared" si="1"/>
        <v>6495</v>
      </c>
      <c r="P81" s="44" t="s">
        <v>0</v>
      </c>
    </row>
    <row r="82" spans="1:16" x14ac:dyDescent="0.3">
      <c r="A82" s="46" t="s">
        <v>2143</v>
      </c>
      <c r="B82" s="26">
        <v>46108</v>
      </c>
      <c r="C82" s="26">
        <v>46113</v>
      </c>
      <c r="D82" s="71">
        <v>3319</v>
      </c>
      <c r="E82" s="25">
        <v>327</v>
      </c>
      <c r="F82" s="46">
        <v>2</v>
      </c>
      <c r="G82" s="46">
        <v>1</v>
      </c>
      <c r="H82" s="46">
        <v>80700</v>
      </c>
      <c r="I82" s="46" t="s">
        <v>17</v>
      </c>
      <c r="J82" s="46">
        <v>24811278</v>
      </c>
      <c r="K82" s="44" t="s">
        <v>142</v>
      </c>
      <c r="L82" s="44" t="s">
        <v>145</v>
      </c>
      <c r="M82" s="72">
        <v>129900</v>
      </c>
      <c r="N82" s="64">
        <v>0.95</v>
      </c>
      <c r="O82" s="72">
        <f t="shared" si="1"/>
        <v>6495</v>
      </c>
      <c r="P82" s="44" t="s">
        <v>0</v>
      </c>
    </row>
    <row r="83" spans="1:16" x14ac:dyDescent="0.3">
      <c r="A83" s="46" t="s">
        <v>2143</v>
      </c>
      <c r="B83" s="26">
        <v>46108</v>
      </c>
      <c r="C83" s="26">
        <v>46113</v>
      </c>
      <c r="D83" s="71">
        <v>3319</v>
      </c>
      <c r="E83" s="25">
        <v>327</v>
      </c>
      <c r="F83" s="46">
        <v>2</v>
      </c>
      <c r="G83" s="46">
        <v>1</v>
      </c>
      <c r="H83" s="46">
        <v>80700</v>
      </c>
      <c r="I83" s="46" t="s">
        <v>17</v>
      </c>
      <c r="J83" s="46">
        <v>24811287</v>
      </c>
      <c r="K83" s="44" t="s">
        <v>142</v>
      </c>
      <c r="L83" s="44" t="s">
        <v>146</v>
      </c>
      <c r="M83" s="72">
        <v>129900</v>
      </c>
      <c r="N83" s="64">
        <v>0.95</v>
      </c>
      <c r="O83" s="72">
        <f t="shared" si="1"/>
        <v>6495</v>
      </c>
      <c r="P83" s="44" t="s">
        <v>0</v>
      </c>
    </row>
    <row r="84" spans="1:16" x14ac:dyDescent="0.3">
      <c r="A84" s="46" t="s">
        <v>2143</v>
      </c>
      <c r="B84" s="26">
        <v>46108</v>
      </c>
      <c r="C84" s="26">
        <v>46113</v>
      </c>
      <c r="D84" s="71">
        <v>3319</v>
      </c>
      <c r="E84" s="25">
        <v>327</v>
      </c>
      <c r="F84" s="46">
        <v>2</v>
      </c>
      <c r="G84" s="46">
        <v>1</v>
      </c>
      <c r="H84" s="46">
        <v>80700</v>
      </c>
      <c r="I84" s="46" t="s">
        <v>17</v>
      </c>
      <c r="J84" s="46">
        <v>24811296</v>
      </c>
      <c r="K84" s="44" t="s">
        <v>147</v>
      </c>
      <c r="L84" s="44" t="s">
        <v>148</v>
      </c>
      <c r="M84" s="72">
        <v>129900</v>
      </c>
      <c r="N84" s="64">
        <v>0.95</v>
      </c>
      <c r="O84" s="72">
        <f t="shared" si="1"/>
        <v>6495</v>
      </c>
      <c r="P84" s="44" t="s">
        <v>0</v>
      </c>
    </row>
    <row r="85" spans="1:16" x14ac:dyDescent="0.3">
      <c r="A85" s="46" t="s">
        <v>2143</v>
      </c>
      <c r="B85" s="26">
        <v>46108</v>
      </c>
      <c r="C85" s="26">
        <v>46113</v>
      </c>
      <c r="D85" s="71">
        <v>3319</v>
      </c>
      <c r="E85" s="25">
        <v>327</v>
      </c>
      <c r="F85" s="46">
        <v>2</v>
      </c>
      <c r="G85" s="46">
        <v>1</v>
      </c>
      <c r="H85" s="46">
        <v>80700</v>
      </c>
      <c r="I85" s="46" t="s">
        <v>17</v>
      </c>
      <c r="J85" s="46">
        <v>24811303</v>
      </c>
      <c r="K85" s="44" t="s">
        <v>147</v>
      </c>
      <c r="L85" s="44" t="s">
        <v>149</v>
      </c>
      <c r="M85" s="72">
        <v>129900</v>
      </c>
      <c r="N85" s="64">
        <v>0.95</v>
      </c>
      <c r="O85" s="72">
        <f t="shared" si="1"/>
        <v>6495</v>
      </c>
      <c r="P85" s="44" t="s">
        <v>0</v>
      </c>
    </row>
    <row r="86" spans="1:16" x14ac:dyDescent="0.3">
      <c r="A86" s="46" t="s">
        <v>2143</v>
      </c>
      <c r="B86" s="26">
        <v>46108</v>
      </c>
      <c r="C86" s="26">
        <v>46113</v>
      </c>
      <c r="D86" s="71">
        <v>3319</v>
      </c>
      <c r="E86" s="25">
        <v>327</v>
      </c>
      <c r="F86" s="46">
        <v>2</v>
      </c>
      <c r="G86" s="46">
        <v>1</v>
      </c>
      <c r="H86" s="46">
        <v>80700</v>
      </c>
      <c r="I86" s="46" t="s">
        <v>17</v>
      </c>
      <c r="J86" s="46">
        <v>24811321</v>
      </c>
      <c r="K86" s="44" t="s">
        <v>147</v>
      </c>
      <c r="L86" s="44" t="s">
        <v>150</v>
      </c>
      <c r="M86" s="72">
        <v>129900</v>
      </c>
      <c r="N86" s="64">
        <v>0.95</v>
      </c>
      <c r="O86" s="72">
        <f t="shared" si="1"/>
        <v>6495</v>
      </c>
      <c r="P86" s="44" t="s">
        <v>0</v>
      </c>
    </row>
    <row r="87" spans="1:16" x14ac:dyDescent="0.3">
      <c r="A87" s="46" t="s">
        <v>2143</v>
      </c>
      <c r="B87" s="26">
        <v>46108</v>
      </c>
      <c r="C87" s="26">
        <v>46113</v>
      </c>
      <c r="D87" s="71">
        <v>3319</v>
      </c>
      <c r="E87" s="25">
        <v>327</v>
      </c>
      <c r="F87" s="46">
        <v>2</v>
      </c>
      <c r="G87" s="46">
        <v>1</v>
      </c>
      <c r="H87" s="46">
        <v>80700</v>
      </c>
      <c r="I87" s="46" t="s">
        <v>17</v>
      </c>
      <c r="J87" s="46">
        <v>24863436</v>
      </c>
      <c r="K87" s="44" t="s">
        <v>151</v>
      </c>
      <c r="L87" s="44" t="s">
        <v>152</v>
      </c>
      <c r="M87" s="72">
        <v>129900</v>
      </c>
      <c r="N87" s="64">
        <v>0.95</v>
      </c>
      <c r="O87" s="72">
        <f t="shared" si="1"/>
        <v>6495</v>
      </c>
      <c r="P87" s="44" t="s">
        <v>0</v>
      </c>
    </row>
    <row r="88" spans="1:16" x14ac:dyDescent="0.3">
      <c r="A88" s="46" t="s">
        <v>2143</v>
      </c>
      <c r="B88" s="26">
        <v>46108</v>
      </c>
      <c r="C88" s="26">
        <v>46113</v>
      </c>
      <c r="D88" s="71">
        <v>3319</v>
      </c>
      <c r="E88" s="25">
        <v>327</v>
      </c>
      <c r="F88" s="46">
        <v>2</v>
      </c>
      <c r="G88" s="46">
        <v>1</v>
      </c>
      <c r="H88" s="46">
        <v>80700</v>
      </c>
      <c r="I88" s="46" t="s">
        <v>17</v>
      </c>
      <c r="J88" s="46">
        <v>24863463</v>
      </c>
      <c r="K88" s="44" t="s">
        <v>151</v>
      </c>
      <c r="L88" s="44" t="s">
        <v>153</v>
      </c>
      <c r="M88" s="72">
        <v>129900</v>
      </c>
      <c r="N88" s="64">
        <v>0.95</v>
      </c>
      <c r="O88" s="72">
        <f t="shared" si="1"/>
        <v>6495</v>
      </c>
      <c r="P88" s="44" t="s">
        <v>0</v>
      </c>
    </row>
    <row r="89" spans="1:16" x14ac:dyDescent="0.3">
      <c r="A89" s="46" t="s">
        <v>2143</v>
      </c>
      <c r="B89" s="26">
        <v>46108</v>
      </c>
      <c r="C89" s="26">
        <v>46113</v>
      </c>
      <c r="D89" s="71">
        <v>3319</v>
      </c>
      <c r="E89" s="25">
        <v>327</v>
      </c>
      <c r="F89" s="46">
        <v>2</v>
      </c>
      <c r="G89" s="46">
        <v>1</v>
      </c>
      <c r="H89" s="46">
        <v>80700</v>
      </c>
      <c r="I89" s="46" t="s">
        <v>17</v>
      </c>
      <c r="J89" s="46">
        <v>22593893</v>
      </c>
      <c r="K89" s="44" t="s">
        <v>154</v>
      </c>
      <c r="L89" s="44" t="s">
        <v>155</v>
      </c>
      <c r="M89" s="72">
        <v>119900</v>
      </c>
      <c r="N89" s="64">
        <v>0.95</v>
      </c>
      <c r="O89" s="72">
        <f t="shared" si="1"/>
        <v>5995</v>
      </c>
      <c r="P89" s="44" t="s">
        <v>0</v>
      </c>
    </row>
    <row r="90" spans="1:16" x14ac:dyDescent="0.3">
      <c r="A90" s="46" t="s">
        <v>2143</v>
      </c>
      <c r="B90" s="26">
        <v>46108</v>
      </c>
      <c r="C90" s="26">
        <v>46113</v>
      </c>
      <c r="D90" s="71">
        <v>3319</v>
      </c>
      <c r="E90" s="25">
        <v>327</v>
      </c>
      <c r="F90" s="46">
        <v>2</v>
      </c>
      <c r="G90" s="46">
        <v>1</v>
      </c>
      <c r="H90" s="46">
        <v>80700</v>
      </c>
      <c r="I90" s="46" t="s">
        <v>17</v>
      </c>
      <c r="J90" s="46">
        <v>22593955</v>
      </c>
      <c r="K90" s="44" t="s">
        <v>156</v>
      </c>
      <c r="L90" s="44" t="s">
        <v>157</v>
      </c>
      <c r="M90" s="72">
        <v>119900</v>
      </c>
      <c r="N90" s="64">
        <v>0.95</v>
      </c>
      <c r="O90" s="72">
        <f t="shared" si="1"/>
        <v>5995</v>
      </c>
      <c r="P90" s="44" t="s">
        <v>0</v>
      </c>
    </row>
    <row r="91" spans="1:16" x14ac:dyDescent="0.3">
      <c r="A91" s="46" t="s">
        <v>2143</v>
      </c>
      <c r="B91" s="26">
        <v>46108</v>
      </c>
      <c r="C91" s="26">
        <v>46113</v>
      </c>
      <c r="D91" s="71">
        <v>3319</v>
      </c>
      <c r="E91" s="25">
        <v>327</v>
      </c>
      <c r="F91" s="46">
        <v>2</v>
      </c>
      <c r="G91" s="46">
        <v>1</v>
      </c>
      <c r="H91" s="46">
        <v>80700</v>
      </c>
      <c r="I91" s="46" t="s">
        <v>17</v>
      </c>
      <c r="J91" s="46">
        <v>22614137</v>
      </c>
      <c r="K91" s="44" t="s">
        <v>158</v>
      </c>
      <c r="L91" s="44" t="s">
        <v>159</v>
      </c>
      <c r="M91" s="72">
        <v>119900</v>
      </c>
      <c r="N91" s="64">
        <v>0.95</v>
      </c>
      <c r="O91" s="72">
        <f t="shared" si="1"/>
        <v>5995</v>
      </c>
      <c r="P91" s="44" t="s">
        <v>0</v>
      </c>
    </row>
    <row r="92" spans="1:16" x14ac:dyDescent="0.3">
      <c r="A92" s="46" t="s">
        <v>2143</v>
      </c>
      <c r="B92" s="26">
        <v>46108</v>
      </c>
      <c r="C92" s="26">
        <v>46113</v>
      </c>
      <c r="D92" s="71">
        <v>3319</v>
      </c>
      <c r="E92" s="25">
        <v>327</v>
      </c>
      <c r="F92" s="46">
        <v>2</v>
      </c>
      <c r="G92" s="46">
        <v>1</v>
      </c>
      <c r="H92" s="46">
        <v>80700</v>
      </c>
      <c r="I92" s="46" t="s">
        <v>17</v>
      </c>
      <c r="J92" s="46">
        <v>20957799</v>
      </c>
      <c r="K92" s="44" t="s">
        <v>160</v>
      </c>
      <c r="L92" s="44" t="s">
        <v>161</v>
      </c>
      <c r="M92" s="72">
        <v>129900</v>
      </c>
      <c r="N92" s="64">
        <v>0.95</v>
      </c>
      <c r="O92" s="72">
        <f t="shared" si="1"/>
        <v>6495</v>
      </c>
      <c r="P92" s="44" t="s">
        <v>0</v>
      </c>
    </row>
    <row r="93" spans="1:16" x14ac:dyDescent="0.3">
      <c r="A93" s="46" t="s">
        <v>2143</v>
      </c>
      <c r="B93" s="26">
        <v>46108</v>
      </c>
      <c r="C93" s="26">
        <v>46113</v>
      </c>
      <c r="D93" s="71">
        <v>3319</v>
      </c>
      <c r="E93" s="25">
        <v>327</v>
      </c>
      <c r="F93" s="46">
        <v>2</v>
      </c>
      <c r="G93" s="46">
        <v>1</v>
      </c>
      <c r="H93" s="46">
        <v>80700</v>
      </c>
      <c r="I93" s="46" t="s">
        <v>17</v>
      </c>
      <c r="J93" s="46">
        <v>20957806</v>
      </c>
      <c r="K93" s="44" t="s">
        <v>160</v>
      </c>
      <c r="L93" s="44" t="s">
        <v>162</v>
      </c>
      <c r="M93" s="72">
        <v>129900</v>
      </c>
      <c r="N93" s="64">
        <v>0.95</v>
      </c>
      <c r="O93" s="72">
        <f t="shared" si="1"/>
        <v>6495</v>
      </c>
      <c r="P93" s="44" t="s">
        <v>0</v>
      </c>
    </row>
    <row r="94" spans="1:16" x14ac:dyDescent="0.3">
      <c r="A94" s="46" t="s">
        <v>2143</v>
      </c>
      <c r="B94" s="26">
        <v>46108</v>
      </c>
      <c r="C94" s="26">
        <v>46113</v>
      </c>
      <c r="D94" s="71">
        <v>3319</v>
      </c>
      <c r="E94" s="25">
        <v>327</v>
      </c>
      <c r="F94" s="46">
        <v>2</v>
      </c>
      <c r="G94" s="46">
        <v>1</v>
      </c>
      <c r="H94" s="46">
        <v>80700</v>
      </c>
      <c r="I94" s="46" t="s">
        <v>17</v>
      </c>
      <c r="J94" s="46">
        <v>20957842</v>
      </c>
      <c r="K94" s="44" t="s">
        <v>163</v>
      </c>
      <c r="L94" s="44" t="s">
        <v>164</v>
      </c>
      <c r="M94" s="72">
        <v>129900</v>
      </c>
      <c r="N94" s="64">
        <v>0.95</v>
      </c>
      <c r="O94" s="72">
        <f t="shared" si="1"/>
        <v>6495</v>
      </c>
      <c r="P94" s="44" t="s">
        <v>0</v>
      </c>
    </row>
    <row r="95" spans="1:16" x14ac:dyDescent="0.3">
      <c r="A95" s="46" t="s">
        <v>2143</v>
      </c>
      <c r="B95" s="26">
        <v>46108</v>
      </c>
      <c r="C95" s="26">
        <v>46113</v>
      </c>
      <c r="D95" s="71">
        <v>3319</v>
      </c>
      <c r="E95" s="25">
        <v>327</v>
      </c>
      <c r="F95" s="46">
        <v>2</v>
      </c>
      <c r="G95" s="46">
        <v>1</v>
      </c>
      <c r="H95" s="46">
        <v>80700</v>
      </c>
      <c r="I95" s="46" t="s">
        <v>17</v>
      </c>
      <c r="J95" s="46">
        <v>20957851</v>
      </c>
      <c r="K95" s="44" t="s">
        <v>163</v>
      </c>
      <c r="L95" s="44" t="s">
        <v>165</v>
      </c>
      <c r="M95" s="72">
        <v>129900</v>
      </c>
      <c r="N95" s="64">
        <v>0.95</v>
      </c>
      <c r="O95" s="72">
        <f t="shared" si="1"/>
        <v>6495</v>
      </c>
      <c r="P95" s="44" t="s">
        <v>0</v>
      </c>
    </row>
    <row r="96" spans="1:16" x14ac:dyDescent="0.3">
      <c r="A96" s="46" t="s">
        <v>2143</v>
      </c>
      <c r="B96" s="26">
        <v>46108</v>
      </c>
      <c r="C96" s="26">
        <v>46113</v>
      </c>
      <c r="D96" s="71">
        <v>3319</v>
      </c>
      <c r="E96" s="25">
        <v>327</v>
      </c>
      <c r="F96" s="46">
        <v>2</v>
      </c>
      <c r="G96" s="46">
        <v>1</v>
      </c>
      <c r="H96" s="46">
        <v>80700</v>
      </c>
      <c r="I96" s="46" t="s">
        <v>17</v>
      </c>
      <c r="J96" s="46">
        <v>20957879</v>
      </c>
      <c r="K96" s="44" t="s">
        <v>166</v>
      </c>
      <c r="L96" s="44" t="s">
        <v>167</v>
      </c>
      <c r="M96" s="72">
        <v>129900</v>
      </c>
      <c r="N96" s="64">
        <v>0.95</v>
      </c>
      <c r="O96" s="72">
        <f t="shared" si="1"/>
        <v>6495</v>
      </c>
      <c r="P96" s="44" t="s">
        <v>0</v>
      </c>
    </row>
    <row r="97" spans="1:16" x14ac:dyDescent="0.3">
      <c r="A97" s="46" t="s">
        <v>2143</v>
      </c>
      <c r="B97" s="26">
        <v>46108</v>
      </c>
      <c r="C97" s="26">
        <v>46113</v>
      </c>
      <c r="D97" s="71">
        <v>3319</v>
      </c>
      <c r="E97" s="25">
        <v>327</v>
      </c>
      <c r="F97" s="46">
        <v>2</v>
      </c>
      <c r="G97" s="46">
        <v>1</v>
      </c>
      <c r="H97" s="46">
        <v>80700</v>
      </c>
      <c r="I97" s="46" t="s">
        <v>17</v>
      </c>
      <c r="J97" s="46">
        <v>20957888</v>
      </c>
      <c r="K97" s="44" t="s">
        <v>166</v>
      </c>
      <c r="L97" s="44" t="s">
        <v>168</v>
      </c>
      <c r="M97" s="72">
        <v>129900</v>
      </c>
      <c r="N97" s="64">
        <v>0.95</v>
      </c>
      <c r="O97" s="72">
        <f t="shared" si="1"/>
        <v>6495</v>
      </c>
      <c r="P97" s="44" t="s">
        <v>0</v>
      </c>
    </row>
    <row r="98" spans="1:16" x14ac:dyDescent="0.3">
      <c r="A98" s="46" t="s">
        <v>2143</v>
      </c>
      <c r="B98" s="26">
        <v>46108</v>
      </c>
      <c r="C98" s="26">
        <v>46113</v>
      </c>
      <c r="D98" s="71">
        <v>3319</v>
      </c>
      <c r="E98" s="25">
        <v>327</v>
      </c>
      <c r="F98" s="46">
        <v>2</v>
      </c>
      <c r="G98" s="46">
        <v>1</v>
      </c>
      <c r="H98" s="46">
        <v>80700</v>
      </c>
      <c r="I98" s="46" t="s">
        <v>17</v>
      </c>
      <c r="J98" s="46">
        <v>20957904</v>
      </c>
      <c r="K98" s="44" t="s">
        <v>166</v>
      </c>
      <c r="L98" s="44" t="s">
        <v>169</v>
      </c>
      <c r="M98" s="72">
        <v>129900</v>
      </c>
      <c r="N98" s="64">
        <v>0.95</v>
      </c>
      <c r="O98" s="72">
        <f t="shared" si="1"/>
        <v>6495</v>
      </c>
      <c r="P98" s="44" t="s">
        <v>0</v>
      </c>
    </row>
    <row r="99" spans="1:16" x14ac:dyDescent="0.3">
      <c r="A99" s="46" t="s">
        <v>2143</v>
      </c>
      <c r="B99" s="26">
        <v>46108</v>
      </c>
      <c r="C99" s="26">
        <v>46113</v>
      </c>
      <c r="D99" s="71">
        <v>3319</v>
      </c>
      <c r="E99" s="25">
        <v>327</v>
      </c>
      <c r="F99" s="46">
        <v>2</v>
      </c>
      <c r="G99" s="46">
        <v>1</v>
      </c>
      <c r="H99" s="46">
        <v>80700</v>
      </c>
      <c r="I99" s="46" t="s">
        <v>17</v>
      </c>
      <c r="J99" s="46">
        <v>20957913</v>
      </c>
      <c r="K99" s="44" t="s">
        <v>170</v>
      </c>
      <c r="L99" s="44" t="s">
        <v>171</v>
      </c>
      <c r="M99" s="72">
        <v>129900</v>
      </c>
      <c r="N99" s="64">
        <v>0.95</v>
      </c>
      <c r="O99" s="72">
        <f t="shared" si="1"/>
        <v>6495</v>
      </c>
      <c r="P99" s="44" t="s">
        <v>0</v>
      </c>
    </row>
    <row r="100" spans="1:16" x14ac:dyDescent="0.3">
      <c r="A100" s="46" t="s">
        <v>2143</v>
      </c>
      <c r="B100" s="26">
        <v>46108</v>
      </c>
      <c r="C100" s="26">
        <v>46113</v>
      </c>
      <c r="D100" s="71">
        <v>3319</v>
      </c>
      <c r="E100" s="25">
        <v>327</v>
      </c>
      <c r="F100" s="46">
        <v>2</v>
      </c>
      <c r="G100" s="46">
        <v>1</v>
      </c>
      <c r="H100" s="46">
        <v>80700</v>
      </c>
      <c r="I100" s="46" t="s">
        <v>17</v>
      </c>
      <c r="J100" s="46">
        <v>20957940</v>
      </c>
      <c r="K100" s="44" t="s">
        <v>170</v>
      </c>
      <c r="L100" s="44" t="s">
        <v>172</v>
      </c>
      <c r="M100" s="72">
        <v>129900</v>
      </c>
      <c r="N100" s="64">
        <v>0.95</v>
      </c>
      <c r="O100" s="72">
        <f t="shared" si="1"/>
        <v>6495</v>
      </c>
      <c r="P100" s="44" t="s">
        <v>0</v>
      </c>
    </row>
    <row r="101" spans="1:16" x14ac:dyDescent="0.3">
      <c r="A101" s="46" t="s">
        <v>2143</v>
      </c>
      <c r="B101" s="26">
        <v>46108</v>
      </c>
      <c r="C101" s="26">
        <v>46113</v>
      </c>
      <c r="D101" s="71">
        <v>3319</v>
      </c>
      <c r="E101" s="25">
        <v>327</v>
      </c>
      <c r="F101" s="46">
        <v>2</v>
      </c>
      <c r="G101" s="46">
        <v>1</v>
      </c>
      <c r="H101" s="46">
        <v>80700</v>
      </c>
      <c r="I101" s="46" t="s">
        <v>17</v>
      </c>
      <c r="J101" s="46">
        <v>23785746</v>
      </c>
      <c r="K101" s="44" t="s">
        <v>173</v>
      </c>
      <c r="L101" s="44" t="s">
        <v>174</v>
      </c>
      <c r="M101" s="72">
        <v>129900</v>
      </c>
      <c r="N101" s="64">
        <v>0.95</v>
      </c>
      <c r="O101" s="72">
        <f t="shared" si="1"/>
        <v>6495</v>
      </c>
      <c r="P101" s="44" t="s">
        <v>0</v>
      </c>
    </row>
    <row r="102" spans="1:16" x14ac:dyDescent="0.3">
      <c r="A102" s="46" t="s">
        <v>2143</v>
      </c>
      <c r="B102" s="26">
        <v>46108</v>
      </c>
      <c r="C102" s="26">
        <v>46113</v>
      </c>
      <c r="D102" s="71">
        <v>3319</v>
      </c>
      <c r="E102" s="25">
        <v>327</v>
      </c>
      <c r="F102" s="46">
        <v>2</v>
      </c>
      <c r="G102" s="46">
        <v>1</v>
      </c>
      <c r="H102" s="46">
        <v>81011</v>
      </c>
      <c r="I102" s="46" t="s">
        <v>17</v>
      </c>
      <c r="J102" s="46">
        <v>23707142</v>
      </c>
      <c r="K102" s="44" t="s">
        <v>175</v>
      </c>
      <c r="L102" s="44" t="s">
        <v>176</v>
      </c>
      <c r="M102" s="72">
        <v>129900</v>
      </c>
      <c r="N102" s="64">
        <v>0.95</v>
      </c>
      <c r="O102" s="72">
        <f t="shared" si="1"/>
        <v>6495</v>
      </c>
      <c r="P102" s="44" t="s">
        <v>0</v>
      </c>
    </row>
    <row r="103" spans="1:16" x14ac:dyDescent="0.3">
      <c r="A103" s="46" t="s">
        <v>2143</v>
      </c>
      <c r="B103" s="26">
        <v>46108</v>
      </c>
      <c r="C103" s="26">
        <v>46113</v>
      </c>
      <c r="D103" s="71">
        <v>3319</v>
      </c>
      <c r="E103" s="25">
        <v>327</v>
      </c>
      <c r="F103" s="46">
        <v>2</v>
      </c>
      <c r="G103" s="46">
        <v>1</v>
      </c>
      <c r="H103" s="46">
        <v>81011</v>
      </c>
      <c r="I103" s="46" t="s">
        <v>17</v>
      </c>
      <c r="J103" s="46">
        <v>23707151</v>
      </c>
      <c r="K103" s="44" t="s">
        <v>175</v>
      </c>
      <c r="L103" s="44" t="s">
        <v>177</v>
      </c>
      <c r="M103" s="72">
        <v>129900</v>
      </c>
      <c r="N103" s="64">
        <v>0.95</v>
      </c>
      <c r="O103" s="72">
        <f t="shared" si="1"/>
        <v>6495</v>
      </c>
      <c r="P103" s="44" t="s">
        <v>0</v>
      </c>
    </row>
    <row r="104" spans="1:16" x14ac:dyDescent="0.3">
      <c r="A104" s="46" t="s">
        <v>2143</v>
      </c>
      <c r="B104" s="26">
        <v>46108</v>
      </c>
      <c r="C104" s="26">
        <v>46113</v>
      </c>
      <c r="D104" s="71">
        <v>3319</v>
      </c>
      <c r="E104" s="25">
        <v>327</v>
      </c>
      <c r="F104" s="46">
        <v>2</v>
      </c>
      <c r="G104" s="46">
        <v>1</v>
      </c>
      <c r="H104" s="46">
        <v>81011</v>
      </c>
      <c r="I104" s="46" t="s">
        <v>17</v>
      </c>
      <c r="J104" s="46">
        <v>23707160</v>
      </c>
      <c r="K104" s="44" t="s">
        <v>178</v>
      </c>
      <c r="L104" s="44" t="s">
        <v>179</v>
      </c>
      <c r="M104" s="72">
        <v>129900</v>
      </c>
      <c r="N104" s="64">
        <v>0.95</v>
      </c>
      <c r="O104" s="72">
        <f t="shared" si="1"/>
        <v>6495</v>
      </c>
      <c r="P104" s="44" t="s">
        <v>0</v>
      </c>
    </row>
    <row r="105" spans="1:16" x14ac:dyDescent="0.3">
      <c r="A105" s="46" t="s">
        <v>2143</v>
      </c>
      <c r="B105" s="26">
        <v>46108</v>
      </c>
      <c r="C105" s="26">
        <v>46113</v>
      </c>
      <c r="D105" s="71">
        <v>3319</v>
      </c>
      <c r="E105" s="25">
        <v>327</v>
      </c>
      <c r="F105" s="46">
        <v>2</v>
      </c>
      <c r="G105" s="46">
        <v>1</v>
      </c>
      <c r="H105" s="46">
        <v>81011</v>
      </c>
      <c r="I105" s="46" t="s">
        <v>17</v>
      </c>
      <c r="J105" s="46">
        <v>23707179</v>
      </c>
      <c r="K105" s="44" t="s">
        <v>178</v>
      </c>
      <c r="L105" s="44" t="s">
        <v>180</v>
      </c>
      <c r="M105" s="72">
        <v>129900</v>
      </c>
      <c r="N105" s="64">
        <v>0.95</v>
      </c>
      <c r="O105" s="72">
        <f t="shared" si="1"/>
        <v>6495</v>
      </c>
      <c r="P105" s="44" t="s">
        <v>0</v>
      </c>
    </row>
    <row r="106" spans="1:16" x14ac:dyDescent="0.3">
      <c r="A106" s="46" t="s">
        <v>2143</v>
      </c>
      <c r="B106" s="26">
        <v>46108</v>
      </c>
      <c r="C106" s="26">
        <v>46113</v>
      </c>
      <c r="D106" s="71">
        <v>3319</v>
      </c>
      <c r="E106" s="25">
        <v>327</v>
      </c>
      <c r="F106" s="46">
        <v>2</v>
      </c>
      <c r="G106" s="46">
        <v>1</v>
      </c>
      <c r="H106" s="46">
        <v>81011</v>
      </c>
      <c r="I106" s="46" t="s">
        <v>17</v>
      </c>
      <c r="J106" s="46">
        <v>23707188</v>
      </c>
      <c r="K106" s="44" t="s">
        <v>178</v>
      </c>
      <c r="L106" s="44" t="s">
        <v>181</v>
      </c>
      <c r="M106" s="72">
        <v>129900</v>
      </c>
      <c r="N106" s="64">
        <v>0.95</v>
      </c>
      <c r="O106" s="72">
        <f t="shared" si="1"/>
        <v>6495</v>
      </c>
      <c r="P106" s="44" t="s">
        <v>0</v>
      </c>
    </row>
    <row r="107" spans="1:16" x14ac:dyDescent="0.3">
      <c r="A107" s="46" t="s">
        <v>2143</v>
      </c>
      <c r="B107" s="26">
        <v>46108</v>
      </c>
      <c r="C107" s="26">
        <v>46113</v>
      </c>
      <c r="D107" s="71">
        <v>3319</v>
      </c>
      <c r="E107" s="25">
        <v>327</v>
      </c>
      <c r="F107" s="46">
        <v>2</v>
      </c>
      <c r="G107" s="46">
        <v>1</v>
      </c>
      <c r="H107" s="46">
        <v>81011</v>
      </c>
      <c r="I107" s="46" t="s">
        <v>17</v>
      </c>
      <c r="J107" s="46">
        <v>23707204</v>
      </c>
      <c r="K107" s="44" t="s">
        <v>182</v>
      </c>
      <c r="L107" s="44" t="s">
        <v>183</v>
      </c>
      <c r="M107" s="72">
        <v>129900</v>
      </c>
      <c r="N107" s="64">
        <v>0.95</v>
      </c>
      <c r="O107" s="72">
        <f t="shared" si="1"/>
        <v>6495</v>
      </c>
      <c r="P107" s="44" t="s">
        <v>0</v>
      </c>
    </row>
    <row r="108" spans="1:16" x14ac:dyDescent="0.3">
      <c r="A108" s="46" t="s">
        <v>2143</v>
      </c>
      <c r="B108" s="26">
        <v>46108</v>
      </c>
      <c r="C108" s="26">
        <v>46113</v>
      </c>
      <c r="D108" s="71">
        <v>3319</v>
      </c>
      <c r="E108" s="25">
        <v>327</v>
      </c>
      <c r="F108" s="46">
        <v>2</v>
      </c>
      <c r="G108" s="46">
        <v>1</v>
      </c>
      <c r="H108" s="46">
        <v>81011</v>
      </c>
      <c r="I108" s="46" t="s">
        <v>17</v>
      </c>
      <c r="J108" s="46">
        <v>23707213</v>
      </c>
      <c r="K108" s="44" t="s">
        <v>182</v>
      </c>
      <c r="L108" s="44" t="s">
        <v>184</v>
      </c>
      <c r="M108" s="72">
        <v>129900</v>
      </c>
      <c r="N108" s="64">
        <v>0.95</v>
      </c>
      <c r="O108" s="72">
        <f t="shared" si="1"/>
        <v>6495</v>
      </c>
      <c r="P108" s="44" t="s">
        <v>0</v>
      </c>
    </row>
    <row r="109" spans="1:16" x14ac:dyDescent="0.3">
      <c r="A109" s="46" t="s">
        <v>2143</v>
      </c>
      <c r="B109" s="26">
        <v>46108</v>
      </c>
      <c r="C109" s="26">
        <v>46113</v>
      </c>
      <c r="D109" s="71">
        <v>3319</v>
      </c>
      <c r="E109" s="25">
        <v>327</v>
      </c>
      <c r="F109" s="46">
        <v>2</v>
      </c>
      <c r="G109" s="46">
        <v>1</v>
      </c>
      <c r="H109" s="46">
        <v>81011</v>
      </c>
      <c r="I109" s="46" t="s">
        <v>17</v>
      </c>
      <c r="J109" s="46">
        <v>23707222</v>
      </c>
      <c r="K109" s="44" t="s">
        <v>182</v>
      </c>
      <c r="L109" s="44" t="s">
        <v>185</v>
      </c>
      <c r="M109" s="72">
        <v>129900</v>
      </c>
      <c r="N109" s="64">
        <v>0.95</v>
      </c>
      <c r="O109" s="72">
        <f t="shared" si="1"/>
        <v>6495</v>
      </c>
      <c r="P109" s="44" t="s">
        <v>0</v>
      </c>
    </row>
    <row r="110" spans="1:16" x14ac:dyDescent="0.3">
      <c r="A110" s="46" t="s">
        <v>2143</v>
      </c>
      <c r="B110" s="26">
        <v>46108</v>
      </c>
      <c r="C110" s="26">
        <v>46113</v>
      </c>
      <c r="D110" s="71">
        <v>3319</v>
      </c>
      <c r="E110" s="25">
        <v>327</v>
      </c>
      <c r="F110" s="46">
        <v>2</v>
      </c>
      <c r="G110" s="46">
        <v>1</v>
      </c>
      <c r="H110" s="46">
        <v>81011</v>
      </c>
      <c r="I110" s="46" t="s">
        <v>17</v>
      </c>
      <c r="J110" s="46">
        <v>23707231</v>
      </c>
      <c r="K110" s="44" t="s">
        <v>182</v>
      </c>
      <c r="L110" s="44" t="s">
        <v>186</v>
      </c>
      <c r="M110" s="72">
        <v>129900</v>
      </c>
      <c r="N110" s="64">
        <v>0.95</v>
      </c>
      <c r="O110" s="72">
        <f t="shared" si="1"/>
        <v>6495</v>
      </c>
      <c r="P110" s="44" t="s">
        <v>0</v>
      </c>
    </row>
    <row r="111" spans="1:16" x14ac:dyDescent="0.3">
      <c r="A111" s="46" t="s">
        <v>2143</v>
      </c>
      <c r="B111" s="26">
        <v>46108</v>
      </c>
      <c r="C111" s="26">
        <v>46113</v>
      </c>
      <c r="D111" s="71">
        <v>3319</v>
      </c>
      <c r="E111" s="25">
        <v>327</v>
      </c>
      <c r="F111" s="46">
        <v>2</v>
      </c>
      <c r="G111" s="46">
        <v>1</v>
      </c>
      <c r="H111" s="46">
        <v>81011</v>
      </c>
      <c r="I111" s="46" t="s">
        <v>17</v>
      </c>
      <c r="J111" s="46">
        <v>24371566</v>
      </c>
      <c r="K111" s="44" t="s">
        <v>187</v>
      </c>
      <c r="L111" s="44" t="s">
        <v>188</v>
      </c>
      <c r="M111" s="72">
        <v>129900</v>
      </c>
      <c r="N111" s="64">
        <v>0.95</v>
      </c>
      <c r="O111" s="72">
        <f t="shared" si="1"/>
        <v>6495</v>
      </c>
      <c r="P111" s="44" t="s">
        <v>0</v>
      </c>
    </row>
    <row r="112" spans="1:16" x14ac:dyDescent="0.3">
      <c r="A112" s="46" t="s">
        <v>2143</v>
      </c>
      <c r="B112" s="26">
        <v>46108</v>
      </c>
      <c r="C112" s="26">
        <v>46113</v>
      </c>
      <c r="D112" s="71">
        <v>3319</v>
      </c>
      <c r="E112" s="25">
        <v>327</v>
      </c>
      <c r="F112" s="46">
        <v>2</v>
      </c>
      <c r="G112" s="46">
        <v>1</v>
      </c>
      <c r="H112" s="46">
        <v>81011</v>
      </c>
      <c r="I112" s="46" t="s">
        <v>17</v>
      </c>
      <c r="J112" s="46">
        <v>24371575</v>
      </c>
      <c r="K112" s="44" t="s">
        <v>187</v>
      </c>
      <c r="L112" s="44" t="s">
        <v>189</v>
      </c>
      <c r="M112" s="72">
        <v>129900</v>
      </c>
      <c r="N112" s="64">
        <v>0.95</v>
      </c>
      <c r="O112" s="72">
        <f t="shared" si="1"/>
        <v>6495</v>
      </c>
      <c r="P112" s="44" t="s">
        <v>0</v>
      </c>
    </row>
    <row r="113" spans="1:16" x14ac:dyDescent="0.3">
      <c r="A113" s="46" t="s">
        <v>2143</v>
      </c>
      <c r="B113" s="26">
        <v>46108</v>
      </c>
      <c r="C113" s="26">
        <v>46113</v>
      </c>
      <c r="D113" s="71">
        <v>3319</v>
      </c>
      <c r="E113" s="25">
        <v>327</v>
      </c>
      <c r="F113" s="46">
        <v>2</v>
      </c>
      <c r="G113" s="46">
        <v>1</v>
      </c>
      <c r="H113" s="46">
        <v>81011</v>
      </c>
      <c r="I113" s="46" t="s">
        <v>17</v>
      </c>
      <c r="J113" s="46">
        <v>24371584</v>
      </c>
      <c r="K113" s="44" t="s">
        <v>187</v>
      </c>
      <c r="L113" s="44" t="s">
        <v>190</v>
      </c>
      <c r="M113" s="72">
        <v>129900</v>
      </c>
      <c r="N113" s="64">
        <v>0.95</v>
      </c>
      <c r="O113" s="72">
        <f t="shared" si="1"/>
        <v>6495</v>
      </c>
      <c r="P113" s="44" t="s">
        <v>0</v>
      </c>
    </row>
    <row r="114" spans="1:16" x14ac:dyDescent="0.3">
      <c r="A114" s="46" t="s">
        <v>2143</v>
      </c>
      <c r="B114" s="26">
        <v>46108</v>
      </c>
      <c r="C114" s="26">
        <v>46113</v>
      </c>
      <c r="D114" s="71">
        <v>3319</v>
      </c>
      <c r="E114" s="25">
        <v>327</v>
      </c>
      <c r="F114" s="46">
        <v>2</v>
      </c>
      <c r="G114" s="46">
        <v>1</v>
      </c>
      <c r="H114" s="46">
        <v>81011</v>
      </c>
      <c r="I114" s="46" t="s">
        <v>17</v>
      </c>
      <c r="J114" s="46">
        <v>24371593</v>
      </c>
      <c r="K114" s="44" t="s">
        <v>187</v>
      </c>
      <c r="L114" s="44" t="s">
        <v>191</v>
      </c>
      <c r="M114" s="72">
        <v>129900</v>
      </c>
      <c r="N114" s="64">
        <v>0.95</v>
      </c>
      <c r="O114" s="72">
        <f t="shared" si="1"/>
        <v>6495</v>
      </c>
      <c r="P114" s="44" t="s">
        <v>0</v>
      </c>
    </row>
    <row r="115" spans="1:16" x14ac:dyDescent="0.3">
      <c r="A115" s="46" t="s">
        <v>2143</v>
      </c>
      <c r="B115" s="26">
        <v>46108</v>
      </c>
      <c r="C115" s="26">
        <v>46113</v>
      </c>
      <c r="D115" s="71">
        <v>3319</v>
      </c>
      <c r="E115" s="25">
        <v>327</v>
      </c>
      <c r="F115" s="46">
        <v>2</v>
      </c>
      <c r="G115" s="46">
        <v>1</v>
      </c>
      <c r="H115" s="46">
        <v>81011</v>
      </c>
      <c r="I115" s="46" t="s">
        <v>17</v>
      </c>
      <c r="J115" s="46">
        <v>24372234</v>
      </c>
      <c r="K115" s="44" t="s">
        <v>192</v>
      </c>
      <c r="L115" s="44" t="s">
        <v>193</v>
      </c>
      <c r="M115" s="72">
        <v>129900</v>
      </c>
      <c r="N115" s="64">
        <v>0.95</v>
      </c>
      <c r="O115" s="72">
        <f t="shared" si="1"/>
        <v>6495</v>
      </c>
      <c r="P115" s="44" t="s">
        <v>0</v>
      </c>
    </row>
    <row r="116" spans="1:16" x14ac:dyDescent="0.3">
      <c r="A116" s="46" t="s">
        <v>2143</v>
      </c>
      <c r="B116" s="26">
        <v>46108</v>
      </c>
      <c r="C116" s="26">
        <v>46113</v>
      </c>
      <c r="D116" s="71">
        <v>3319</v>
      </c>
      <c r="E116" s="25">
        <v>327</v>
      </c>
      <c r="F116" s="46">
        <v>2</v>
      </c>
      <c r="G116" s="46">
        <v>1</v>
      </c>
      <c r="H116" s="46">
        <v>81011</v>
      </c>
      <c r="I116" s="46" t="s">
        <v>17</v>
      </c>
      <c r="J116" s="46">
        <v>24372243</v>
      </c>
      <c r="K116" s="44" t="s">
        <v>192</v>
      </c>
      <c r="L116" s="44" t="s">
        <v>194</v>
      </c>
      <c r="M116" s="72">
        <v>129900</v>
      </c>
      <c r="N116" s="64">
        <v>0.95</v>
      </c>
      <c r="O116" s="72">
        <f t="shared" si="1"/>
        <v>6495</v>
      </c>
      <c r="P116" s="44" t="s">
        <v>0</v>
      </c>
    </row>
    <row r="117" spans="1:16" x14ac:dyDescent="0.3">
      <c r="A117" s="46" t="s">
        <v>2143</v>
      </c>
      <c r="B117" s="26">
        <v>46108</v>
      </c>
      <c r="C117" s="26">
        <v>46113</v>
      </c>
      <c r="D117" s="71">
        <v>3319</v>
      </c>
      <c r="E117" s="25">
        <v>327</v>
      </c>
      <c r="F117" s="46">
        <v>2</v>
      </c>
      <c r="G117" s="46">
        <v>1</v>
      </c>
      <c r="H117" s="46">
        <v>81011</v>
      </c>
      <c r="I117" s="46" t="s">
        <v>17</v>
      </c>
      <c r="J117" s="46">
        <v>24372305</v>
      </c>
      <c r="K117" s="44" t="s">
        <v>195</v>
      </c>
      <c r="L117" s="44" t="s">
        <v>196</v>
      </c>
      <c r="M117" s="72">
        <v>129900</v>
      </c>
      <c r="N117" s="64">
        <v>0.95</v>
      </c>
      <c r="O117" s="72">
        <f t="shared" si="1"/>
        <v>6495</v>
      </c>
      <c r="P117" s="44" t="s">
        <v>0</v>
      </c>
    </row>
    <row r="118" spans="1:16" x14ac:dyDescent="0.3">
      <c r="A118" s="46" t="s">
        <v>2143</v>
      </c>
      <c r="B118" s="26">
        <v>46108</v>
      </c>
      <c r="C118" s="26">
        <v>46113</v>
      </c>
      <c r="D118" s="71">
        <v>3319</v>
      </c>
      <c r="E118" s="25">
        <v>327</v>
      </c>
      <c r="F118" s="46">
        <v>2</v>
      </c>
      <c r="G118" s="46">
        <v>1</v>
      </c>
      <c r="H118" s="46">
        <v>81433</v>
      </c>
      <c r="I118" s="46" t="s">
        <v>17</v>
      </c>
      <c r="J118" s="46">
        <v>23387015</v>
      </c>
      <c r="K118" s="44" t="s">
        <v>197</v>
      </c>
      <c r="L118" s="44" t="s">
        <v>198</v>
      </c>
      <c r="M118" s="72">
        <v>259900</v>
      </c>
      <c r="N118" s="64">
        <v>0.95</v>
      </c>
      <c r="O118" s="72">
        <f t="shared" si="1"/>
        <v>12995</v>
      </c>
      <c r="P118" s="44" t="s">
        <v>0</v>
      </c>
    </row>
    <row r="119" spans="1:16" x14ac:dyDescent="0.3">
      <c r="A119" s="46" t="s">
        <v>2143</v>
      </c>
      <c r="B119" s="26">
        <v>46108</v>
      </c>
      <c r="C119" s="26">
        <v>46113</v>
      </c>
      <c r="D119" s="71">
        <v>3319</v>
      </c>
      <c r="E119" s="25">
        <v>327</v>
      </c>
      <c r="F119" s="46">
        <v>2</v>
      </c>
      <c r="G119" s="46">
        <v>1</v>
      </c>
      <c r="H119" s="46">
        <v>81433</v>
      </c>
      <c r="I119" s="46" t="s">
        <v>17</v>
      </c>
      <c r="J119" s="46">
        <v>23712109</v>
      </c>
      <c r="K119" s="44" t="s">
        <v>199</v>
      </c>
      <c r="L119" s="44" t="s">
        <v>200</v>
      </c>
      <c r="M119" s="72">
        <v>239900</v>
      </c>
      <c r="N119" s="64">
        <v>0.95</v>
      </c>
      <c r="O119" s="72">
        <f t="shared" si="1"/>
        <v>11995</v>
      </c>
      <c r="P119" s="44" t="s">
        <v>0</v>
      </c>
    </row>
    <row r="120" spans="1:16" x14ac:dyDescent="0.3">
      <c r="A120" s="46" t="s">
        <v>2143</v>
      </c>
      <c r="B120" s="26">
        <v>46108</v>
      </c>
      <c r="C120" s="26">
        <v>46113</v>
      </c>
      <c r="D120" s="71">
        <v>3319</v>
      </c>
      <c r="E120" s="25">
        <v>327</v>
      </c>
      <c r="F120" s="46">
        <v>2</v>
      </c>
      <c r="G120" s="46">
        <v>1</v>
      </c>
      <c r="H120" s="46">
        <v>81433</v>
      </c>
      <c r="I120" s="46" t="s">
        <v>17</v>
      </c>
      <c r="J120" s="46">
        <v>23712127</v>
      </c>
      <c r="K120" s="44" t="s">
        <v>199</v>
      </c>
      <c r="L120" s="44" t="s">
        <v>201</v>
      </c>
      <c r="M120" s="72">
        <v>239900</v>
      </c>
      <c r="N120" s="64">
        <v>0.95</v>
      </c>
      <c r="O120" s="72">
        <f t="shared" si="1"/>
        <v>11995</v>
      </c>
      <c r="P120" s="44" t="s">
        <v>0</v>
      </c>
    </row>
    <row r="121" spans="1:16" x14ac:dyDescent="0.3">
      <c r="A121" s="46" t="s">
        <v>2143</v>
      </c>
      <c r="B121" s="26">
        <v>46108</v>
      </c>
      <c r="C121" s="26">
        <v>46113</v>
      </c>
      <c r="D121" s="71">
        <v>3319</v>
      </c>
      <c r="E121" s="25">
        <v>327</v>
      </c>
      <c r="F121" s="46">
        <v>2</v>
      </c>
      <c r="G121" s="46">
        <v>1</v>
      </c>
      <c r="H121" s="46">
        <v>81433</v>
      </c>
      <c r="I121" s="46" t="s">
        <v>17</v>
      </c>
      <c r="J121" s="46">
        <v>23712841</v>
      </c>
      <c r="K121" s="44" t="s">
        <v>202</v>
      </c>
      <c r="L121" s="44" t="s">
        <v>203</v>
      </c>
      <c r="M121" s="72">
        <v>239900</v>
      </c>
      <c r="N121" s="64">
        <v>0.95</v>
      </c>
      <c r="O121" s="72">
        <f t="shared" si="1"/>
        <v>11995</v>
      </c>
      <c r="P121" s="44" t="s">
        <v>0</v>
      </c>
    </row>
    <row r="122" spans="1:16" x14ac:dyDescent="0.3">
      <c r="A122" s="46" t="s">
        <v>2143</v>
      </c>
      <c r="B122" s="26">
        <v>46108</v>
      </c>
      <c r="C122" s="26">
        <v>46113</v>
      </c>
      <c r="D122" s="71">
        <v>3319</v>
      </c>
      <c r="E122" s="25">
        <v>327</v>
      </c>
      <c r="F122" s="46">
        <v>2</v>
      </c>
      <c r="G122" s="46">
        <v>1</v>
      </c>
      <c r="H122" s="46">
        <v>81433</v>
      </c>
      <c r="I122" s="46" t="s">
        <v>17</v>
      </c>
      <c r="J122" s="46">
        <v>23712896</v>
      </c>
      <c r="K122" s="44" t="s">
        <v>204</v>
      </c>
      <c r="L122" s="44" t="s">
        <v>205</v>
      </c>
      <c r="M122" s="72">
        <v>239900</v>
      </c>
      <c r="N122" s="64">
        <v>0.95</v>
      </c>
      <c r="O122" s="72">
        <f t="shared" si="1"/>
        <v>11995</v>
      </c>
      <c r="P122" s="44" t="s">
        <v>0</v>
      </c>
    </row>
    <row r="123" spans="1:16" x14ac:dyDescent="0.3">
      <c r="A123" s="46" t="s">
        <v>2143</v>
      </c>
      <c r="B123" s="26">
        <v>46108</v>
      </c>
      <c r="C123" s="26">
        <v>46113</v>
      </c>
      <c r="D123" s="71">
        <v>3319</v>
      </c>
      <c r="E123" s="25">
        <v>327</v>
      </c>
      <c r="F123" s="46">
        <v>2</v>
      </c>
      <c r="G123" s="46">
        <v>1</v>
      </c>
      <c r="H123" s="46">
        <v>81433</v>
      </c>
      <c r="I123" s="46" t="s">
        <v>17</v>
      </c>
      <c r="J123" s="46">
        <v>23712921</v>
      </c>
      <c r="K123" s="44" t="s">
        <v>204</v>
      </c>
      <c r="L123" s="44" t="s">
        <v>206</v>
      </c>
      <c r="M123" s="72">
        <v>239900</v>
      </c>
      <c r="N123" s="64">
        <v>0.95</v>
      </c>
      <c r="O123" s="72">
        <f t="shared" si="1"/>
        <v>11995</v>
      </c>
      <c r="P123" s="44" t="s">
        <v>0</v>
      </c>
    </row>
    <row r="124" spans="1:16" x14ac:dyDescent="0.3">
      <c r="A124" s="46" t="s">
        <v>2143</v>
      </c>
      <c r="B124" s="26">
        <v>46108</v>
      </c>
      <c r="C124" s="26">
        <v>46113</v>
      </c>
      <c r="D124" s="71">
        <v>3319</v>
      </c>
      <c r="E124" s="25">
        <v>327</v>
      </c>
      <c r="F124" s="46">
        <v>2</v>
      </c>
      <c r="G124" s="46">
        <v>1</v>
      </c>
      <c r="H124" s="46">
        <v>81433</v>
      </c>
      <c r="I124" s="46" t="s">
        <v>17</v>
      </c>
      <c r="J124" s="46">
        <v>23765615</v>
      </c>
      <c r="K124" s="44" t="s">
        <v>207</v>
      </c>
      <c r="L124" s="44" t="s">
        <v>208</v>
      </c>
      <c r="M124" s="72">
        <v>239900</v>
      </c>
      <c r="N124" s="64">
        <v>0.95</v>
      </c>
      <c r="O124" s="72">
        <f t="shared" si="1"/>
        <v>11995</v>
      </c>
      <c r="P124" s="44" t="s">
        <v>0</v>
      </c>
    </row>
    <row r="125" spans="1:16" x14ac:dyDescent="0.3">
      <c r="A125" s="46" t="s">
        <v>2143</v>
      </c>
      <c r="B125" s="26">
        <v>46108</v>
      </c>
      <c r="C125" s="26">
        <v>46113</v>
      </c>
      <c r="D125" s="71">
        <v>3319</v>
      </c>
      <c r="E125" s="25">
        <v>327</v>
      </c>
      <c r="F125" s="46">
        <v>2</v>
      </c>
      <c r="G125" s="46">
        <v>1</v>
      </c>
      <c r="H125" s="46">
        <v>81433</v>
      </c>
      <c r="I125" s="46" t="s">
        <v>17</v>
      </c>
      <c r="J125" s="46">
        <v>23765642</v>
      </c>
      <c r="K125" s="44" t="s">
        <v>207</v>
      </c>
      <c r="L125" s="44" t="s">
        <v>209</v>
      </c>
      <c r="M125" s="72">
        <v>239900</v>
      </c>
      <c r="N125" s="64">
        <v>0.95</v>
      </c>
      <c r="O125" s="72">
        <f t="shared" si="1"/>
        <v>11995</v>
      </c>
      <c r="P125" s="44" t="s">
        <v>0</v>
      </c>
    </row>
    <row r="126" spans="1:16" x14ac:dyDescent="0.3">
      <c r="A126" s="46" t="s">
        <v>2143</v>
      </c>
      <c r="B126" s="26">
        <v>46108</v>
      </c>
      <c r="C126" s="26">
        <v>46113</v>
      </c>
      <c r="D126" s="71">
        <v>3319</v>
      </c>
      <c r="E126" s="25">
        <v>327</v>
      </c>
      <c r="F126" s="46">
        <v>2</v>
      </c>
      <c r="G126" s="46">
        <v>1</v>
      </c>
      <c r="H126" s="46">
        <v>81433</v>
      </c>
      <c r="I126" s="46" t="s">
        <v>17</v>
      </c>
      <c r="J126" s="46">
        <v>23789840</v>
      </c>
      <c r="K126" s="44" t="s">
        <v>210</v>
      </c>
      <c r="L126" s="44" t="s">
        <v>211</v>
      </c>
      <c r="M126" s="72">
        <v>259900</v>
      </c>
      <c r="N126" s="64">
        <v>0.95</v>
      </c>
      <c r="O126" s="72">
        <f t="shared" si="1"/>
        <v>12995</v>
      </c>
      <c r="P126" s="44" t="s">
        <v>0</v>
      </c>
    </row>
    <row r="127" spans="1:16" x14ac:dyDescent="0.3">
      <c r="A127" s="46" t="s">
        <v>2143</v>
      </c>
      <c r="B127" s="26">
        <v>46108</v>
      </c>
      <c r="C127" s="26">
        <v>46113</v>
      </c>
      <c r="D127" s="71">
        <v>3319</v>
      </c>
      <c r="E127" s="25">
        <v>327</v>
      </c>
      <c r="F127" s="46">
        <v>2</v>
      </c>
      <c r="G127" s="46">
        <v>1</v>
      </c>
      <c r="H127" s="46">
        <v>81433</v>
      </c>
      <c r="I127" s="46" t="s">
        <v>17</v>
      </c>
      <c r="J127" s="46">
        <v>23789868</v>
      </c>
      <c r="K127" s="44" t="s">
        <v>210</v>
      </c>
      <c r="L127" s="44" t="s">
        <v>212</v>
      </c>
      <c r="M127" s="72">
        <v>259900</v>
      </c>
      <c r="N127" s="64">
        <v>0.95</v>
      </c>
      <c r="O127" s="72">
        <f t="shared" si="1"/>
        <v>12995</v>
      </c>
      <c r="P127" s="44" t="s">
        <v>0</v>
      </c>
    </row>
    <row r="128" spans="1:16" x14ac:dyDescent="0.3">
      <c r="A128" s="46" t="s">
        <v>2143</v>
      </c>
      <c r="B128" s="26">
        <v>46108</v>
      </c>
      <c r="C128" s="26">
        <v>46113</v>
      </c>
      <c r="D128" s="71">
        <v>3319</v>
      </c>
      <c r="E128" s="25">
        <v>327</v>
      </c>
      <c r="F128" s="46">
        <v>2</v>
      </c>
      <c r="G128" s="46">
        <v>1</v>
      </c>
      <c r="H128" s="46">
        <v>81433</v>
      </c>
      <c r="I128" s="46" t="s">
        <v>17</v>
      </c>
      <c r="J128" s="46">
        <v>23789975</v>
      </c>
      <c r="K128" s="44" t="s">
        <v>213</v>
      </c>
      <c r="L128" s="44" t="s">
        <v>214</v>
      </c>
      <c r="M128" s="72">
        <v>259900</v>
      </c>
      <c r="N128" s="64">
        <v>0.95</v>
      </c>
      <c r="O128" s="72">
        <f t="shared" si="1"/>
        <v>12995</v>
      </c>
      <c r="P128" s="44" t="s">
        <v>0</v>
      </c>
    </row>
    <row r="129" spans="1:16" x14ac:dyDescent="0.3">
      <c r="A129" s="46" t="s">
        <v>2143</v>
      </c>
      <c r="B129" s="26">
        <v>46108</v>
      </c>
      <c r="C129" s="26">
        <v>46113</v>
      </c>
      <c r="D129" s="71">
        <v>3319</v>
      </c>
      <c r="E129" s="25">
        <v>327</v>
      </c>
      <c r="F129" s="46">
        <v>2</v>
      </c>
      <c r="G129" s="46">
        <v>1</v>
      </c>
      <c r="H129" s="46">
        <v>81433</v>
      </c>
      <c r="I129" s="46" t="s">
        <v>17</v>
      </c>
      <c r="J129" s="46">
        <v>23805438</v>
      </c>
      <c r="K129" s="44" t="s">
        <v>215</v>
      </c>
      <c r="L129" s="44" t="s">
        <v>216</v>
      </c>
      <c r="M129" s="72">
        <v>259900</v>
      </c>
      <c r="N129" s="64">
        <v>0.95</v>
      </c>
      <c r="O129" s="72">
        <f t="shared" si="1"/>
        <v>12995</v>
      </c>
      <c r="P129" s="44" t="s">
        <v>0</v>
      </c>
    </row>
    <row r="130" spans="1:16" x14ac:dyDescent="0.3">
      <c r="A130" s="46" t="s">
        <v>2143</v>
      </c>
      <c r="B130" s="26">
        <v>46108</v>
      </c>
      <c r="C130" s="26">
        <v>46113</v>
      </c>
      <c r="D130" s="71">
        <v>3319</v>
      </c>
      <c r="E130" s="25">
        <v>327</v>
      </c>
      <c r="F130" s="46">
        <v>2</v>
      </c>
      <c r="G130" s="46">
        <v>1</v>
      </c>
      <c r="H130" s="46">
        <v>81433</v>
      </c>
      <c r="I130" s="46" t="s">
        <v>17</v>
      </c>
      <c r="J130" s="46">
        <v>23805465</v>
      </c>
      <c r="K130" s="44" t="s">
        <v>217</v>
      </c>
      <c r="L130" s="44" t="s">
        <v>218</v>
      </c>
      <c r="M130" s="72">
        <v>259900</v>
      </c>
      <c r="N130" s="64">
        <v>0.95</v>
      </c>
      <c r="O130" s="72">
        <f t="shared" si="1"/>
        <v>12995</v>
      </c>
      <c r="P130" s="44" t="s">
        <v>0</v>
      </c>
    </row>
    <row r="131" spans="1:16" x14ac:dyDescent="0.3">
      <c r="A131" s="46" t="s">
        <v>2143</v>
      </c>
      <c r="B131" s="26">
        <v>46108</v>
      </c>
      <c r="C131" s="26">
        <v>46113</v>
      </c>
      <c r="D131" s="71">
        <v>3319</v>
      </c>
      <c r="E131" s="25">
        <v>327</v>
      </c>
      <c r="F131" s="46">
        <v>2</v>
      </c>
      <c r="G131" s="46">
        <v>1</v>
      </c>
      <c r="H131" s="46">
        <v>81433</v>
      </c>
      <c r="I131" s="46" t="s">
        <v>17</v>
      </c>
      <c r="J131" s="46">
        <v>23805474</v>
      </c>
      <c r="K131" s="44" t="s">
        <v>217</v>
      </c>
      <c r="L131" s="44" t="s">
        <v>219</v>
      </c>
      <c r="M131" s="72">
        <v>259900</v>
      </c>
      <c r="N131" s="64">
        <v>0.95</v>
      </c>
      <c r="O131" s="72">
        <f t="shared" ref="O131:O194" si="2">M131*5%</f>
        <v>12995</v>
      </c>
      <c r="P131" s="44" t="s">
        <v>0</v>
      </c>
    </row>
    <row r="132" spans="1:16" x14ac:dyDescent="0.3">
      <c r="A132" s="46" t="s">
        <v>2143</v>
      </c>
      <c r="B132" s="26">
        <v>46108</v>
      </c>
      <c r="C132" s="26">
        <v>46113</v>
      </c>
      <c r="D132" s="71">
        <v>3319</v>
      </c>
      <c r="E132" s="25">
        <v>327</v>
      </c>
      <c r="F132" s="46">
        <v>2</v>
      </c>
      <c r="G132" s="46">
        <v>1</v>
      </c>
      <c r="H132" s="46">
        <v>81433</v>
      </c>
      <c r="I132" s="46" t="s">
        <v>17</v>
      </c>
      <c r="J132" s="46">
        <v>23805483</v>
      </c>
      <c r="K132" s="44" t="s">
        <v>217</v>
      </c>
      <c r="L132" s="44" t="s">
        <v>220</v>
      </c>
      <c r="M132" s="72">
        <v>259900</v>
      </c>
      <c r="N132" s="64">
        <v>0.95</v>
      </c>
      <c r="O132" s="72">
        <f t="shared" si="2"/>
        <v>12995</v>
      </c>
      <c r="P132" s="44" t="s">
        <v>0</v>
      </c>
    </row>
    <row r="133" spans="1:16" x14ac:dyDescent="0.3">
      <c r="A133" s="46" t="s">
        <v>2143</v>
      </c>
      <c r="B133" s="26">
        <v>46108</v>
      </c>
      <c r="C133" s="26">
        <v>46113</v>
      </c>
      <c r="D133" s="71">
        <v>3319</v>
      </c>
      <c r="E133" s="25">
        <v>327</v>
      </c>
      <c r="F133" s="46">
        <v>2</v>
      </c>
      <c r="G133" s="46">
        <v>1</v>
      </c>
      <c r="H133" s="46">
        <v>81433</v>
      </c>
      <c r="I133" s="46" t="s">
        <v>17</v>
      </c>
      <c r="J133" s="46">
        <v>24318614</v>
      </c>
      <c r="K133" s="44" t="s">
        <v>221</v>
      </c>
      <c r="L133" s="44" t="s">
        <v>222</v>
      </c>
      <c r="M133" s="72">
        <v>239900</v>
      </c>
      <c r="N133" s="64">
        <v>0.95</v>
      </c>
      <c r="O133" s="72">
        <f t="shared" si="2"/>
        <v>11995</v>
      </c>
      <c r="P133" s="44" t="s">
        <v>0</v>
      </c>
    </row>
    <row r="134" spans="1:16" x14ac:dyDescent="0.3">
      <c r="A134" s="46" t="s">
        <v>2143</v>
      </c>
      <c r="B134" s="26">
        <v>46108</v>
      </c>
      <c r="C134" s="26">
        <v>46113</v>
      </c>
      <c r="D134" s="71">
        <v>3319</v>
      </c>
      <c r="E134" s="25">
        <v>327</v>
      </c>
      <c r="F134" s="46">
        <v>2</v>
      </c>
      <c r="G134" s="46">
        <v>1</v>
      </c>
      <c r="H134" s="46">
        <v>81433</v>
      </c>
      <c r="I134" s="46" t="s">
        <v>17</v>
      </c>
      <c r="J134" s="46">
        <v>24331662</v>
      </c>
      <c r="K134" s="44" t="s">
        <v>223</v>
      </c>
      <c r="L134" s="44" t="s">
        <v>224</v>
      </c>
      <c r="M134" s="72">
        <v>259900</v>
      </c>
      <c r="N134" s="64">
        <v>0.95</v>
      </c>
      <c r="O134" s="72">
        <f t="shared" si="2"/>
        <v>12995</v>
      </c>
      <c r="P134" s="44" t="s">
        <v>0</v>
      </c>
    </row>
    <row r="135" spans="1:16" x14ac:dyDescent="0.3">
      <c r="A135" s="46" t="s">
        <v>2143</v>
      </c>
      <c r="B135" s="26">
        <v>46108</v>
      </c>
      <c r="C135" s="26">
        <v>46113</v>
      </c>
      <c r="D135" s="71">
        <v>3319</v>
      </c>
      <c r="E135" s="25">
        <v>327</v>
      </c>
      <c r="F135" s="46">
        <v>2</v>
      </c>
      <c r="G135" s="46">
        <v>1</v>
      </c>
      <c r="H135" s="46">
        <v>81433</v>
      </c>
      <c r="I135" s="46" t="s">
        <v>17</v>
      </c>
      <c r="J135" s="46">
        <v>24331671</v>
      </c>
      <c r="K135" s="44" t="s">
        <v>223</v>
      </c>
      <c r="L135" s="44" t="s">
        <v>225</v>
      </c>
      <c r="M135" s="72">
        <v>259900</v>
      </c>
      <c r="N135" s="64">
        <v>0.95</v>
      </c>
      <c r="O135" s="72">
        <f t="shared" si="2"/>
        <v>12995</v>
      </c>
      <c r="P135" s="44" t="s">
        <v>0</v>
      </c>
    </row>
    <row r="136" spans="1:16" x14ac:dyDescent="0.3">
      <c r="A136" s="46" t="s">
        <v>2143</v>
      </c>
      <c r="B136" s="26">
        <v>46108</v>
      </c>
      <c r="C136" s="26">
        <v>46113</v>
      </c>
      <c r="D136" s="71">
        <v>3319</v>
      </c>
      <c r="E136" s="25">
        <v>327</v>
      </c>
      <c r="F136" s="46">
        <v>2</v>
      </c>
      <c r="G136" s="46">
        <v>1</v>
      </c>
      <c r="H136" s="46">
        <v>81433</v>
      </c>
      <c r="I136" s="46" t="s">
        <v>17</v>
      </c>
      <c r="J136" s="46">
        <v>24331724</v>
      </c>
      <c r="K136" s="44" t="s">
        <v>226</v>
      </c>
      <c r="L136" s="44" t="s">
        <v>227</v>
      </c>
      <c r="M136" s="72">
        <v>259900</v>
      </c>
      <c r="N136" s="64">
        <v>0.95</v>
      </c>
      <c r="O136" s="72">
        <f t="shared" si="2"/>
        <v>12995</v>
      </c>
      <c r="P136" s="44" t="s">
        <v>0</v>
      </c>
    </row>
    <row r="137" spans="1:16" x14ac:dyDescent="0.3">
      <c r="A137" s="46" t="s">
        <v>2143</v>
      </c>
      <c r="B137" s="26">
        <v>46108</v>
      </c>
      <c r="C137" s="26">
        <v>46113</v>
      </c>
      <c r="D137" s="71">
        <v>3319</v>
      </c>
      <c r="E137" s="25">
        <v>327</v>
      </c>
      <c r="F137" s="46">
        <v>2</v>
      </c>
      <c r="G137" s="46">
        <v>1</v>
      </c>
      <c r="H137" s="46">
        <v>81433</v>
      </c>
      <c r="I137" s="46" t="s">
        <v>17</v>
      </c>
      <c r="J137" s="46">
        <v>24331733</v>
      </c>
      <c r="K137" s="44" t="s">
        <v>226</v>
      </c>
      <c r="L137" s="44" t="s">
        <v>228</v>
      </c>
      <c r="M137" s="72">
        <v>259900</v>
      </c>
      <c r="N137" s="64">
        <v>0.95</v>
      </c>
      <c r="O137" s="72">
        <f t="shared" si="2"/>
        <v>12995</v>
      </c>
      <c r="P137" s="44" t="s">
        <v>0</v>
      </c>
    </row>
    <row r="138" spans="1:16" x14ac:dyDescent="0.3">
      <c r="A138" s="46" t="s">
        <v>2143</v>
      </c>
      <c r="B138" s="26">
        <v>46108</v>
      </c>
      <c r="C138" s="26">
        <v>46113</v>
      </c>
      <c r="D138" s="71">
        <v>3319</v>
      </c>
      <c r="E138" s="25">
        <v>327</v>
      </c>
      <c r="F138" s="46">
        <v>2</v>
      </c>
      <c r="G138" s="46">
        <v>1</v>
      </c>
      <c r="H138" s="46">
        <v>81433</v>
      </c>
      <c r="I138" s="46" t="s">
        <v>17</v>
      </c>
      <c r="J138" s="46">
        <v>24331742</v>
      </c>
      <c r="K138" s="44" t="s">
        <v>226</v>
      </c>
      <c r="L138" s="44" t="s">
        <v>229</v>
      </c>
      <c r="M138" s="72">
        <v>259900</v>
      </c>
      <c r="N138" s="64">
        <v>0.95</v>
      </c>
      <c r="O138" s="72">
        <f t="shared" si="2"/>
        <v>12995</v>
      </c>
      <c r="P138" s="44" t="s">
        <v>0</v>
      </c>
    </row>
    <row r="139" spans="1:16" x14ac:dyDescent="0.3">
      <c r="A139" s="46" t="s">
        <v>2143</v>
      </c>
      <c r="B139" s="26">
        <v>46108</v>
      </c>
      <c r="C139" s="26">
        <v>46113</v>
      </c>
      <c r="D139" s="71">
        <v>3319</v>
      </c>
      <c r="E139" s="25">
        <v>327</v>
      </c>
      <c r="F139" s="46">
        <v>2</v>
      </c>
      <c r="G139" s="46">
        <v>1</v>
      </c>
      <c r="H139" s="46">
        <v>81433</v>
      </c>
      <c r="I139" s="46" t="s">
        <v>17</v>
      </c>
      <c r="J139" s="46">
        <v>24331751</v>
      </c>
      <c r="K139" s="44" t="s">
        <v>226</v>
      </c>
      <c r="L139" s="44" t="s">
        <v>230</v>
      </c>
      <c r="M139" s="72">
        <v>259900</v>
      </c>
      <c r="N139" s="64">
        <v>0.95</v>
      </c>
      <c r="O139" s="72">
        <f t="shared" si="2"/>
        <v>12995</v>
      </c>
      <c r="P139" s="44" t="s">
        <v>0</v>
      </c>
    </row>
    <row r="140" spans="1:16" x14ac:dyDescent="0.3">
      <c r="A140" s="46" t="s">
        <v>2143</v>
      </c>
      <c r="B140" s="26">
        <v>46108</v>
      </c>
      <c r="C140" s="26">
        <v>46113</v>
      </c>
      <c r="D140" s="71">
        <v>3319</v>
      </c>
      <c r="E140" s="25">
        <v>327</v>
      </c>
      <c r="F140" s="46">
        <v>2</v>
      </c>
      <c r="G140" s="46">
        <v>1</v>
      </c>
      <c r="H140" s="46">
        <v>81433</v>
      </c>
      <c r="I140" s="46" t="s">
        <v>17</v>
      </c>
      <c r="J140" s="46">
        <v>24486022</v>
      </c>
      <c r="K140" s="44" t="s">
        <v>231</v>
      </c>
      <c r="L140" s="44" t="s">
        <v>232</v>
      </c>
      <c r="M140" s="72">
        <v>239900</v>
      </c>
      <c r="N140" s="64">
        <v>0.95</v>
      </c>
      <c r="O140" s="72">
        <f t="shared" si="2"/>
        <v>11995</v>
      </c>
      <c r="P140" s="44" t="s">
        <v>0</v>
      </c>
    </row>
    <row r="141" spans="1:16" x14ac:dyDescent="0.3">
      <c r="A141" s="46" t="s">
        <v>2143</v>
      </c>
      <c r="B141" s="26">
        <v>46108</v>
      </c>
      <c r="C141" s="26">
        <v>46113</v>
      </c>
      <c r="D141" s="71">
        <v>3319</v>
      </c>
      <c r="E141" s="25">
        <v>327</v>
      </c>
      <c r="F141" s="46">
        <v>2</v>
      </c>
      <c r="G141" s="46">
        <v>1</v>
      </c>
      <c r="H141" s="46">
        <v>81433</v>
      </c>
      <c r="I141" s="46" t="s">
        <v>17</v>
      </c>
      <c r="J141" s="46">
        <v>24486031</v>
      </c>
      <c r="K141" s="44" t="s">
        <v>231</v>
      </c>
      <c r="L141" s="44" t="s">
        <v>233</v>
      </c>
      <c r="M141" s="72">
        <v>239900</v>
      </c>
      <c r="N141" s="64">
        <v>0.95</v>
      </c>
      <c r="O141" s="72">
        <f t="shared" si="2"/>
        <v>11995</v>
      </c>
      <c r="P141" s="44" t="s">
        <v>0</v>
      </c>
    </row>
    <row r="142" spans="1:16" x14ac:dyDescent="0.3">
      <c r="A142" s="46" t="s">
        <v>2143</v>
      </c>
      <c r="B142" s="26">
        <v>46108</v>
      </c>
      <c r="C142" s="26">
        <v>46113</v>
      </c>
      <c r="D142" s="71">
        <v>3319</v>
      </c>
      <c r="E142" s="25">
        <v>327</v>
      </c>
      <c r="F142" s="46">
        <v>2</v>
      </c>
      <c r="G142" s="46">
        <v>1</v>
      </c>
      <c r="H142" s="46">
        <v>81433</v>
      </c>
      <c r="I142" s="46" t="s">
        <v>17</v>
      </c>
      <c r="J142" s="46">
        <v>24486120</v>
      </c>
      <c r="K142" s="44" t="s">
        <v>234</v>
      </c>
      <c r="L142" s="44" t="s">
        <v>235</v>
      </c>
      <c r="M142" s="72">
        <v>239900</v>
      </c>
      <c r="N142" s="64">
        <v>0.95</v>
      </c>
      <c r="O142" s="72">
        <f t="shared" si="2"/>
        <v>11995</v>
      </c>
      <c r="P142" s="44" t="s">
        <v>0</v>
      </c>
    </row>
    <row r="143" spans="1:16" x14ac:dyDescent="0.3">
      <c r="A143" s="46" t="s">
        <v>2143</v>
      </c>
      <c r="B143" s="26">
        <v>46108</v>
      </c>
      <c r="C143" s="26">
        <v>46113</v>
      </c>
      <c r="D143" s="71">
        <v>3319</v>
      </c>
      <c r="E143" s="25">
        <v>327</v>
      </c>
      <c r="F143" s="46">
        <v>2</v>
      </c>
      <c r="G143" s="46">
        <v>1</v>
      </c>
      <c r="H143" s="46">
        <v>81433</v>
      </c>
      <c r="I143" s="46" t="s">
        <v>17</v>
      </c>
      <c r="J143" s="46">
        <v>24486139</v>
      </c>
      <c r="K143" s="44" t="s">
        <v>234</v>
      </c>
      <c r="L143" s="44" t="s">
        <v>236</v>
      </c>
      <c r="M143" s="72">
        <v>239900</v>
      </c>
      <c r="N143" s="64">
        <v>0.95</v>
      </c>
      <c r="O143" s="72">
        <f t="shared" si="2"/>
        <v>11995</v>
      </c>
      <c r="P143" s="44" t="s">
        <v>0</v>
      </c>
    </row>
    <row r="144" spans="1:16" x14ac:dyDescent="0.3">
      <c r="A144" s="46" t="s">
        <v>2143</v>
      </c>
      <c r="B144" s="26">
        <v>46108</v>
      </c>
      <c r="C144" s="26">
        <v>46113</v>
      </c>
      <c r="D144" s="71">
        <v>3319</v>
      </c>
      <c r="E144" s="25">
        <v>327</v>
      </c>
      <c r="F144" s="46">
        <v>2</v>
      </c>
      <c r="G144" s="46">
        <v>1</v>
      </c>
      <c r="H144" s="46">
        <v>81433</v>
      </c>
      <c r="I144" s="46" t="s">
        <v>17</v>
      </c>
      <c r="J144" s="46">
        <v>24486317</v>
      </c>
      <c r="K144" s="44" t="s">
        <v>237</v>
      </c>
      <c r="L144" s="44" t="s">
        <v>238</v>
      </c>
      <c r="M144" s="72">
        <v>239900</v>
      </c>
      <c r="N144" s="64">
        <v>0.95</v>
      </c>
      <c r="O144" s="72">
        <f t="shared" si="2"/>
        <v>11995</v>
      </c>
      <c r="P144" s="44" t="s">
        <v>0</v>
      </c>
    </row>
    <row r="145" spans="1:16" x14ac:dyDescent="0.3">
      <c r="A145" s="46" t="s">
        <v>2143</v>
      </c>
      <c r="B145" s="26">
        <v>46108</v>
      </c>
      <c r="C145" s="26">
        <v>46113</v>
      </c>
      <c r="D145" s="71">
        <v>3319</v>
      </c>
      <c r="E145" s="25">
        <v>327</v>
      </c>
      <c r="F145" s="46">
        <v>2</v>
      </c>
      <c r="G145" s="46">
        <v>1</v>
      </c>
      <c r="H145" s="46">
        <v>81433</v>
      </c>
      <c r="I145" s="46" t="s">
        <v>17</v>
      </c>
      <c r="J145" s="46">
        <v>24486344</v>
      </c>
      <c r="K145" s="44" t="s">
        <v>237</v>
      </c>
      <c r="L145" s="44" t="s">
        <v>239</v>
      </c>
      <c r="M145" s="72">
        <v>239900</v>
      </c>
      <c r="N145" s="64">
        <v>0.95</v>
      </c>
      <c r="O145" s="72">
        <f t="shared" si="2"/>
        <v>11995</v>
      </c>
      <c r="P145" s="44" t="s">
        <v>0</v>
      </c>
    </row>
    <row r="146" spans="1:16" x14ac:dyDescent="0.3">
      <c r="A146" s="46" t="s">
        <v>2143</v>
      </c>
      <c r="B146" s="26">
        <v>46108</v>
      </c>
      <c r="C146" s="26">
        <v>46113</v>
      </c>
      <c r="D146" s="71">
        <v>3319</v>
      </c>
      <c r="E146" s="25">
        <v>327</v>
      </c>
      <c r="F146" s="46">
        <v>2</v>
      </c>
      <c r="G146" s="46">
        <v>1</v>
      </c>
      <c r="H146" s="46">
        <v>81433</v>
      </c>
      <c r="I146" s="46" t="s">
        <v>17</v>
      </c>
      <c r="J146" s="46">
        <v>24486353</v>
      </c>
      <c r="K146" s="44" t="s">
        <v>237</v>
      </c>
      <c r="L146" s="44" t="s">
        <v>240</v>
      </c>
      <c r="M146" s="72">
        <v>239900</v>
      </c>
      <c r="N146" s="64">
        <v>0.95</v>
      </c>
      <c r="O146" s="72">
        <f t="shared" si="2"/>
        <v>11995</v>
      </c>
      <c r="P146" s="44" t="s">
        <v>0</v>
      </c>
    </row>
    <row r="147" spans="1:16" x14ac:dyDescent="0.3">
      <c r="A147" s="46" t="s">
        <v>2143</v>
      </c>
      <c r="B147" s="26">
        <v>46108</v>
      </c>
      <c r="C147" s="26">
        <v>46113</v>
      </c>
      <c r="D147" s="71">
        <v>3319</v>
      </c>
      <c r="E147" s="25">
        <v>327</v>
      </c>
      <c r="F147" s="46">
        <v>2</v>
      </c>
      <c r="G147" s="46">
        <v>1</v>
      </c>
      <c r="H147" s="46">
        <v>81433</v>
      </c>
      <c r="I147" s="46" t="s">
        <v>17</v>
      </c>
      <c r="J147" s="46">
        <v>24486371</v>
      </c>
      <c r="K147" s="44" t="s">
        <v>241</v>
      </c>
      <c r="L147" s="44" t="s">
        <v>242</v>
      </c>
      <c r="M147" s="72">
        <v>239900</v>
      </c>
      <c r="N147" s="64">
        <v>0.95</v>
      </c>
      <c r="O147" s="72">
        <f t="shared" si="2"/>
        <v>11995</v>
      </c>
      <c r="P147" s="44" t="s">
        <v>0</v>
      </c>
    </row>
    <row r="148" spans="1:16" x14ac:dyDescent="0.3">
      <c r="A148" s="46" t="s">
        <v>2143</v>
      </c>
      <c r="B148" s="26">
        <v>46108</v>
      </c>
      <c r="C148" s="26">
        <v>46113</v>
      </c>
      <c r="D148" s="71">
        <v>3319</v>
      </c>
      <c r="E148" s="25">
        <v>327</v>
      </c>
      <c r="F148" s="46">
        <v>2</v>
      </c>
      <c r="G148" s="46">
        <v>1</v>
      </c>
      <c r="H148" s="46">
        <v>81433</v>
      </c>
      <c r="I148" s="46" t="s">
        <v>17</v>
      </c>
      <c r="J148" s="46">
        <v>24486380</v>
      </c>
      <c r="K148" s="44" t="s">
        <v>241</v>
      </c>
      <c r="L148" s="44" t="s">
        <v>243</v>
      </c>
      <c r="M148" s="72">
        <v>239900</v>
      </c>
      <c r="N148" s="64">
        <v>0.95</v>
      </c>
      <c r="O148" s="72">
        <f t="shared" si="2"/>
        <v>11995</v>
      </c>
      <c r="P148" s="44" t="s">
        <v>0</v>
      </c>
    </row>
    <row r="149" spans="1:16" x14ac:dyDescent="0.3">
      <c r="A149" s="46" t="s">
        <v>2143</v>
      </c>
      <c r="B149" s="26">
        <v>46108</v>
      </c>
      <c r="C149" s="26">
        <v>46113</v>
      </c>
      <c r="D149" s="71">
        <v>3319</v>
      </c>
      <c r="E149" s="25">
        <v>327</v>
      </c>
      <c r="F149" s="46">
        <v>2</v>
      </c>
      <c r="G149" s="46">
        <v>1</v>
      </c>
      <c r="H149" s="46">
        <v>81433</v>
      </c>
      <c r="I149" s="46" t="s">
        <v>17</v>
      </c>
      <c r="J149" s="46">
        <v>24495067</v>
      </c>
      <c r="K149" s="44" t="s">
        <v>244</v>
      </c>
      <c r="L149" s="44" t="s">
        <v>245</v>
      </c>
      <c r="M149" s="72">
        <v>199900</v>
      </c>
      <c r="N149" s="64">
        <v>0.95</v>
      </c>
      <c r="O149" s="72">
        <f t="shared" si="2"/>
        <v>9995</v>
      </c>
      <c r="P149" s="44" t="s">
        <v>0</v>
      </c>
    </row>
    <row r="150" spans="1:16" x14ac:dyDescent="0.3">
      <c r="A150" s="46" t="s">
        <v>2143</v>
      </c>
      <c r="B150" s="26">
        <v>46108</v>
      </c>
      <c r="C150" s="26">
        <v>46113</v>
      </c>
      <c r="D150" s="71">
        <v>3319</v>
      </c>
      <c r="E150" s="25">
        <v>327</v>
      </c>
      <c r="F150" s="46">
        <v>2</v>
      </c>
      <c r="G150" s="46">
        <v>1</v>
      </c>
      <c r="H150" s="46">
        <v>81433</v>
      </c>
      <c r="I150" s="46" t="s">
        <v>17</v>
      </c>
      <c r="J150" s="46">
        <v>24495076</v>
      </c>
      <c r="K150" s="44" t="s">
        <v>244</v>
      </c>
      <c r="L150" s="44" t="s">
        <v>246</v>
      </c>
      <c r="M150" s="72">
        <v>199900</v>
      </c>
      <c r="N150" s="64">
        <v>0.95</v>
      </c>
      <c r="O150" s="72">
        <f t="shared" si="2"/>
        <v>9995</v>
      </c>
      <c r="P150" s="44" t="s">
        <v>0</v>
      </c>
    </row>
    <row r="151" spans="1:16" x14ac:dyDescent="0.3">
      <c r="A151" s="46" t="s">
        <v>2143</v>
      </c>
      <c r="B151" s="26">
        <v>46108</v>
      </c>
      <c r="C151" s="26">
        <v>46113</v>
      </c>
      <c r="D151" s="71">
        <v>3319</v>
      </c>
      <c r="E151" s="25">
        <v>327</v>
      </c>
      <c r="F151" s="46">
        <v>2</v>
      </c>
      <c r="G151" s="46">
        <v>1</v>
      </c>
      <c r="H151" s="46">
        <v>81433</v>
      </c>
      <c r="I151" s="46" t="s">
        <v>17</v>
      </c>
      <c r="J151" s="46">
        <v>24495101</v>
      </c>
      <c r="K151" s="44" t="s">
        <v>244</v>
      </c>
      <c r="L151" s="44" t="s">
        <v>247</v>
      </c>
      <c r="M151" s="72">
        <v>199900</v>
      </c>
      <c r="N151" s="64">
        <v>0.95</v>
      </c>
      <c r="O151" s="72">
        <f t="shared" si="2"/>
        <v>9995</v>
      </c>
      <c r="P151" s="44" t="s">
        <v>0</v>
      </c>
    </row>
    <row r="152" spans="1:16" x14ac:dyDescent="0.3">
      <c r="A152" s="46" t="s">
        <v>2143</v>
      </c>
      <c r="B152" s="26">
        <v>46108</v>
      </c>
      <c r="C152" s="26">
        <v>46113</v>
      </c>
      <c r="D152" s="71">
        <v>3319</v>
      </c>
      <c r="E152" s="25">
        <v>327</v>
      </c>
      <c r="F152" s="46">
        <v>2</v>
      </c>
      <c r="G152" s="46">
        <v>1</v>
      </c>
      <c r="H152" s="46">
        <v>81433</v>
      </c>
      <c r="I152" s="46" t="s">
        <v>17</v>
      </c>
      <c r="J152" s="46">
        <v>24495129</v>
      </c>
      <c r="K152" s="44" t="s">
        <v>248</v>
      </c>
      <c r="L152" s="44" t="s">
        <v>249</v>
      </c>
      <c r="M152" s="72">
        <v>199900</v>
      </c>
      <c r="N152" s="64">
        <v>0.95</v>
      </c>
      <c r="O152" s="72">
        <f t="shared" si="2"/>
        <v>9995</v>
      </c>
      <c r="P152" s="44" t="s">
        <v>0</v>
      </c>
    </row>
    <row r="153" spans="1:16" x14ac:dyDescent="0.3">
      <c r="A153" s="46" t="s">
        <v>2143</v>
      </c>
      <c r="B153" s="26">
        <v>46108</v>
      </c>
      <c r="C153" s="26">
        <v>46113</v>
      </c>
      <c r="D153" s="71">
        <v>3319</v>
      </c>
      <c r="E153" s="25">
        <v>327</v>
      </c>
      <c r="F153" s="46">
        <v>2</v>
      </c>
      <c r="G153" s="46">
        <v>1</v>
      </c>
      <c r="H153" s="46">
        <v>81433</v>
      </c>
      <c r="I153" s="46" t="s">
        <v>17</v>
      </c>
      <c r="J153" s="46">
        <v>24495156</v>
      </c>
      <c r="K153" s="44" t="s">
        <v>248</v>
      </c>
      <c r="L153" s="44" t="s">
        <v>250</v>
      </c>
      <c r="M153" s="72">
        <v>199900</v>
      </c>
      <c r="N153" s="64">
        <v>0.95</v>
      </c>
      <c r="O153" s="72">
        <f t="shared" si="2"/>
        <v>9995</v>
      </c>
      <c r="P153" s="44" t="s">
        <v>0</v>
      </c>
    </row>
    <row r="154" spans="1:16" x14ac:dyDescent="0.3">
      <c r="A154" s="46" t="s">
        <v>2143</v>
      </c>
      <c r="B154" s="26">
        <v>46108</v>
      </c>
      <c r="C154" s="26">
        <v>46113</v>
      </c>
      <c r="D154" s="71">
        <v>3319</v>
      </c>
      <c r="E154" s="25">
        <v>327</v>
      </c>
      <c r="F154" s="46">
        <v>2</v>
      </c>
      <c r="G154" s="46">
        <v>1</v>
      </c>
      <c r="H154" s="46">
        <v>81433</v>
      </c>
      <c r="I154" s="46" t="s">
        <v>17</v>
      </c>
      <c r="J154" s="46">
        <v>24495165</v>
      </c>
      <c r="K154" s="44" t="s">
        <v>251</v>
      </c>
      <c r="L154" s="44" t="s">
        <v>252</v>
      </c>
      <c r="M154" s="72">
        <v>239900</v>
      </c>
      <c r="N154" s="64">
        <v>0.95</v>
      </c>
      <c r="O154" s="72">
        <f t="shared" si="2"/>
        <v>11995</v>
      </c>
      <c r="P154" s="44" t="s">
        <v>0</v>
      </c>
    </row>
    <row r="155" spans="1:16" x14ac:dyDescent="0.3">
      <c r="A155" s="46" t="s">
        <v>2143</v>
      </c>
      <c r="B155" s="26">
        <v>46108</v>
      </c>
      <c r="C155" s="26">
        <v>46113</v>
      </c>
      <c r="D155" s="71">
        <v>3319</v>
      </c>
      <c r="E155" s="25">
        <v>327</v>
      </c>
      <c r="F155" s="46">
        <v>2</v>
      </c>
      <c r="G155" s="46">
        <v>1</v>
      </c>
      <c r="H155" s="46">
        <v>81433</v>
      </c>
      <c r="I155" s="46" t="s">
        <v>17</v>
      </c>
      <c r="J155" s="46">
        <v>24495218</v>
      </c>
      <c r="K155" s="44" t="s">
        <v>253</v>
      </c>
      <c r="L155" s="44" t="s">
        <v>254</v>
      </c>
      <c r="M155" s="72">
        <v>239900</v>
      </c>
      <c r="N155" s="64">
        <v>0.95</v>
      </c>
      <c r="O155" s="72">
        <f t="shared" si="2"/>
        <v>11995</v>
      </c>
      <c r="P155" s="44" t="s">
        <v>0</v>
      </c>
    </row>
    <row r="156" spans="1:16" x14ac:dyDescent="0.3">
      <c r="A156" s="46" t="s">
        <v>2143</v>
      </c>
      <c r="B156" s="26">
        <v>46108</v>
      </c>
      <c r="C156" s="26">
        <v>46113</v>
      </c>
      <c r="D156" s="71">
        <v>3319</v>
      </c>
      <c r="E156" s="25">
        <v>327</v>
      </c>
      <c r="F156" s="46">
        <v>2</v>
      </c>
      <c r="G156" s="46">
        <v>1</v>
      </c>
      <c r="H156" s="46">
        <v>81433</v>
      </c>
      <c r="I156" s="46" t="s">
        <v>17</v>
      </c>
      <c r="J156" s="46">
        <v>24495227</v>
      </c>
      <c r="K156" s="44" t="s">
        <v>253</v>
      </c>
      <c r="L156" s="44" t="s">
        <v>255</v>
      </c>
      <c r="M156" s="72">
        <v>239900</v>
      </c>
      <c r="N156" s="64">
        <v>0.95</v>
      </c>
      <c r="O156" s="72">
        <f t="shared" si="2"/>
        <v>11995</v>
      </c>
      <c r="P156" s="44" t="s">
        <v>0</v>
      </c>
    </row>
    <row r="157" spans="1:16" x14ac:dyDescent="0.3">
      <c r="A157" s="46" t="s">
        <v>2143</v>
      </c>
      <c r="B157" s="26">
        <v>46108</v>
      </c>
      <c r="C157" s="26">
        <v>46113</v>
      </c>
      <c r="D157" s="71">
        <v>3319</v>
      </c>
      <c r="E157" s="25">
        <v>327</v>
      </c>
      <c r="F157" s="46">
        <v>2</v>
      </c>
      <c r="G157" s="46">
        <v>1</v>
      </c>
      <c r="H157" s="46">
        <v>81433</v>
      </c>
      <c r="I157" s="46" t="s">
        <v>17</v>
      </c>
      <c r="J157" s="46">
        <v>24495245</v>
      </c>
      <c r="K157" s="44" t="s">
        <v>253</v>
      </c>
      <c r="L157" s="44" t="s">
        <v>256</v>
      </c>
      <c r="M157" s="72">
        <v>239900</v>
      </c>
      <c r="N157" s="64">
        <v>0.95</v>
      </c>
      <c r="O157" s="72">
        <f t="shared" si="2"/>
        <v>11995</v>
      </c>
      <c r="P157" s="44" t="s">
        <v>0</v>
      </c>
    </row>
    <row r="158" spans="1:16" x14ac:dyDescent="0.3">
      <c r="A158" s="46" t="s">
        <v>2143</v>
      </c>
      <c r="B158" s="26">
        <v>46108</v>
      </c>
      <c r="C158" s="26">
        <v>46113</v>
      </c>
      <c r="D158" s="71">
        <v>3319</v>
      </c>
      <c r="E158" s="25">
        <v>327</v>
      </c>
      <c r="F158" s="46">
        <v>2</v>
      </c>
      <c r="G158" s="46">
        <v>1</v>
      </c>
      <c r="H158" s="46">
        <v>81433</v>
      </c>
      <c r="I158" s="46" t="s">
        <v>17</v>
      </c>
      <c r="J158" s="46">
        <v>24495441</v>
      </c>
      <c r="K158" s="44" t="s">
        <v>257</v>
      </c>
      <c r="L158" s="44" t="s">
        <v>258</v>
      </c>
      <c r="M158" s="72">
        <v>239900</v>
      </c>
      <c r="N158" s="64">
        <v>0.95</v>
      </c>
      <c r="O158" s="72">
        <f t="shared" si="2"/>
        <v>11995</v>
      </c>
      <c r="P158" s="44" t="s">
        <v>0</v>
      </c>
    </row>
    <row r="159" spans="1:16" x14ac:dyDescent="0.3">
      <c r="A159" s="46" t="s">
        <v>2143</v>
      </c>
      <c r="B159" s="26">
        <v>46108</v>
      </c>
      <c r="C159" s="26">
        <v>46113</v>
      </c>
      <c r="D159" s="71">
        <v>3319</v>
      </c>
      <c r="E159" s="25">
        <v>327</v>
      </c>
      <c r="F159" s="46">
        <v>2</v>
      </c>
      <c r="G159" s="46">
        <v>1</v>
      </c>
      <c r="H159" s="46">
        <v>81433</v>
      </c>
      <c r="I159" s="46" t="s">
        <v>17</v>
      </c>
      <c r="J159" s="46">
        <v>24495889</v>
      </c>
      <c r="K159" s="44" t="s">
        <v>259</v>
      </c>
      <c r="L159" s="44" t="s">
        <v>260</v>
      </c>
      <c r="M159" s="72">
        <v>199900</v>
      </c>
      <c r="N159" s="64">
        <v>0.95</v>
      </c>
      <c r="O159" s="72">
        <f t="shared" si="2"/>
        <v>9995</v>
      </c>
      <c r="P159" s="44" t="s">
        <v>0</v>
      </c>
    </row>
    <row r="160" spans="1:16" x14ac:dyDescent="0.3">
      <c r="A160" s="46" t="s">
        <v>2143</v>
      </c>
      <c r="B160" s="26">
        <v>46108</v>
      </c>
      <c r="C160" s="26">
        <v>46113</v>
      </c>
      <c r="D160" s="71">
        <v>3319</v>
      </c>
      <c r="E160" s="25">
        <v>327</v>
      </c>
      <c r="F160" s="46">
        <v>2</v>
      </c>
      <c r="G160" s="46">
        <v>1</v>
      </c>
      <c r="H160" s="46">
        <v>81433</v>
      </c>
      <c r="I160" s="46" t="s">
        <v>17</v>
      </c>
      <c r="J160" s="46">
        <v>24495898</v>
      </c>
      <c r="K160" s="44" t="s">
        <v>259</v>
      </c>
      <c r="L160" s="44" t="s">
        <v>261</v>
      </c>
      <c r="M160" s="72">
        <v>199900</v>
      </c>
      <c r="N160" s="64">
        <v>0.95</v>
      </c>
      <c r="O160" s="72">
        <f t="shared" si="2"/>
        <v>9995</v>
      </c>
      <c r="P160" s="44" t="s">
        <v>0</v>
      </c>
    </row>
    <row r="161" spans="1:16" x14ac:dyDescent="0.3">
      <c r="A161" s="46" t="s">
        <v>2143</v>
      </c>
      <c r="B161" s="26">
        <v>46108</v>
      </c>
      <c r="C161" s="26">
        <v>46113</v>
      </c>
      <c r="D161" s="71">
        <v>3319</v>
      </c>
      <c r="E161" s="25">
        <v>327</v>
      </c>
      <c r="F161" s="46">
        <v>2</v>
      </c>
      <c r="G161" s="46">
        <v>1</v>
      </c>
      <c r="H161" s="46">
        <v>81433</v>
      </c>
      <c r="I161" s="46" t="s">
        <v>17</v>
      </c>
      <c r="J161" s="46">
        <v>24495923</v>
      </c>
      <c r="K161" s="44" t="s">
        <v>262</v>
      </c>
      <c r="L161" s="44" t="s">
        <v>263</v>
      </c>
      <c r="M161" s="72">
        <v>199900</v>
      </c>
      <c r="N161" s="64">
        <v>0.95</v>
      </c>
      <c r="O161" s="72">
        <f t="shared" si="2"/>
        <v>9995</v>
      </c>
      <c r="P161" s="44" t="s">
        <v>0</v>
      </c>
    </row>
    <row r="162" spans="1:16" x14ac:dyDescent="0.3">
      <c r="A162" s="46" t="s">
        <v>2143</v>
      </c>
      <c r="B162" s="26">
        <v>46108</v>
      </c>
      <c r="C162" s="26">
        <v>46113</v>
      </c>
      <c r="D162" s="71">
        <v>3319</v>
      </c>
      <c r="E162" s="25">
        <v>327</v>
      </c>
      <c r="F162" s="46">
        <v>2</v>
      </c>
      <c r="G162" s="46">
        <v>1</v>
      </c>
      <c r="H162" s="46">
        <v>81433</v>
      </c>
      <c r="I162" s="46" t="s">
        <v>17</v>
      </c>
      <c r="J162" s="46">
        <v>24495932</v>
      </c>
      <c r="K162" s="44" t="s">
        <v>262</v>
      </c>
      <c r="L162" s="44" t="s">
        <v>264</v>
      </c>
      <c r="M162" s="72">
        <v>199900</v>
      </c>
      <c r="N162" s="64">
        <v>0.95</v>
      </c>
      <c r="O162" s="72">
        <f t="shared" si="2"/>
        <v>9995</v>
      </c>
      <c r="P162" s="44" t="s">
        <v>0</v>
      </c>
    </row>
    <row r="163" spans="1:16" x14ac:dyDescent="0.3">
      <c r="A163" s="46" t="s">
        <v>2143</v>
      </c>
      <c r="B163" s="26">
        <v>46108</v>
      </c>
      <c r="C163" s="26">
        <v>46113</v>
      </c>
      <c r="D163" s="71">
        <v>3319</v>
      </c>
      <c r="E163" s="25">
        <v>327</v>
      </c>
      <c r="F163" s="46">
        <v>2</v>
      </c>
      <c r="G163" s="46">
        <v>1</v>
      </c>
      <c r="H163" s="46">
        <v>81433</v>
      </c>
      <c r="I163" s="46" t="s">
        <v>17</v>
      </c>
      <c r="J163" s="46">
        <v>24495941</v>
      </c>
      <c r="K163" s="44" t="s">
        <v>262</v>
      </c>
      <c r="L163" s="44" t="s">
        <v>265</v>
      </c>
      <c r="M163" s="72">
        <v>199900</v>
      </c>
      <c r="N163" s="64">
        <v>0.95</v>
      </c>
      <c r="O163" s="72">
        <f t="shared" si="2"/>
        <v>9995</v>
      </c>
      <c r="P163" s="44" t="s">
        <v>0</v>
      </c>
    </row>
    <row r="164" spans="1:16" x14ac:dyDescent="0.3">
      <c r="A164" s="46" t="s">
        <v>2143</v>
      </c>
      <c r="B164" s="26">
        <v>46108</v>
      </c>
      <c r="C164" s="26">
        <v>46113</v>
      </c>
      <c r="D164" s="71">
        <v>3319</v>
      </c>
      <c r="E164" s="25">
        <v>327</v>
      </c>
      <c r="F164" s="46">
        <v>2</v>
      </c>
      <c r="G164" s="46">
        <v>1</v>
      </c>
      <c r="H164" s="46">
        <v>81433</v>
      </c>
      <c r="I164" s="46" t="s">
        <v>17</v>
      </c>
      <c r="J164" s="46">
        <v>24495950</v>
      </c>
      <c r="K164" s="44" t="s">
        <v>262</v>
      </c>
      <c r="L164" s="44" t="s">
        <v>266</v>
      </c>
      <c r="M164" s="72">
        <v>199900</v>
      </c>
      <c r="N164" s="64">
        <v>0.95</v>
      </c>
      <c r="O164" s="72">
        <f t="shared" si="2"/>
        <v>9995</v>
      </c>
      <c r="P164" s="44" t="s">
        <v>0</v>
      </c>
    </row>
    <row r="165" spans="1:16" x14ac:dyDescent="0.3">
      <c r="A165" s="46" t="s">
        <v>2143</v>
      </c>
      <c r="B165" s="26">
        <v>46108</v>
      </c>
      <c r="C165" s="26">
        <v>46113</v>
      </c>
      <c r="D165" s="71">
        <v>3319</v>
      </c>
      <c r="E165" s="25">
        <v>327</v>
      </c>
      <c r="F165" s="46">
        <v>2</v>
      </c>
      <c r="G165" s="46">
        <v>1</v>
      </c>
      <c r="H165" s="46">
        <v>81433</v>
      </c>
      <c r="I165" s="46" t="s">
        <v>17</v>
      </c>
      <c r="J165" s="46">
        <v>24495969</v>
      </c>
      <c r="K165" s="44" t="s">
        <v>262</v>
      </c>
      <c r="L165" s="44" t="s">
        <v>267</v>
      </c>
      <c r="M165" s="72">
        <v>199900</v>
      </c>
      <c r="N165" s="64">
        <v>0.95</v>
      </c>
      <c r="O165" s="72">
        <f t="shared" si="2"/>
        <v>9995</v>
      </c>
      <c r="P165" s="44" t="s">
        <v>0</v>
      </c>
    </row>
    <row r="166" spans="1:16" x14ac:dyDescent="0.3">
      <c r="A166" s="46" t="s">
        <v>2143</v>
      </c>
      <c r="B166" s="26">
        <v>46108</v>
      </c>
      <c r="C166" s="26">
        <v>46113</v>
      </c>
      <c r="D166" s="71">
        <v>3319</v>
      </c>
      <c r="E166" s="25">
        <v>327</v>
      </c>
      <c r="F166" s="46">
        <v>2</v>
      </c>
      <c r="G166" s="46">
        <v>1</v>
      </c>
      <c r="H166" s="46">
        <v>81433</v>
      </c>
      <c r="I166" s="46" t="s">
        <v>17</v>
      </c>
      <c r="J166" s="46">
        <v>24520270</v>
      </c>
      <c r="K166" s="44" t="s">
        <v>268</v>
      </c>
      <c r="L166" s="44" t="s">
        <v>269</v>
      </c>
      <c r="M166" s="72">
        <v>199900</v>
      </c>
      <c r="N166" s="64">
        <v>0.95</v>
      </c>
      <c r="O166" s="72">
        <f t="shared" si="2"/>
        <v>9995</v>
      </c>
      <c r="P166" s="44" t="s">
        <v>0</v>
      </c>
    </row>
    <row r="167" spans="1:16" x14ac:dyDescent="0.3">
      <c r="A167" s="46" t="s">
        <v>2143</v>
      </c>
      <c r="B167" s="26">
        <v>46108</v>
      </c>
      <c r="C167" s="26">
        <v>46113</v>
      </c>
      <c r="D167" s="71">
        <v>3319</v>
      </c>
      <c r="E167" s="25">
        <v>327</v>
      </c>
      <c r="F167" s="46">
        <v>2</v>
      </c>
      <c r="G167" s="46">
        <v>1</v>
      </c>
      <c r="H167" s="46">
        <v>81433</v>
      </c>
      <c r="I167" s="46" t="s">
        <v>17</v>
      </c>
      <c r="J167" s="46">
        <v>24520289</v>
      </c>
      <c r="K167" s="44" t="s">
        <v>268</v>
      </c>
      <c r="L167" s="44" t="s">
        <v>270</v>
      </c>
      <c r="M167" s="72">
        <v>199900</v>
      </c>
      <c r="N167" s="64">
        <v>0.95</v>
      </c>
      <c r="O167" s="72">
        <f t="shared" si="2"/>
        <v>9995</v>
      </c>
      <c r="P167" s="44" t="s">
        <v>0</v>
      </c>
    </row>
    <row r="168" spans="1:16" x14ac:dyDescent="0.3">
      <c r="A168" s="46" t="s">
        <v>2143</v>
      </c>
      <c r="B168" s="26">
        <v>46108</v>
      </c>
      <c r="C168" s="26">
        <v>46113</v>
      </c>
      <c r="D168" s="71">
        <v>3319</v>
      </c>
      <c r="E168" s="25">
        <v>327</v>
      </c>
      <c r="F168" s="46">
        <v>2</v>
      </c>
      <c r="G168" s="46">
        <v>1</v>
      </c>
      <c r="H168" s="46">
        <v>81433</v>
      </c>
      <c r="I168" s="46" t="s">
        <v>17</v>
      </c>
      <c r="J168" s="46">
        <v>24520298</v>
      </c>
      <c r="K168" s="44" t="s">
        <v>268</v>
      </c>
      <c r="L168" s="44" t="s">
        <v>271</v>
      </c>
      <c r="M168" s="72">
        <v>199900</v>
      </c>
      <c r="N168" s="64">
        <v>0.95</v>
      </c>
      <c r="O168" s="72">
        <f t="shared" si="2"/>
        <v>9995</v>
      </c>
      <c r="P168" s="44" t="s">
        <v>0</v>
      </c>
    </row>
    <row r="169" spans="1:16" x14ac:dyDescent="0.3">
      <c r="A169" s="46" t="s">
        <v>2143</v>
      </c>
      <c r="B169" s="26">
        <v>46108</v>
      </c>
      <c r="C169" s="26">
        <v>46113</v>
      </c>
      <c r="D169" s="71">
        <v>3319</v>
      </c>
      <c r="E169" s="25">
        <v>327</v>
      </c>
      <c r="F169" s="46">
        <v>2</v>
      </c>
      <c r="G169" s="46">
        <v>1</v>
      </c>
      <c r="H169" s="46">
        <v>81433</v>
      </c>
      <c r="I169" s="46" t="s">
        <v>17</v>
      </c>
      <c r="J169" s="46">
        <v>24520350</v>
      </c>
      <c r="K169" s="44" t="s">
        <v>272</v>
      </c>
      <c r="L169" s="44" t="s">
        <v>273</v>
      </c>
      <c r="M169" s="72">
        <v>199900</v>
      </c>
      <c r="N169" s="64">
        <v>0.95</v>
      </c>
      <c r="O169" s="72">
        <f t="shared" si="2"/>
        <v>9995</v>
      </c>
      <c r="P169" s="44" t="s">
        <v>0</v>
      </c>
    </row>
    <row r="170" spans="1:16" x14ac:dyDescent="0.3">
      <c r="A170" s="46" t="s">
        <v>2143</v>
      </c>
      <c r="B170" s="26">
        <v>46108</v>
      </c>
      <c r="C170" s="26">
        <v>46113</v>
      </c>
      <c r="D170" s="71">
        <v>3319</v>
      </c>
      <c r="E170" s="25">
        <v>327</v>
      </c>
      <c r="F170" s="46">
        <v>2</v>
      </c>
      <c r="G170" s="46">
        <v>1</v>
      </c>
      <c r="H170" s="46">
        <v>81433</v>
      </c>
      <c r="I170" s="46" t="s">
        <v>17</v>
      </c>
      <c r="J170" s="46">
        <v>24520369</v>
      </c>
      <c r="K170" s="44" t="s">
        <v>272</v>
      </c>
      <c r="L170" s="44" t="s">
        <v>274</v>
      </c>
      <c r="M170" s="72">
        <v>199900</v>
      </c>
      <c r="N170" s="64">
        <v>0.95</v>
      </c>
      <c r="O170" s="72">
        <f t="shared" si="2"/>
        <v>9995</v>
      </c>
      <c r="P170" s="44" t="s">
        <v>0</v>
      </c>
    </row>
    <row r="171" spans="1:16" x14ac:dyDescent="0.3">
      <c r="A171" s="46" t="s">
        <v>2143</v>
      </c>
      <c r="B171" s="26">
        <v>46108</v>
      </c>
      <c r="C171" s="26">
        <v>46113</v>
      </c>
      <c r="D171" s="71">
        <v>3319</v>
      </c>
      <c r="E171" s="25">
        <v>327</v>
      </c>
      <c r="F171" s="46">
        <v>2</v>
      </c>
      <c r="G171" s="46">
        <v>1</v>
      </c>
      <c r="H171" s="46">
        <v>81433</v>
      </c>
      <c r="I171" s="46" t="s">
        <v>17</v>
      </c>
      <c r="J171" s="46">
        <v>24520752</v>
      </c>
      <c r="K171" s="44" t="s">
        <v>275</v>
      </c>
      <c r="L171" s="44" t="s">
        <v>276</v>
      </c>
      <c r="M171" s="72">
        <v>239900</v>
      </c>
      <c r="N171" s="64">
        <v>0.95</v>
      </c>
      <c r="O171" s="72">
        <f t="shared" si="2"/>
        <v>11995</v>
      </c>
      <c r="P171" s="44" t="s">
        <v>0</v>
      </c>
    </row>
    <row r="172" spans="1:16" x14ac:dyDescent="0.3">
      <c r="A172" s="46" t="s">
        <v>2143</v>
      </c>
      <c r="B172" s="26">
        <v>46108</v>
      </c>
      <c r="C172" s="26">
        <v>46113</v>
      </c>
      <c r="D172" s="71">
        <v>3319</v>
      </c>
      <c r="E172" s="25">
        <v>327</v>
      </c>
      <c r="F172" s="46">
        <v>2</v>
      </c>
      <c r="G172" s="46">
        <v>1</v>
      </c>
      <c r="H172" s="46">
        <v>81433</v>
      </c>
      <c r="I172" s="46" t="s">
        <v>17</v>
      </c>
      <c r="J172" s="46">
        <v>24520770</v>
      </c>
      <c r="K172" s="44" t="s">
        <v>275</v>
      </c>
      <c r="L172" s="44" t="s">
        <v>277</v>
      </c>
      <c r="M172" s="72">
        <v>239900</v>
      </c>
      <c r="N172" s="64">
        <v>0.95</v>
      </c>
      <c r="O172" s="72">
        <f t="shared" si="2"/>
        <v>11995</v>
      </c>
      <c r="P172" s="44" t="s">
        <v>0</v>
      </c>
    </row>
    <row r="173" spans="1:16" x14ac:dyDescent="0.3">
      <c r="A173" s="46" t="s">
        <v>2143</v>
      </c>
      <c r="B173" s="26">
        <v>46108</v>
      </c>
      <c r="C173" s="26">
        <v>46113</v>
      </c>
      <c r="D173" s="71">
        <v>3319</v>
      </c>
      <c r="E173" s="25">
        <v>327</v>
      </c>
      <c r="F173" s="46">
        <v>2</v>
      </c>
      <c r="G173" s="46">
        <v>1</v>
      </c>
      <c r="H173" s="46">
        <v>81433</v>
      </c>
      <c r="I173" s="46" t="s">
        <v>17</v>
      </c>
      <c r="J173" s="46">
        <v>24520798</v>
      </c>
      <c r="K173" s="44" t="s">
        <v>275</v>
      </c>
      <c r="L173" s="44" t="s">
        <v>278</v>
      </c>
      <c r="M173" s="72">
        <v>239900</v>
      </c>
      <c r="N173" s="64">
        <v>0.95</v>
      </c>
      <c r="O173" s="72">
        <f t="shared" si="2"/>
        <v>11995</v>
      </c>
      <c r="P173" s="44" t="s">
        <v>0</v>
      </c>
    </row>
    <row r="174" spans="1:16" x14ac:dyDescent="0.3">
      <c r="A174" s="46" t="s">
        <v>2143</v>
      </c>
      <c r="B174" s="26">
        <v>46108</v>
      </c>
      <c r="C174" s="26">
        <v>46113</v>
      </c>
      <c r="D174" s="71">
        <v>3319</v>
      </c>
      <c r="E174" s="25">
        <v>327</v>
      </c>
      <c r="F174" s="46">
        <v>2</v>
      </c>
      <c r="G174" s="46">
        <v>1</v>
      </c>
      <c r="H174" s="46">
        <v>81433</v>
      </c>
      <c r="I174" s="46" t="s">
        <v>17</v>
      </c>
      <c r="J174" s="46">
        <v>24525837</v>
      </c>
      <c r="K174" s="44" t="s">
        <v>279</v>
      </c>
      <c r="L174" s="44" t="s">
        <v>280</v>
      </c>
      <c r="M174" s="72">
        <v>259900</v>
      </c>
      <c r="N174" s="64">
        <v>0.95</v>
      </c>
      <c r="O174" s="72">
        <f t="shared" si="2"/>
        <v>12995</v>
      </c>
      <c r="P174" s="44" t="s">
        <v>0</v>
      </c>
    </row>
    <row r="175" spans="1:16" x14ac:dyDescent="0.3">
      <c r="A175" s="46" t="s">
        <v>2143</v>
      </c>
      <c r="B175" s="26">
        <v>46108</v>
      </c>
      <c r="C175" s="26">
        <v>46113</v>
      </c>
      <c r="D175" s="71">
        <v>3319</v>
      </c>
      <c r="E175" s="25">
        <v>327</v>
      </c>
      <c r="F175" s="46">
        <v>2</v>
      </c>
      <c r="G175" s="46">
        <v>1</v>
      </c>
      <c r="H175" s="46">
        <v>81433</v>
      </c>
      <c r="I175" s="46" t="s">
        <v>17</v>
      </c>
      <c r="J175" s="46">
        <v>24525855</v>
      </c>
      <c r="K175" s="44" t="s">
        <v>279</v>
      </c>
      <c r="L175" s="44" t="s">
        <v>281</v>
      </c>
      <c r="M175" s="72">
        <v>259900</v>
      </c>
      <c r="N175" s="64">
        <v>0.95</v>
      </c>
      <c r="O175" s="72">
        <f t="shared" si="2"/>
        <v>12995</v>
      </c>
      <c r="P175" s="44" t="s">
        <v>0</v>
      </c>
    </row>
    <row r="176" spans="1:16" x14ac:dyDescent="0.3">
      <c r="A176" s="46" t="s">
        <v>2143</v>
      </c>
      <c r="B176" s="26">
        <v>46108</v>
      </c>
      <c r="C176" s="26">
        <v>46113</v>
      </c>
      <c r="D176" s="71">
        <v>3319</v>
      </c>
      <c r="E176" s="25">
        <v>327</v>
      </c>
      <c r="F176" s="46">
        <v>2</v>
      </c>
      <c r="G176" s="46">
        <v>1</v>
      </c>
      <c r="H176" s="46">
        <v>81433</v>
      </c>
      <c r="I176" s="46" t="s">
        <v>17</v>
      </c>
      <c r="J176" s="46">
        <v>24527399</v>
      </c>
      <c r="K176" s="44" t="s">
        <v>282</v>
      </c>
      <c r="L176" s="44" t="s">
        <v>283</v>
      </c>
      <c r="M176" s="72">
        <v>259900</v>
      </c>
      <c r="N176" s="64">
        <v>0.95</v>
      </c>
      <c r="O176" s="72">
        <f t="shared" si="2"/>
        <v>12995</v>
      </c>
      <c r="P176" s="44" t="s">
        <v>0</v>
      </c>
    </row>
    <row r="177" spans="1:16" x14ac:dyDescent="0.3">
      <c r="A177" s="46" t="s">
        <v>2143</v>
      </c>
      <c r="B177" s="26">
        <v>46108</v>
      </c>
      <c r="C177" s="26">
        <v>46113</v>
      </c>
      <c r="D177" s="71">
        <v>3319</v>
      </c>
      <c r="E177" s="25">
        <v>327</v>
      </c>
      <c r="F177" s="46">
        <v>2</v>
      </c>
      <c r="G177" s="46">
        <v>1</v>
      </c>
      <c r="H177" s="46">
        <v>81433</v>
      </c>
      <c r="I177" s="46" t="s">
        <v>17</v>
      </c>
      <c r="J177" s="46">
        <v>24527442</v>
      </c>
      <c r="K177" s="44" t="s">
        <v>284</v>
      </c>
      <c r="L177" s="44" t="s">
        <v>285</v>
      </c>
      <c r="M177" s="72">
        <v>259900</v>
      </c>
      <c r="N177" s="64">
        <v>0.95</v>
      </c>
      <c r="O177" s="72">
        <f t="shared" si="2"/>
        <v>12995</v>
      </c>
      <c r="P177" s="44" t="s">
        <v>0</v>
      </c>
    </row>
    <row r="178" spans="1:16" x14ac:dyDescent="0.3">
      <c r="A178" s="46" t="s">
        <v>2143</v>
      </c>
      <c r="B178" s="26">
        <v>46108</v>
      </c>
      <c r="C178" s="26">
        <v>46113</v>
      </c>
      <c r="D178" s="71">
        <v>3319</v>
      </c>
      <c r="E178" s="25">
        <v>327</v>
      </c>
      <c r="F178" s="46">
        <v>2</v>
      </c>
      <c r="G178" s="46">
        <v>1</v>
      </c>
      <c r="H178" s="46">
        <v>81433</v>
      </c>
      <c r="I178" s="46" t="s">
        <v>17</v>
      </c>
      <c r="J178" s="46">
        <v>24527460</v>
      </c>
      <c r="K178" s="44" t="s">
        <v>284</v>
      </c>
      <c r="L178" s="44" t="s">
        <v>286</v>
      </c>
      <c r="M178" s="72">
        <v>259900</v>
      </c>
      <c r="N178" s="64">
        <v>0.95</v>
      </c>
      <c r="O178" s="72">
        <f t="shared" si="2"/>
        <v>12995</v>
      </c>
      <c r="P178" s="44" t="s">
        <v>0</v>
      </c>
    </row>
    <row r="179" spans="1:16" x14ac:dyDescent="0.3">
      <c r="A179" s="46" t="s">
        <v>2143</v>
      </c>
      <c r="B179" s="26">
        <v>46108</v>
      </c>
      <c r="C179" s="26">
        <v>46113</v>
      </c>
      <c r="D179" s="71">
        <v>3319</v>
      </c>
      <c r="E179" s="25">
        <v>327</v>
      </c>
      <c r="F179" s="46">
        <v>2</v>
      </c>
      <c r="G179" s="46">
        <v>1</v>
      </c>
      <c r="H179" s="46">
        <v>81433</v>
      </c>
      <c r="I179" s="46" t="s">
        <v>17</v>
      </c>
      <c r="J179" s="46">
        <v>24528290</v>
      </c>
      <c r="K179" s="44" t="s">
        <v>287</v>
      </c>
      <c r="L179" s="44" t="s">
        <v>288</v>
      </c>
      <c r="M179" s="72">
        <v>259900</v>
      </c>
      <c r="N179" s="64">
        <v>0.95</v>
      </c>
      <c r="O179" s="72">
        <f t="shared" si="2"/>
        <v>12995</v>
      </c>
      <c r="P179" s="44" t="s">
        <v>0</v>
      </c>
    </row>
    <row r="180" spans="1:16" x14ac:dyDescent="0.3">
      <c r="A180" s="46" t="s">
        <v>2143</v>
      </c>
      <c r="B180" s="26">
        <v>46108</v>
      </c>
      <c r="C180" s="26">
        <v>46113</v>
      </c>
      <c r="D180" s="71">
        <v>3319</v>
      </c>
      <c r="E180" s="25">
        <v>327</v>
      </c>
      <c r="F180" s="46">
        <v>2</v>
      </c>
      <c r="G180" s="46">
        <v>1</v>
      </c>
      <c r="H180" s="46">
        <v>81433</v>
      </c>
      <c r="I180" s="46" t="s">
        <v>17</v>
      </c>
      <c r="J180" s="46">
        <v>24528307</v>
      </c>
      <c r="K180" s="44" t="s">
        <v>287</v>
      </c>
      <c r="L180" s="44" t="s">
        <v>289</v>
      </c>
      <c r="M180" s="72">
        <v>259900</v>
      </c>
      <c r="N180" s="64">
        <v>0.95</v>
      </c>
      <c r="O180" s="72">
        <f t="shared" si="2"/>
        <v>12995</v>
      </c>
      <c r="P180" s="44" t="s">
        <v>0</v>
      </c>
    </row>
    <row r="181" spans="1:16" x14ac:dyDescent="0.3">
      <c r="A181" s="46" t="s">
        <v>2143</v>
      </c>
      <c r="B181" s="26">
        <v>46108</v>
      </c>
      <c r="C181" s="26">
        <v>46113</v>
      </c>
      <c r="D181" s="71">
        <v>3319</v>
      </c>
      <c r="E181" s="25">
        <v>327</v>
      </c>
      <c r="F181" s="46">
        <v>2</v>
      </c>
      <c r="G181" s="46">
        <v>1</v>
      </c>
      <c r="H181" s="46">
        <v>81433</v>
      </c>
      <c r="I181" s="46" t="s">
        <v>17</v>
      </c>
      <c r="J181" s="46">
        <v>24528325</v>
      </c>
      <c r="K181" s="44" t="s">
        <v>287</v>
      </c>
      <c r="L181" s="44" t="s">
        <v>290</v>
      </c>
      <c r="M181" s="72">
        <v>259900</v>
      </c>
      <c r="N181" s="64">
        <v>0.95</v>
      </c>
      <c r="O181" s="72">
        <f t="shared" si="2"/>
        <v>12995</v>
      </c>
      <c r="P181" s="44" t="s">
        <v>0</v>
      </c>
    </row>
    <row r="182" spans="1:16" x14ac:dyDescent="0.3">
      <c r="A182" s="46" t="s">
        <v>2143</v>
      </c>
      <c r="B182" s="26">
        <v>46108</v>
      </c>
      <c r="C182" s="26">
        <v>46113</v>
      </c>
      <c r="D182" s="71">
        <v>3319</v>
      </c>
      <c r="E182" s="25">
        <v>327</v>
      </c>
      <c r="F182" s="46">
        <v>2</v>
      </c>
      <c r="G182" s="46">
        <v>1</v>
      </c>
      <c r="H182" s="46">
        <v>81433</v>
      </c>
      <c r="I182" s="46" t="s">
        <v>17</v>
      </c>
      <c r="J182" s="46">
        <v>24528334</v>
      </c>
      <c r="K182" s="44" t="s">
        <v>291</v>
      </c>
      <c r="L182" s="44" t="s">
        <v>292</v>
      </c>
      <c r="M182" s="72">
        <v>259900</v>
      </c>
      <c r="N182" s="64">
        <v>0.95</v>
      </c>
      <c r="O182" s="72">
        <f t="shared" si="2"/>
        <v>12995</v>
      </c>
      <c r="P182" s="44" t="s">
        <v>0</v>
      </c>
    </row>
    <row r="183" spans="1:16" x14ac:dyDescent="0.3">
      <c r="A183" s="46" t="s">
        <v>2143</v>
      </c>
      <c r="B183" s="26">
        <v>46108</v>
      </c>
      <c r="C183" s="26">
        <v>46113</v>
      </c>
      <c r="D183" s="71">
        <v>3319</v>
      </c>
      <c r="E183" s="25">
        <v>327</v>
      </c>
      <c r="F183" s="46">
        <v>2</v>
      </c>
      <c r="G183" s="46">
        <v>1</v>
      </c>
      <c r="H183" s="46">
        <v>81433</v>
      </c>
      <c r="I183" s="46" t="s">
        <v>17</v>
      </c>
      <c r="J183" s="46">
        <v>24528343</v>
      </c>
      <c r="K183" s="44" t="s">
        <v>291</v>
      </c>
      <c r="L183" s="44" t="s">
        <v>293</v>
      </c>
      <c r="M183" s="72">
        <v>259900</v>
      </c>
      <c r="N183" s="64">
        <v>0.95</v>
      </c>
      <c r="O183" s="72">
        <f t="shared" si="2"/>
        <v>12995</v>
      </c>
      <c r="P183" s="44" t="s">
        <v>0</v>
      </c>
    </row>
    <row r="184" spans="1:16" x14ac:dyDescent="0.3">
      <c r="A184" s="46" t="s">
        <v>2143</v>
      </c>
      <c r="B184" s="26">
        <v>46108</v>
      </c>
      <c r="C184" s="26">
        <v>46113</v>
      </c>
      <c r="D184" s="71">
        <v>3319</v>
      </c>
      <c r="E184" s="25">
        <v>327</v>
      </c>
      <c r="F184" s="46">
        <v>2</v>
      </c>
      <c r="G184" s="46">
        <v>1</v>
      </c>
      <c r="H184" s="46">
        <v>81433</v>
      </c>
      <c r="I184" s="46" t="s">
        <v>17</v>
      </c>
      <c r="J184" s="46">
        <v>24528352</v>
      </c>
      <c r="K184" s="44" t="s">
        <v>291</v>
      </c>
      <c r="L184" s="44" t="s">
        <v>294</v>
      </c>
      <c r="M184" s="72">
        <v>259900</v>
      </c>
      <c r="N184" s="64">
        <v>0.95</v>
      </c>
      <c r="O184" s="72">
        <f t="shared" si="2"/>
        <v>12995</v>
      </c>
      <c r="P184" s="44" t="s">
        <v>0</v>
      </c>
    </row>
    <row r="185" spans="1:16" x14ac:dyDescent="0.3">
      <c r="A185" s="46" t="s">
        <v>2143</v>
      </c>
      <c r="B185" s="26">
        <v>46108</v>
      </c>
      <c r="C185" s="26">
        <v>46113</v>
      </c>
      <c r="D185" s="71">
        <v>3319</v>
      </c>
      <c r="E185" s="25">
        <v>327</v>
      </c>
      <c r="F185" s="46">
        <v>2</v>
      </c>
      <c r="G185" s="46">
        <v>1</v>
      </c>
      <c r="H185" s="46">
        <v>81433</v>
      </c>
      <c r="I185" s="46" t="s">
        <v>17</v>
      </c>
      <c r="J185" s="46">
        <v>24528361</v>
      </c>
      <c r="K185" s="44" t="s">
        <v>291</v>
      </c>
      <c r="L185" s="44" t="s">
        <v>295</v>
      </c>
      <c r="M185" s="72">
        <v>259900</v>
      </c>
      <c r="N185" s="64">
        <v>0.95</v>
      </c>
      <c r="O185" s="72">
        <f t="shared" si="2"/>
        <v>12995</v>
      </c>
      <c r="P185" s="44" t="s">
        <v>0</v>
      </c>
    </row>
    <row r="186" spans="1:16" x14ac:dyDescent="0.3">
      <c r="A186" s="46" t="s">
        <v>2143</v>
      </c>
      <c r="B186" s="26">
        <v>46108</v>
      </c>
      <c r="C186" s="26">
        <v>46113</v>
      </c>
      <c r="D186" s="71">
        <v>3319</v>
      </c>
      <c r="E186" s="25">
        <v>327</v>
      </c>
      <c r="F186" s="46">
        <v>2</v>
      </c>
      <c r="G186" s="46">
        <v>1</v>
      </c>
      <c r="H186" s="46">
        <v>81433</v>
      </c>
      <c r="I186" s="46" t="s">
        <v>17</v>
      </c>
      <c r="J186" s="46">
        <v>24528370</v>
      </c>
      <c r="K186" s="44" t="s">
        <v>291</v>
      </c>
      <c r="L186" s="44" t="s">
        <v>296</v>
      </c>
      <c r="M186" s="72">
        <v>259900</v>
      </c>
      <c r="N186" s="64">
        <v>0.95</v>
      </c>
      <c r="O186" s="72">
        <f t="shared" si="2"/>
        <v>12995</v>
      </c>
      <c r="P186" s="44" t="s">
        <v>0</v>
      </c>
    </row>
    <row r="187" spans="1:16" x14ac:dyDescent="0.3">
      <c r="A187" s="46" t="s">
        <v>2143</v>
      </c>
      <c r="B187" s="26">
        <v>46108</v>
      </c>
      <c r="C187" s="26">
        <v>46113</v>
      </c>
      <c r="D187" s="71">
        <v>3319</v>
      </c>
      <c r="E187" s="25">
        <v>327</v>
      </c>
      <c r="F187" s="46">
        <v>2</v>
      </c>
      <c r="G187" s="46">
        <v>1</v>
      </c>
      <c r="H187" s="46">
        <v>81433</v>
      </c>
      <c r="I187" s="46" t="s">
        <v>17</v>
      </c>
      <c r="J187" s="46">
        <v>24893869</v>
      </c>
      <c r="K187" s="44" t="s">
        <v>297</v>
      </c>
      <c r="L187" s="44" t="s">
        <v>298</v>
      </c>
      <c r="M187" s="72">
        <v>199900</v>
      </c>
      <c r="N187" s="64">
        <v>0.95</v>
      </c>
      <c r="O187" s="72">
        <f t="shared" si="2"/>
        <v>9995</v>
      </c>
      <c r="P187" s="44" t="s">
        <v>0</v>
      </c>
    </row>
    <row r="188" spans="1:16" x14ac:dyDescent="0.3">
      <c r="A188" s="46" t="s">
        <v>2143</v>
      </c>
      <c r="B188" s="26">
        <v>46108</v>
      </c>
      <c r="C188" s="26">
        <v>46113</v>
      </c>
      <c r="D188" s="71">
        <v>3319</v>
      </c>
      <c r="E188" s="25">
        <v>327</v>
      </c>
      <c r="F188" s="46">
        <v>2</v>
      </c>
      <c r="G188" s="46">
        <v>1</v>
      </c>
      <c r="H188" s="46">
        <v>81433</v>
      </c>
      <c r="I188" s="46" t="s">
        <v>17</v>
      </c>
      <c r="J188" s="46">
        <v>24893878</v>
      </c>
      <c r="K188" s="44" t="s">
        <v>297</v>
      </c>
      <c r="L188" s="44" t="s">
        <v>299</v>
      </c>
      <c r="M188" s="72">
        <v>199900</v>
      </c>
      <c r="N188" s="64">
        <v>0.95</v>
      </c>
      <c r="O188" s="72">
        <f t="shared" si="2"/>
        <v>9995</v>
      </c>
      <c r="P188" s="44" t="s">
        <v>0</v>
      </c>
    </row>
    <row r="189" spans="1:16" x14ac:dyDescent="0.3">
      <c r="A189" s="46" t="s">
        <v>2143</v>
      </c>
      <c r="B189" s="26">
        <v>46108</v>
      </c>
      <c r="C189" s="26">
        <v>46113</v>
      </c>
      <c r="D189" s="71">
        <v>3319</v>
      </c>
      <c r="E189" s="25">
        <v>327</v>
      </c>
      <c r="F189" s="46">
        <v>2</v>
      </c>
      <c r="G189" s="46">
        <v>1</v>
      </c>
      <c r="H189" s="46">
        <v>81433</v>
      </c>
      <c r="I189" s="46" t="s">
        <v>17</v>
      </c>
      <c r="J189" s="46">
        <v>24893912</v>
      </c>
      <c r="K189" s="44" t="s">
        <v>300</v>
      </c>
      <c r="L189" s="44" t="s">
        <v>301</v>
      </c>
      <c r="M189" s="72">
        <v>199900</v>
      </c>
      <c r="N189" s="64">
        <v>0.95</v>
      </c>
      <c r="O189" s="72">
        <f t="shared" si="2"/>
        <v>9995</v>
      </c>
      <c r="P189" s="44" t="s">
        <v>0</v>
      </c>
    </row>
    <row r="190" spans="1:16" x14ac:dyDescent="0.3">
      <c r="A190" s="46" t="s">
        <v>2143</v>
      </c>
      <c r="B190" s="26">
        <v>46108</v>
      </c>
      <c r="C190" s="26">
        <v>46113</v>
      </c>
      <c r="D190" s="71">
        <v>3319</v>
      </c>
      <c r="E190" s="25">
        <v>327</v>
      </c>
      <c r="F190" s="46">
        <v>2</v>
      </c>
      <c r="G190" s="46">
        <v>1</v>
      </c>
      <c r="H190" s="46">
        <v>81433</v>
      </c>
      <c r="I190" s="46" t="s">
        <v>17</v>
      </c>
      <c r="J190" s="46">
        <v>24893921</v>
      </c>
      <c r="K190" s="44" t="s">
        <v>300</v>
      </c>
      <c r="L190" s="44" t="s">
        <v>302</v>
      </c>
      <c r="M190" s="72">
        <v>199900</v>
      </c>
      <c r="N190" s="64">
        <v>0.95</v>
      </c>
      <c r="O190" s="72">
        <f t="shared" si="2"/>
        <v>9995</v>
      </c>
      <c r="P190" s="44" t="s">
        <v>0</v>
      </c>
    </row>
    <row r="191" spans="1:16" x14ac:dyDescent="0.3">
      <c r="A191" s="46" t="s">
        <v>2143</v>
      </c>
      <c r="B191" s="26">
        <v>46108</v>
      </c>
      <c r="C191" s="26">
        <v>46113</v>
      </c>
      <c r="D191" s="71">
        <v>3319</v>
      </c>
      <c r="E191" s="25">
        <v>327</v>
      </c>
      <c r="F191" s="46">
        <v>2</v>
      </c>
      <c r="G191" s="46">
        <v>1</v>
      </c>
      <c r="H191" s="46">
        <v>81433</v>
      </c>
      <c r="I191" s="46" t="s">
        <v>17</v>
      </c>
      <c r="J191" s="46">
        <v>24902483</v>
      </c>
      <c r="K191" s="44" t="s">
        <v>303</v>
      </c>
      <c r="L191" s="44" t="s">
        <v>304</v>
      </c>
      <c r="M191" s="72">
        <v>199900</v>
      </c>
      <c r="N191" s="64">
        <v>0.95</v>
      </c>
      <c r="O191" s="72">
        <f t="shared" si="2"/>
        <v>9995</v>
      </c>
      <c r="P191" s="44" t="s">
        <v>0</v>
      </c>
    </row>
    <row r="192" spans="1:16" x14ac:dyDescent="0.3">
      <c r="A192" s="46" t="s">
        <v>2143</v>
      </c>
      <c r="B192" s="26">
        <v>46108</v>
      </c>
      <c r="C192" s="26">
        <v>46113</v>
      </c>
      <c r="D192" s="71">
        <v>3319</v>
      </c>
      <c r="E192" s="25">
        <v>327</v>
      </c>
      <c r="F192" s="46">
        <v>2</v>
      </c>
      <c r="G192" s="46">
        <v>1</v>
      </c>
      <c r="H192" s="46">
        <v>81433</v>
      </c>
      <c r="I192" s="46" t="s">
        <v>17</v>
      </c>
      <c r="J192" s="46">
        <v>24902527</v>
      </c>
      <c r="K192" s="44" t="s">
        <v>305</v>
      </c>
      <c r="L192" s="44" t="s">
        <v>306</v>
      </c>
      <c r="M192" s="72">
        <v>199900</v>
      </c>
      <c r="N192" s="64">
        <v>0.95</v>
      </c>
      <c r="O192" s="72">
        <f t="shared" si="2"/>
        <v>9995</v>
      </c>
      <c r="P192" s="44" t="s">
        <v>0</v>
      </c>
    </row>
    <row r="193" spans="1:16" x14ac:dyDescent="0.3">
      <c r="A193" s="46" t="s">
        <v>2143</v>
      </c>
      <c r="B193" s="26">
        <v>46108</v>
      </c>
      <c r="C193" s="26">
        <v>46113</v>
      </c>
      <c r="D193" s="71">
        <v>3319</v>
      </c>
      <c r="E193" s="25">
        <v>327</v>
      </c>
      <c r="F193" s="46">
        <v>2</v>
      </c>
      <c r="G193" s="46">
        <v>1</v>
      </c>
      <c r="H193" s="46">
        <v>81433</v>
      </c>
      <c r="I193" s="46" t="s">
        <v>17</v>
      </c>
      <c r="J193" s="46">
        <v>24902545</v>
      </c>
      <c r="K193" s="44" t="s">
        <v>305</v>
      </c>
      <c r="L193" s="44" t="s">
        <v>307</v>
      </c>
      <c r="M193" s="72">
        <v>199900</v>
      </c>
      <c r="N193" s="64">
        <v>0.95</v>
      </c>
      <c r="O193" s="72">
        <f t="shared" si="2"/>
        <v>9995</v>
      </c>
      <c r="P193" s="44" t="s">
        <v>0</v>
      </c>
    </row>
    <row r="194" spans="1:16" x14ac:dyDescent="0.3">
      <c r="A194" s="46" t="s">
        <v>2143</v>
      </c>
      <c r="B194" s="26">
        <v>46108</v>
      </c>
      <c r="C194" s="26">
        <v>46113</v>
      </c>
      <c r="D194" s="71">
        <v>3319</v>
      </c>
      <c r="E194" s="25">
        <v>327</v>
      </c>
      <c r="F194" s="46">
        <v>2</v>
      </c>
      <c r="G194" s="46">
        <v>1</v>
      </c>
      <c r="H194" s="46">
        <v>81433</v>
      </c>
      <c r="I194" s="46" t="s">
        <v>17</v>
      </c>
      <c r="J194" s="46">
        <v>24995464</v>
      </c>
      <c r="K194" s="44" t="s">
        <v>308</v>
      </c>
      <c r="L194" s="44" t="s">
        <v>309</v>
      </c>
      <c r="M194" s="72">
        <v>199900</v>
      </c>
      <c r="N194" s="64">
        <v>0.95</v>
      </c>
      <c r="O194" s="72">
        <f t="shared" si="2"/>
        <v>9995</v>
      </c>
      <c r="P194" s="44" t="s">
        <v>0</v>
      </c>
    </row>
    <row r="195" spans="1:16" x14ac:dyDescent="0.3">
      <c r="A195" s="46" t="s">
        <v>2143</v>
      </c>
      <c r="B195" s="26">
        <v>46108</v>
      </c>
      <c r="C195" s="26">
        <v>46113</v>
      </c>
      <c r="D195" s="71">
        <v>3319</v>
      </c>
      <c r="E195" s="25">
        <v>327</v>
      </c>
      <c r="F195" s="46">
        <v>2</v>
      </c>
      <c r="G195" s="46">
        <v>1</v>
      </c>
      <c r="H195" s="46">
        <v>81433</v>
      </c>
      <c r="I195" s="46" t="s">
        <v>17</v>
      </c>
      <c r="J195" s="46">
        <v>22943497</v>
      </c>
      <c r="K195" s="44" t="s">
        <v>310</v>
      </c>
      <c r="L195" s="44" t="s">
        <v>311</v>
      </c>
      <c r="M195" s="72">
        <v>259900</v>
      </c>
      <c r="N195" s="64">
        <v>0.95</v>
      </c>
      <c r="O195" s="72">
        <f t="shared" ref="O195:O246" si="3">M195*5%</f>
        <v>12995</v>
      </c>
      <c r="P195" s="44" t="s">
        <v>0</v>
      </c>
    </row>
    <row r="196" spans="1:16" x14ac:dyDescent="0.3">
      <c r="A196" s="46" t="s">
        <v>2143</v>
      </c>
      <c r="B196" s="26">
        <v>46108</v>
      </c>
      <c r="C196" s="26">
        <v>46113</v>
      </c>
      <c r="D196" s="71">
        <v>3319</v>
      </c>
      <c r="E196" s="25">
        <v>327</v>
      </c>
      <c r="F196" s="46">
        <v>2</v>
      </c>
      <c r="G196" s="46">
        <v>1</v>
      </c>
      <c r="H196" s="46">
        <v>81433</v>
      </c>
      <c r="I196" s="46" t="s">
        <v>17</v>
      </c>
      <c r="J196" s="46">
        <v>22943540</v>
      </c>
      <c r="K196" s="44" t="s">
        <v>312</v>
      </c>
      <c r="L196" s="44" t="s">
        <v>313</v>
      </c>
      <c r="M196" s="72">
        <v>259900</v>
      </c>
      <c r="N196" s="64">
        <v>0.95</v>
      </c>
      <c r="O196" s="72">
        <f t="shared" si="3"/>
        <v>12995</v>
      </c>
      <c r="P196" s="44" t="s">
        <v>0</v>
      </c>
    </row>
    <row r="197" spans="1:16" x14ac:dyDescent="0.3">
      <c r="A197" s="46" t="s">
        <v>2143</v>
      </c>
      <c r="B197" s="26">
        <v>46108</v>
      </c>
      <c r="C197" s="26">
        <v>46113</v>
      </c>
      <c r="D197" s="71">
        <v>3319</v>
      </c>
      <c r="E197" s="25">
        <v>327</v>
      </c>
      <c r="F197" s="46">
        <v>2</v>
      </c>
      <c r="G197" s="46">
        <v>2</v>
      </c>
      <c r="H197" s="46">
        <v>81433</v>
      </c>
      <c r="I197" s="46" t="s">
        <v>17</v>
      </c>
      <c r="J197" s="46">
        <v>21429214</v>
      </c>
      <c r="K197" s="44" t="s">
        <v>314</v>
      </c>
      <c r="L197" s="44" t="s">
        <v>315</v>
      </c>
      <c r="M197" s="72">
        <v>299900</v>
      </c>
      <c r="N197" s="64">
        <v>0.95</v>
      </c>
      <c r="O197" s="72">
        <f t="shared" si="3"/>
        <v>14995</v>
      </c>
      <c r="P197" s="44" t="s">
        <v>0</v>
      </c>
    </row>
    <row r="198" spans="1:16" x14ac:dyDescent="0.3">
      <c r="A198" s="46" t="s">
        <v>2143</v>
      </c>
      <c r="B198" s="26">
        <v>46108</v>
      </c>
      <c r="C198" s="26">
        <v>46113</v>
      </c>
      <c r="D198" s="71">
        <v>3319</v>
      </c>
      <c r="E198" s="25">
        <v>327</v>
      </c>
      <c r="F198" s="46">
        <v>2</v>
      </c>
      <c r="G198" s="46">
        <v>2</v>
      </c>
      <c r="H198" s="46">
        <v>81433</v>
      </c>
      <c r="I198" s="46" t="s">
        <v>17</v>
      </c>
      <c r="J198" s="46">
        <v>21429232</v>
      </c>
      <c r="K198" s="44" t="s">
        <v>314</v>
      </c>
      <c r="L198" s="44" t="s">
        <v>316</v>
      </c>
      <c r="M198" s="72">
        <v>299900</v>
      </c>
      <c r="N198" s="64">
        <v>0.95</v>
      </c>
      <c r="O198" s="72">
        <f t="shared" si="3"/>
        <v>14995</v>
      </c>
      <c r="P198" s="44" t="s">
        <v>0</v>
      </c>
    </row>
    <row r="199" spans="1:16" x14ac:dyDescent="0.3">
      <c r="A199" s="46" t="s">
        <v>2143</v>
      </c>
      <c r="B199" s="26">
        <v>46108</v>
      </c>
      <c r="C199" s="26">
        <v>46113</v>
      </c>
      <c r="D199" s="71">
        <v>3319</v>
      </c>
      <c r="E199" s="25">
        <v>327</v>
      </c>
      <c r="F199" s="46">
        <v>2</v>
      </c>
      <c r="G199" s="46">
        <v>2</v>
      </c>
      <c r="H199" s="46">
        <v>81433</v>
      </c>
      <c r="I199" s="46" t="s">
        <v>17</v>
      </c>
      <c r="J199" s="46">
        <v>21429241</v>
      </c>
      <c r="K199" s="44" t="s">
        <v>314</v>
      </c>
      <c r="L199" s="44" t="s">
        <v>317</v>
      </c>
      <c r="M199" s="72">
        <v>299900</v>
      </c>
      <c r="N199" s="64">
        <v>0.95</v>
      </c>
      <c r="O199" s="72">
        <f t="shared" si="3"/>
        <v>14995</v>
      </c>
      <c r="P199" s="44" t="s">
        <v>0</v>
      </c>
    </row>
    <row r="200" spans="1:16" x14ac:dyDescent="0.3">
      <c r="A200" s="46" t="s">
        <v>2143</v>
      </c>
      <c r="B200" s="26">
        <v>46108</v>
      </c>
      <c r="C200" s="26">
        <v>46113</v>
      </c>
      <c r="D200" s="71">
        <v>3319</v>
      </c>
      <c r="E200" s="25">
        <v>327</v>
      </c>
      <c r="F200" s="46">
        <v>2</v>
      </c>
      <c r="G200" s="46">
        <v>2</v>
      </c>
      <c r="H200" s="46">
        <v>81433</v>
      </c>
      <c r="I200" s="46" t="s">
        <v>17</v>
      </c>
      <c r="J200" s="46">
        <v>21585822</v>
      </c>
      <c r="K200" s="44" t="s">
        <v>318</v>
      </c>
      <c r="L200" s="44" t="s">
        <v>319</v>
      </c>
      <c r="M200" s="72">
        <v>299900</v>
      </c>
      <c r="N200" s="64">
        <v>0.95</v>
      </c>
      <c r="O200" s="72">
        <f t="shared" si="3"/>
        <v>14995</v>
      </c>
      <c r="P200" s="44" t="s">
        <v>0</v>
      </c>
    </row>
    <row r="201" spans="1:16" x14ac:dyDescent="0.3">
      <c r="A201" s="46" t="s">
        <v>2143</v>
      </c>
      <c r="B201" s="26">
        <v>46108</v>
      </c>
      <c r="C201" s="26">
        <v>46113</v>
      </c>
      <c r="D201" s="71">
        <v>3319</v>
      </c>
      <c r="E201" s="25">
        <v>327</v>
      </c>
      <c r="F201" s="46">
        <v>2</v>
      </c>
      <c r="G201" s="46">
        <v>2</v>
      </c>
      <c r="H201" s="46">
        <v>81433</v>
      </c>
      <c r="I201" s="46" t="s">
        <v>17</v>
      </c>
      <c r="J201" s="46">
        <v>21585831</v>
      </c>
      <c r="K201" s="44" t="s">
        <v>318</v>
      </c>
      <c r="L201" s="44" t="s">
        <v>320</v>
      </c>
      <c r="M201" s="72">
        <v>299900</v>
      </c>
      <c r="N201" s="64">
        <v>0.95</v>
      </c>
      <c r="O201" s="72">
        <f t="shared" si="3"/>
        <v>14995</v>
      </c>
      <c r="P201" s="44" t="s">
        <v>0</v>
      </c>
    </row>
    <row r="202" spans="1:16" x14ac:dyDescent="0.3">
      <c r="A202" s="46" t="s">
        <v>2143</v>
      </c>
      <c r="B202" s="26">
        <v>46108</v>
      </c>
      <c r="C202" s="26">
        <v>46113</v>
      </c>
      <c r="D202" s="71">
        <v>3319</v>
      </c>
      <c r="E202" s="25">
        <v>327</v>
      </c>
      <c r="F202" s="46">
        <v>2</v>
      </c>
      <c r="G202" s="46">
        <v>2</v>
      </c>
      <c r="H202" s="46">
        <v>81433</v>
      </c>
      <c r="I202" s="46" t="s">
        <v>17</v>
      </c>
      <c r="J202" s="46">
        <v>21585859</v>
      </c>
      <c r="K202" s="44" t="s">
        <v>318</v>
      </c>
      <c r="L202" s="44" t="s">
        <v>321</v>
      </c>
      <c r="M202" s="72">
        <v>299900</v>
      </c>
      <c r="N202" s="64">
        <v>0.95</v>
      </c>
      <c r="O202" s="72">
        <f t="shared" si="3"/>
        <v>14995</v>
      </c>
      <c r="P202" s="44" t="s">
        <v>0</v>
      </c>
    </row>
    <row r="203" spans="1:16" x14ac:dyDescent="0.3">
      <c r="A203" s="46" t="s">
        <v>2143</v>
      </c>
      <c r="B203" s="26">
        <v>46108</v>
      </c>
      <c r="C203" s="26">
        <v>46113</v>
      </c>
      <c r="D203" s="71">
        <v>3319</v>
      </c>
      <c r="E203" s="25">
        <v>327</v>
      </c>
      <c r="F203" s="46">
        <v>2</v>
      </c>
      <c r="G203" s="46">
        <v>2</v>
      </c>
      <c r="H203" s="46">
        <v>81433</v>
      </c>
      <c r="I203" s="46" t="s">
        <v>17</v>
      </c>
      <c r="J203" s="46">
        <v>21585877</v>
      </c>
      <c r="K203" s="44" t="s">
        <v>322</v>
      </c>
      <c r="L203" s="44" t="s">
        <v>323</v>
      </c>
      <c r="M203" s="72">
        <v>299900</v>
      </c>
      <c r="N203" s="64">
        <v>0.95</v>
      </c>
      <c r="O203" s="72">
        <f t="shared" si="3"/>
        <v>14995</v>
      </c>
      <c r="P203" s="44" t="s">
        <v>0</v>
      </c>
    </row>
    <row r="204" spans="1:16" x14ac:dyDescent="0.3">
      <c r="A204" s="46" t="s">
        <v>2143</v>
      </c>
      <c r="B204" s="26">
        <v>46108</v>
      </c>
      <c r="C204" s="26">
        <v>46113</v>
      </c>
      <c r="D204" s="71">
        <v>3319</v>
      </c>
      <c r="E204" s="25">
        <v>327</v>
      </c>
      <c r="F204" s="46">
        <v>2</v>
      </c>
      <c r="G204" s="46">
        <v>2</v>
      </c>
      <c r="H204" s="46">
        <v>81433</v>
      </c>
      <c r="I204" s="46" t="s">
        <v>17</v>
      </c>
      <c r="J204" s="46">
        <v>21585886</v>
      </c>
      <c r="K204" s="44" t="s">
        <v>322</v>
      </c>
      <c r="L204" s="44" t="s">
        <v>324</v>
      </c>
      <c r="M204" s="72">
        <v>299900</v>
      </c>
      <c r="N204" s="64">
        <v>0.95</v>
      </c>
      <c r="O204" s="72">
        <f t="shared" si="3"/>
        <v>14995</v>
      </c>
      <c r="P204" s="44" t="s">
        <v>0</v>
      </c>
    </row>
    <row r="205" spans="1:16" x14ac:dyDescent="0.3">
      <c r="A205" s="46" t="s">
        <v>2143</v>
      </c>
      <c r="B205" s="26">
        <v>46108</v>
      </c>
      <c r="C205" s="26">
        <v>46113</v>
      </c>
      <c r="D205" s="71">
        <v>3319</v>
      </c>
      <c r="E205" s="25">
        <v>327</v>
      </c>
      <c r="F205" s="46">
        <v>2</v>
      </c>
      <c r="G205" s="46">
        <v>2</v>
      </c>
      <c r="H205" s="46">
        <v>81433</v>
      </c>
      <c r="I205" s="46" t="s">
        <v>17</v>
      </c>
      <c r="J205" s="46">
        <v>21585895</v>
      </c>
      <c r="K205" s="44" t="s">
        <v>322</v>
      </c>
      <c r="L205" s="44" t="s">
        <v>325</v>
      </c>
      <c r="M205" s="72">
        <v>299900</v>
      </c>
      <c r="N205" s="64">
        <v>0.95</v>
      </c>
      <c r="O205" s="72">
        <f t="shared" si="3"/>
        <v>14995</v>
      </c>
      <c r="P205" s="44" t="s">
        <v>0</v>
      </c>
    </row>
    <row r="206" spans="1:16" x14ac:dyDescent="0.3">
      <c r="A206" s="46" t="s">
        <v>2143</v>
      </c>
      <c r="B206" s="26">
        <v>46108</v>
      </c>
      <c r="C206" s="26">
        <v>46113</v>
      </c>
      <c r="D206" s="71">
        <v>3319</v>
      </c>
      <c r="E206" s="25">
        <v>327</v>
      </c>
      <c r="F206" s="46">
        <v>2</v>
      </c>
      <c r="G206" s="46">
        <v>2</v>
      </c>
      <c r="H206" s="46">
        <v>81433</v>
      </c>
      <c r="I206" s="46" t="s">
        <v>17</v>
      </c>
      <c r="J206" s="46">
        <v>21585902</v>
      </c>
      <c r="K206" s="44" t="s">
        <v>322</v>
      </c>
      <c r="L206" s="44" t="s">
        <v>326</v>
      </c>
      <c r="M206" s="72">
        <v>299900</v>
      </c>
      <c r="N206" s="64">
        <v>0.95</v>
      </c>
      <c r="O206" s="72">
        <f t="shared" si="3"/>
        <v>14995</v>
      </c>
      <c r="P206" s="44" t="s">
        <v>0</v>
      </c>
    </row>
    <row r="207" spans="1:16" x14ac:dyDescent="0.3">
      <c r="A207" s="46" t="s">
        <v>2143</v>
      </c>
      <c r="B207" s="26">
        <v>46108</v>
      </c>
      <c r="C207" s="26">
        <v>46113</v>
      </c>
      <c r="D207" s="71">
        <v>3319</v>
      </c>
      <c r="E207" s="25">
        <v>327</v>
      </c>
      <c r="F207" s="46">
        <v>2</v>
      </c>
      <c r="G207" s="46">
        <v>2</v>
      </c>
      <c r="H207" s="46">
        <v>81433</v>
      </c>
      <c r="I207" s="46" t="s">
        <v>17</v>
      </c>
      <c r="J207" s="46">
        <v>22735426</v>
      </c>
      <c r="K207" s="44" t="s">
        <v>327</v>
      </c>
      <c r="L207" s="44" t="s">
        <v>328</v>
      </c>
      <c r="M207" s="72">
        <v>299900</v>
      </c>
      <c r="N207" s="64">
        <v>0.95</v>
      </c>
      <c r="O207" s="72">
        <f t="shared" si="3"/>
        <v>14995</v>
      </c>
      <c r="P207" s="44" t="s">
        <v>0</v>
      </c>
    </row>
    <row r="208" spans="1:16" x14ac:dyDescent="0.3">
      <c r="A208" s="46" t="s">
        <v>2143</v>
      </c>
      <c r="B208" s="26">
        <v>46108</v>
      </c>
      <c r="C208" s="26">
        <v>46113</v>
      </c>
      <c r="D208" s="71">
        <v>3319</v>
      </c>
      <c r="E208" s="25">
        <v>327</v>
      </c>
      <c r="F208" s="46">
        <v>2</v>
      </c>
      <c r="G208" s="46">
        <v>2</v>
      </c>
      <c r="H208" s="46">
        <v>81433</v>
      </c>
      <c r="I208" s="46" t="s">
        <v>17</v>
      </c>
      <c r="J208" s="46">
        <v>22735435</v>
      </c>
      <c r="K208" s="44" t="s">
        <v>327</v>
      </c>
      <c r="L208" s="44" t="s">
        <v>329</v>
      </c>
      <c r="M208" s="72">
        <v>299900</v>
      </c>
      <c r="N208" s="64">
        <v>0.95</v>
      </c>
      <c r="O208" s="72">
        <f t="shared" si="3"/>
        <v>14995</v>
      </c>
      <c r="P208" s="44" t="s">
        <v>0</v>
      </c>
    </row>
    <row r="209" spans="1:16" x14ac:dyDescent="0.3">
      <c r="A209" s="46" t="s">
        <v>2143</v>
      </c>
      <c r="B209" s="26">
        <v>46108</v>
      </c>
      <c r="C209" s="26">
        <v>46113</v>
      </c>
      <c r="D209" s="71">
        <v>3319</v>
      </c>
      <c r="E209" s="25">
        <v>327</v>
      </c>
      <c r="F209" s="46">
        <v>2</v>
      </c>
      <c r="G209" s="46">
        <v>2</v>
      </c>
      <c r="H209" s="46">
        <v>81433</v>
      </c>
      <c r="I209" s="46" t="s">
        <v>17</v>
      </c>
      <c r="J209" s="46">
        <v>22735444</v>
      </c>
      <c r="K209" s="44" t="s">
        <v>327</v>
      </c>
      <c r="L209" s="44" t="s">
        <v>330</v>
      </c>
      <c r="M209" s="72">
        <v>299900</v>
      </c>
      <c r="N209" s="64">
        <v>0.95</v>
      </c>
      <c r="O209" s="72">
        <f t="shared" si="3"/>
        <v>14995</v>
      </c>
      <c r="P209" s="44" t="s">
        <v>0</v>
      </c>
    </row>
    <row r="210" spans="1:16" x14ac:dyDescent="0.3">
      <c r="A210" s="46" t="s">
        <v>2143</v>
      </c>
      <c r="B210" s="26">
        <v>46108</v>
      </c>
      <c r="C210" s="26">
        <v>46113</v>
      </c>
      <c r="D210" s="71">
        <v>3319</v>
      </c>
      <c r="E210" s="25">
        <v>327</v>
      </c>
      <c r="F210" s="46">
        <v>2</v>
      </c>
      <c r="G210" s="46">
        <v>2</v>
      </c>
      <c r="H210" s="46">
        <v>81433</v>
      </c>
      <c r="I210" s="46" t="s">
        <v>17</v>
      </c>
      <c r="J210" s="46">
        <v>22735453</v>
      </c>
      <c r="K210" s="44" t="s">
        <v>327</v>
      </c>
      <c r="L210" s="44" t="s">
        <v>331</v>
      </c>
      <c r="M210" s="72">
        <v>299900</v>
      </c>
      <c r="N210" s="64">
        <v>0.95</v>
      </c>
      <c r="O210" s="72">
        <f t="shared" si="3"/>
        <v>14995</v>
      </c>
      <c r="P210" s="44" t="s">
        <v>0</v>
      </c>
    </row>
    <row r="211" spans="1:16" x14ac:dyDescent="0.3">
      <c r="A211" s="46" t="s">
        <v>2143</v>
      </c>
      <c r="B211" s="26">
        <v>46108</v>
      </c>
      <c r="C211" s="26">
        <v>46113</v>
      </c>
      <c r="D211" s="71">
        <v>3319</v>
      </c>
      <c r="E211" s="25">
        <v>327</v>
      </c>
      <c r="F211" s="46">
        <v>2</v>
      </c>
      <c r="G211" s="46">
        <v>2</v>
      </c>
      <c r="H211" s="46">
        <v>81433</v>
      </c>
      <c r="I211" s="46" t="s">
        <v>17</v>
      </c>
      <c r="J211" s="46">
        <v>22735462</v>
      </c>
      <c r="K211" s="44" t="s">
        <v>327</v>
      </c>
      <c r="L211" s="44" t="s">
        <v>332</v>
      </c>
      <c r="M211" s="72">
        <v>299900</v>
      </c>
      <c r="N211" s="64">
        <v>0.95</v>
      </c>
      <c r="O211" s="72">
        <f t="shared" si="3"/>
        <v>14995</v>
      </c>
      <c r="P211" s="44" t="s">
        <v>0</v>
      </c>
    </row>
    <row r="212" spans="1:16" x14ac:dyDescent="0.3">
      <c r="A212" s="46" t="s">
        <v>2143</v>
      </c>
      <c r="B212" s="26">
        <v>46108</v>
      </c>
      <c r="C212" s="26">
        <v>46113</v>
      </c>
      <c r="D212" s="71">
        <v>3319</v>
      </c>
      <c r="E212" s="25">
        <v>327</v>
      </c>
      <c r="F212" s="46">
        <v>2</v>
      </c>
      <c r="G212" s="46">
        <v>2</v>
      </c>
      <c r="H212" s="46">
        <v>81433</v>
      </c>
      <c r="I212" s="46" t="s">
        <v>17</v>
      </c>
      <c r="J212" s="46">
        <v>24437610</v>
      </c>
      <c r="K212" s="44" t="s">
        <v>333</v>
      </c>
      <c r="L212" s="44" t="s">
        <v>334</v>
      </c>
      <c r="M212" s="72">
        <v>299900</v>
      </c>
      <c r="N212" s="64">
        <v>0.95</v>
      </c>
      <c r="O212" s="72">
        <f t="shared" si="3"/>
        <v>14995</v>
      </c>
      <c r="P212" s="44" t="s">
        <v>0</v>
      </c>
    </row>
    <row r="213" spans="1:16" x14ac:dyDescent="0.3">
      <c r="A213" s="46" t="s">
        <v>2143</v>
      </c>
      <c r="B213" s="26">
        <v>46108</v>
      </c>
      <c r="C213" s="26">
        <v>46113</v>
      </c>
      <c r="D213" s="71">
        <v>3319</v>
      </c>
      <c r="E213" s="25">
        <v>327</v>
      </c>
      <c r="F213" s="46">
        <v>2</v>
      </c>
      <c r="G213" s="46">
        <v>2</v>
      </c>
      <c r="H213" s="46">
        <v>81433</v>
      </c>
      <c r="I213" s="46" t="s">
        <v>17</v>
      </c>
      <c r="J213" s="46">
        <v>24437629</v>
      </c>
      <c r="K213" s="44" t="s">
        <v>333</v>
      </c>
      <c r="L213" s="44" t="s">
        <v>335</v>
      </c>
      <c r="M213" s="72">
        <v>299900</v>
      </c>
      <c r="N213" s="64">
        <v>0.95</v>
      </c>
      <c r="O213" s="72">
        <f t="shared" si="3"/>
        <v>14995</v>
      </c>
      <c r="P213" s="44" t="s">
        <v>0</v>
      </c>
    </row>
    <row r="214" spans="1:16" x14ac:dyDescent="0.3">
      <c r="A214" s="46" t="s">
        <v>2143</v>
      </c>
      <c r="B214" s="26">
        <v>46108</v>
      </c>
      <c r="C214" s="26">
        <v>46113</v>
      </c>
      <c r="D214" s="71">
        <v>3319</v>
      </c>
      <c r="E214" s="25">
        <v>327</v>
      </c>
      <c r="F214" s="46">
        <v>2</v>
      </c>
      <c r="G214" s="46">
        <v>2</v>
      </c>
      <c r="H214" s="46">
        <v>81433</v>
      </c>
      <c r="I214" s="46" t="s">
        <v>17</v>
      </c>
      <c r="J214" s="46">
        <v>24437638</v>
      </c>
      <c r="K214" s="44" t="s">
        <v>333</v>
      </c>
      <c r="L214" s="44" t="s">
        <v>336</v>
      </c>
      <c r="M214" s="72">
        <v>299900</v>
      </c>
      <c r="N214" s="64">
        <v>0.95</v>
      </c>
      <c r="O214" s="72">
        <f t="shared" si="3"/>
        <v>14995</v>
      </c>
      <c r="P214" s="44" t="s">
        <v>0</v>
      </c>
    </row>
    <row r="215" spans="1:16" x14ac:dyDescent="0.3">
      <c r="A215" s="46" t="s">
        <v>2143</v>
      </c>
      <c r="B215" s="26">
        <v>46108</v>
      </c>
      <c r="C215" s="26">
        <v>46113</v>
      </c>
      <c r="D215" s="71">
        <v>3319</v>
      </c>
      <c r="E215" s="25">
        <v>327</v>
      </c>
      <c r="F215" s="46">
        <v>2</v>
      </c>
      <c r="G215" s="46">
        <v>2</v>
      </c>
      <c r="H215" s="46">
        <v>81433</v>
      </c>
      <c r="I215" s="46" t="s">
        <v>17</v>
      </c>
      <c r="J215" s="46">
        <v>24437647</v>
      </c>
      <c r="K215" s="44" t="s">
        <v>333</v>
      </c>
      <c r="L215" s="44" t="s">
        <v>337</v>
      </c>
      <c r="M215" s="72">
        <v>299900</v>
      </c>
      <c r="N215" s="64">
        <v>0.95</v>
      </c>
      <c r="O215" s="72">
        <f t="shared" si="3"/>
        <v>14995</v>
      </c>
      <c r="P215" s="44" t="s">
        <v>0</v>
      </c>
    </row>
    <row r="216" spans="1:16" x14ac:dyDescent="0.3">
      <c r="A216" s="46" t="s">
        <v>2143</v>
      </c>
      <c r="B216" s="26">
        <v>46108</v>
      </c>
      <c r="C216" s="26">
        <v>46113</v>
      </c>
      <c r="D216" s="71">
        <v>3319</v>
      </c>
      <c r="E216" s="25">
        <v>327</v>
      </c>
      <c r="F216" s="46">
        <v>2</v>
      </c>
      <c r="G216" s="46">
        <v>2</v>
      </c>
      <c r="H216" s="46">
        <v>81433</v>
      </c>
      <c r="I216" s="46" t="s">
        <v>17</v>
      </c>
      <c r="J216" s="46">
        <v>24437656</v>
      </c>
      <c r="K216" s="44" t="s">
        <v>333</v>
      </c>
      <c r="L216" s="44" t="s">
        <v>338</v>
      </c>
      <c r="M216" s="72">
        <v>299900</v>
      </c>
      <c r="N216" s="64">
        <v>0.95</v>
      </c>
      <c r="O216" s="72">
        <f t="shared" si="3"/>
        <v>14995</v>
      </c>
      <c r="P216" s="44" t="s">
        <v>0</v>
      </c>
    </row>
    <row r="217" spans="1:16" x14ac:dyDescent="0.3">
      <c r="A217" s="46" t="s">
        <v>2143</v>
      </c>
      <c r="B217" s="26">
        <v>46108</v>
      </c>
      <c r="C217" s="26">
        <v>46113</v>
      </c>
      <c r="D217" s="71">
        <v>3319</v>
      </c>
      <c r="E217" s="25">
        <v>327</v>
      </c>
      <c r="F217" s="46">
        <v>2</v>
      </c>
      <c r="G217" s="46">
        <v>2</v>
      </c>
      <c r="H217" s="46">
        <v>81433</v>
      </c>
      <c r="I217" s="46" t="s">
        <v>17</v>
      </c>
      <c r="J217" s="46">
        <v>24494817</v>
      </c>
      <c r="K217" s="44" t="s">
        <v>339</v>
      </c>
      <c r="L217" s="44" t="s">
        <v>340</v>
      </c>
      <c r="M217" s="72">
        <v>299900</v>
      </c>
      <c r="N217" s="64">
        <v>0.95</v>
      </c>
      <c r="O217" s="72">
        <f t="shared" si="3"/>
        <v>14995</v>
      </c>
      <c r="P217" s="44" t="s">
        <v>0</v>
      </c>
    </row>
    <row r="218" spans="1:16" x14ac:dyDescent="0.3">
      <c r="A218" s="46" t="s">
        <v>2143</v>
      </c>
      <c r="B218" s="26">
        <v>46108</v>
      </c>
      <c r="C218" s="26">
        <v>46113</v>
      </c>
      <c r="D218" s="71">
        <v>3319</v>
      </c>
      <c r="E218" s="25">
        <v>327</v>
      </c>
      <c r="F218" s="46">
        <v>2</v>
      </c>
      <c r="G218" s="46">
        <v>2</v>
      </c>
      <c r="H218" s="46">
        <v>81433</v>
      </c>
      <c r="I218" s="46" t="s">
        <v>17</v>
      </c>
      <c r="J218" s="46">
        <v>24494826</v>
      </c>
      <c r="K218" s="44" t="s">
        <v>339</v>
      </c>
      <c r="L218" s="44" t="s">
        <v>341</v>
      </c>
      <c r="M218" s="72">
        <v>299900</v>
      </c>
      <c r="N218" s="64">
        <v>0.95</v>
      </c>
      <c r="O218" s="72">
        <f t="shared" si="3"/>
        <v>14995</v>
      </c>
      <c r="P218" s="44" t="s">
        <v>0</v>
      </c>
    </row>
    <row r="219" spans="1:16" x14ac:dyDescent="0.3">
      <c r="A219" s="46" t="s">
        <v>2143</v>
      </c>
      <c r="B219" s="26">
        <v>46108</v>
      </c>
      <c r="C219" s="26">
        <v>46113</v>
      </c>
      <c r="D219" s="71">
        <v>3319</v>
      </c>
      <c r="E219" s="25">
        <v>327</v>
      </c>
      <c r="F219" s="46">
        <v>2</v>
      </c>
      <c r="G219" s="46">
        <v>2</v>
      </c>
      <c r="H219" s="46">
        <v>81433</v>
      </c>
      <c r="I219" s="46" t="s">
        <v>17</v>
      </c>
      <c r="J219" s="46">
        <v>24494835</v>
      </c>
      <c r="K219" s="44" t="s">
        <v>339</v>
      </c>
      <c r="L219" s="44" t="s">
        <v>342</v>
      </c>
      <c r="M219" s="72">
        <v>299900</v>
      </c>
      <c r="N219" s="64">
        <v>0.95</v>
      </c>
      <c r="O219" s="72">
        <f t="shared" si="3"/>
        <v>14995</v>
      </c>
      <c r="P219" s="44" t="s">
        <v>0</v>
      </c>
    </row>
    <row r="220" spans="1:16" x14ac:dyDescent="0.3">
      <c r="A220" s="46" t="s">
        <v>2143</v>
      </c>
      <c r="B220" s="26">
        <v>46108</v>
      </c>
      <c r="C220" s="26">
        <v>46113</v>
      </c>
      <c r="D220" s="71">
        <v>3319</v>
      </c>
      <c r="E220" s="25">
        <v>327</v>
      </c>
      <c r="F220" s="46">
        <v>2</v>
      </c>
      <c r="G220" s="46">
        <v>2</v>
      </c>
      <c r="H220" s="46">
        <v>81433</v>
      </c>
      <c r="I220" s="46" t="s">
        <v>17</v>
      </c>
      <c r="J220" s="46">
        <v>24494844</v>
      </c>
      <c r="K220" s="44" t="s">
        <v>339</v>
      </c>
      <c r="L220" s="44" t="s">
        <v>343</v>
      </c>
      <c r="M220" s="72">
        <v>299900</v>
      </c>
      <c r="N220" s="64">
        <v>0.95</v>
      </c>
      <c r="O220" s="72">
        <f t="shared" si="3"/>
        <v>14995</v>
      </c>
      <c r="P220" s="44" t="s">
        <v>0</v>
      </c>
    </row>
    <row r="221" spans="1:16" x14ac:dyDescent="0.3">
      <c r="A221" s="46" t="s">
        <v>2143</v>
      </c>
      <c r="B221" s="26">
        <v>46108</v>
      </c>
      <c r="C221" s="26">
        <v>46113</v>
      </c>
      <c r="D221" s="71">
        <v>3319</v>
      </c>
      <c r="E221" s="25">
        <v>327</v>
      </c>
      <c r="F221" s="46">
        <v>2</v>
      </c>
      <c r="G221" s="46">
        <v>2</v>
      </c>
      <c r="H221" s="46">
        <v>81433</v>
      </c>
      <c r="I221" s="46" t="s">
        <v>17</v>
      </c>
      <c r="J221" s="46">
        <v>24494853</v>
      </c>
      <c r="K221" s="44" t="s">
        <v>339</v>
      </c>
      <c r="L221" s="44" t="s">
        <v>344</v>
      </c>
      <c r="M221" s="72">
        <v>299900</v>
      </c>
      <c r="N221" s="64">
        <v>0.95</v>
      </c>
      <c r="O221" s="72">
        <f t="shared" si="3"/>
        <v>14995</v>
      </c>
      <c r="P221" s="44" t="s">
        <v>0</v>
      </c>
    </row>
    <row r="222" spans="1:16" x14ac:dyDescent="0.3">
      <c r="A222" s="46" t="s">
        <v>2143</v>
      </c>
      <c r="B222" s="26">
        <v>46108</v>
      </c>
      <c r="C222" s="26">
        <v>46113</v>
      </c>
      <c r="D222" s="71">
        <v>3319</v>
      </c>
      <c r="E222" s="25">
        <v>327</v>
      </c>
      <c r="F222" s="46">
        <v>2</v>
      </c>
      <c r="G222" s="46">
        <v>2</v>
      </c>
      <c r="H222" s="46">
        <v>81433</v>
      </c>
      <c r="I222" s="46" t="s">
        <v>17</v>
      </c>
      <c r="J222" s="46">
        <v>24721446</v>
      </c>
      <c r="K222" s="44" t="s">
        <v>345</v>
      </c>
      <c r="L222" s="44" t="s">
        <v>346</v>
      </c>
      <c r="M222" s="72">
        <v>279900</v>
      </c>
      <c r="N222" s="64">
        <v>0.95</v>
      </c>
      <c r="O222" s="72">
        <f t="shared" si="3"/>
        <v>13995</v>
      </c>
      <c r="P222" s="44" t="s">
        <v>0</v>
      </c>
    </row>
    <row r="223" spans="1:16" x14ac:dyDescent="0.3">
      <c r="A223" s="46" t="s">
        <v>2143</v>
      </c>
      <c r="B223" s="26">
        <v>46108</v>
      </c>
      <c r="C223" s="26">
        <v>46113</v>
      </c>
      <c r="D223" s="71">
        <v>3319</v>
      </c>
      <c r="E223" s="25">
        <v>327</v>
      </c>
      <c r="F223" s="46">
        <v>2</v>
      </c>
      <c r="G223" s="46">
        <v>2</v>
      </c>
      <c r="H223" s="46">
        <v>81433</v>
      </c>
      <c r="I223" s="46" t="s">
        <v>17</v>
      </c>
      <c r="J223" s="46">
        <v>24721455</v>
      </c>
      <c r="K223" s="44" t="s">
        <v>345</v>
      </c>
      <c r="L223" s="44" t="s">
        <v>347</v>
      </c>
      <c r="M223" s="72">
        <v>279900</v>
      </c>
      <c r="N223" s="64">
        <v>0.95</v>
      </c>
      <c r="O223" s="72">
        <f t="shared" si="3"/>
        <v>13995</v>
      </c>
      <c r="P223" s="44" t="s">
        <v>0</v>
      </c>
    </row>
    <row r="224" spans="1:16" x14ac:dyDescent="0.3">
      <c r="A224" s="46" t="s">
        <v>2143</v>
      </c>
      <c r="B224" s="26">
        <v>46108</v>
      </c>
      <c r="C224" s="26">
        <v>46113</v>
      </c>
      <c r="D224" s="71">
        <v>3319</v>
      </c>
      <c r="E224" s="25">
        <v>327</v>
      </c>
      <c r="F224" s="46">
        <v>2</v>
      </c>
      <c r="G224" s="46">
        <v>2</v>
      </c>
      <c r="H224" s="46">
        <v>81433</v>
      </c>
      <c r="I224" s="46" t="s">
        <v>17</v>
      </c>
      <c r="J224" s="46">
        <v>24721473</v>
      </c>
      <c r="K224" s="44" t="s">
        <v>345</v>
      </c>
      <c r="L224" s="44" t="s">
        <v>348</v>
      </c>
      <c r="M224" s="72">
        <v>279900</v>
      </c>
      <c r="N224" s="64">
        <v>0.95</v>
      </c>
      <c r="O224" s="72">
        <f t="shared" si="3"/>
        <v>13995</v>
      </c>
      <c r="P224" s="44" t="s">
        <v>0</v>
      </c>
    </row>
    <row r="225" spans="1:16" x14ac:dyDescent="0.3">
      <c r="A225" s="46" t="s">
        <v>2143</v>
      </c>
      <c r="B225" s="26">
        <v>46108</v>
      </c>
      <c r="C225" s="26">
        <v>46113</v>
      </c>
      <c r="D225" s="71">
        <v>3319</v>
      </c>
      <c r="E225" s="25">
        <v>327</v>
      </c>
      <c r="F225" s="46">
        <v>2</v>
      </c>
      <c r="G225" s="46">
        <v>2</v>
      </c>
      <c r="H225" s="46">
        <v>81433</v>
      </c>
      <c r="I225" s="46" t="s">
        <v>17</v>
      </c>
      <c r="J225" s="46">
        <v>24721482</v>
      </c>
      <c r="K225" s="44" t="s">
        <v>349</v>
      </c>
      <c r="L225" s="44" t="s">
        <v>350</v>
      </c>
      <c r="M225" s="72">
        <v>279900</v>
      </c>
      <c r="N225" s="64">
        <v>0.95</v>
      </c>
      <c r="O225" s="72">
        <f t="shared" si="3"/>
        <v>13995</v>
      </c>
      <c r="P225" s="44" t="s">
        <v>0</v>
      </c>
    </row>
    <row r="226" spans="1:16" x14ac:dyDescent="0.3">
      <c r="A226" s="46" t="s">
        <v>2143</v>
      </c>
      <c r="B226" s="26">
        <v>46108</v>
      </c>
      <c r="C226" s="26">
        <v>46113</v>
      </c>
      <c r="D226" s="71">
        <v>3319</v>
      </c>
      <c r="E226" s="25">
        <v>327</v>
      </c>
      <c r="F226" s="46">
        <v>2</v>
      </c>
      <c r="G226" s="46">
        <v>2</v>
      </c>
      <c r="H226" s="46">
        <v>81433</v>
      </c>
      <c r="I226" s="46" t="s">
        <v>17</v>
      </c>
      <c r="J226" s="46">
        <v>24721491</v>
      </c>
      <c r="K226" s="44" t="s">
        <v>349</v>
      </c>
      <c r="L226" s="44" t="s">
        <v>351</v>
      </c>
      <c r="M226" s="72">
        <v>279900</v>
      </c>
      <c r="N226" s="64">
        <v>0.95</v>
      </c>
      <c r="O226" s="72">
        <f t="shared" si="3"/>
        <v>13995</v>
      </c>
      <c r="P226" s="44" t="s">
        <v>0</v>
      </c>
    </row>
    <row r="227" spans="1:16" x14ac:dyDescent="0.3">
      <c r="A227" s="46" t="s">
        <v>2143</v>
      </c>
      <c r="B227" s="26">
        <v>46108</v>
      </c>
      <c r="C227" s="26">
        <v>46113</v>
      </c>
      <c r="D227" s="71">
        <v>3319</v>
      </c>
      <c r="E227" s="25">
        <v>327</v>
      </c>
      <c r="F227" s="46">
        <v>2</v>
      </c>
      <c r="G227" s="46">
        <v>2</v>
      </c>
      <c r="H227" s="46">
        <v>81433</v>
      </c>
      <c r="I227" s="46" t="s">
        <v>17</v>
      </c>
      <c r="J227" s="46">
        <v>24721526</v>
      </c>
      <c r="K227" s="44" t="s">
        <v>349</v>
      </c>
      <c r="L227" s="44" t="s">
        <v>352</v>
      </c>
      <c r="M227" s="72">
        <v>279900</v>
      </c>
      <c r="N227" s="64">
        <v>0.95</v>
      </c>
      <c r="O227" s="72">
        <f t="shared" si="3"/>
        <v>13995</v>
      </c>
      <c r="P227" s="44" t="s">
        <v>0</v>
      </c>
    </row>
    <row r="228" spans="1:16" x14ac:dyDescent="0.3">
      <c r="A228" s="46" t="s">
        <v>2143</v>
      </c>
      <c r="B228" s="26">
        <v>46108</v>
      </c>
      <c r="C228" s="26">
        <v>46113</v>
      </c>
      <c r="D228" s="71">
        <v>3319</v>
      </c>
      <c r="E228" s="25">
        <v>327</v>
      </c>
      <c r="F228" s="46">
        <v>2</v>
      </c>
      <c r="G228" s="46">
        <v>2</v>
      </c>
      <c r="H228" s="46">
        <v>81433</v>
      </c>
      <c r="I228" s="46" t="s">
        <v>17</v>
      </c>
      <c r="J228" s="46">
        <v>24722365</v>
      </c>
      <c r="K228" s="44" t="s">
        <v>353</v>
      </c>
      <c r="L228" s="44" t="s">
        <v>354</v>
      </c>
      <c r="M228" s="72">
        <v>299900</v>
      </c>
      <c r="N228" s="64">
        <v>0.95</v>
      </c>
      <c r="O228" s="72">
        <f t="shared" si="3"/>
        <v>14995</v>
      </c>
      <c r="P228" s="44" t="s">
        <v>0</v>
      </c>
    </row>
    <row r="229" spans="1:16" x14ac:dyDescent="0.3">
      <c r="A229" s="46" t="s">
        <v>2143</v>
      </c>
      <c r="B229" s="26">
        <v>46108</v>
      </c>
      <c r="C229" s="26">
        <v>46113</v>
      </c>
      <c r="D229" s="71">
        <v>3319</v>
      </c>
      <c r="E229" s="25">
        <v>327</v>
      </c>
      <c r="F229" s="46">
        <v>2</v>
      </c>
      <c r="G229" s="46">
        <v>2</v>
      </c>
      <c r="H229" s="46">
        <v>81433</v>
      </c>
      <c r="I229" s="46" t="s">
        <v>17</v>
      </c>
      <c r="J229" s="46">
        <v>24722374</v>
      </c>
      <c r="K229" s="44" t="s">
        <v>353</v>
      </c>
      <c r="L229" s="44" t="s">
        <v>355</v>
      </c>
      <c r="M229" s="72">
        <v>299900</v>
      </c>
      <c r="N229" s="64">
        <v>0.95</v>
      </c>
      <c r="O229" s="72">
        <f t="shared" si="3"/>
        <v>14995</v>
      </c>
      <c r="P229" s="44" t="s">
        <v>0</v>
      </c>
    </row>
    <row r="230" spans="1:16" x14ac:dyDescent="0.3">
      <c r="A230" s="46" t="s">
        <v>2143</v>
      </c>
      <c r="B230" s="26">
        <v>46108</v>
      </c>
      <c r="C230" s="26">
        <v>46113</v>
      </c>
      <c r="D230" s="71">
        <v>3319</v>
      </c>
      <c r="E230" s="25">
        <v>327</v>
      </c>
      <c r="F230" s="46">
        <v>2</v>
      </c>
      <c r="G230" s="46">
        <v>2</v>
      </c>
      <c r="H230" s="46">
        <v>81433</v>
      </c>
      <c r="I230" s="46" t="s">
        <v>17</v>
      </c>
      <c r="J230" s="46">
        <v>24722383</v>
      </c>
      <c r="K230" s="44" t="s">
        <v>353</v>
      </c>
      <c r="L230" s="44" t="s">
        <v>356</v>
      </c>
      <c r="M230" s="72">
        <v>299900</v>
      </c>
      <c r="N230" s="64">
        <v>0.95</v>
      </c>
      <c r="O230" s="72">
        <f t="shared" si="3"/>
        <v>14995</v>
      </c>
      <c r="P230" s="44" t="s">
        <v>0</v>
      </c>
    </row>
    <row r="231" spans="1:16" x14ac:dyDescent="0.3">
      <c r="A231" s="46" t="s">
        <v>2143</v>
      </c>
      <c r="B231" s="26">
        <v>46108</v>
      </c>
      <c r="C231" s="26">
        <v>46113</v>
      </c>
      <c r="D231" s="71">
        <v>3319</v>
      </c>
      <c r="E231" s="25">
        <v>327</v>
      </c>
      <c r="F231" s="46">
        <v>2</v>
      </c>
      <c r="G231" s="46">
        <v>2</v>
      </c>
      <c r="H231" s="46">
        <v>81433</v>
      </c>
      <c r="I231" s="46" t="s">
        <v>17</v>
      </c>
      <c r="J231" s="46">
        <v>24722392</v>
      </c>
      <c r="K231" s="44" t="s">
        <v>353</v>
      </c>
      <c r="L231" s="44" t="s">
        <v>357</v>
      </c>
      <c r="M231" s="72">
        <v>299900</v>
      </c>
      <c r="N231" s="64">
        <v>0.95</v>
      </c>
      <c r="O231" s="72">
        <f t="shared" si="3"/>
        <v>14995</v>
      </c>
      <c r="P231" s="44" t="s">
        <v>0</v>
      </c>
    </row>
    <row r="232" spans="1:16" x14ac:dyDescent="0.3">
      <c r="A232" s="46" t="s">
        <v>2143</v>
      </c>
      <c r="B232" s="26">
        <v>46108</v>
      </c>
      <c r="C232" s="26">
        <v>46113</v>
      </c>
      <c r="D232" s="71">
        <v>3319</v>
      </c>
      <c r="E232" s="25">
        <v>327</v>
      </c>
      <c r="F232" s="46">
        <v>2</v>
      </c>
      <c r="G232" s="46">
        <v>2</v>
      </c>
      <c r="H232" s="46">
        <v>81433</v>
      </c>
      <c r="I232" s="46" t="s">
        <v>17</v>
      </c>
      <c r="J232" s="46">
        <v>24722409</v>
      </c>
      <c r="K232" s="44" t="s">
        <v>353</v>
      </c>
      <c r="L232" s="44" t="s">
        <v>358</v>
      </c>
      <c r="M232" s="72">
        <v>299900</v>
      </c>
      <c r="N232" s="64">
        <v>0.95</v>
      </c>
      <c r="O232" s="72">
        <f t="shared" si="3"/>
        <v>14995</v>
      </c>
      <c r="P232" s="44" t="s">
        <v>0</v>
      </c>
    </row>
    <row r="233" spans="1:16" x14ac:dyDescent="0.3">
      <c r="A233" s="46" t="s">
        <v>2143</v>
      </c>
      <c r="B233" s="26">
        <v>46108</v>
      </c>
      <c r="C233" s="26">
        <v>46113</v>
      </c>
      <c r="D233" s="71">
        <v>3319</v>
      </c>
      <c r="E233" s="25">
        <v>327</v>
      </c>
      <c r="F233" s="46">
        <v>2</v>
      </c>
      <c r="G233" s="46">
        <v>2</v>
      </c>
      <c r="H233" s="46">
        <v>81433</v>
      </c>
      <c r="I233" s="46" t="s">
        <v>17</v>
      </c>
      <c r="J233" s="46">
        <v>22735588</v>
      </c>
      <c r="K233" s="44" t="s">
        <v>359</v>
      </c>
      <c r="L233" s="44" t="s">
        <v>360</v>
      </c>
      <c r="M233" s="72">
        <v>299900</v>
      </c>
      <c r="N233" s="64">
        <v>0.95</v>
      </c>
      <c r="O233" s="72">
        <f t="shared" si="3"/>
        <v>14995</v>
      </c>
      <c r="P233" s="44" t="s">
        <v>0</v>
      </c>
    </row>
    <row r="234" spans="1:16" x14ac:dyDescent="0.3">
      <c r="A234" s="46" t="s">
        <v>2143</v>
      </c>
      <c r="B234" s="26">
        <v>46108</v>
      </c>
      <c r="C234" s="26">
        <v>46113</v>
      </c>
      <c r="D234" s="71">
        <v>3319</v>
      </c>
      <c r="E234" s="25">
        <v>327</v>
      </c>
      <c r="F234" s="46">
        <v>2</v>
      </c>
      <c r="G234" s="46">
        <v>2</v>
      </c>
      <c r="H234" s="46">
        <v>81433</v>
      </c>
      <c r="I234" s="46" t="s">
        <v>17</v>
      </c>
      <c r="J234" s="46">
        <v>22735597</v>
      </c>
      <c r="K234" s="44" t="s">
        <v>359</v>
      </c>
      <c r="L234" s="44" t="s">
        <v>361</v>
      </c>
      <c r="M234" s="72">
        <v>299900</v>
      </c>
      <c r="N234" s="64">
        <v>0.95</v>
      </c>
      <c r="O234" s="72">
        <f t="shared" si="3"/>
        <v>14995</v>
      </c>
      <c r="P234" s="44" t="s">
        <v>0</v>
      </c>
    </row>
    <row r="235" spans="1:16" x14ac:dyDescent="0.3">
      <c r="A235" s="46" t="s">
        <v>2143</v>
      </c>
      <c r="B235" s="26">
        <v>46108</v>
      </c>
      <c r="C235" s="26">
        <v>46113</v>
      </c>
      <c r="D235" s="71">
        <v>3319</v>
      </c>
      <c r="E235" s="25">
        <v>327</v>
      </c>
      <c r="F235" s="46">
        <v>2</v>
      </c>
      <c r="G235" s="46">
        <v>2</v>
      </c>
      <c r="H235" s="46">
        <v>81433</v>
      </c>
      <c r="I235" s="46" t="s">
        <v>17</v>
      </c>
      <c r="J235" s="46">
        <v>22735604</v>
      </c>
      <c r="K235" s="44" t="s">
        <v>359</v>
      </c>
      <c r="L235" s="44" t="s">
        <v>362</v>
      </c>
      <c r="M235" s="72">
        <v>299900</v>
      </c>
      <c r="N235" s="64">
        <v>0.95</v>
      </c>
      <c r="O235" s="72">
        <f t="shared" si="3"/>
        <v>14995</v>
      </c>
      <c r="P235" s="44" t="s">
        <v>0</v>
      </c>
    </row>
    <row r="236" spans="1:16" x14ac:dyDescent="0.3">
      <c r="A236" s="46" t="s">
        <v>2143</v>
      </c>
      <c r="B236" s="26">
        <v>46108</v>
      </c>
      <c r="C236" s="26">
        <v>46113</v>
      </c>
      <c r="D236" s="71">
        <v>3319</v>
      </c>
      <c r="E236" s="25">
        <v>327</v>
      </c>
      <c r="F236" s="46">
        <v>2</v>
      </c>
      <c r="G236" s="46">
        <v>2</v>
      </c>
      <c r="H236" s="46">
        <v>81433</v>
      </c>
      <c r="I236" s="46" t="s">
        <v>17</v>
      </c>
      <c r="J236" s="46">
        <v>22735631</v>
      </c>
      <c r="K236" s="44" t="s">
        <v>363</v>
      </c>
      <c r="L236" s="44" t="s">
        <v>364</v>
      </c>
      <c r="M236" s="72">
        <v>299900</v>
      </c>
      <c r="N236" s="64">
        <v>0.95</v>
      </c>
      <c r="O236" s="72">
        <f t="shared" si="3"/>
        <v>14995</v>
      </c>
      <c r="P236" s="44" t="s">
        <v>0</v>
      </c>
    </row>
    <row r="237" spans="1:16" x14ac:dyDescent="0.3">
      <c r="A237" s="46" t="s">
        <v>2143</v>
      </c>
      <c r="B237" s="26">
        <v>46108</v>
      </c>
      <c r="C237" s="26">
        <v>46113</v>
      </c>
      <c r="D237" s="71">
        <v>3319</v>
      </c>
      <c r="E237" s="25">
        <v>327</v>
      </c>
      <c r="F237" s="46">
        <v>2</v>
      </c>
      <c r="G237" s="46">
        <v>2</v>
      </c>
      <c r="H237" s="46">
        <v>81433</v>
      </c>
      <c r="I237" s="46" t="s">
        <v>17</v>
      </c>
      <c r="J237" s="46">
        <v>22735640</v>
      </c>
      <c r="K237" s="44" t="s">
        <v>363</v>
      </c>
      <c r="L237" s="44" t="s">
        <v>365</v>
      </c>
      <c r="M237" s="72">
        <v>299900</v>
      </c>
      <c r="N237" s="64">
        <v>0.95</v>
      </c>
      <c r="O237" s="72">
        <f t="shared" si="3"/>
        <v>14995</v>
      </c>
      <c r="P237" s="44" t="s">
        <v>0</v>
      </c>
    </row>
    <row r="238" spans="1:16" x14ac:dyDescent="0.3">
      <c r="A238" s="46" t="s">
        <v>2143</v>
      </c>
      <c r="B238" s="26">
        <v>46108</v>
      </c>
      <c r="C238" s="26">
        <v>46113</v>
      </c>
      <c r="D238" s="71">
        <v>3319</v>
      </c>
      <c r="E238" s="25">
        <v>327</v>
      </c>
      <c r="F238" s="46">
        <v>2</v>
      </c>
      <c r="G238" s="46">
        <v>2</v>
      </c>
      <c r="H238" s="46">
        <v>81433</v>
      </c>
      <c r="I238" s="46" t="s">
        <v>17</v>
      </c>
      <c r="J238" s="46">
        <v>22735659</v>
      </c>
      <c r="K238" s="44" t="s">
        <v>363</v>
      </c>
      <c r="L238" s="44" t="s">
        <v>366</v>
      </c>
      <c r="M238" s="72">
        <v>299900</v>
      </c>
      <c r="N238" s="64">
        <v>0.95</v>
      </c>
      <c r="O238" s="72">
        <f t="shared" si="3"/>
        <v>14995</v>
      </c>
      <c r="P238" s="44" t="s">
        <v>0</v>
      </c>
    </row>
    <row r="239" spans="1:16" x14ac:dyDescent="0.3">
      <c r="A239" s="46" t="s">
        <v>2143</v>
      </c>
      <c r="B239" s="26">
        <v>46108</v>
      </c>
      <c r="C239" s="26">
        <v>46113</v>
      </c>
      <c r="D239" s="71">
        <v>3319</v>
      </c>
      <c r="E239" s="25">
        <v>327</v>
      </c>
      <c r="F239" s="46">
        <v>2</v>
      </c>
      <c r="G239" s="46">
        <v>2</v>
      </c>
      <c r="H239" s="46">
        <v>81433</v>
      </c>
      <c r="I239" s="46" t="s">
        <v>17</v>
      </c>
      <c r="J239" s="46">
        <v>22735668</v>
      </c>
      <c r="K239" s="44" t="s">
        <v>363</v>
      </c>
      <c r="L239" s="44" t="s">
        <v>367</v>
      </c>
      <c r="M239" s="72">
        <v>299900</v>
      </c>
      <c r="N239" s="64">
        <v>0.95</v>
      </c>
      <c r="O239" s="72">
        <f t="shared" si="3"/>
        <v>14995</v>
      </c>
      <c r="P239" s="44" t="s">
        <v>0</v>
      </c>
    </row>
    <row r="240" spans="1:16" x14ac:dyDescent="0.3">
      <c r="A240" s="46" t="s">
        <v>2143</v>
      </c>
      <c r="B240" s="26">
        <v>46108</v>
      </c>
      <c r="C240" s="26">
        <v>46113</v>
      </c>
      <c r="D240" s="71">
        <v>3319</v>
      </c>
      <c r="E240" s="25">
        <v>327</v>
      </c>
      <c r="F240" s="46">
        <v>2</v>
      </c>
      <c r="G240" s="46">
        <v>2</v>
      </c>
      <c r="H240" s="46">
        <v>81433</v>
      </c>
      <c r="I240" s="46" t="s">
        <v>17</v>
      </c>
      <c r="J240" s="46">
        <v>22593731</v>
      </c>
      <c r="K240" s="44" t="s">
        <v>368</v>
      </c>
      <c r="L240" s="44" t="s">
        <v>369</v>
      </c>
      <c r="M240" s="72">
        <v>299900</v>
      </c>
      <c r="N240" s="64">
        <v>0.95</v>
      </c>
      <c r="O240" s="72">
        <f t="shared" si="3"/>
        <v>14995</v>
      </c>
      <c r="P240" s="44" t="s">
        <v>0</v>
      </c>
    </row>
    <row r="241" spans="1:16" x14ac:dyDescent="0.3">
      <c r="A241" s="46" t="s">
        <v>2143</v>
      </c>
      <c r="B241" s="26">
        <v>46108</v>
      </c>
      <c r="C241" s="26">
        <v>46113</v>
      </c>
      <c r="D241" s="71">
        <v>3319</v>
      </c>
      <c r="E241" s="25">
        <v>327</v>
      </c>
      <c r="F241" s="46">
        <v>2</v>
      </c>
      <c r="G241" s="46">
        <v>2</v>
      </c>
      <c r="H241" s="46">
        <v>81433</v>
      </c>
      <c r="I241" s="46" t="s">
        <v>17</v>
      </c>
      <c r="J241" s="46">
        <v>22593740</v>
      </c>
      <c r="K241" s="44" t="s">
        <v>368</v>
      </c>
      <c r="L241" s="44" t="s">
        <v>370</v>
      </c>
      <c r="M241" s="72">
        <v>299900</v>
      </c>
      <c r="N241" s="64">
        <v>0.95</v>
      </c>
      <c r="O241" s="72">
        <f t="shared" si="3"/>
        <v>14995</v>
      </c>
      <c r="P241" s="44" t="s">
        <v>0</v>
      </c>
    </row>
    <row r="242" spans="1:16" x14ac:dyDescent="0.3">
      <c r="A242" s="46" t="s">
        <v>2143</v>
      </c>
      <c r="B242" s="26">
        <v>46108</v>
      </c>
      <c r="C242" s="26">
        <v>46113</v>
      </c>
      <c r="D242" s="71">
        <v>3319</v>
      </c>
      <c r="E242" s="25">
        <v>327</v>
      </c>
      <c r="F242" s="46">
        <v>2</v>
      </c>
      <c r="G242" s="46">
        <v>2</v>
      </c>
      <c r="H242" s="46">
        <v>81433</v>
      </c>
      <c r="I242" s="46" t="s">
        <v>17</v>
      </c>
      <c r="J242" s="46">
        <v>22593777</v>
      </c>
      <c r="K242" s="44" t="s">
        <v>371</v>
      </c>
      <c r="L242" s="44" t="s">
        <v>372</v>
      </c>
      <c r="M242" s="72">
        <v>299900</v>
      </c>
      <c r="N242" s="64">
        <v>0.95</v>
      </c>
      <c r="O242" s="72">
        <f t="shared" si="3"/>
        <v>14995</v>
      </c>
      <c r="P242" s="44" t="s">
        <v>0</v>
      </c>
    </row>
    <row r="243" spans="1:16" x14ac:dyDescent="0.3">
      <c r="A243" s="46" t="s">
        <v>2143</v>
      </c>
      <c r="B243" s="26">
        <v>46108</v>
      </c>
      <c r="C243" s="26">
        <v>46113</v>
      </c>
      <c r="D243" s="71">
        <v>3319</v>
      </c>
      <c r="E243" s="25">
        <v>327</v>
      </c>
      <c r="F243" s="46">
        <v>2</v>
      </c>
      <c r="G243" s="46">
        <v>2</v>
      </c>
      <c r="H243" s="46">
        <v>81433</v>
      </c>
      <c r="I243" s="46" t="s">
        <v>17</v>
      </c>
      <c r="J243" s="46">
        <v>22593786</v>
      </c>
      <c r="K243" s="44" t="s">
        <v>371</v>
      </c>
      <c r="L243" s="44" t="s">
        <v>373</v>
      </c>
      <c r="M243" s="72">
        <v>299900</v>
      </c>
      <c r="N243" s="64">
        <v>0.95</v>
      </c>
      <c r="O243" s="72">
        <f t="shared" si="3"/>
        <v>14995</v>
      </c>
      <c r="P243" s="44" t="s">
        <v>0</v>
      </c>
    </row>
    <row r="244" spans="1:16" x14ac:dyDescent="0.3">
      <c r="A244" s="46" t="s">
        <v>2143</v>
      </c>
      <c r="B244" s="26">
        <v>46108</v>
      </c>
      <c r="C244" s="26">
        <v>46113</v>
      </c>
      <c r="D244" s="71">
        <v>3319</v>
      </c>
      <c r="E244" s="25">
        <v>327</v>
      </c>
      <c r="F244" s="46">
        <v>2</v>
      </c>
      <c r="G244" s="46">
        <v>2</v>
      </c>
      <c r="H244" s="46">
        <v>81433</v>
      </c>
      <c r="I244" s="46" t="s">
        <v>17</v>
      </c>
      <c r="J244" s="46">
        <v>22593795</v>
      </c>
      <c r="K244" s="44" t="s">
        <v>371</v>
      </c>
      <c r="L244" s="44" t="s">
        <v>374</v>
      </c>
      <c r="M244" s="72">
        <v>299900</v>
      </c>
      <c r="N244" s="64">
        <v>0.95</v>
      </c>
      <c r="O244" s="72">
        <f t="shared" si="3"/>
        <v>14995</v>
      </c>
      <c r="P244" s="44" t="s">
        <v>0</v>
      </c>
    </row>
    <row r="245" spans="1:16" x14ac:dyDescent="0.3">
      <c r="A245" s="46" t="s">
        <v>2143</v>
      </c>
      <c r="B245" s="26">
        <v>46108</v>
      </c>
      <c r="C245" s="26">
        <v>46113</v>
      </c>
      <c r="D245" s="71">
        <v>3319</v>
      </c>
      <c r="E245" s="25">
        <v>327</v>
      </c>
      <c r="F245" s="46">
        <v>2</v>
      </c>
      <c r="G245" s="46">
        <v>2</v>
      </c>
      <c r="H245" s="46">
        <v>81433</v>
      </c>
      <c r="I245" s="46" t="s">
        <v>17</v>
      </c>
      <c r="J245" s="46">
        <v>22593839</v>
      </c>
      <c r="K245" s="44" t="s">
        <v>375</v>
      </c>
      <c r="L245" s="44" t="s">
        <v>376</v>
      </c>
      <c r="M245" s="72">
        <v>299900</v>
      </c>
      <c r="N245" s="64">
        <v>0.95</v>
      </c>
      <c r="O245" s="72">
        <f t="shared" si="3"/>
        <v>14995</v>
      </c>
      <c r="P245" s="44" t="s">
        <v>0</v>
      </c>
    </row>
    <row r="246" spans="1:16" x14ac:dyDescent="0.3">
      <c r="A246" s="46" t="s">
        <v>2143</v>
      </c>
      <c r="B246" s="26">
        <v>46108</v>
      </c>
      <c r="C246" s="26">
        <v>46113</v>
      </c>
      <c r="D246" s="71">
        <v>3319</v>
      </c>
      <c r="E246" s="25">
        <v>327</v>
      </c>
      <c r="F246" s="46">
        <v>2</v>
      </c>
      <c r="G246" s="46">
        <v>2</v>
      </c>
      <c r="H246" s="46">
        <v>81433</v>
      </c>
      <c r="I246" s="46" t="s">
        <v>17</v>
      </c>
      <c r="J246" s="46">
        <v>22593857</v>
      </c>
      <c r="K246" s="44" t="s">
        <v>375</v>
      </c>
      <c r="L246" s="44" t="s">
        <v>377</v>
      </c>
      <c r="M246" s="72">
        <v>299900</v>
      </c>
      <c r="N246" s="64">
        <v>0.95</v>
      </c>
      <c r="O246" s="72">
        <f t="shared" si="3"/>
        <v>14995</v>
      </c>
      <c r="P246" s="44" t="s">
        <v>0</v>
      </c>
    </row>
  </sheetData>
  <autoFilter ref="A1:P246" xr:uid="{00000000-0009-0000-0000-000000000000}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31"/>
  <sheetViews>
    <sheetView zoomScale="90" zoomScaleNormal="90" workbookViewId="0">
      <selection activeCell="A2" sqref="A2:A131"/>
    </sheetView>
  </sheetViews>
  <sheetFormatPr defaultColWidth="19.44140625" defaultRowHeight="15.6" x14ac:dyDescent="0.3"/>
  <cols>
    <col min="1" max="1" width="24.6640625" style="59" bestFit="1" customWidth="1"/>
    <col min="2" max="3" width="11.6640625" style="59" customWidth="1"/>
    <col min="4" max="6" width="8.6640625" style="59" customWidth="1"/>
    <col min="7" max="7" width="8.6640625" style="16" customWidth="1"/>
    <col min="8" max="9" width="11.6640625" style="16" customWidth="1"/>
    <col min="10" max="10" width="11.6640625" style="60" customWidth="1"/>
    <col min="11" max="11" width="11.6640625" style="13" customWidth="1"/>
    <col min="12" max="12" width="35.6640625" style="16" customWidth="1"/>
    <col min="13" max="13" width="15.6640625" style="63" customWidth="1"/>
    <col min="14" max="14" width="8.6640625" style="19" customWidth="1"/>
    <col min="15" max="15" width="15.6640625" style="63" customWidth="1"/>
    <col min="16" max="16" width="15.6640625" style="59" customWidth="1"/>
    <col min="17" max="16384" width="19.44140625" style="12"/>
  </cols>
  <sheetData>
    <row r="1" spans="1:16" ht="30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1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32" t="s">
        <v>3216</v>
      </c>
      <c r="B2" s="40">
        <v>46108</v>
      </c>
      <c r="C2" s="40">
        <v>46113</v>
      </c>
      <c r="D2" s="32">
        <v>3319</v>
      </c>
      <c r="E2" s="32">
        <v>327</v>
      </c>
      <c r="F2" s="32">
        <v>2</v>
      </c>
      <c r="G2" s="65">
        <v>1</v>
      </c>
      <c r="H2" s="16">
        <v>80700</v>
      </c>
      <c r="I2" s="65" t="s">
        <v>17</v>
      </c>
      <c r="J2" s="60">
        <v>27022160</v>
      </c>
      <c r="K2" s="13" t="s">
        <v>378</v>
      </c>
      <c r="L2" s="13" t="s">
        <v>379</v>
      </c>
      <c r="M2" s="68">
        <v>139900</v>
      </c>
      <c r="N2" s="19">
        <v>0.9</v>
      </c>
      <c r="O2" s="33">
        <f>M2*10%</f>
        <v>13990</v>
      </c>
      <c r="P2" s="32" t="s">
        <v>0</v>
      </c>
    </row>
    <row r="3" spans="1:16" x14ac:dyDescent="0.3">
      <c r="A3" s="32" t="s">
        <v>3216</v>
      </c>
      <c r="B3" s="40">
        <v>46108</v>
      </c>
      <c r="C3" s="40">
        <v>46113</v>
      </c>
      <c r="D3" s="32">
        <v>3319</v>
      </c>
      <c r="E3" s="32">
        <v>327</v>
      </c>
      <c r="F3" s="32">
        <v>2</v>
      </c>
      <c r="G3" s="65">
        <v>1</v>
      </c>
      <c r="H3" s="16">
        <v>80700</v>
      </c>
      <c r="I3" s="65" t="s">
        <v>17</v>
      </c>
      <c r="J3" s="60">
        <v>27022179</v>
      </c>
      <c r="K3" s="13" t="s">
        <v>378</v>
      </c>
      <c r="L3" s="13" t="s">
        <v>380</v>
      </c>
      <c r="M3" s="68">
        <v>139900</v>
      </c>
      <c r="N3" s="19">
        <v>0.9</v>
      </c>
      <c r="O3" s="33">
        <f t="shared" ref="O3:O66" si="0">M3*10%</f>
        <v>13990</v>
      </c>
      <c r="P3" s="32" t="s">
        <v>0</v>
      </c>
    </row>
    <row r="4" spans="1:16" x14ac:dyDescent="0.3">
      <c r="A4" s="32" t="s">
        <v>3216</v>
      </c>
      <c r="B4" s="40">
        <v>46108</v>
      </c>
      <c r="C4" s="40">
        <v>46113</v>
      </c>
      <c r="D4" s="32">
        <v>3319</v>
      </c>
      <c r="E4" s="32">
        <v>327</v>
      </c>
      <c r="F4" s="32">
        <v>2</v>
      </c>
      <c r="G4" s="65">
        <v>1</v>
      </c>
      <c r="H4" s="16">
        <v>80700</v>
      </c>
      <c r="I4" s="65" t="s">
        <v>17</v>
      </c>
      <c r="J4" s="60">
        <v>27022188</v>
      </c>
      <c r="K4" s="13" t="s">
        <v>378</v>
      </c>
      <c r="L4" s="13" t="s">
        <v>381</v>
      </c>
      <c r="M4" s="68">
        <v>139900</v>
      </c>
      <c r="N4" s="19">
        <v>0.9</v>
      </c>
      <c r="O4" s="33">
        <f t="shared" si="0"/>
        <v>13990</v>
      </c>
      <c r="P4" s="32" t="s">
        <v>0</v>
      </c>
    </row>
    <row r="5" spans="1:16" x14ac:dyDescent="0.3">
      <c r="A5" s="32" t="s">
        <v>3216</v>
      </c>
      <c r="B5" s="40">
        <v>46108</v>
      </c>
      <c r="C5" s="40">
        <v>46113</v>
      </c>
      <c r="D5" s="32">
        <v>3319</v>
      </c>
      <c r="E5" s="32">
        <v>327</v>
      </c>
      <c r="F5" s="32">
        <v>2</v>
      </c>
      <c r="G5" s="65">
        <v>1</v>
      </c>
      <c r="H5" s="16">
        <v>80700</v>
      </c>
      <c r="I5" s="65" t="s">
        <v>17</v>
      </c>
      <c r="J5" s="60">
        <v>27022197</v>
      </c>
      <c r="K5" s="13" t="s">
        <v>378</v>
      </c>
      <c r="L5" s="13" t="s">
        <v>382</v>
      </c>
      <c r="M5" s="68">
        <v>139900</v>
      </c>
      <c r="N5" s="19">
        <v>0.9</v>
      </c>
      <c r="O5" s="33">
        <f t="shared" si="0"/>
        <v>13990</v>
      </c>
      <c r="P5" s="32" t="s">
        <v>0</v>
      </c>
    </row>
    <row r="6" spans="1:16" x14ac:dyDescent="0.3">
      <c r="A6" s="32" t="s">
        <v>3216</v>
      </c>
      <c r="B6" s="40">
        <v>46108</v>
      </c>
      <c r="C6" s="40">
        <v>46113</v>
      </c>
      <c r="D6" s="32">
        <v>3319</v>
      </c>
      <c r="E6" s="32">
        <v>327</v>
      </c>
      <c r="F6" s="32">
        <v>2</v>
      </c>
      <c r="G6" s="65">
        <v>1</v>
      </c>
      <c r="H6" s="16">
        <v>80700</v>
      </c>
      <c r="I6" s="65" t="s">
        <v>17</v>
      </c>
      <c r="J6" s="60">
        <v>27022204</v>
      </c>
      <c r="K6" s="13" t="s">
        <v>378</v>
      </c>
      <c r="L6" s="13" t="s">
        <v>383</v>
      </c>
      <c r="M6" s="68">
        <v>139900</v>
      </c>
      <c r="N6" s="19">
        <v>0.9</v>
      </c>
      <c r="O6" s="33">
        <f t="shared" si="0"/>
        <v>13990</v>
      </c>
      <c r="P6" s="32" t="s">
        <v>0</v>
      </c>
    </row>
    <row r="7" spans="1:16" x14ac:dyDescent="0.3">
      <c r="A7" s="32" t="s">
        <v>3216</v>
      </c>
      <c r="B7" s="40">
        <v>46108</v>
      </c>
      <c r="C7" s="40">
        <v>46113</v>
      </c>
      <c r="D7" s="32">
        <v>3319</v>
      </c>
      <c r="E7" s="32">
        <v>327</v>
      </c>
      <c r="F7" s="32">
        <v>2</v>
      </c>
      <c r="G7" s="65">
        <v>1</v>
      </c>
      <c r="H7" s="16">
        <v>80700</v>
      </c>
      <c r="I7" s="65" t="s">
        <v>17</v>
      </c>
      <c r="J7" s="60">
        <v>27022213</v>
      </c>
      <c r="K7" s="13" t="s">
        <v>378</v>
      </c>
      <c r="L7" s="13" t="s">
        <v>384</v>
      </c>
      <c r="M7" s="68">
        <v>139900</v>
      </c>
      <c r="N7" s="19">
        <v>0.9</v>
      </c>
      <c r="O7" s="33">
        <f t="shared" si="0"/>
        <v>13990</v>
      </c>
      <c r="P7" s="32" t="s">
        <v>0</v>
      </c>
    </row>
    <row r="8" spans="1:16" x14ac:dyDescent="0.3">
      <c r="A8" s="32" t="s">
        <v>3216</v>
      </c>
      <c r="B8" s="40">
        <v>46108</v>
      </c>
      <c r="C8" s="40">
        <v>46113</v>
      </c>
      <c r="D8" s="32">
        <v>3319</v>
      </c>
      <c r="E8" s="32">
        <v>327</v>
      </c>
      <c r="F8" s="32">
        <v>2</v>
      </c>
      <c r="G8" s="65">
        <v>1</v>
      </c>
      <c r="H8" s="16">
        <v>80700</v>
      </c>
      <c r="I8" s="65" t="s">
        <v>17</v>
      </c>
      <c r="J8" s="60">
        <v>27033667</v>
      </c>
      <c r="K8" s="13" t="s">
        <v>385</v>
      </c>
      <c r="L8" s="13" t="s">
        <v>386</v>
      </c>
      <c r="M8" s="68">
        <v>179900</v>
      </c>
      <c r="N8" s="19">
        <v>0.9</v>
      </c>
      <c r="O8" s="33">
        <f t="shared" si="0"/>
        <v>17990</v>
      </c>
      <c r="P8" s="32" t="s">
        <v>0</v>
      </c>
    </row>
    <row r="9" spans="1:16" x14ac:dyDescent="0.3">
      <c r="A9" s="32" t="s">
        <v>3216</v>
      </c>
      <c r="B9" s="40">
        <v>46108</v>
      </c>
      <c r="C9" s="40">
        <v>46113</v>
      </c>
      <c r="D9" s="32">
        <v>3319</v>
      </c>
      <c r="E9" s="32">
        <v>327</v>
      </c>
      <c r="F9" s="32">
        <v>2</v>
      </c>
      <c r="G9" s="65">
        <v>1</v>
      </c>
      <c r="H9" s="16">
        <v>80700</v>
      </c>
      <c r="I9" s="65" t="s">
        <v>17</v>
      </c>
      <c r="J9" s="60">
        <v>27033676</v>
      </c>
      <c r="K9" s="13" t="s">
        <v>385</v>
      </c>
      <c r="L9" s="13" t="s">
        <v>387</v>
      </c>
      <c r="M9" s="68">
        <v>179900</v>
      </c>
      <c r="N9" s="19">
        <v>0.9</v>
      </c>
      <c r="O9" s="33">
        <f t="shared" si="0"/>
        <v>17990</v>
      </c>
      <c r="P9" s="32" t="s">
        <v>0</v>
      </c>
    </row>
    <row r="10" spans="1:16" x14ac:dyDescent="0.3">
      <c r="A10" s="32" t="s">
        <v>3216</v>
      </c>
      <c r="B10" s="40">
        <v>46108</v>
      </c>
      <c r="C10" s="40">
        <v>46113</v>
      </c>
      <c r="D10" s="32">
        <v>3319</v>
      </c>
      <c r="E10" s="32">
        <v>327</v>
      </c>
      <c r="F10" s="32">
        <v>2</v>
      </c>
      <c r="G10" s="65">
        <v>1</v>
      </c>
      <c r="H10" s="16">
        <v>80700</v>
      </c>
      <c r="I10" s="65" t="s">
        <v>17</v>
      </c>
      <c r="J10" s="60">
        <v>27033685</v>
      </c>
      <c r="K10" s="13" t="s">
        <v>385</v>
      </c>
      <c r="L10" s="13" t="s">
        <v>388</v>
      </c>
      <c r="M10" s="68">
        <v>179900</v>
      </c>
      <c r="N10" s="19">
        <v>0.9</v>
      </c>
      <c r="O10" s="33">
        <f t="shared" si="0"/>
        <v>17990</v>
      </c>
      <c r="P10" s="32" t="s">
        <v>0</v>
      </c>
    </row>
    <row r="11" spans="1:16" x14ac:dyDescent="0.3">
      <c r="A11" s="32" t="s">
        <v>3216</v>
      </c>
      <c r="B11" s="40">
        <v>46108</v>
      </c>
      <c r="C11" s="40">
        <v>46113</v>
      </c>
      <c r="D11" s="32">
        <v>3319</v>
      </c>
      <c r="E11" s="32">
        <v>327</v>
      </c>
      <c r="F11" s="32">
        <v>2</v>
      </c>
      <c r="G11" s="65">
        <v>1</v>
      </c>
      <c r="H11" s="16">
        <v>80700</v>
      </c>
      <c r="I11" s="65" t="s">
        <v>17</v>
      </c>
      <c r="J11" s="60">
        <v>27033694</v>
      </c>
      <c r="K11" s="13" t="s">
        <v>385</v>
      </c>
      <c r="L11" s="13" t="s">
        <v>389</v>
      </c>
      <c r="M11" s="68">
        <v>179900</v>
      </c>
      <c r="N11" s="19">
        <v>0.9</v>
      </c>
      <c r="O11" s="33">
        <f t="shared" si="0"/>
        <v>17990</v>
      </c>
      <c r="P11" s="32" t="s">
        <v>0</v>
      </c>
    </row>
    <row r="12" spans="1:16" x14ac:dyDescent="0.3">
      <c r="A12" s="32" t="s">
        <v>3216</v>
      </c>
      <c r="B12" s="40">
        <v>46108</v>
      </c>
      <c r="C12" s="40">
        <v>46113</v>
      </c>
      <c r="D12" s="32">
        <v>3319</v>
      </c>
      <c r="E12" s="32">
        <v>327</v>
      </c>
      <c r="F12" s="32">
        <v>2</v>
      </c>
      <c r="G12" s="65">
        <v>1</v>
      </c>
      <c r="H12" s="16">
        <v>80700</v>
      </c>
      <c r="I12" s="65" t="s">
        <v>17</v>
      </c>
      <c r="J12" s="60">
        <v>27033701</v>
      </c>
      <c r="K12" s="13" t="s">
        <v>385</v>
      </c>
      <c r="L12" s="13" t="s">
        <v>390</v>
      </c>
      <c r="M12" s="68">
        <v>179900</v>
      </c>
      <c r="N12" s="19">
        <v>0.9</v>
      </c>
      <c r="O12" s="33">
        <f t="shared" si="0"/>
        <v>17990</v>
      </c>
      <c r="P12" s="32" t="s">
        <v>0</v>
      </c>
    </row>
    <row r="13" spans="1:16" x14ac:dyDescent="0.3">
      <c r="A13" s="32" t="s">
        <v>3216</v>
      </c>
      <c r="B13" s="40">
        <v>46108</v>
      </c>
      <c r="C13" s="40">
        <v>46113</v>
      </c>
      <c r="D13" s="32">
        <v>3319</v>
      </c>
      <c r="E13" s="32">
        <v>327</v>
      </c>
      <c r="F13" s="32">
        <v>2</v>
      </c>
      <c r="G13" s="65">
        <v>1</v>
      </c>
      <c r="H13" s="16">
        <v>80700</v>
      </c>
      <c r="I13" s="65" t="s">
        <v>17</v>
      </c>
      <c r="J13" s="60">
        <v>27033710</v>
      </c>
      <c r="K13" s="13" t="s">
        <v>385</v>
      </c>
      <c r="L13" s="13" t="s">
        <v>391</v>
      </c>
      <c r="M13" s="68">
        <v>179900</v>
      </c>
      <c r="N13" s="19">
        <v>0.9</v>
      </c>
      <c r="O13" s="33">
        <f t="shared" si="0"/>
        <v>17990</v>
      </c>
      <c r="P13" s="32" t="s">
        <v>0</v>
      </c>
    </row>
    <row r="14" spans="1:16" x14ac:dyDescent="0.3">
      <c r="A14" s="32" t="s">
        <v>3216</v>
      </c>
      <c r="B14" s="40">
        <v>46108</v>
      </c>
      <c r="C14" s="40">
        <v>46113</v>
      </c>
      <c r="D14" s="32">
        <v>3319</v>
      </c>
      <c r="E14" s="32">
        <v>327</v>
      </c>
      <c r="F14" s="32">
        <v>2</v>
      </c>
      <c r="G14" s="65">
        <v>1</v>
      </c>
      <c r="H14" s="16">
        <v>80700</v>
      </c>
      <c r="I14" s="65" t="s">
        <v>17</v>
      </c>
      <c r="J14" s="60">
        <v>27033729</v>
      </c>
      <c r="K14" s="13" t="s">
        <v>385</v>
      </c>
      <c r="L14" s="13" t="s">
        <v>392</v>
      </c>
      <c r="M14" s="68">
        <v>179900</v>
      </c>
      <c r="N14" s="19">
        <v>0.9</v>
      </c>
      <c r="O14" s="33">
        <f t="shared" si="0"/>
        <v>17990</v>
      </c>
      <c r="P14" s="32" t="s">
        <v>0</v>
      </c>
    </row>
    <row r="15" spans="1:16" x14ac:dyDescent="0.3">
      <c r="A15" s="32" t="s">
        <v>3216</v>
      </c>
      <c r="B15" s="40">
        <v>46108</v>
      </c>
      <c r="C15" s="40">
        <v>46113</v>
      </c>
      <c r="D15" s="32">
        <v>3319</v>
      </c>
      <c r="E15" s="32">
        <v>327</v>
      </c>
      <c r="F15" s="32">
        <v>2</v>
      </c>
      <c r="G15" s="65">
        <v>1</v>
      </c>
      <c r="H15" s="16">
        <v>81011</v>
      </c>
      <c r="I15" s="65" t="s">
        <v>17</v>
      </c>
      <c r="J15" s="60">
        <v>24372190</v>
      </c>
      <c r="K15" s="13" t="s">
        <v>393</v>
      </c>
      <c r="L15" s="13" t="s">
        <v>394</v>
      </c>
      <c r="M15" s="68">
        <v>129900</v>
      </c>
      <c r="N15" s="19">
        <v>0.9</v>
      </c>
      <c r="O15" s="33">
        <f t="shared" si="0"/>
        <v>12990</v>
      </c>
      <c r="P15" s="32" t="s">
        <v>0</v>
      </c>
    </row>
    <row r="16" spans="1:16" x14ac:dyDescent="0.3">
      <c r="A16" s="32" t="s">
        <v>3216</v>
      </c>
      <c r="B16" s="40">
        <v>46108</v>
      </c>
      <c r="C16" s="40">
        <v>46113</v>
      </c>
      <c r="D16" s="32">
        <v>3319</v>
      </c>
      <c r="E16" s="32">
        <v>327</v>
      </c>
      <c r="F16" s="32">
        <v>2</v>
      </c>
      <c r="G16" s="65">
        <v>1</v>
      </c>
      <c r="H16" s="16">
        <v>81011</v>
      </c>
      <c r="I16" s="65" t="s">
        <v>17</v>
      </c>
      <c r="J16" s="60">
        <v>24372207</v>
      </c>
      <c r="K16" s="13" t="s">
        <v>393</v>
      </c>
      <c r="L16" s="13" t="s">
        <v>395</v>
      </c>
      <c r="M16" s="68">
        <v>129900</v>
      </c>
      <c r="N16" s="19">
        <v>0.9</v>
      </c>
      <c r="O16" s="33">
        <f t="shared" si="0"/>
        <v>12990</v>
      </c>
      <c r="P16" s="32" t="s">
        <v>0</v>
      </c>
    </row>
    <row r="17" spans="1:16" x14ac:dyDescent="0.3">
      <c r="A17" s="32" t="s">
        <v>3216</v>
      </c>
      <c r="B17" s="40">
        <v>46108</v>
      </c>
      <c r="C17" s="40">
        <v>46113</v>
      </c>
      <c r="D17" s="32">
        <v>3319</v>
      </c>
      <c r="E17" s="32">
        <v>327</v>
      </c>
      <c r="F17" s="32">
        <v>2</v>
      </c>
      <c r="G17" s="65">
        <v>1</v>
      </c>
      <c r="H17" s="65">
        <v>81011</v>
      </c>
      <c r="I17" s="65" t="s">
        <v>17</v>
      </c>
      <c r="J17" s="66">
        <v>24372216</v>
      </c>
      <c r="K17" s="17" t="s">
        <v>393</v>
      </c>
      <c r="L17" s="15" t="s">
        <v>396</v>
      </c>
      <c r="M17" s="68">
        <v>129900</v>
      </c>
      <c r="N17" s="19">
        <v>0.9</v>
      </c>
      <c r="O17" s="33">
        <f t="shared" si="0"/>
        <v>12990</v>
      </c>
      <c r="P17" s="32" t="s">
        <v>0</v>
      </c>
    </row>
    <row r="18" spans="1:16" x14ac:dyDescent="0.3">
      <c r="A18" s="32" t="s">
        <v>3216</v>
      </c>
      <c r="B18" s="40">
        <v>46108</v>
      </c>
      <c r="C18" s="40">
        <v>46113</v>
      </c>
      <c r="D18" s="32">
        <v>3319</v>
      </c>
      <c r="E18" s="32">
        <v>327</v>
      </c>
      <c r="F18" s="32">
        <v>2</v>
      </c>
      <c r="G18" s="65">
        <v>1</v>
      </c>
      <c r="H18" s="65">
        <v>81011</v>
      </c>
      <c r="I18" s="65" t="s">
        <v>17</v>
      </c>
      <c r="J18" s="66">
        <v>24372225</v>
      </c>
      <c r="K18" s="17" t="s">
        <v>393</v>
      </c>
      <c r="L18" s="15" t="s">
        <v>397</v>
      </c>
      <c r="M18" s="68">
        <v>129900</v>
      </c>
      <c r="N18" s="19">
        <v>0.9</v>
      </c>
      <c r="O18" s="33">
        <f t="shared" si="0"/>
        <v>12990</v>
      </c>
      <c r="P18" s="32" t="s">
        <v>0</v>
      </c>
    </row>
    <row r="19" spans="1:16" x14ac:dyDescent="0.3">
      <c r="A19" s="32" t="s">
        <v>3216</v>
      </c>
      <c r="B19" s="40">
        <v>46108</v>
      </c>
      <c r="C19" s="40">
        <v>46113</v>
      </c>
      <c r="D19" s="32">
        <v>3319</v>
      </c>
      <c r="E19" s="32">
        <v>327</v>
      </c>
      <c r="F19" s="32">
        <v>2</v>
      </c>
      <c r="G19" s="65">
        <v>1</v>
      </c>
      <c r="H19" s="65">
        <v>81433</v>
      </c>
      <c r="I19" s="65" t="s">
        <v>17</v>
      </c>
      <c r="J19" s="66">
        <v>26459996</v>
      </c>
      <c r="K19" s="17" t="s">
        <v>398</v>
      </c>
      <c r="L19" s="15" t="s">
        <v>399</v>
      </c>
      <c r="M19" s="68">
        <v>199900</v>
      </c>
      <c r="N19" s="19">
        <v>0.9</v>
      </c>
      <c r="O19" s="33">
        <f t="shared" si="0"/>
        <v>19990</v>
      </c>
      <c r="P19" s="32" t="s">
        <v>0</v>
      </c>
    </row>
    <row r="20" spans="1:16" x14ac:dyDescent="0.3">
      <c r="A20" s="32" t="s">
        <v>3216</v>
      </c>
      <c r="B20" s="40">
        <v>46108</v>
      </c>
      <c r="C20" s="40">
        <v>46113</v>
      </c>
      <c r="D20" s="32">
        <v>3319</v>
      </c>
      <c r="E20" s="32">
        <v>327</v>
      </c>
      <c r="F20" s="32">
        <v>2</v>
      </c>
      <c r="G20" s="65">
        <v>1</v>
      </c>
      <c r="H20" s="65">
        <v>81433</v>
      </c>
      <c r="I20" s="65" t="s">
        <v>17</v>
      </c>
      <c r="J20" s="66">
        <v>26460000</v>
      </c>
      <c r="K20" s="17" t="s">
        <v>398</v>
      </c>
      <c r="L20" s="15" t="s">
        <v>400</v>
      </c>
      <c r="M20" s="68">
        <v>199900</v>
      </c>
      <c r="N20" s="19">
        <v>0.9</v>
      </c>
      <c r="O20" s="33">
        <f t="shared" si="0"/>
        <v>19990</v>
      </c>
      <c r="P20" s="32" t="s">
        <v>0</v>
      </c>
    </row>
    <row r="21" spans="1:16" x14ac:dyDescent="0.3">
      <c r="A21" s="32" t="s">
        <v>3216</v>
      </c>
      <c r="B21" s="40">
        <v>46108</v>
      </c>
      <c r="C21" s="40">
        <v>46113</v>
      </c>
      <c r="D21" s="32">
        <v>3319</v>
      </c>
      <c r="E21" s="32">
        <v>327</v>
      </c>
      <c r="F21" s="32">
        <v>2</v>
      </c>
      <c r="G21" s="65">
        <v>1</v>
      </c>
      <c r="H21" s="65">
        <v>81433</v>
      </c>
      <c r="I21" s="65" t="s">
        <v>17</v>
      </c>
      <c r="J21" s="66">
        <v>26460019</v>
      </c>
      <c r="K21" s="17" t="s">
        <v>398</v>
      </c>
      <c r="L21" s="15" t="s">
        <v>401</v>
      </c>
      <c r="M21" s="68">
        <v>199900</v>
      </c>
      <c r="N21" s="19">
        <v>0.9</v>
      </c>
      <c r="O21" s="33">
        <f t="shared" si="0"/>
        <v>19990</v>
      </c>
      <c r="P21" s="32" t="s">
        <v>0</v>
      </c>
    </row>
    <row r="22" spans="1:16" x14ac:dyDescent="0.3">
      <c r="A22" s="32" t="s">
        <v>3216</v>
      </c>
      <c r="B22" s="40">
        <v>46108</v>
      </c>
      <c r="C22" s="40">
        <v>46113</v>
      </c>
      <c r="D22" s="32">
        <v>3319</v>
      </c>
      <c r="E22" s="32">
        <v>327</v>
      </c>
      <c r="F22" s="32">
        <v>2</v>
      </c>
      <c r="G22" s="65">
        <v>1</v>
      </c>
      <c r="H22" s="65">
        <v>81433</v>
      </c>
      <c r="I22" s="65" t="s">
        <v>17</v>
      </c>
      <c r="J22" s="66">
        <v>26460028</v>
      </c>
      <c r="K22" s="17" t="s">
        <v>398</v>
      </c>
      <c r="L22" s="15" t="s">
        <v>402</v>
      </c>
      <c r="M22" s="68">
        <v>199900</v>
      </c>
      <c r="N22" s="19">
        <v>0.9</v>
      </c>
      <c r="O22" s="33">
        <f t="shared" si="0"/>
        <v>19990</v>
      </c>
      <c r="P22" s="32" t="s">
        <v>0</v>
      </c>
    </row>
    <row r="23" spans="1:16" x14ac:dyDescent="0.3">
      <c r="A23" s="32" t="s">
        <v>3216</v>
      </c>
      <c r="B23" s="40">
        <v>46108</v>
      </c>
      <c r="C23" s="40">
        <v>46113</v>
      </c>
      <c r="D23" s="32">
        <v>3319</v>
      </c>
      <c r="E23" s="32">
        <v>327</v>
      </c>
      <c r="F23" s="32">
        <v>2</v>
      </c>
      <c r="G23" s="65">
        <v>1</v>
      </c>
      <c r="H23" s="65">
        <v>81433</v>
      </c>
      <c r="I23" s="65" t="s">
        <v>17</v>
      </c>
      <c r="J23" s="66">
        <v>26460037</v>
      </c>
      <c r="K23" s="17" t="s">
        <v>398</v>
      </c>
      <c r="L23" s="15" t="s">
        <v>403</v>
      </c>
      <c r="M23" s="68">
        <v>199900</v>
      </c>
      <c r="N23" s="19">
        <v>0.9</v>
      </c>
      <c r="O23" s="33">
        <f t="shared" si="0"/>
        <v>19990</v>
      </c>
      <c r="P23" s="32" t="s">
        <v>0</v>
      </c>
    </row>
    <row r="24" spans="1:16" x14ac:dyDescent="0.3">
      <c r="A24" s="32" t="s">
        <v>3216</v>
      </c>
      <c r="B24" s="40">
        <v>46108</v>
      </c>
      <c r="C24" s="40">
        <v>46113</v>
      </c>
      <c r="D24" s="32">
        <v>3319</v>
      </c>
      <c r="E24" s="32">
        <v>327</v>
      </c>
      <c r="F24" s="32">
        <v>2</v>
      </c>
      <c r="G24" s="65">
        <v>1</v>
      </c>
      <c r="H24" s="65">
        <v>81433</v>
      </c>
      <c r="I24" s="65" t="s">
        <v>17</v>
      </c>
      <c r="J24" s="66">
        <v>26460046</v>
      </c>
      <c r="K24" s="17" t="s">
        <v>404</v>
      </c>
      <c r="L24" s="15" t="s">
        <v>405</v>
      </c>
      <c r="M24" s="68">
        <v>199900</v>
      </c>
      <c r="N24" s="19">
        <v>0.9</v>
      </c>
      <c r="O24" s="33">
        <f t="shared" si="0"/>
        <v>19990</v>
      </c>
      <c r="P24" s="32" t="s">
        <v>0</v>
      </c>
    </row>
    <row r="25" spans="1:16" x14ac:dyDescent="0.3">
      <c r="A25" s="32" t="s">
        <v>3216</v>
      </c>
      <c r="B25" s="40">
        <v>46108</v>
      </c>
      <c r="C25" s="40">
        <v>46113</v>
      </c>
      <c r="D25" s="32">
        <v>3319</v>
      </c>
      <c r="E25" s="32">
        <v>327</v>
      </c>
      <c r="F25" s="32">
        <v>2</v>
      </c>
      <c r="G25" s="65">
        <v>1</v>
      </c>
      <c r="H25" s="65">
        <v>81433</v>
      </c>
      <c r="I25" s="65" t="s">
        <v>17</v>
      </c>
      <c r="J25" s="66">
        <v>26460055</v>
      </c>
      <c r="K25" s="17" t="s">
        <v>404</v>
      </c>
      <c r="L25" s="15" t="s">
        <v>406</v>
      </c>
      <c r="M25" s="68">
        <v>199900</v>
      </c>
      <c r="N25" s="19">
        <v>0.9</v>
      </c>
      <c r="O25" s="33">
        <f t="shared" si="0"/>
        <v>19990</v>
      </c>
      <c r="P25" s="32" t="s">
        <v>0</v>
      </c>
    </row>
    <row r="26" spans="1:16" x14ac:dyDescent="0.3">
      <c r="A26" s="32" t="s">
        <v>3216</v>
      </c>
      <c r="B26" s="40">
        <v>46108</v>
      </c>
      <c r="C26" s="40">
        <v>46113</v>
      </c>
      <c r="D26" s="32">
        <v>3319</v>
      </c>
      <c r="E26" s="32">
        <v>327</v>
      </c>
      <c r="F26" s="32">
        <v>2</v>
      </c>
      <c r="G26" s="65">
        <v>1</v>
      </c>
      <c r="H26" s="65">
        <v>81433</v>
      </c>
      <c r="I26" s="65" t="s">
        <v>17</v>
      </c>
      <c r="J26" s="66">
        <v>26460064</v>
      </c>
      <c r="K26" s="17" t="s">
        <v>404</v>
      </c>
      <c r="L26" s="15" t="s">
        <v>407</v>
      </c>
      <c r="M26" s="68">
        <v>199900</v>
      </c>
      <c r="N26" s="19">
        <v>0.9</v>
      </c>
      <c r="O26" s="33">
        <f t="shared" si="0"/>
        <v>19990</v>
      </c>
      <c r="P26" s="32" t="s">
        <v>0</v>
      </c>
    </row>
    <row r="27" spans="1:16" x14ac:dyDescent="0.3">
      <c r="A27" s="32" t="s">
        <v>3216</v>
      </c>
      <c r="B27" s="40">
        <v>46108</v>
      </c>
      <c r="C27" s="40">
        <v>46113</v>
      </c>
      <c r="D27" s="32">
        <v>3319</v>
      </c>
      <c r="E27" s="32">
        <v>327</v>
      </c>
      <c r="F27" s="32">
        <v>2</v>
      </c>
      <c r="G27" s="65">
        <v>1</v>
      </c>
      <c r="H27" s="65">
        <v>81433</v>
      </c>
      <c r="I27" s="65" t="s">
        <v>17</v>
      </c>
      <c r="J27" s="66">
        <v>26460073</v>
      </c>
      <c r="K27" s="17" t="s">
        <v>404</v>
      </c>
      <c r="L27" s="15" t="s">
        <v>408</v>
      </c>
      <c r="M27" s="68">
        <v>199900</v>
      </c>
      <c r="N27" s="19">
        <v>0.9</v>
      </c>
      <c r="O27" s="33">
        <f t="shared" si="0"/>
        <v>19990</v>
      </c>
      <c r="P27" s="32" t="s">
        <v>0</v>
      </c>
    </row>
    <row r="28" spans="1:16" x14ac:dyDescent="0.3">
      <c r="A28" s="32" t="s">
        <v>3216</v>
      </c>
      <c r="B28" s="40">
        <v>46108</v>
      </c>
      <c r="C28" s="40">
        <v>46113</v>
      </c>
      <c r="D28" s="32">
        <v>3319</v>
      </c>
      <c r="E28" s="32">
        <v>327</v>
      </c>
      <c r="F28" s="32">
        <v>2</v>
      </c>
      <c r="G28" s="65">
        <v>1</v>
      </c>
      <c r="H28" s="65">
        <v>81433</v>
      </c>
      <c r="I28" s="65" t="s">
        <v>17</v>
      </c>
      <c r="J28" s="66">
        <v>26460082</v>
      </c>
      <c r="K28" s="17" t="s">
        <v>404</v>
      </c>
      <c r="L28" s="15" t="s">
        <v>409</v>
      </c>
      <c r="M28" s="68">
        <v>199900</v>
      </c>
      <c r="N28" s="19">
        <v>0.9</v>
      </c>
      <c r="O28" s="33">
        <f t="shared" si="0"/>
        <v>19990</v>
      </c>
      <c r="P28" s="32" t="s">
        <v>0</v>
      </c>
    </row>
    <row r="29" spans="1:16" x14ac:dyDescent="0.3">
      <c r="A29" s="32" t="s">
        <v>3216</v>
      </c>
      <c r="B29" s="40">
        <v>46108</v>
      </c>
      <c r="C29" s="40">
        <v>46113</v>
      </c>
      <c r="D29" s="32">
        <v>3319</v>
      </c>
      <c r="E29" s="32">
        <v>327</v>
      </c>
      <c r="F29" s="32">
        <v>2</v>
      </c>
      <c r="G29" s="65">
        <v>1</v>
      </c>
      <c r="H29" s="65">
        <v>81433</v>
      </c>
      <c r="I29" s="65" t="s">
        <v>17</v>
      </c>
      <c r="J29" s="66">
        <v>26460411</v>
      </c>
      <c r="K29" s="17" t="s">
        <v>410</v>
      </c>
      <c r="L29" s="15" t="s">
        <v>411</v>
      </c>
      <c r="M29" s="68">
        <v>199900</v>
      </c>
      <c r="N29" s="19">
        <v>0.9</v>
      </c>
      <c r="O29" s="33">
        <f t="shared" si="0"/>
        <v>19990</v>
      </c>
      <c r="P29" s="32" t="s">
        <v>0</v>
      </c>
    </row>
    <row r="30" spans="1:16" x14ac:dyDescent="0.3">
      <c r="A30" s="32" t="s">
        <v>3216</v>
      </c>
      <c r="B30" s="40">
        <v>46108</v>
      </c>
      <c r="C30" s="40">
        <v>46113</v>
      </c>
      <c r="D30" s="32">
        <v>3319</v>
      </c>
      <c r="E30" s="32">
        <v>327</v>
      </c>
      <c r="F30" s="32">
        <v>2</v>
      </c>
      <c r="G30" s="65">
        <v>1</v>
      </c>
      <c r="H30" s="65">
        <v>81433</v>
      </c>
      <c r="I30" s="65" t="s">
        <v>17</v>
      </c>
      <c r="J30" s="66">
        <v>26460420</v>
      </c>
      <c r="K30" s="17" t="s">
        <v>410</v>
      </c>
      <c r="L30" s="15" t="s">
        <v>412</v>
      </c>
      <c r="M30" s="68">
        <v>199900</v>
      </c>
      <c r="N30" s="19">
        <v>0.9</v>
      </c>
      <c r="O30" s="33">
        <f t="shared" si="0"/>
        <v>19990</v>
      </c>
      <c r="P30" s="32" t="s">
        <v>0</v>
      </c>
    </row>
    <row r="31" spans="1:16" x14ac:dyDescent="0.3">
      <c r="A31" s="32" t="s">
        <v>3216</v>
      </c>
      <c r="B31" s="40">
        <v>46108</v>
      </c>
      <c r="C31" s="40">
        <v>46113</v>
      </c>
      <c r="D31" s="32">
        <v>3319</v>
      </c>
      <c r="E31" s="32">
        <v>327</v>
      </c>
      <c r="F31" s="32">
        <v>2</v>
      </c>
      <c r="G31" s="65">
        <v>1</v>
      </c>
      <c r="H31" s="65">
        <v>81433</v>
      </c>
      <c r="I31" s="65" t="s">
        <v>17</v>
      </c>
      <c r="J31" s="66">
        <v>26460439</v>
      </c>
      <c r="K31" s="17" t="s">
        <v>410</v>
      </c>
      <c r="L31" s="15" t="s">
        <v>413</v>
      </c>
      <c r="M31" s="68">
        <v>199900</v>
      </c>
      <c r="N31" s="19">
        <v>0.9</v>
      </c>
      <c r="O31" s="33">
        <f t="shared" si="0"/>
        <v>19990</v>
      </c>
      <c r="P31" s="32" t="s">
        <v>0</v>
      </c>
    </row>
    <row r="32" spans="1:16" x14ac:dyDescent="0.3">
      <c r="A32" s="32" t="s">
        <v>3216</v>
      </c>
      <c r="B32" s="40">
        <v>46108</v>
      </c>
      <c r="C32" s="40">
        <v>46113</v>
      </c>
      <c r="D32" s="32">
        <v>3319</v>
      </c>
      <c r="E32" s="32">
        <v>327</v>
      </c>
      <c r="F32" s="32">
        <v>2</v>
      </c>
      <c r="G32" s="65">
        <v>1</v>
      </c>
      <c r="H32" s="65">
        <v>81433</v>
      </c>
      <c r="I32" s="65" t="s">
        <v>17</v>
      </c>
      <c r="J32" s="66">
        <v>26460448</v>
      </c>
      <c r="K32" s="17" t="s">
        <v>410</v>
      </c>
      <c r="L32" s="15" t="s">
        <v>414</v>
      </c>
      <c r="M32" s="68">
        <v>199900</v>
      </c>
      <c r="N32" s="19">
        <v>0.9</v>
      </c>
      <c r="O32" s="33">
        <f t="shared" si="0"/>
        <v>19990</v>
      </c>
      <c r="P32" s="32" t="s">
        <v>0</v>
      </c>
    </row>
    <row r="33" spans="1:16" x14ac:dyDescent="0.3">
      <c r="A33" s="32" t="s">
        <v>3216</v>
      </c>
      <c r="B33" s="40">
        <v>46108</v>
      </c>
      <c r="C33" s="40">
        <v>46113</v>
      </c>
      <c r="D33" s="32">
        <v>3319</v>
      </c>
      <c r="E33" s="32">
        <v>327</v>
      </c>
      <c r="F33" s="32">
        <v>2</v>
      </c>
      <c r="G33" s="65">
        <v>1</v>
      </c>
      <c r="H33" s="65">
        <v>81433</v>
      </c>
      <c r="I33" s="65" t="s">
        <v>17</v>
      </c>
      <c r="J33" s="66">
        <v>26460457</v>
      </c>
      <c r="K33" s="17" t="s">
        <v>410</v>
      </c>
      <c r="L33" s="15" t="s">
        <v>415</v>
      </c>
      <c r="M33" s="68">
        <v>199900</v>
      </c>
      <c r="N33" s="19">
        <v>0.9</v>
      </c>
      <c r="O33" s="33">
        <f t="shared" si="0"/>
        <v>19990</v>
      </c>
      <c r="P33" s="32" t="s">
        <v>0</v>
      </c>
    </row>
    <row r="34" spans="1:16" x14ac:dyDescent="0.3">
      <c r="A34" s="32" t="s">
        <v>3216</v>
      </c>
      <c r="B34" s="40">
        <v>46108</v>
      </c>
      <c r="C34" s="40">
        <v>46113</v>
      </c>
      <c r="D34" s="32">
        <v>3319</v>
      </c>
      <c r="E34" s="32">
        <v>327</v>
      </c>
      <c r="F34" s="32">
        <v>2</v>
      </c>
      <c r="G34" s="65">
        <v>1</v>
      </c>
      <c r="H34" s="65">
        <v>81433</v>
      </c>
      <c r="I34" s="65" t="s">
        <v>17</v>
      </c>
      <c r="J34" s="66">
        <v>26460466</v>
      </c>
      <c r="K34" s="17" t="s">
        <v>416</v>
      </c>
      <c r="L34" s="15" t="s">
        <v>417</v>
      </c>
      <c r="M34" s="68">
        <v>199900</v>
      </c>
      <c r="N34" s="19">
        <v>0.9</v>
      </c>
      <c r="O34" s="33">
        <f t="shared" si="0"/>
        <v>19990</v>
      </c>
      <c r="P34" s="32" t="s">
        <v>0</v>
      </c>
    </row>
    <row r="35" spans="1:16" x14ac:dyDescent="0.3">
      <c r="A35" s="32" t="s">
        <v>3216</v>
      </c>
      <c r="B35" s="40">
        <v>46108</v>
      </c>
      <c r="C35" s="40">
        <v>46113</v>
      </c>
      <c r="D35" s="32">
        <v>3319</v>
      </c>
      <c r="E35" s="32">
        <v>327</v>
      </c>
      <c r="F35" s="32">
        <v>2</v>
      </c>
      <c r="G35" s="65">
        <v>1</v>
      </c>
      <c r="H35" s="65">
        <v>81433</v>
      </c>
      <c r="I35" s="65" t="s">
        <v>17</v>
      </c>
      <c r="J35" s="66">
        <v>26460475</v>
      </c>
      <c r="K35" s="17" t="s">
        <v>416</v>
      </c>
      <c r="L35" s="15" t="s">
        <v>418</v>
      </c>
      <c r="M35" s="68">
        <v>199900</v>
      </c>
      <c r="N35" s="19">
        <v>0.9</v>
      </c>
      <c r="O35" s="33">
        <f t="shared" si="0"/>
        <v>19990</v>
      </c>
      <c r="P35" s="32" t="s">
        <v>0</v>
      </c>
    </row>
    <row r="36" spans="1:16" x14ac:dyDescent="0.3">
      <c r="A36" s="32" t="s">
        <v>3216</v>
      </c>
      <c r="B36" s="40">
        <v>46108</v>
      </c>
      <c r="C36" s="40">
        <v>46113</v>
      </c>
      <c r="D36" s="32">
        <v>3319</v>
      </c>
      <c r="E36" s="32">
        <v>327</v>
      </c>
      <c r="F36" s="32">
        <v>2</v>
      </c>
      <c r="G36" s="65">
        <v>1</v>
      </c>
      <c r="H36" s="65">
        <v>81433</v>
      </c>
      <c r="I36" s="65" t="s">
        <v>17</v>
      </c>
      <c r="J36" s="66">
        <v>26460484</v>
      </c>
      <c r="K36" s="17" t="s">
        <v>416</v>
      </c>
      <c r="L36" s="15" t="s">
        <v>419</v>
      </c>
      <c r="M36" s="68">
        <v>199900</v>
      </c>
      <c r="N36" s="19">
        <v>0.9</v>
      </c>
      <c r="O36" s="33">
        <f t="shared" si="0"/>
        <v>19990</v>
      </c>
      <c r="P36" s="32" t="s">
        <v>0</v>
      </c>
    </row>
    <row r="37" spans="1:16" x14ac:dyDescent="0.3">
      <c r="A37" s="32" t="s">
        <v>3216</v>
      </c>
      <c r="B37" s="40">
        <v>46108</v>
      </c>
      <c r="C37" s="40">
        <v>46113</v>
      </c>
      <c r="D37" s="32">
        <v>3319</v>
      </c>
      <c r="E37" s="32">
        <v>327</v>
      </c>
      <c r="F37" s="32">
        <v>2</v>
      </c>
      <c r="G37" s="65">
        <v>1</v>
      </c>
      <c r="H37" s="65">
        <v>81433</v>
      </c>
      <c r="I37" s="65" t="s">
        <v>17</v>
      </c>
      <c r="J37" s="66">
        <v>26460493</v>
      </c>
      <c r="K37" s="17" t="s">
        <v>416</v>
      </c>
      <c r="L37" s="15" t="s">
        <v>420</v>
      </c>
      <c r="M37" s="68">
        <v>199900</v>
      </c>
      <c r="N37" s="19">
        <v>0.9</v>
      </c>
      <c r="O37" s="33">
        <f t="shared" si="0"/>
        <v>19990</v>
      </c>
      <c r="P37" s="32" t="s">
        <v>0</v>
      </c>
    </row>
    <row r="38" spans="1:16" x14ac:dyDescent="0.3">
      <c r="A38" s="32" t="s">
        <v>3216</v>
      </c>
      <c r="B38" s="40">
        <v>46108</v>
      </c>
      <c r="C38" s="40">
        <v>46113</v>
      </c>
      <c r="D38" s="32">
        <v>3319</v>
      </c>
      <c r="E38" s="32">
        <v>327</v>
      </c>
      <c r="F38" s="32">
        <v>2</v>
      </c>
      <c r="G38" s="65">
        <v>1</v>
      </c>
      <c r="H38" s="65">
        <v>81433</v>
      </c>
      <c r="I38" s="65" t="s">
        <v>17</v>
      </c>
      <c r="J38" s="66">
        <v>26460500</v>
      </c>
      <c r="K38" s="17" t="s">
        <v>416</v>
      </c>
      <c r="L38" s="15" t="s">
        <v>421</v>
      </c>
      <c r="M38" s="68">
        <v>199900</v>
      </c>
      <c r="N38" s="19">
        <v>0.9</v>
      </c>
      <c r="O38" s="33">
        <f t="shared" si="0"/>
        <v>19990</v>
      </c>
      <c r="P38" s="32" t="s">
        <v>0</v>
      </c>
    </row>
    <row r="39" spans="1:16" x14ac:dyDescent="0.3">
      <c r="A39" s="32" t="s">
        <v>3216</v>
      </c>
      <c r="B39" s="40">
        <v>46108</v>
      </c>
      <c r="C39" s="40">
        <v>46113</v>
      </c>
      <c r="D39" s="32">
        <v>3319</v>
      </c>
      <c r="E39" s="32">
        <v>327</v>
      </c>
      <c r="F39" s="32">
        <v>2</v>
      </c>
      <c r="G39" s="65">
        <v>1</v>
      </c>
      <c r="H39" s="65">
        <v>81433</v>
      </c>
      <c r="I39" s="65" t="s">
        <v>17</v>
      </c>
      <c r="J39" s="66">
        <v>26460519</v>
      </c>
      <c r="K39" s="17" t="s">
        <v>422</v>
      </c>
      <c r="L39" s="15" t="s">
        <v>423</v>
      </c>
      <c r="M39" s="68">
        <v>199900</v>
      </c>
      <c r="N39" s="19">
        <v>0.9</v>
      </c>
      <c r="O39" s="33">
        <f t="shared" si="0"/>
        <v>19990</v>
      </c>
      <c r="P39" s="32" t="s">
        <v>0</v>
      </c>
    </row>
    <row r="40" spans="1:16" x14ac:dyDescent="0.3">
      <c r="A40" s="32" t="s">
        <v>3216</v>
      </c>
      <c r="B40" s="40">
        <v>46108</v>
      </c>
      <c r="C40" s="40">
        <v>46113</v>
      </c>
      <c r="D40" s="32">
        <v>3319</v>
      </c>
      <c r="E40" s="32">
        <v>327</v>
      </c>
      <c r="F40" s="32">
        <v>2</v>
      </c>
      <c r="G40" s="65">
        <v>1</v>
      </c>
      <c r="H40" s="65">
        <v>81433</v>
      </c>
      <c r="I40" s="65" t="s">
        <v>17</v>
      </c>
      <c r="J40" s="66">
        <v>26460528</v>
      </c>
      <c r="K40" s="17" t="s">
        <v>422</v>
      </c>
      <c r="L40" s="15" t="s">
        <v>424</v>
      </c>
      <c r="M40" s="68">
        <v>199900</v>
      </c>
      <c r="N40" s="19">
        <v>0.9</v>
      </c>
      <c r="O40" s="33">
        <f t="shared" si="0"/>
        <v>19990</v>
      </c>
      <c r="P40" s="32" t="s">
        <v>0</v>
      </c>
    </row>
    <row r="41" spans="1:16" x14ac:dyDescent="0.3">
      <c r="A41" s="32" t="s">
        <v>3216</v>
      </c>
      <c r="B41" s="40">
        <v>46108</v>
      </c>
      <c r="C41" s="40">
        <v>46113</v>
      </c>
      <c r="D41" s="32">
        <v>3319</v>
      </c>
      <c r="E41" s="32">
        <v>327</v>
      </c>
      <c r="F41" s="32">
        <v>2</v>
      </c>
      <c r="G41" s="65">
        <v>1</v>
      </c>
      <c r="H41" s="65">
        <v>81433</v>
      </c>
      <c r="I41" s="65" t="s">
        <v>17</v>
      </c>
      <c r="J41" s="66">
        <v>26460537</v>
      </c>
      <c r="K41" s="17" t="s">
        <v>422</v>
      </c>
      <c r="L41" s="15" t="s">
        <v>425</v>
      </c>
      <c r="M41" s="68">
        <v>199900</v>
      </c>
      <c r="N41" s="19">
        <v>0.9</v>
      </c>
      <c r="O41" s="33">
        <f t="shared" si="0"/>
        <v>19990</v>
      </c>
      <c r="P41" s="32" t="s">
        <v>0</v>
      </c>
    </row>
    <row r="42" spans="1:16" x14ac:dyDescent="0.3">
      <c r="A42" s="32" t="s">
        <v>3216</v>
      </c>
      <c r="B42" s="40">
        <v>46108</v>
      </c>
      <c r="C42" s="40">
        <v>46113</v>
      </c>
      <c r="D42" s="32">
        <v>3319</v>
      </c>
      <c r="E42" s="32">
        <v>327</v>
      </c>
      <c r="F42" s="32">
        <v>2</v>
      </c>
      <c r="G42" s="65">
        <v>1</v>
      </c>
      <c r="H42" s="65">
        <v>81433</v>
      </c>
      <c r="I42" s="65" t="s">
        <v>17</v>
      </c>
      <c r="J42" s="66">
        <v>26460546</v>
      </c>
      <c r="K42" s="17" t="s">
        <v>422</v>
      </c>
      <c r="L42" s="15" t="s">
        <v>426</v>
      </c>
      <c r="M42" s="68">
        <v>199900</v>
      </c>
      <c r="N42" s="19">
        <v>0.9</v>
      </c>
      <c r="O42" s="33">
        <f t="shared" si="0"/>
        <v>19990</v>
      </c>
      <c r="P42" s="32" t="s">
        <v>0</v>
      </c>
    </row>
    <row r="43" spans="1:16" x14ac:dyDescent="0.3">
      <c r="A43" s="32" t="s">
        <v>3216</v>
      </c>
      <c r="B43" s="40">
        <v>46108</v>
      </c>
      <c r="C43" s="40">
        <v>46113</v>
      </c>
      <c r="D43" s="32">
        <v>3319</v>
      </c>
      <c r="E43" s="32">
        <v>327</v>
      </c>
      <c r="F43" s="32">
        <v>2</v>
      </c>
      <c r="G43" s="65">
        <v>1</v>
      </c>
      <c r="H43" s="65">
        <v>81433</v>
      </c>
      <c r="I43" s="65" t="s">
        <v>17</v>
      </c>
      <c r="J43" s="66">
        <v>26460555</v>
      </c>
      <c r="K43" s="17" t="s">
        <v>422</v>
      </c>
      <c r="L43" s="15" t="s">
        <v>427</v>
      </c>
      <c r="M43" s="68">
        <v>199900</v>
      </c>
      <c r="N43" s="19">
        <v>0.9</v>
      </c>
      <c r="O43" s="33">
        <f t="shared" si="0"/>
        <v>19990</v>
      </c>
      <c r="P43" s="32" t="s">
        <v>0</v>
      </c>
    </row>
    <row r="44" spans="1:16" x14ac:dyDescent="0.3">
      <c r="A44" s="32" t="s">
        <v>3216</v>
      </c>
      <c r="B44" s="40">
        <v>46108</v>
      </c>
      <c r="C44" s="40">
        <v>46113</v>
      </c>
      <c r="D44" s="32">
        <v>3319</v>
      </c>
      <c r="E44" s="32">
        <v>327</v>
      </c>
      <c r="F44" s="32">
        <v>2</v>
      </c>
      <c r="G44" s="65">
        <v>1</v>
      </c>
      <c r="H44" s="65">
        <v>81433</v>
      </c>
      <c r="I44" s="65" t="s">
        <v>17</v>
      </c>
      <c r="J44" s="66">
        <v>26460868</v>
      </c>
      <c r="K44" s="17" t="s">
        <v>428</v>
      </c>
      <c r="L44" s="15" t="s">
        <v>429</v>
      </c>
      <c r="M44" s="68">
        <v>259900</v>
      </c>
      <c r="N44" s="19">
        <v>0.9</v>
      </c>
      <c r="O44" s="33">
        <f t="shared" si="0"/>
        <v>25990</v>
      </c>
      <c r="P44" s="32" t="s">
        <v>0</v>
      </c>
    </row>
    <row r="45" spans="1:16" x14ac:dyDescent="0.3">
      <c r="A45" s="32" t="s">
        <v>3216</v>
      </c>
      <c r="B45" s="40">
        <v>46108</v>
      </c>
      <c r="C45" s="40">
        <v>46113</v>
      </c>
      <c r="D45" s="32">
        <v>3319</v>
      </c>
      <c r="E45" s="32">
        <v>327</v>
      </c>
      <c r="F45" s="32">
        <v>2</v>
      </c>
      <c r="G45" s="65">
        <v>1</v>
      </c>
      <c r="H45" s="65">
        <v>81433</v>
      </c>
      <c r="I45" s="65" t="s">
        <v>17</v>
      </c>
      <c r="J45" s="66">
        <v>26460877</v>
      </c>
      <c r="K45" s="17" t="s">
        <v>428</v>
      </c>
      <c r="L45" s="15" t="s">
        <v>430</v>
      </c>
      <c r="M45" s="68">
        <v>259900</v>
      </c>
      <c r="N45" s="19">
        <v>0.9</v>
      </c>
      <c r="O45" s="33">
        <f t="shared" si="0"/>
        <v>25990</v>
      </c>
      <c r="P45" s="32" t="s">
        <v>0</v>
      </c>
    </row>
    <row r="46" spans="1:16" x14ac:dyDescent="0.3">
      <c r="A46" s="32" t="s">
        <v>3216</v>
      </c>
      <c r="B46" s="40">
        <v>46108</v>
      </c>
      <c r="C46" s="40">
        <v>46113</v>
      </c>
      <c r="D46" s="32">
        <v>3319</v>
      </c>
      <c r="E46" s="32">
        <v>327</v>
      </c>
      <c r="F46" s="32">
        <v>2</v>
      </c>
      <c r="G46" s="65">
        <v>1</v>
      </c>
      <c r="H46" s="65">
        <v>81433</v>
      </c>
      <c r="I46" s="65" t="s">
        <v>17</v>
      </c>
      <c r="J46" s="66">
        <v>26460886</v>
      </c>
      <c r="K46" s="17" t="s">
        <v>428</v>
      </c>
      <c r="L46" s="15" t="s">
        <v>431</v>
      </c>
      <c r="M46" s="68">
        <v>259900</v>
      </c>
      <c r="N46" s="19">
        <v>0.9</v>
      </c>
      <c r="O46" s="33">
        <f t="shared" si="0"/>
        <v>25990</v>
      </c>
      <c r="P46" s="32" t="s">
        <v>0</v>
      </c>
    </row>
    <row r="47" spans="1:16" x14ac:dyDescent="0.3">
      <c r="A47" s="32" t="s">
        <v>3216</v>
      </c>
      <c r="B47" s="40">
        <v>46108</v>
      </c>
      <c r="C47" s="40">
        <v>46113</v>
      </c>
      <c r="D47" s="32">
        <v>3319</v>
      </c>
      <c r="E47" s="32">
        <v>327</v>
      </c>
      <c r="F47" s="32">
        <v>2</v>
      </c>
      <c r="G47" s="65">
        <v>1</v>
      </c>
      <c r="H47" s="65">
        <v>81433</v>
      </c>
      <c r="I47" s="65" t="s">
        <v>17</v>
      </c>
      <c r="J47" s="66">
        <v>26460895</v>
      </c>
      <c r="K47" s="17" t="s">
        <v>428</v>
      </c>
      <c r="L47" s="15" t="s">
        <v>432</v>
      </c>
      <c r="M47" s="68">
        <v>259900</v>
      </c>
      <c r="N47" s="19">
        <v>0.9</v>
      </c>
      <c r="O47" s="33">
        <f t="shared" si="0"/>
        <v>25990</v>
      </c>
      <c r="P47" s="32" t="s">
        <v>0</v>
      </c>
    </row>
    <row r="48" spans="1:16" x14ac:dyDescent="0.3">
      <c r="A48" s="32" t="s">
        <v>3216</v>
      </c>
      <c r="B48" s="40">
        <v>46108</v>
      </c>
      <c r="C48" s="40">
        <v>46113</v>
      </c>
      <c r="D48" s="32">
        <v>3319</v>
      </c>
      <c r="E48" s="32">
        <v>327</v>
      </c>
      <c r="F48" s="32">
        <v>2</v>
      </c>
      <c r="G48" s="65">
        <v>1</v>
      </c>
      <c r="H48" s="65">
        <v>81433</v>
      </c>
      <c r="I48" s="65" t="s">
        <v>17</v>
      </c>
      <c r="J48" s="66">
        <v>26460902</v>
      </c>
      <c r="K48" s="17" t="s">
        <v>428</v>
      </c>
      <c r="L48" s="15" t="s">
        <v>433</v>
      </c>
      <c r="M48" s="68">
        <v>259900</v>
      </c>
      <c r="N48" s="19">
        <v>0.9</v>
      </c>
      <c r="O48" s="33">
        <f t="shared" si="0"/>
        <v>25990</v>
      </c>
      <c r="P48" s="32" t="s">
        <v>0</v>
      </c>
    </row>
    <row r="49" spans="1:16" x14ac:dyDescent="0.3">
      <c r="A49" s="32" t="s">
        <v>3216</v>
      </c>
      <c r="B49" s="40">
        <v>46108</v>
      </c>
      <c r="C49" s="40">
        <v>46113</v>
      </c>
      <c r="D49" s="32">
        <v>3319</v>
      </c>
      <c r="E49" s="32">
        <v>327</v>
      </c>
      <c r="F49" s="32">
        <v>2</v>
      </c>
      <c r="G49" s="65">
        <v>1</v>
      </c>
      <c r="H49" s="65">
        <v>81433</v>
      </c>
      <c r="I49" s="65" t="s">
        <v>17</v>
      </c>
      <c r="J49" s="66">
        <v>26460911</v>
      </c>
      <c r="K49" s="17" t="s">
        <v>434</v>
      </c>
      <c r="L49" s="15" t="s">
        <v>435</v>
      </c>
      <c r="M49" s="68">
        <v>259900</v>
      </c>
      <c r="N49" s="19">
        <v>0.9</v>
      </c>
      <c r="O49" s="33">
        <f t="shared" si="0"/>
        <v>25990</v>
      </c>
      <c r="P49" s="32" t="s">
        <v>0</v>
      </c>
    </row>
    <row r="50" spans="1:16" x14ac:dyDescent="0.3">
      <c r="A50" s="32" t="s">
        <v>3216</v>
      </c>
      <c r="B50" s="40">
        <v>46108</v>
      </c>
      <c r="C50" s="40">
        <v>46113</v>
      </c>
      <c r="D50" s="32">
        <v>3319</v>
      </c>
      <c r="E50" s="32">
        <v>327</v>
      </c>
      <c r="F50" s="32">
        <v>2</v>
      </c>
      <c r="G50" s="65">
        <v>1</v>
      </c>
      <c r="H50" s="65">
        <v>81433</v>
      </c>
      <c r="I50" s="65" t="s">
        <v>17</v>
      </c>
      <c r="J50" s="66">
        <v>26460920</v>
      </c>
      <c r="K50" s="17" t="s">
        <v>434</v>
      </c>
      <c r="L50" s="15" t="s">
        <v>436</v>
      </c>
      <c r="M50" s="68">
        <v>259900</v>
      </c>
      <c r="N50" s="19">
        <v>0.9</v>
      </c>
      <c r="O50" s="33">
        <f t="shared" si="0"/>
        <v>25990</v>
      </c>
      <c r="P50" s="32" t="s">
        <v>0</v>
      </c>
    </row>
    <row r="51" spans="1:16" x14ac:dyDescent="0.3">
      <c r="A51" s="32" t="s">
        <v>3216</v>
      </c>
      <c r="B51" s="40">
        <v>46108</v>
      </c>
      <c r="C51" s="40">
        <v>46113</v>
      </c>
      <c r="D51" s="32">
        <v>3319</v>
      </c>
      <c r="E51" s="32">
        <v>327</v>
      </c>
      <c r="F51" s="32">
        <v>2</v>
      </c>
      <c r="G51" s="65">
        <v>1</v>
      </c>
      <c r="H51" s="65">
        <v>81433</v>
      </c>
      <c r="I51" s="65" t="s">
        <v>17</v>
      </c>
      <c r="J51" s="66">
        <v>26460948</v>
      </c>
      <c r="K51" s="17" t="s">
        <v>434</v>
      </c>
      <c r="L51" s="15" t="s">
        <v>437</v>
      </c>
      <c r="M51" s="68">
        <v>259900</v>
      </c>
      <c r="N51" s="19">
        <v>0.9</v>
      </c>
      <c r="O51" s="33">
        <f t="shared" si="0"/>
        <v>25990</v>
      </c>
      <c r="P51" s="32" t="s">
        <v>0</v>
      </c>
    </row>
    <row r="52" spans="1:16" x14ac:dyDescent="0.3">
      <c r="A52" s="32" t="s">
        <v>3216</v>
      </c>
      <c r="B52" s="40">
        <v>46108</v>
      </c>
      <c r="C52" s="40">
        <v>46113</v>
      </c>
      <c r="D52" s="32">
        <v>3319</v>
      </c>
      <c r="E52" s="32">
        <v>327</v>
      </c>
      <c r="F52" s="32">
        <v>2</v>
      </c>
      <c r="G52" s="65">
        <v>1</v>
      </c>
      <c r="H52" s="65">
        <v>81433</v>
      </c>
      <c r="I52" s="65" t="s">
        <v>17</v>
      </c>
      <c r="J52" s="66">
        <v>26460957</v>
      </c>
      <c r="K52" s="17" t="s">
        <v>434</v>
      </c>
      <c r="L52" s="15" t="s">
        <v>438</v>
      </c>
      <c r="M52" s="68">
        <v>259900</v>
      </c>
      <c r="N52" s="19">
        <v>0.9</v>
      </c>
      <c r="O52" s="33">
        <f t="shared" si="0"/>
        <v>25990</v>
      </c>
      <c r="P52" s="32" t="s">
        <v>0</v>
      </c>
    </row>
    <row r="53" spans="1:16" x14ac:dyDescent="0.3">
      <c r="A53" s="32" t="s">
        <v>3216</v>
      </c>
      <c r="B53" s="40">
        <v>46108</v>
      </c>
      <c r="C53" s="40">
        <v>46113</v>
      </c>
      <c r="D53" s="32">
        <v>3319</v>
      </c>
      <c r="E53" s="32">
        <v>327</v>
      </c>
      <c r="F53" s="32">
        <v>2</v>
      </c>
      <c r="G53" s="65">
        <v>1</v>
      </c>
      <c r="H53" s="65">
        <v>81433</v>
      </c>
      <c r="I53" s="65" t="s">
        <v>17</v>
      </c>
      <c r="J53" s="66">
        <v>26461090</v>
      </c>
      <c r="K53" s="17" t="s">
        <v>439</v>
      </c>
      <c r="L53" s="15" t="s">
        <v>440</v>
      </c>
      <c r="M53" s="68">
        <v>199900</v>
      </c>
      <c r="N53" s="19">
        <v>0.9</v>
      </c>
      <c r="O53" s="33">
        <f t="shared" si="0"/>
        <v>19990</v>
      </c>
      <c r="P53" s="32" t="s">
        <v>0</v>
      </c>
    </row>
    <row r="54" spans="1:16" x14ac:dyDescent="0.3">
      <c r="A54" s="32" t="s">
        <v>3216</v>
      </c>
      <c r="B54" s="40">
        <v>46108</v>
      </c>
      <c r="C54" s="40">
        <v>46113</v>
      </c>
      <c r="D54" s="32">
        <v>3319</v>
      </c>
      <c r="E54" s="32">
        <v>327</v>
      </c>
      <c r="F54" s="32">
        <v>2</v>
      </c>
      <c r="G54" s="65">
        <v>1</v>
      </c>
      <c r="H54" s="65">
        <v>81433</v>
      </c>
      <c r="I54" s="65" t="s">
        <v>17</v>
      </c>
      <c r="J54" s="66">
        <v>26461107</v>
      </c>
      <c r="K54" s="17" t="s">
        <v>439</v>
      </c>
      <c r="L54" s="15" t="s">
        <v>441</v>
      </c>
      <c r="M54" s="68">
        <v>199900</v>
      </c>
      <c r="N54" s="19">
        <v>0.9</v>
      </c>
      <c r="O54" s="33">
        <f t="shared" si="0"/>
        <v>19990</v>
      </c>
      <c r="P54" s="32" t="s">
        <v>0</v>
      </c>
    </row>
    <row r="55" spans="1:16" x14ac:dyDescent="0.3">
      <c r="A55" s="32" t="s">
        <v>3216</v>
      </c>
      <c r="B55" s="40">
        <v>46108</v>
      </c>
      <c r="C55" s="40">
        <v>46113</v>
      </c>
      <c r="D55" s="32">
        <v>3319</v>
      </c>
      <c r="E55" s="32">
        <v>327</v>
      </c>
      <c r="F55" s="32">
        <v>2</v>
      </c>
      <c r="G55" s="65">
        <v>1</v>
      </c>
      <c r="H55" s="65">
        <v>81433</v>
      </c>
      <c r="I55" s="31" t="s">
        <v>17</v>
      </c>
      <c r="J55" s="66">
        <v>26461116</v>
      </c>
      <c r="K55" s="17" t="s">
        <v>439</v>
      </c>
      <c r="L55" s="15" t="s">
        <v>442</v>
      </c>
      <c r="M55" s="68">
        <v>199900</v>
      </c>
      <c r="N55" s="19">
        <v>0.9</v>
      </c>
      <c r="O55" s="33">
        <f t="shared" si="0"/>
        <v>19990</v>
      </c>
      <c r="P55" s="32" t="s">
        <v>0</v>
      </c>
    </row>
    <row r="56" spans="1:16" x14ac:dyDescent="0.3">
      <c r="A56" s="32" t="s">
        <v>3216</v>
      </c>
      <c r="B56" s="40">
        <v>46108</v>
      </c>
      <c r="C56" s="40">
        <v>46113</v>
      </c>
      <c r="D56" s="32">
        <v>3319</v>
      </c>
      <c r="E56" s="32">
        <v>327</v>
      </c>
      <c r="F56" s="32">
        <v>2</v>
      </c>
      <c r="G56" s="65">
        <v>1</v>
      </c>
      <c r="H56" s="65">
        <v>81433</v>
      </c>
      <c r="I56" s="31" t="s">
        <v>17</v>
      </c>
      <c r="J56" s="66">
        <v>26461125</v>
      </c>
      <c r="K56" s="17" t="s">
        <v>439</v>
      </c>
      <c r="L56" s="15" t="s">
        <v>443</v>
      </c>
      <c r="M56" s="68">
        <v>199900</v>
      </c>
      <c r="N56" s="19">
        <v>0.9</v>
      </c>
      <c r="O56" s="33">
        <f t="shared" si="0"/>
        <v>19990</v>
      </c>
      <c r="P56" s="32" t="s">
        <v>0</v>
      </c>
    </row>
    <row r="57" spans="1:16" x14ac:dyDescent="0.3">
      <c r="A57" s="32" t="s">
        <v>3216</v>
      </c>
      <c r="B57" s="40">
        <v>46108</v>
      </c>
      <c r="C57" s="40">
        <v>46113</v>
      </c>
      <c r="D57" s="32">
        <v>3319</v>
      </c>
      <c r="E57" s="32">
        <v>327</v>
      </c>
      <c r="F57" s="32">
        <v>2</v>
      </c>
      <c r="G57" s="65">
        <v>1</v>
      </c>
      <c r="H57" s="65">
        <v>81433</v>
      </c>
      <c r="I57" s="31" t="s">
        <v>17</v>
      </c>
      <c r="J57" s="66">
        <v>26461134</v>
      </c>
      <c r="K57" s="17" t="s">
        <v>439</v>
      </c>
      <c r="L57" s="15" t="s">
        <v>444</v>
      </c>
      <c r="M57" s="68">
        <v>199900</v>
      </c>
      <c r="N57" s="19">
        <v>0.9</v>
      </c>
      <c r="O57" s="33">
        <f t="shared" si="0"/>
        <v>19990</v>
      </c>
      <c r="P57" s="32" t="s">
        <v>0</v>
      </c>
    </row>
    <row r="58" spans="1:16" x14ac:dyDescent="0.3">
      <c r="A58" s="32" t="s">
        <v>3216</v>
      </c>
      <c r="B58" s="40">
        <v>46108</v>
      </c>
      <c r="C58" s="40">
        <v>46113</v>
      </c>
      <c r="D58" s="32">
        <v>3319</v>
      </c>
      <c r="E58" s="32">
        <v>327</v>
      </c>
      <c r="F58" s="32">
        <v>2</v>
      </c>
      <c r="G58" s="65">
        <v>1</v>
      </c>
      <c r="H58" s="65">
        <v>81433</v>
      </c>
      <c r="I58" s="31" t="s">
        <v>17</v>
      </c>
      <c r="J58" s="66">
        <v>26461143</v>
      </c>
      <c r="K58" s="17" t="s">
        <v>445</v>
      </c>
      <c r="L58" s="15" t="s">
        <v>446</v>
      </c>
      <c r="M58" s="68">
        <v>199900</v>
      </c>
      <c r="N58" s="19">
        <v>0.9</v>
      </c>
      <c r="O58" s="33">
        <f t="shared" si="0"/>
        <v>19990</v>
      </c>
      <c r="P58" s="32" t="s">
        <v>0</v>
      </c>
    </row>
    <row r="59" spans="1:16" x14ac:dyDescent="0.3">
      <c r="A59" s="32" t="s">
        <v>3216</v>
      </c>
      <c r="B59" s="40">
        <v>46108</v>
      </c>
      <c r="C59" s="40">
        <v>46113</v>
      </c>
      <c r="D59" s="32">
        <v>3319</v>
      </c>
      <c r="E59" s="32">
        <v>327</v>
      </c>
      <c r="F59" s="32">
        <v>2</v>
      </c>
      <c r="G59" s="65">
        <v>1</v>
      </c>
      <c r="H59" s="65">
        <v>81433</v>
      </c>
      <c r="I59" s="31" t="s">
        <v>17</v>
      </c>
      <c r="J59" s="66">
        <v>26461152</v>
      </c>
      <c r="K59" s="17" t="s">
        <v>445</v>
      </c>
      <c r="L59" s="15" t="s">
        <v>447</v>
      </c>
      <c r="M59" s="68">
        <v>199900</v>
      </c>
      <c r="N59" s="19">
        <v>0.9</v>
      </c>
      <c r="O59" s="33">
        <f t="shared" si="0"/>
        <v>19990</v>
      </c>
      <c r="P59" s="32" t="s">
        <v>0</v>
      </c>
    </row>
    <row r="60" spans="1:16" x14ac:dyDescent="0.3">
      <c r="A60" s="32" t="s">
        <v>3216</v>
      </c>
      <c r="B60" s="40">
        <v>46108</v>
      </c>
      <c r="C60" s="40">
        <v>46113</v>
      </c>
      <c r="D60" s="32">
        <v>3319</v>
      </c>
      <c r="E60" s="32">
        <v>327</v>
      </c>
      <c r="F60" s="32">
        <v>2</v>
      </c>
      <c r="G60" s="31">
        <v>1</v>
      </c>
      <c r="H60" s="31">
        <v>81433</v>
      </c>
      <c r="I60" s="31" t="s">
        <v>17</v>
      </c>
      <c r="J60" s="67">
        <v>26461161</v>
      </c>
      <c r="K60" s="18" t="s">
        <v>445</v>
      </c>
      <c r="L60" s="14" t="s">
        <v>448</v>
      </c>
      <c r="M60" s="69">
        <v>199900</v>
      </c>
      <c r="N60" s="19">
        <v>0.9</v>
      </c>
      <c r="O60" s="33">
        <f t="shared" si="0"/>
        <v>19990</v>
      </c>
      <c r="P60" s="32" t="s">
        <v>0</v>
      </c>
    </row>
    <row r="61" spans="1:16" x14ac:dyDescent="0.3">
      <c r="A61" s="32" t="s">
        <v>3216</v>
      </c>
      <c r="B61" s="40">
        <v>46108</v>
      </c>
      <c r="C61" s="40">
        <v>46113</v>
      </c>
      <c r="D61" s="32">
        <v>3319</v>
      </c>
      <c r="E61" s="32">
        <v>327</v>
      </c>
      <c r="F61" s="32">
        <v>2</v>
      </c>
      <c r="G61" s="31">
        <v>1</v>
      </c>
      <c r="H61" s="31">
        <v>81433</v>
      </c>
      <c r="I61" s="31" t="s">
        <v>17</v>
      </c>
      <c r="J61" s="67">
        <v>26461170</v>
      </c>
      <c r="K61" s="18" t="s">
        <v>445</v>
      </c>
      <c r="L61" s="14" t="s">
        <v>449</v>
      </c>
      <c r="M61" s="69">
        <v>199900</v>
      </c>
      <c r="N61" s="19">
        <v>0.9</v>
      </c>
      <c r="O61" s="33">
        <f t="shared" si="0"/>
        <v>19990</v>
      </c>
      <c r="P61" s="32" t="s">
        <v>0</v>
      </c>
    </row>
    <row r="62" spans="1:16" x14ac:dyDescent="0.3">
      <c r="A62" s="32" t="s">
        <v>3216</v>
      </c>
      <c r="B62" s="40">
        <v>46108</v>
      </c>
      <c r="C62" s="40">
        <v>46113</v>
      </c>
      <c r="D62" s="32">
        <v>3319</v>
      </c>
      <c r="E62" s="32">
        <v>327</v>
      </c>
      <c r="F62" s="32">
        <v>2</v>
      </c>
      <c r="G62" s="31">
        <v>1</v>
      </c>
      <c r="H62" s="31">
        <v>81433</v>
      </c>
      <c r="I62" s="31" t="s">
        <v>17</v>
      </c>
      <c r="J62" s="67">
        <v>26461189</v>
      </c>
      <c r="K62" s="18" t="s">
        <v>445</v>
      </c>
      <c r="L62" s="14" t="s">
        <v>450</v>
      </c>
      <c r="M62" s="69">
        <v>199900</v>
      </c>
      <c r="N62" s="19">
        <v>0.9</v>
      </c>
      <c r="O62" s="33">
        <f t="shared" si="0"/>
        <v>19990</v>
      </c>
      <c r="P62" s="32" t="s">
        <v>0</v>
      </c>
    </row>
    <row r="63" spans="1:16" x14ac:dyDescent="0.3">
      <c r="A63" s="32" t="s">
        <v>3216</v>
      </c>
      <c r="B63" s="40">
        <v>46108</v>
      </c>
      <c r="C63" s="40">
        <v>46113</v>
      </c>
      <c r="D63" s="32">
        <v>3319</v>
      </c>
      <c r="E63" s="32">
        <v>327</v>
      </c>
      <c r="F63" s="32">
        <v>2</v>
      </c>
      <c r="G63" s="31">
        <v>1</v>
      </c>
      <c r="H63" s="31">
        <v>81433</v>
      </c>
      <c r="I63" s="31" t="s">
        <v>17</v>
      </c>
      <c r="J63" s="67">
        <v>26461330</v>
      </c>
      <c r="K63" s="18" t="s">
        <v>451</v>
      </c>
      <c r="L63" s="14" t="s">
        <v>452</v>
      </c>
      <c r="M63" s="69">
        <v>199900</v>
      </c>
      <c r="N63" s="19">
        <v>0.9</v>
      </c>
      <c r="O63" s="33">
        <f t="shared" si="0"/>
        <v>19990</v>
      </c>
      <c r="P63" s="32" t="s">
        <v>0</v>
      </c>
    </row>
    <row r="64" spans="1:16" x14ac:dyDescent="0.3">
      <c r="A64" s="32" t="s">
        <v>3216</v>
      </c>
      <c r="B64" s="40">
        <v>46108</v>
      </c>
      <c r="C64" s="40">
        <v>46113</v>
      </c>
      <c r="D64" s="32">
        <v>3319</v>
      </c>
      <c r="E64" s="32">
        <v>327</v>
      </c>
      <c r="F64" s="32">
        <v>2</v>
      </c>
      <c r="G64" s="31">
        <v>1</v>
      </c>
      <c r="H64" s="31">
        <v>81433</v>
      </c>
      <c r="I64" s="31" t="s">
        <v>17</v>
      </c>
      <c r="J64" s="67">
        <v>26461349</v>
      </c>
      <c r="K64" s="18" t="s">
        <v>451</v>
      </c>
      <c r="L64" s="14" t="s">
        <v>453</v>
      </c>
      <c r="M64" s="69">
        <v>199900</v>
      </c>
      <c r="N64" s="19">
        <v>0.9</v>
      </c>
      <c r="O64" s="33">
        <f t="shared" si="0"/>
        <v>19990</v>
      </c>
      <c r="P64" s="32" t="s">
        <v>0</v>
      </c>
    </row>
    <row r="65" spans="1:16" x14ac:dyDescent="0.3">
      <c r="A65" s="32" t="s">
        <v>3216</v>
      </c>
      <c r="B65" s="40">
        <v>46108</v>
      </c>
      <c r="C65" s="40">
        <v>46113</v>
      </c>
      <c r="D65" s="32">
        <v>3319</v>
      </c>
      <c r="E65" s="32">
        <v>327</v>
      </c>
      <c r="F65" s="32">
        <v>2</v>
      </c>
      <c r="G65" s="31">
        <v>1</v>
      </c>
      <c r="H65" s="31">
        <v>81433</v>
      </c>
      <c r="I65" s="31" t="s">
        <v>17</v>
      </c>
      <c r="J65" s="67">
        <v>26461358</v>
      </c>
      <c r="K65" s="18" t="s">
        <v>451</v>
      </c>
      <c r="L65" s="14" t="s">
        <v>454</v>
      </c>
      <c r="M65" s="69">
        <v>199900</v>
      </c>
      <c r="N65" s="19">
        <v>0.9</v>
      </c>
      <c r="O65" s="33">
        <f t="shared" si="0"/>
        <v>19990</v>
      </c>
      <c r="P65" s="32" t="s">
        <v>0</v>
      </c>
    </row>
    <row r="66" spans="1:16" x14ac:dyDescent="0.3">
      <c r="A66" s="32" t="s">
        <v>3216</v>
      </c>
      <c r="B66" s="40">
        <v>46108</v>
      </c>
      <c r="C66" s="40">
        <v>46113</v>
      </c>
      <c r="D66" s="32">
        <v>3319</v>
      </c>
      <c r="E66" s="32">
        <v>327</v>
      </c>
      <c r="F66" s="32">
        <v>2</v>
      </c>
      <c r="G66" s="31">
        <v>1</v>
      </c>
      <c r="H66" s="31">
        <v>81433</v>
      </c>
      <c r="I66" s="31" t="s">
        <v>17</v>
      </c>
      <c r="J66" s="67">
        <v>26461367</v>
      </c>
      <c r="K66" s="18" t="s">
        <v>451</v>
      </c>
      <c r="L66" s="14" t="s">
        <v>455</v>
      </c>
      <c r="M66" s="69">
        <v>199900</v>
      </c>
      <c r="N66" s="19">
        <v>0.9</v>
      </c>
      <c r="O66" s="33">
        <f t="shared" si="0"/>
        <v>19990</v>
      </c>
      <c r="P66" s="32" t="s">
        <v>0</v>
      </c>
    </row>
    <row r="67" spans="1:16" x14ac:dyDescent="0.3">
      <c r="A67" s="32" t="s">
        <v>3216</v>
      </c>
      <c r="B67" s="40">
        <v>46108</v>
      </c>
      <c r="C67" s="40">
        <v>46113</v>
      </c>
      <c r="D67" s="32">
        <v>3319</v>
      </c>
      <c r="E67" s="32">
        <v>327</v>
      </c>
      <c r="F67" s="32">
        <v>2</v>
      </c>
      <c r="G67" s="31">
        <v>1</v>
      </c>
      <c r="H67" s="31">
        <v>81433</v>
      </c>
      <c r="I67" s="31" t="s">
        <v>17</v>
      </c>
      <c r="J67" s="67">
        <v>26461376</v>
      </c>
      <c r="K67" s="18" t="s">
        <v>451</v>
      </c>
      <c r="L67" s="14" t="s">
        <v>456</v>
      </c>
      <c r="M67" s="69">
        <v>199900</v>
      </c>
      <c r="N67" s="19">
        <v>0.9</v>
      </c>
      <c r="O67" s="33">
        <f t="shared" ref="O67:O130" si="1">M67*10%</f>
        <v>19990</v>
      </c>
      <c r="P67" s="32" t="s">
        <v>0</v>
      </c>
    </row>
    <row r="68" spans="1:16" x14ac:dyDescent="0.3">
      <c r="A68" s="32" t="s">
        <v>3216</v>
      </c>
      <c r="B68" s="40">
        <v>46108</v>
      </c>
      <c r="C68" s="40">
        <v>46113</v>
      </c>
      <c r="D68" s="32">
        <v>3319</v>
      </c>
      <c r="E68" s="32">
        <v>327</v>
      </c>
      <c r="F68" s="32">
        <v>2</v>
      </c>
      <c r="G68" s="31">
        <v>1</v>
      </c>
      <c r="H68" s="31">
        <v>81433</v>
      </c>
      <c r="I68" s="31" t="s">
        <v>17</v>
      </c>
      <c r="J68" s="67">
        <v>26461385</v>
      </c>
      <c r="K68" s="18" t="s">
        <v>457</v>
      </c>
      <c r="L68" s="14" t="s">
        <v>458</v>
      </c>
      <c r="M68" s="69">
        <v>199900</v>
      </c>
      <c r="N68" s="19">
        <v>0.9</v>
      </c>
      <c r="O68" s="33">
        <f t="shared" si="1"/>
        <v>19990</v>
      </c>
      <c r="P68" s="32" t="s">
        <v>0</v>
      </c>
    </row>
    <row r="69" spans="1:16" x14ac:dyDescent="0.3">
      <c r="A69" s="32" t="s">
        <v>3216</v>
      </c>
      <c r="B69" s="40">
        <v>46108</v>
      </c>
      <c r="C69" s="40">
        <v>46113</v>
      </c>
      <c r="D69" s="32">
        <v>3319</v>
      </c>
      <c r="E69" s="32">
        <v>327</v>
      </c>
      <c r="F69" s="32">
        <v>2</v>
      </c>
      <c r="G69" s="31">
        <v>1</v>
      </c>
      <c r="H69" s="31">
        <v>81433</v>
      </c>
      <c r="I69" s="31" t="s">
        <v>17</v>
      </c>
      <c r="J69" s="67">
        <v>26461394</v>
      </c>
      <c r="K69" s="18" t="s">
        <v>457</v>
      </c>
      <c r="L69" s="14" t="s">
        <v>459</v>
      </c>
      <c r="M69" s="69">
        <v>199900</v>
      </c>
      <c r="N69" s="19">
        <v>0.9</v>
      </c>
      <c r="O69" s="33">
        <f t="shared" si="1"/>
        <v>19990</v>
      </c>
      <c r="P69" s="32" t="s">
        <v>0</v>
      </c>
    </row>
    <row r="70" spans="1:16" x14ac:dyDescent="0.3">
      <c r="A70" s="32" t="s">
        <v>3216</v>
      </c>
      <c r="B70" s="40">
        <v>46108</v>
      </c>
      <c r="C70" s="40">
        <v>46113</v>
      </c>
      <c r="D70" s="32">
        <v>3319</v>
      </c>
      <c r="E70" s="32">
        <v>327</v>
      </c>
      <c r="F70" s="32">
        <v>2</v>
      </c>
      <c r="G70" s="31">
        <v>1</v>
      </c>
      <c r="H70" s="31">
        <v>81433</v>
      </c>
      <c r="I70" s="31" t="s">
        <v>17</v>
      </c>
      <c r="J70" s="67">
        <v>26461401</v>
      </c>
      <c r="K70" s="18" t="s">
        <v>457</v>
      </c>
      <c r="L70" s="14" t="s">
        <v>460</v>
      </c>
      <c r="M70" s="69">
        <v>199900</v>
      </c>
      <c r="N70" s="19">
        <v>0.9</v>
      </c>
      <c r="O70" s="33">
        <f t="shared" si="1"/>
        <v>19990</v>
      </c>
      <c r="P70" s="32" t="s">
        <v>0</v>
      </c>
    </row>
    <row r="71" spans="1:16" x14ac:dyDescent="0.3">
      <c r="A71" s="32" t="s">
        <v>3216</v>
      </c>
      <c r="B71" s="40">
        <v>46108</v>
      </c>
      <c r="C71" s="40">
        <v>46113</v>
      </c>
      <c r="D71" s="32">
        <v>3319</v>
      </c>
      <c r="E71" s="32">
        <v>327</v>
      </c>
      <c r="F71" s="32">
        <v>2</v>
      </c>
      <c r="G71" s="31">
        <v>1</v>
      </c>
      <c r="H71" s="31">
        <v>81433</v>
      </c>
      <c r="I71" s="31" t="s">
        <v>17</v>
      </c>
      <c r="J71" s="67">
        <v>26461410</v>
      </c>
      <c r="K71" s="18" t="s">
        <v>457</v>
      </c>
      <c r="L71" s="14" t="s">
        <v>461</v>
      </c>
      <c r="M71" s="69">
        <v>199900</v>
      </c>
      <c r="N71" s="19">
        <v>0.9</v>
      </c>
      <c r="O71" s="33">
        <f t="shared" si="1"/>
        <v>19990</v>
      </c>
      <c r="P71" s="32" t="s">
        <v>0</v>
      </c>
    </row>
    <row r="72" spans="1:16" x14ac:dyDescent="0.3">
      <c r="A72" s="32" t="s">
        <v>3216</v>
      </c>
      <c r="B72" s="40">
        <v>46108</v>
      </c>
      <c r="C72" s="40">
        <v>46113</v>
      </c>
      <c r="D72" s="32">
        <v>3319</v>
      </c>
      <c r="E72" s="32">
        <v>327</v>
      </c>
      <c r="F72" s="32">
        <v>2</v>
      </c>
      <c r="G72" s="31">
        <v>1</v>
      </c>
      <c r="H72" s="31">
        <v>81433</v>
      </c>
      <c r="I72" s="31" t="s">
        <v>17</v>
      </c>
      <c r="J72" s="67">
        <v>26461429</v>
      </c>
      <c r="K72" s="18" t="s">
        <v>457</v>
      </c>
      <c r="L72" s="14" t="s">
        <v>462</v>
      </c>
      <c r="M72" s="69">
        <v>199900</v>
      </c>
      <c r="N72" s="19">
        <v>0.9</v>
      </c>
      <c r="O72" s="33">
        <f t="shared" si="1"/>
        <v>19990</v>
      </c>
      <c r="P72" s="32" t="s">
        <v>0</v>
      </c>
    </row>
    <row r="73" spans="1:16" x14ac:dyDescent="0.3">
      <c r="A73" s="32" t="s">
        <v>3216</v>
      </c>
      <c r="B73" s="40">
        <v>46108</v>
      </c>
      <c r="C73" s="40">
        <v>46113</v>
      </c>
      <c r="D73" s="32">
        <v>3319</v>
      </c>
      <c r="E73" s="32">
        <v>327</v>
      </c>
      <c r="F73" s="32">
        <v>2</v>
      </c>
      <c r="G73" s="31">
        <v>1</v>
      </c>
      <c r="H73" s="31">
        <v>81433</v>
      </c>
      <c r="I73" s="31" t="s">
        <v>17</v>
      </c>
      <c r="J73" s="67">
        <v>26462544</v>
      </c>
      <c r="K73" s="18" t="s">
        <v>463</v>
      </c>
      <c r="L73" s="14" t="s">
        <v>464</v>
      </c>
      <c r="M73" s="69">
        <v>199900</v>
      </c>
      <c r="N73" s="19">
        <v>0.9</v>
      </c>
      <c r="O73" s="33">
        <f t="shared" si="1"/>
        <v>19990</v>
      </c>
      <c r="P73" s="32" t="s">
        <v>0</v>
      </c>
    </row>
    <row r="74" spans="1:16" x14ac:dyDescent="0.3">
      <c r="A74" s="32" t="s">
        <v>3216</v>
      </c>
      <c r="B74" s="40">
        <v>46108</v>
      </c>
      <c r="C74" s="40">
        <v>46113</v>
      </c>
      <c r="D74" s="32">
        <v>3319</v>
      </c>
      <c r="E74" s="32">
        <v>327</v>
      </c>
      <c r="F74" s="32">
        <v>2</v>
      </c>
      <c r="G74" s="31">
        <v>1</v>
      </c>
      <c r="H74" s="31">
        <v>81433</v>
      </c>
      <c r="I74" s="31" t="s">
        <v>17</v>
      </c>
      <c r="J74" s="67">
        <v>26462553</v>
      </c>
      <c r="K74" s="18" t="s">
        <v>463</v>
      </c>
      <c r="L74" s="14" t="s">
        <v>465</v>
      </c>
      <c r="M74" s="69">
        <v>199900</v>
      </c>
      <c r="N74" s="19">
        <v>0.9</v>
      </c>
      <c r="O74" s="33">
        <f t="shared" si="1"/>
        <v>19990</v>
      </c>
      <c r="P74" s="32" t="s">
        <v>0</v>
      </c>
    </row>
    <row r="75" spans="1:16" x14ac:dyDescent="0.3">
      <c r="A75" s="32" t="s">
        <v>3216</v>
      </c>
      <c r="B75" s="40">
        <v>46108</v>
      </c>
      <c r="C75" s="40">
        <v>46113</v>
      </c>
      <c r="D75" s="32">
        <v>3319</v>
      </c>
      <c r="E75" s="32">
        <v>327</v>
      </c>
      <c r="F75" s="32">
        <v>2</v>
      </c>
      <c r="G75" s="31">
        <v>1</v>
      </c>
      <c r="H75" s="31">
        <v>81433</v>
      </c>
      <c r="I75" s="31" t="s">
        <v>17</v>
      </c>
      <c r="J75" s="67">
        <v>26462562</v>
      </c>
      <c r="K75" s="18" t="s">
        <v>463</v>
      </c>
      <c r="L75" s="14" t="s">
        <v>466</v>
      </c>
      <c r="M75" s="69">
        <v>199900</v>
      </c>
      <c r="N75" s="19">
        <v>0.9</v>
      </c>
      <c r="O75" s="33">
        <f t="shared" si="1"/>
        <v>19990</v>
      </c>
      <c r="P75" s="32" t="s">
        <v>0</v>
      </c>
    </row>
    <row r="76" spans="1:16" x14ac:dyDescent="0.3">
      <c r="A76" s="32" t="s">
        <v>3216</v>
      </c>
      <c r="B76" s="40">
        <v>46108</v>
      </c>
      <c r="C76" s="40">
        <v>46113</v>
      </c>
      <c r="D76" s="32">
        <v>3319</v>
      </c>
      <c r="E76" s="32">
        <v>327</v>
      </c>
      <c r="F76" s="32">
        <v>2</v>
      </c>
      <c r="G76" s="31">
        <v>1</v>
      </c>
      <c r="H76" s="31">
        <v>81433</v>
      </c>
      <c r="I76" s="31" t="s">
        <v>17</v>
      </c>
      <c r="J76" s="67">
        <v>26462571</v>
      </c>
      <c r="K76" s="18" t="s">
        <v>463</v>
      </c>
      <c r="L76" s="14" t="s">
        <v>467</v>
      </c>
      <c r="M76" s="69">
        <v>199900</v>
      </c>
      <c r="N76" s="19">
        <v>0.9</v>
      </c>
      <c r="O76" s="33">
        <f t="shared" si="1"/>
        <v>19990</v>
      </c>
      <c r="P76" s="32" t="s">
        <v>0</v>
      </c>
    </row>
    <row r="77" spans="1:16" x14ac:dyDescent="0.3">
      <c r="A77" s="32" t="s">
        <v>3216</v>
      </c>
      <c r="B77" s="40">
        <v>46108</v>
      </c>
      <c r="C77" s="40">
        <v>46113</v>
      </c>
      <c r="D77" s="32">
        <v>3319</v>
      </c>
      <c r="E77" s="32">
        <v>327</v>
      </c>
      <c r="F77" s="32">
        <v>2</v>
      </c>
      <c r="G77" s="31">
        <v>1</v>
      </c>
      <c r="H77" s="31">
        <v>81433</v>
      </c>
      <c r="I77" s="31" t="s">
        <v>17</v>
      </c>
      <c r="J77" s="67">
        <v>26462580</v>
      </c>
      <c r="K77" s="18" t="s">
        <v>463</v>
      </c>
      <c r="L77" s="14" t="s">
        <v>468</v>
      </c>
      <c r="M77" s="69">
        <v>199900</v>
      </c>
      <c r="N77" s="19">
        <v>0.9</v>
      </c>
      <c r="O77" s="33">
        <f t="shared" si="1"/>
        <v>19990</v>
      </c>
      <c r="P77" s="32" t="s">
        <v>0</v>
      </c>
    </row>
    <row r="78" spans="1:16" x14ac:dyDescent="0.3">
      <c r="A78" s="32" t="s">
        <v>3216</v>
      </c>
      <c r="B78" s="40">
        <v>46108</v>
      </c>
      <c r="C78" s="40">
        <v>46113</v>
      </c>
      <c r="D78" s="32">
        <v>3319</v>
      </c>
      <c r="E78" s="32">
        <v>327</v>
      </c>
      <c r="F78" s="32">
        <v>2</v>
      </c>
      <c r="G78" s="31">
        <v>1</v>
      </c>
      <c r="H78" s="31">
        <v>81433</v>
      </c>
      <c r="I78" s="31" t="s">
        <v>17</v>
      </c>
      <c r="J78" s="67">
        <v>26462599</v>
      </c>
      <c r="K78" s="18" t="s">
        <v>469</v>
      </c>
      <c r="L78" s="14" t="s">
        <v>470</v>
      </c>
      <c r="M78" s="69">
        <v>199900</v>
      </c>
      <c r="N78" s="19">
        <v>0.9</v>
      </c>
      <c r="O78" s="33">
        <f t="shared" si="1"/>
        <v>19990</v>
      </c>
      <c r="P78" s="32" t="s">
        <v>0</v>
      </c>
    </row>
    <row r="79" spans="1:16" x14ac:dyDescent="0.3">
      <c r="A79" s="32" t="s">
        <v>3216</v>
      </c>
      <c r="B79" s="40">
        <v>46108</v>
      </c>
      <c r="C79" s="40">
        <v>46113</v>
      </c>
      <c r="D79" s="32">
        <v>3319</v>
      </c>
      <c r="E79" s="32">
        <v>327</v>
      </c>
      <c r="F79" s="32">
        <v>2</v>
      </c>
      <c r="G79" s="31">
        <v>1</v>
      </c>
      <c r="H79" s="31">
        <v>81433</v>
      </c>
      <c r="I79" s="31" t="s">
        <v>17</v>
      </c>
      <c r="J79" s="67">
        <v>26462606</v>
      </c>
      <c r="K79" s="18" t="s">
        <v>469</v>
      </c>
      <c r="L79" s="14" t="s">
        <v>471</v>
      </c>
      <c r="M79" s="69">
        <v>199900</v>
      </c>
      <c r="N79" s="19">
        <v>0.9</v>
      </c>
      <c r="O79" s="33">
        <f t="shared" si="1"/>
        <v>19990</v>
      </c>
      <c r="P79" s="32" t="s">
        <v>0</v>
      </c>
    </row>
    <row r="80" spans="1:16" x14ac:dyDescent="0.3">
      <c r="A80" s="32" t="s">
        <v>3216</v>
      </c>
      <c r="B80" s="40">
        <v>46108</v>
      </c>
      <c r="C80" s="40">
        <v>46113</v>
      </c>
      <c r="D80" s="32">
        <v>3319</v>
      </c>
      <c r="E80" s="32">
        <v>327</v>
      </c>
      <c r="F80" s="32">
        <v>2</v>
      </c>
      <c r="G80" s="31">
        <v>1</v>
      </c>
      <c r="H80" s="31">
        <v>81433</v>
      </c>
      <c r="I80" s="31" t="s">
        <v>17</v>
      </c>
      <c r="J80" s="67">
        <v>26462615</v>
      </c>
      <c r="K80" s="18" t="s">
        <v>469</v>
      </c>
      <c r="L80" s="14" t="s">
        <v>472</v>
      </c>
      <c r="M80" s="69">
        <v>199900</v>
      </c>
      <c r="N80" s="19">
        <v>0.9</v>
      </c>
      <c r="O80" s="33">
        <f t="shared" si="1"/>
        <v>19990</v>
      </c>
      <c r="P80" s="32" t="s">
        <v>0</v>
      </c>
    </row>
    <row r="81" spans="1:16" x14ac:dyDescent="0.3">
      <c r="A81" s="32" t="s">
        <v>3216</v>
      </c>
      <c r="B81" s="40">
        <v>46108</v>
      </c>
      <c r="C81" s="40">
        <v>46113</v>
      </c>
      <c r="D81" s="32">
        <v>3319</v>
      </c>
      <c r="E81" s="32">
        <v>327</v>
      </c>
      <c r="F81" s="32">
        <v>2</v>
      </c>
      <c r="G81" s="31">
        <v>1</v>
      </c>
      <c r="H81" s="31">
        <v>81433</v>
      </c>
      <c r="I81" s="31" t="s">
        <v>17</v>
      </c>
      <c r="J81" s="67">
        <v>26462624</v>
      </c>
      <c r="K81" s="18" t="s">
        <v>469</v>
      </c>
      <c r="L81" s="14" t="s">
        <v>473</v>
      </c>
      <c r="M81" s="69">
        <v>199900</v>
      </c>
      <c r="N81" s="19">
        <v>0.9</v>
      </c>
      <c r="O81" s="33">
        <f t="shared" si="1"/>
        <v>19990</v>
      </c>
      <c r="P81" s="32" t="s">
        <v>0</v>
      </c>
    </row>
    <row r="82" spans="1:16" x14ac:dyDescent="0.3">
      <c r="A82" s="32" t="s">
        <v>3216</v>
      </c>
      <c r="B82" s="40">
        <v>46108</v>
      </c>
      <c r="C82" s="40">
        <v>46113</v>
      </c>
      <c r="D82" s="32">
        <v>3319</v>
      </c>
      <c r="E82" s="32">
        <v>327</v>
      </c>
      <c r="F82" s="32">
        <v>2</v>
      </c>
      <c r="G82" s="31">
        <v>1</v>
      </c>
      <c r="H82" s="31">
        <v>81433</v>
      </c>
      <c r="I82" s="31" t="s">
        <v>17</v>
      </c>
      <c r="J82" s="67">
        <v>26462633</v>
      </c>
      <c r="K82" s="18" t="s">
        <v>469</v>
      </c>
      <c r="L82" s="14" t="s">
        <v>474</v>
      </c>
      <c r="M82" s="69">
        <v>199900</v>
      </c>
      <c r="N82" s="19">
        <v>0.9</v>
      </c>
      <c r="O82" s="33">
        <f t="shared" si="1"/>
        <v>19990</v>
      </c>
      <c r="P82" s="32" t="s">
        <v>0</v>
      </c>
    </row>
    <row r="83" spans="1:16" x14ac:dyDescent="0.3">
      <c r="A83" s="32" t="s">
        <v>3216</v>
      </c>
      <c r="B83" s="40">
        <v>46108</v>
      </c>
      <c r="C83" s="40">
        <v>46113</v>
      </c>
      <c r="D83" s="32">
        <v>3319</v>
      </c>
      <c r="E83" s="32">
        <v>327</v>
      </c>
      <c r="F83" s="32">
        <v>2</v>
      </c>
      <c r="G83" s="31">
        <v>1</v>
      </c>
      <c r="H83" s="31">
        <v>81433</v>
      </c>
      <c r="I83" s="31" t="s">
        <v>17</v>
      </c>
      <c r="J83" s="67">
        <v>26463525</v>
      </c>
      <c r="K83" s="18" t="s">
        <v>475</v>
      </c>
      <c r="L83" s="14" t="s">
        <v>476</v>
      </c>
      <c r="M83" s="69">
        <v>239900</v>
      </c>
      <c r="N83" s="19">
        <v>0.9</v>
      </c>
      <c r="O83" s="33">
        <f t="shared" si="1"/>
        <v>23990</v>
      </c>
      <c r="P83" s="32" t="s">
        <v>0</v>
      </c>
    </row>
    <row r="84" spans="1:16" x14ac:dyDescent="0.3">
      <c r="A84" s="32" t="s">
        <v>3216</v>
      </c>
      <c r="B84" s="40">
        <v>46108</v>
      </c>
      <c r="C84" s="40">
        <v>46113</v>
      </c>
      <c r="D84" s="32">
        <v>3319</v>
      </c>
      <c r="E84" s="32">
        <v>327</v>
      </c>
      <c r="F84" s="32">
        <v>2</v>
      </c>
      <c r="G84" s="31">
        <v>1</v>
      </c>
      <c r="H84" s="31">
        <v>81433</v>
      </c>
      <c r="I84" s="31" t="s">
        <v>17</v>
      </c>
      <c r="J84" s="67">
        <v>26463534</v>
      </c>
      <c r="K84" s="18" t="s">
        <v>475</v>
      </c>
      <c r="L84" s="14" t="s">
        <v>477</v>
      </c>
      <c r="M84" s="69">
        <v>239900</v>
      </c>
      <c r="N84" s="19">
        <v>0.9</v>
      </c>
      <c r="O84" s="33">
        <f t="shared" si="1"/>
        <v>23990</v>
      </c>
      <c r="P84" s="32" t="s">
        <v>0</v>
      </c>
    </row>
    <row r="85" spans="1:16" x14ac:dyDescent="0.3">
      <c r="A85" s="32" t="s">
        <v>3216</v>
      </c>
      <c r="B85" s="40">
        <v>46108</v>
      </c>
      <c r="C85" s="40">
        <v>46113</v>
      </c>
      <c r="D85" s="32">
        <v>3319</v>
      </c>
      <c r="E85" s="32">
        <v>327</v>
      </c>
      <c r="F85" s="32">
        <v>2</v>
      </c>
      <c r="G85" s="31">
        <v>1</v>
      </c>
      <c r="H85" s="31">
        <v>81433</v>
      </c>
      <c r="I85" s="31" t="s">
        <v>17</v>
      </c>
      <c r="J85" s="67">
        <v>26463543</v>
      </c>
      <c r="K85" s="18" t="s">
        <v>475</v>
      </c>
      <c r="L85" s="14" t="s">
        <v>478</v>
      </c>
      <c r="M85" s="69">
        <v>239900</v>
      </c>
      <c r="N85" s="19">
        <v>0.9</v>
      </c>
      <c r="O85" s="33">
        <f t="shared" si="1"/>
        <v>23990</v>
      </c>
      <c r="P85" s="32" t="s">
        <v>0</v>
      </c>
    </row>
    <row r="86" spans="1:16" x14ac:dyDescent="0.3">
      <c r="A86" s="32" t="s">
        <v>3216</v>
      </c>
      <c r="B86" s="40">
        <v>46108</v>
      </c>
      <c r="C86" s="40">
        <v>46113</v>
      </c>
      <c r="D86" s="32">
        <v>3319</v>
      </c>
      <c r="E86" s="32">
        <v>327</v>
      </c>
      <c r="F86" s="32">
        <v>2</v>
      </c>
      <c r="G86" s="31">
        <v>1</v>
      </c>
      <c r="H86" s="31">
        <v>81433</v>
      </c>
      <c r="I86" s="31" t="s">
        <v>17</v>
      </c>
      <c r="J86" s="67">
        <v>26463552</v>
      </c>
      <c r="K86" s="18" t="s">
        <v>475</v>
      </c>
      <c r="L86" s="14" t="s">
        <v>479</v>
      </c>
      <c r="M86" s="69">
        <v>239900</v>
      </c>
      <c r="N86" s="19">
        <v>0.9</v>
      </c>
      <c r="O86" s="33">
        <f t="shared" si="1"/>
        <v>23990</v>
      </c>
      <c r="P86" s="32" t="s">
        <v>0</v>
      </c>
    </row>
    <row r="87" spans="1:16" x14ac:dyDescent="0.3">
      <c r="A87" s="32" t="s">
        <v>3216</v>
      </c>
      <c r="B87" s="40">
        <v>46108</v>
      </c>
      <c r="C87" s="40">
        <v>46113</v>
      </c>
      <c r="D87" s="32">
        <v>3319</v>
      </c>
      <c r="E87" s="32">
        <v>327</v>
      </c>
      <c r="F87" s="32">
        <v>2</v>
      </c>
      <c r="G87" s="31">
        <v>1</v>
      </c>
      <c r="H87" s="31">
        <v>81433</v>
      </c>
      <c r="I87" s="31" t="s">
        <v>17</v>
      </c>
      <c r="J87" s="67">
        <v>26463561</v>
      </c>
      <c r="K87" s="18" t="s">
        <v>475</v>
      </c>
      <c r="L87" s="14" t="s">
        <v>480</v>
      </c>
      <c r="M87" s="69">
        <v>239900</v>
      </c>
      <c r="N87" s="19">
        <v>0.9</v>
      </c>
      <c r="O87" s="33">
        <f t="shared" si="1"/>
        <v>23990</v>
      </c>
      <c r="P87" s="32" t="s">
        <v>0</v>
      </c>
    </row>
    <row r="88" spans="1:16" x14ac:dyDescent="0.3">
      <c r="A88" s="32" t="s">
        <v>3216</v>
      </c>
      <c r="B88" s="40">
        <v>46108</v>
      </c>
      <c r="C88" s="40">
        <v>46113</v>
      </c>
      <c r="D88" s="32">
        <v>3319</v>
      </c>
      <c r="E88" s="32">
        <v>327</v>
      </c>
      <c r="F88" s="32">
        <v>2</v>
      </c>
      <c r="G88" s="31">
        <v>1</v>
      </c>
      <c r="H88" s="31">
        <v>81433</v>
      </c>
      <c r="I88" s="31" t="s">
        <v>17</v>
      </c>
      <c r="J88" s="67">
        <v>26463570</v>
      </c>
      <c r="K88" s="18" t="s">
        <v>481</v>
      </c>
      <c r="L88" s="14" t="s">
        <v>482</v>
      </c>
      <c r="M88" s="69">
        <v>239900</v>
      </c>
      <c r="N88" s="19">
        <v>0.9</v>
      </c>
      <c r="O88" s="33">
        <f t="shared" si="1"/>
        <v>23990</v>
      </c>
      <c r="P88" s="32" t="s">
        <v>0</v>
      </c>
    </row>
    <row r="89" spans="1:16" x14ac:dyDescent="0.3">
      <c r="A89" s="32" t="s">
        <v>3216</v>
      </c>
      <c r="B89" s="40">
        <v>46108</v>
      </c>
      <c r="C89" s="40">
        <v>46113</v>
      </c>
      <c r="D89" s="32">
        <v>3319</v>
      </c>
      <c r="E89" s="32">
        <v>327</v>
      </c>
      <c r="F89" s="32">
        <v>2</v>
      </c>
      <c r="G89" s="31">
        <v>1</v>
      </c>
      <c r="H89" s="31">
        <v>81433</v>
      </c>
      <c r="I89" s="31" t="s">
        <v>17</v>
      </c>
      <c r="J89" s="67">
        <v>26463589</v>
      </c>
      <c r="K89" s="18" t="s">
        <v>481</v>
      </c>
      <c r="L89" s="14" t="s">
        <v>483</v>
      </c>
      <c r="M89" s="69">
        <v>239900</v>
      </c>
      <c r="N89" s="19">
        <v>0.9</v>
      </c>
      <c r="O89" s="33">
        <f t="shared" si="1"/>
        <v>23990</v>
      </c>
      <c r="P89" s="32" t="s">
        <v>0</v>
      </c>
    </row>
    <row r="90" spans="1:16" x14ac:dyDescent="0.3">
      <c r="A90" s="32" t="s">
        <v>3216</v>
      </c>
      <c r="B90" s="40">
        <v>46108</v>
      </c>
      <c r="C90" s="40">
        <v>46113</v>
      </c>
      <c r="D90" s="32">
        <v>3319</v>
      </c>
      <c r="E90" s="32">
        <v>327</v>
      </c>
      <c r="F90" s="32">
        <v>2</v>
      </c>
      <c r="G90" s="65">
        <v>1</v>
      </c>
      <c r="H90" s="65">
        <v>81433</v>
      </c>
      <c r="I90" s="65" t="s">
        <v>17</v>
      </c>
      <c r="J90" s="66">
        <v>26463598</v>
      </c>
      <c r="K90" s="17" t="s">
        <v>481</v>
      </c>
      <c r="L90" s="15" t="s">
        <v>484</v>
      </c>
      <c r="M90" s="68">
        <v>239900</v>
      </c>
      <c r="N90" s="19">
        <v>0.9</v>
      </c>
      <c r="O90" s="33">
        <f t="shared" si="1"/>
        <v>23990</v>
      </c>
      <c r="P90" s="32" t="s">
        <v>0</v>
      </c>
    </row>
    <row r="91" spans="1:16" x14ac:dyDescent="0.3">
      <c r="A91" s="32" t="s">
        <v>3216</v>
      </c>
      <c r="B91" s="40">
        <v>46108</v>
      </c>
      <c r="C91" s="40">
        <v>46113</v>
      </c>
      <c r="D91" s="32">
        <v>3319</v>
      </c>
      <c r="E91" s="32">
        <v>327</v>
      </c>
      <c r="F91" s="32">
        <v>2</v>
      </c>
      <c r="G91" s="65">
        <v>1</v>
      </c>
      <c r="H91" s="65">
        <v>81433</v>
      </c>
      <c r="I91" s="65" t="s">
        <v>17</v>
      </c>
      <c r="J91" s="66">
        <v>26463605</v>
      </c>
      <c r="K91" s="17" t="s">
        <v>481</v>
      </c>
      <c r="L91" s="15" t="s">
        <v>485</v>
      </c>
      <c r="M91" s="68">
        <v>239900</v>
      </c>
      <c r="N91" s="19">
        <v>0.9</v>
      </c>
      <c r="O91" s="33">
        <f t="shared" si="1"/>
        <v>23990</v>
      </c>
      <c r="P91" s="32" t="s">
        <v>0</v>
      </c>
    </row>
    <row r="92" spans="1:16" x14ac:dyDescent="0.3">
      <c r="A92" s="32" t="s">
        <v>3216</v>
      </c>
      <c r="B92" s="40">
        <v>46108</v>
      </c>
      <c r="C92" s="40">
        <v>46113</v>
      </c>
      <c r="D92" s="32">
        <v>3319</v>
      </c>
      <c r="E92" s="32">
        <v>327</v>
      </c>
      <c r="F92" s="32">
        <v>2</v>
      </c>
      <c r="G92" s="65">
        <v>1</v>
      </c>
      <c r="H92" s="65">
        <v>81433</v>
      </c>
      <c r="I92" s="65" t="s">
        <v>17</v>
      </c>
      <c r="J92" s="66">
        <v>26463614</v>
      </c>
      <c r="K92" s="17" t="s">
        <v>481</v>
      </c>
      <c r="L92" s="15" t="s">
        <v>486</v>
      </c>
      <c r="M92" s="68">
        <v>239900</v>
      </c>
      <c r="N92" s="19">
        <v>0.9</v>
      </c>
      <c r="O92" s="33">
        <f t="shared" si="1"/>
        <v>23990</v>
      </c>
      <c r="P92" s="32" t="s">
        <v>0</v>
      </c>
    </row>
    <row r="93" spans="1:16" x14ac:dyDescent="0.3">
      <c r="A93" s="32" t="s">
        <v>3216</v>
      </c>
      <c r="B93" s="40">
        <v>46108</v>
      </c>
      <c r="C93" s="40">
        <v>46113</v>
      </c>
      <c r="D93" s="32">
        <v>3319</v>
      </c>
      <c r="E93" s="32">
        <v>327</v>
      </c>
      <c r="F93" s="32">
        <v>2</v>
      </c>
      <c r="G93" s="65">
        <v>1</v>
      </c>
      <c r="H93" s="65">
        <v>81433</v>
      </c>
      <c r="I93" s="65" t="s">
        <v>17</v>
      </c>
      <c r="J93" s="66">
        <v>27022320</v>
      </c>
      <c r="K93" s="17" t="s">
        <v>487</v>
      </c>
      <c r="L93" s="15" t="s">
        <v>488</v>
      </c>
      <c r="M93" s="68">
        <v>259900</v>
      </c>
      <c r="N93" s="19">
        <v>0.9</v>
      </c>
      <c r="O93" s="33">
        <f t="shared" si="1"/>
        <v>25990</v>
      </c>
      <c r="P93" s="32" t="s">
        <v>0</v>
      </c>
    </row>
    <row r="94" spans="1:16" x14ac:dyDescent="0.3">
      <c r="A94" s="32" t="s">
        <v>3216</v>
      </c>
      <c r="B94" s="40">
        <v>46108</v>
      </c>
      <c r="C94" s="40">
        <v>46113</v>
      </c>
      <c r="D94" s="32">
        <v>3319</v>
      </c>
      <c r="E94" s="32">
        <v>327</v>
      </c>
      <c r="F94" s="32">
        <v>2</v>
      </c>
      <c r="G94" s="65">
        <v>1</v>
      </c>
      <c r="H94" s="65">
        <v>81433</v>
      </c>
      <c r="I94" s="65" t="s">
        <v>17</v>
      </c>
      <c r="J94" s="66">
        <v>27022339</v>
      </c>
      <c r="K94" s="17" t="s">
        <v>487</v>
      </c>
      <c r="L94" s="15" t="s">
        <v>489</v>
      </c>
      <c r="M94" s="68">
        <v>259900</v>
      </c>
      <c r="N94" s="19">
        <v>0.9</v>
      </c>
      <c r="O94" s="33">
        <f t="shared" si="1"/>
        <v>25990</v>
      </c>
      <c r="P94" s="32" t="s">
        <v>0</v>
      </c>
    </row>
    <row r="95" spans="1:16" x14ac:dyDescent="0.3">
      <c r="A95" s="32" t="s">
        <v>3216</v>
      </c>
      <c r="B95" s="40">
        <v>46108</v>
      </c>
      <c r="C95" s="40">
        <v>46113</v>
      </c>
      <c r="D95" s="32">
        <v>3319</v>
      </c>
      <c r="E95" s="32">
        <v>327</v>
      </c>
      <c r="F95" s="32">
        <v>2</v>
      </c>
      <c r="G95" s="65">
        <v>1</v>
      </c>
      <c r="H95" s="65">
        <v>81433</v>
      </c>
      <c r="I95" s="65" t="s">
        <v>17</v>
      </c>
      <c r="J95" s="66">
        <v>27022348</v>
      </c>
      <c r="K95" s="17" t="s">
        <v>487</v>
      </c>
      <c r="L95" s="15" t="s">
        <v>490</v>
      </c>
      <c r="M95" s="68">
        <v>259900</v>
      </c>
      <c r="N95" s="19">
        <v>0.9</v>
      </c>
      <c r="O95" s="33">
        <f t="shared" si="1"/>
        <v>25990</v>
      </c>
      <c r="P95" s="32" t="s">
        <v>0</v>
      </c>
    </row>
    <row r="96" spans="1:16" x14ac:dyDescent="0.3">
      <c r="A96" s="32" t="s">
        <v>3216</v>
      </c>
      <c r="B96" s="40">
        <v>46108</v>
      </c>
      <c r="C96" s="40">
        <v>46113</v>
      </c>
      <c r="D96" s="32">
        <v>3319</v>
      </c>
      <c r="E96" s="32">
        <v>327</v>
      </c>
      <c r="F96" s="32">
        <v>2</v>
      </c>
      <c r="G96" s="65">
        <v>1</v>
      </c>
      <c r="H96" s="65">
        <v>81433</v>
      </c>
      <c r="I96" s="65" t="s">
        <v>17</v>
      </c>
      <c r="J96" s="66">
        <v>27022357</v>
      </c>
      <c r="K96" s="17" t="s">
        <v>487</v>
      </c>
      <c r="L96" s="15" t="s">
        <v>491</v>
      </c>
      <c r="M96" s="68">
        <v>259900</v>
      </c>
      <c r="N96" s="19">
        <v>0.9</v>
      </c>
      <c r="O96" s="33">
        <f t="shared" si="1"/>
        <v>25990</v>
      </c>
      <c r="P96" s="32" t="s">
        <v>0</v>
      </c>
    </row>
    <row r="97" spans="1:16" x14ac:dyDescent="0.3">
      <c r="A97" s="32" t="s">
        <v>3216</v>
      </c>
      <c r="B97" s="40">
        <v>46108</v>
      </c>
      <c r="C97" s="40">
        <v>46113</v>
      </c>
      <c r="D97" s="32">
        <v>3319</v>
      </c>
      <c r="E97" s="32">
        <v>327</v>
      </c>
      <c r="F97" s="32">
        <v>2</v>
      </c>
      <c r="G97" s="65">
        <v>1</v>
      </c>
      <c r="H97" s="65">
        <v>81433</v>
      </c>
      <c r="I97" s="65" t="s">
        <v>17</v>
      </c>
      <c r="J97" s="66">
        <v>27022366</v>
      </c>
      <c r="K97" s="17" t="s">
        <v>487</v>
      </c>
      <c r="L97" s="15" t="s">
        <v>492</v>
      </c>
      <c r="M97" s="68">
        <v>259900</v>
      </c>
      <c r="N97" s="19">
        <v>0.9</v>
      </c>
      <c r="O97" s="33">
        <f t="shared" si="1"/>
        <v>25990</v>
      </c>
      <c r="P97" s="32" t="s">
        <v>0</v>
      </c>
    </row>
    <row r="98" spans="1:16" x14ac:dyDescent="0.3">
      <c r="A98" s="32" t="s">
        <v>3216</v>
      </c>
      <c r="B98" s="40">
        <v>46108</v>
      </c>
      <c r="C98" s="40">
        <v>46113</v>
      </c>
      <c r="D98" s="32">
        <v>3319</v>
      </c>
      <c r="E98" s="32">
        <v>327</v>
      </c>
      <c r="F98" s="32">
        <v>2</v>
      </c>
      <c r="G98" s="65">
        <v>1</v>
      </c>
      <c r="H98" s="65">
        <v>81433</v>
      </c>
      <c r="I98" s="65" t="s">
        <v>17</v>
      </c>
      <c r="J98" s="66">
        <v>27022375</v>
      </c>
      <c r="K98" s="17" t="s">
        <v>487</v>
      </c>
      <c r="L98" s="15" t="s">
        <v>493</v>
      </c>
      <c r="M98" s="68">
        <v>259900</v>
      </c>
      <c r="N98" s="19">
        <v>0.9</v>
      </c>
      <c r="O98" s="33">
        <f t="shared" si="1"/>
        <v>25990</v>
      </c>
      <c r="P98" s="32" t="s">
        <v>0</v>
      </c>
    </row>
    <row r="99" spans="1:16" x14ac:dyDescent="0.3">
      <c r="A99" s="32" t="s">
        <v>3216</v>
      </c>
      <c r="B99" s="40">
        <v>46108</v>
      </c>
      <c r="C99" s="40">
        <v>46113</v>
      </c>
      <c r="D99" s="32">
        <v>3319</v>
      </c>
      <c r="E99" s="32">
        <v>327</v>
      </c>
      <c r="F99" s="32">
        <v>2</v>
      </c>
      <c r="G99" s="65">
        <v>1</v>
      </c>
      <c r="H99" s="65">
        <v>81433</v>
      </c>
      <c r="I99" s="65" t="s">
        <v>17</v>
      </c>
      <c r="J99" s="66">
        <v>27022384</v>
      </c>
      <c r="K99" s="17" t="s">
        <v>487</v>
      </c>
      <c r="L99" s="15" t="s">
        <v>494</v>
      </c>
      <c r="M99" s="68">
        <v>259900</v>
      </c>
      <c r="N99" s="19">
        <v>0.9</v>
      </c>
      <c r="O99" s="33">
        <f t="shared" si="1"/>
        <v>25990</v>
      </c>
      <c r="P99" s="32" t="s">
        <v>0</v>
      </c>
    </row>
    <row r="100" spans="1:16" x14ac:dyDescent="0.3">
      <c r="A100" s="32" t="s">
        <v>3216</v>
      </c>
      <c r="B100" s="40">
        <v>46108</v>
      </c>
      <c r="C100" s="40">
        <v>46113</v>
      </c>
      <c r="D100" s="32">
        <v>3319</v>
      </c>
      <c r="E100" s="32">
        <v>327</v>
      </c>
      <c r="F100" s="32">
        <v>2</v>
      </c>
      <c r="G100" s="65">
        <v>1</v>
      </c>
      <c r="H100" s="65">
        <v>81433</v>
      </c>
      <c r="I100" s="65" t="s">
        <v>17</v>
      </c>
      <c r="J100" s="66">
        <v>27022393</v>
      </c>
      <c r="K100" s="17" t="s">
        <v>487</v>
      </c>
      <c r="L100" s="15" t="s">
        <v>495</v>
      </c>
      <c r="M100" s="68">
        <v>259900</v>
      </c>
      <c r="N100" s="19">
        <v>0.9</v>
      </c>
      <c r="O100" s="33">
        <f t="shared" si="1"/>
        <v>25990</v>
      </c>
      <c r="P100" s="32" t="s">
        <v>0</v>
      </c>
    </row>
    <row r="101" spans="1:16" x14ac:dyDescent="0.3">
      <c r="A101" s="32" t="s">
        <v>3216</v>
      </c>
      <c r="B101" s="40">
        <v>46108</v>
      </c>
      <c r="C101" s="40">
        <v>46113</v>
      </c>
      <c r="D101" s="32">
        <v>3319</v>
      </c>
      <c r="E101" s="32">
        <v>327</v>
      </c>
      <c r="F101" s="32">
        <v>2</v>
      </c>
      <c r="G101" s="65">
        <v>1</v>
      </c>
      <c r="H101" s="65">
        <v>81433</v>
      </c>
      <c r="I101" s="65" t="s">
        <v>17</v>
      </c>
      <c r="J101" s="66">
        <v>27022400</v>
      </c>
      <c r="K101" s="17" t="s">
        <v>487</v>
      </c>
      <c r="L101" s="15" t="s">
        <v>496</v>
      </c>
      <c r="M101" s="68">
        <v>259900</v>
      </c>
      <c r="N101" s="19">
        <v>0.9</v>
      </c>
      <c r="O101" s="33">
        <f t="shared" si="1"/>
        <v>25990</v>
      </c>
      <c r="P101" s="32" t="s">
        <v>0</v>
      </c>
    </row>
    <row r="102" spans="1:16" x14ac:dyDescent="0.3">
      <c r="A102" s="32" t="s">
        <v>3216</v>
      </c>
      <c r="B102" s="40">
        <v>46108</v>
      </c>
      <c r="C102" s="40">
        <v>46113</v>
      </c>
      <c r="D102" s="32">
        <v>3319</v>
      </c>
      <c r="E102" s="32">
        <v>327</v>
      </c>
      <c r="F102" s="32">
        <v>2</v>
      </c>
      <c r="G102" s="65">
        <v>1</v>
      </c>
      <c r="H102" s="65">
        <v>81433</v>
      </c>
      <c r="I102" s="65" t="s">
        <v>17</v>
      </c>
      <c r="J102" s="66">
        <v>27022419</v>
      </c>
      <c r="K102" s="17" t="s">
        <v>487</v>
      </c>
      <c r="L102" s="15" t="s">
        <v>497</v>
      </c>
      <c r="M102" s="68">
        <v>259900</v>
      </c>
      <c r="N102" s="19">
        <v>0.9</v>
      </c>
      <c r="O102" s="33">
        <f t="shared" si="1"/>
        <v>25990</v>
      </c>
      <c r="P102" s="32" t="s">
        <v>0</v>
      </c>
    </row>
    <row r="103" spans="1:16" x14ac:dyDescent="0.3">
      <c r="A103" s="32" t="s">
        <v>3216</v>
      </c>
      <c r="B103" s="40">
        <v>46108</v>
      </c>
      <c r="C103" s="40">
        <v>46113</v>
      </c>
      <c r="D103" s="32">
        <v>3319</v>
      </c>
      <c r="E103" s="32">
        <v>327</v>
      </c>
      <c r="F103" s="32">
        <v>2</v>
      </c>
      <c r="G103" s="65">
        <v>1</v>
      </c>
      <c r="H103" s="65">
        <v>81433</v>
      </c>
      <c r="I103" s="65" t="s">
        <v>17</v>
      </c>
      <c r="J103" s="66">
        <v>27055152</v>
      </c>
      <c r="K103" s="17" t="s">
        <v>498</v>
      </c>
      <c r="L103" s="15" t="s">
        <v>499</v>
      </c>
      <c r="M103" s="68">
        <v>199900</v>
      </c>
      <c r="N103" s="19">
        <v>0.9</v>
      </c>
      <c r="O103" s="33">
        <f t="shared" si="1"/>
        <v>19990</v>
      </c>
      <c r="P103" s="32" t="s">
        <v>0</v>
      </c>
    </row>
    <row r="104" spans="1:16" x14ac:dyDescent="0.3">
      <c r="A104" s="32" t="s">
        <v>3216</v>
      </c>
      <c r="B104" s="40">
        <v>46108</v>
      </c>
      <c r="C104" s="40">
        <v>46113</v>
      </c>
      <c r="D104" s="32">
        <v>3319</v>
      </c>
      <c r="E104" s="32">
        <v>327</v>
      </c>
      <c r="F104" s="32">
        <v>2</v>
      </c>
      <c r="G104" s="65">
        <v>1</v>
      </c>
      <c r="H104" s="65">
        <v>81433</v>
      </c>
      <c r="I104" s="65" t="s">
        <v>17</v>
      </c>
      <c r="J104" s="66">
        <v>27055161</v>
      </c>
      <c r="K104" s="17" t="s">
        <v>498</v>
      </c>
      <c r="L104" s="15" t="s">
        <v>500</v>
      </c>
      <c r="M104" s="68">
        <v>199900</v>
      </c>
      <c r="N104" s="19">
        <v>0.9</v>
      </c>
      <c r="O104" s="33">
        <f t="shared" si="1"/>
        <v>19990</v>
      </c>
      <c r="P104" s="32" t="s">
        <v>0</v>
      </c>
    </row>
    <row r="105" spans="1:16" x14ac:dyDescent="0.3">
      <c r="A105" s="32" t="s">
        <v>3216</v>
      </c>
      <c r="B105" s="40">
        <v>46108</v>
      </c>
      <c r="C105" s="40">
        <v>46113</v>
      </c>
      <c r="D105" s="32">
        <v>3319</v>
      </c>
      <c r="E105" s="32">
        <v>327</v>
      </c>
      <c r="F105" s="32">
        <v>2</v>
      </c>
      <c r="G105" s="65">
        <v>1</v>
      </c>
      <c r="H105" s="65">
        <v>81433</v>
      </c>
      <c r="I105" s="65" t="s">
        <v>17</v>
      </c>
      <c r="J105" s="66">
        <v>27055170</v>
      </c>
      <c r="K105" s="17" t="s">
        <v>498</v>
      </c>
      <c r="L105" s="15" t="s">
        <v>501</v>
      </c>
      <c r="M105" s="68">
        <v>199900</v>
      </c>
      <c r="N105" s="19">
        <v>0.9</v>
      </c>
      <c r="O105" s="33">
        <f t="shared" si="1"/>
        <v>19990</v>
      </c>
      <c r="P105" s="32" t="s">
        <v>0</v>
      </c>
    </row>
    <row r="106" spans="1:16" x14ac:dyDescent="0.3">
      <c r="A106" s="32" t="s">
        <v>3216</v>
      </c>
      <c r="B106" s="40">
        <v>46108</v>
      </c>
      <c r="C106" s="40">
        <v>46113</v>
      </c>
      <c r="D106" s="32">
        <v>3319</v>
      </c>
      <c r="E106" s="32">
        <v>327</v>
      </c>
      <c r="F106" s="32">
        <v>2</v>
      </c>
      <c r="G106" s="65">
        <v>1</v>
      </c>
      <c r="H106" s="65">
        <v>81433</v>
      </c>
      <c r="I106" s="65" t="s">
        <v>17</v>
      </c>
      <c r="J106" s="66">
        <v>27055189</v>
      </c>
      <c r="K106" s="17" t="s">
        <v>498</v>
      </c>
      <c r="L106" s="15" t="s">
        <v>502</v>
      </c>
      <c r="M106" s="68">
        <v>199900</v>
      </c>
      <c r="N106" s="19">
        <v>0.9</v>
      </c>
      <c r="O106" s="33">
        <f t="shared" si="1"/>
        <v>19990</v>
      </c>
      <c r="P106" s="32" t="s">
        <v>0</v>
      </c>
    </row>
    <row r="107" spans="1:16" x14ac:dyDescent="0.3">
      <c r="A107" s="32" t="s">
        <v>3216</v>
      </c>
      <c r="B107" s="40">
        <v>46108</v>
      </c>
      <c r="C107" s="40">
        <v>46113</v>
      </c>
      <c r="D107" s="32">
        <v>3319</v>
      </c>
      <c r="E107" s="32">
        <v>327</v>
      </c>
      <c r="F107" s="32">
        <v>2</v>
      </c>
      <c r="G107" s="65">
        <v>1</v>
      </c>
      <c r="H107" s="65">
        <v>81433</v>
      </c>
      <c r="I107" s="65" t="s">
        <v>17</v>
      </c>
      <c r="J107" s="66">
        <v>27055205</v>
      </c>
      <c r="K107" s="17" t="s">
        <v>498</v>
      </c>
      <c r="L107" s="15" t="s">
        <v>503</v>
      </c>
      <c r="M107" s="68">
        <v>199900</v>
      </c>
      <c r="N107" s="19">
        <v>0.9</v>
      </c>
      <c r="O107" s="33">
        <f t="shared" si="1"/>
        <v>19990</v>
      </c>
      <c r="P107" s="32" t="s">
        <v>0</v>
      </c>
    </row>
    <row r="108" spans="1:16" x14ac:dyDescent="0.3">
      <c r="A108" s="32" t="s">
        <v>3216</v>
      </c>
      <c r="B108" s="40">
        <v>46108</v>
      </c>
      <c r="C108" s="40">
        <v>46113</v>
      </c>
      <c r="D108" s="32">
        <v>3319</v>
      </c>
      <c r="E108" s="32">
        <v>327</v>
      </c>
      <c r="F108" s="32">
        <v>2</v>
      </c>
      <c r="G108" s="65">
        <v>1</v>
      </c>
      <c r="H108" s="65">
        <v>81433</v>
      </c>
      <c r="I108" s="65" t="s">
        <v>17</v>
      </c>
      <c r="J108" s="66">
        <v>27055214</v>
      </c>
      <c r="K108" s="17" t="s">
        <v>498</v>
      </c>
      <c r="L108" s="15" t="s">
        <v>504</v>
      </c>
      <c r="M108" s="68">
        <v>199900</v>
      </c>
      <c r="N108" s="19">
        <v>0.9</v>
      </c>
      <c r="O108" s="33">
        <f t="shared" si="1"/>
        <v>19990</v>
      </c>
      <c r="P108" s="32" t="s">
        <v>0</v>
      </c>
    </row>
    <row r="109" spans="1:16" x14ac:dyDescent="0.3">
      <c r="A109" s="32" t="s">
        <v>3216</v>
      </c>
      <c r="B109" s="40">
        <v>46108</v>
      </c>
      <c r="C109" s="40">
        <v>46113</v>
      </c>
      <c r="D109" s="32">
        <v>3319</v>
      </c>
      <c r="E109" s="32">
        <v>327</v>
      </c>
      <c r="F109" s="32">
        <v>2</v>
      </c>
      <c r="G109" s="65">
        <v>1</v>
      </c>
      <c r="H109" s="65">
        <v>81433</v>
      </c>
      <c r="I109" s="65" t="s">
        <v>17</v>
      </c>
      <c r="J109" s="66">
        <v>27055223</v>
      </c>
      <c r="K109" s="17" t="s">
        <v>498</v>
      </c>
      <c r="L109" s="15" t="s">
        <v>505</v>
      </c>
      <c r="M109" s="68">
        <v>199900</v>
      </c>
      <c r="N109" s="19">
        <v>0.9</v>
      </c>
      <c r="O109" s="33">
        <f t="shared" si="1"/>
        <v>19990</v>
      </c>
      <c r="P109" s="32" t="s">
        <v>0</v>
      </c>
    </row>
    <row r="110" spans="1:16" x14ac:dyDescent="0.3">
      <c r="A110" s="32" t="s">
        <v>3216</v>
      </c>
      <c r="B110" s="40">
        <v>46108</v>
      </c>
      <c r="C110" s="40">
        <v>46113</v>
      </c>
      <c r="D110" s="32">
        <v>3319</v>
      </c>
      <c r="E110" s="32">
        <v>327</v>
      </c>
      <c r="F110" s="32">
        <v>2</v>
      </c>
      <c r="G110" s="65">
        <v>1</v>
      </c>
      <c r="H110" s="65">
        <v>81433</v>
      </c>
      <c r="I110" s="65" t="s">
        <v>17</v>
      </c>
      <c r="J110" s="66">
        <v>27055232</v>
      </c>
      <c r="K110" s="17" t="s">
        <v>498</v>
      </c>
      <c r="L110" s="15" t="s">
        <v>506</v>
      </c>
      <c r="M110" s="68">
        <v>199900</v>
      </c>
      <c r="N110" s="19">
        <v>0.9</v>
      </c>
      <c r="O110" s="33">
        <f t="shared" si="1"/>
        <v>19990</v>
      </c>
      <c r="P110" s="32" t="s">
        <v>0</v>
      </c>
    </row>
    <row r="111" spans="1:16" x14ac:dyDescent="0.3">
      <c r="A111" s="32" t="s">
        <v>3216</v>
      </c>
      <c r="B111" s="40">
        <v>46108</v>
      </c>
      <c r="C111" s="40">
        <v>46113</v>
      </c>
      <c r="D111" s="32">
        <v>3319</v>
      </c>
      <c r="E111" s="32">
        <v>327</v>
      </c>
      <c r="F111" s="32">
        <v>2</v>
      </c>
      <c r="G111" s="65">
        <v>1</v>
      </c>
      <c r="H111" s="65">
        <v>81433</v>
      </c>
      <c r="I111" s="65" t="s">
        <v>17</v>
      </c>
      <c r="J111" s="66">
        <v>27055241</v>
      </c>
      <c r="K111" s="17" t="s">
        <v>498</v>
      </c>
      <c r="L111" s="15" t="s">
        <v>507</v>
      </c>
      <c r="M111" s="68">
        <v>199900</v>
      </c>
      <c r="N111" s="19">
        <v>0.9</v>
      </c>
      <c r="O111" s="33">
        <f t="shared" si="1"/>
        <v>19990</v>
      </c>
      <c r="P111" s="32" t="s">
        <v>0</v>
      </c>
    </row>
    <row r="112" spans="1:16" x14ac:dyDescent="0.3">
      <c r="A112" s="32" t="s">
        <v>3216</v>
      </c>
      <c r="B112" s="40">
        <v>46108</v>
      </c>
      <c r="C112" s="40">
        <v>46113</v>
      </c>
      <c r="D112" s="32">
        <v>3319</v>
      </c>
      <c r="E112" s="32">
        <v>327</v>
      </c>
      <c r="F112" s="32">
        <v>2</v>
      </c>
      <c r="G112" s="65">
        <v>1</v>
      </c>
      <c r="H112" s="65">
        <v>81433</v>
      </c>
      <c r="I112" s="65" t="s">
        <v>17</v>
      </c>
      <c r="J112" s="66">
        <v>27847074</v>
      </c>
      <c r="K112" s="17" t="s">
        <v>508</v>
      </c>
      <c r="L112" s="15" t="s">
        <v>509</v>
      </c>
      <c r="M112" s="68">
        <v>279900</v>
      </c>
      <c r="N112" s="19">
        <v>0.9</v>
      </c>
      <c r="O112" s="33">
        <f t="shared" si="1"/>
        <v>27990</v>
      </c>
      <c r="P112" s="32" t="s">
        <v>0</v>
      </c>
    </row>
    <row r="113" spans="1:16" x14ac:dyDescent="0.3">
      <c r="A113" s="32" t="s">
        <v>3216</v>
      </c>
      <c r="B113" s="40">
        <v>46108</v>
      </c>
      <c r="C113" s="40">
        <v>46113</v>
      </c>
      <c r="D113" s="32">
        <v>3319</v>
      </c>
      <c r="E113" s="32">
        <v>327</v>
      </c>
      <c r="F113" s="32">
        <v>2</v>
      </c>
      <c r="G113" s="65">
        <v>1</v>
      </c>
      <c r="H113" s="65">
        <v>81433</v>
      </c>
      <c r="I113" s="65" t="s">
        <v>17</v>
      </c>
      <c r="J113" s="66">
        <v>27847083</v>
      </c>
      <c r="K113" s="17" t="s">
        <v>508</v>
      </c>
      <c r="L113" s="15" t="s">
        <v>510</v>
      </c>
      <c r="M113" s="68">
        <v>279900</v>
      </c>
      <c r="N113" s="19">
        <v>0.9</v>
      </c>
      <c r="O113" s="33">
        <f t="shared" si="1"/>
        <v>27990</v>
      </c>
      <c r="P113" s="32" t="s">
        <v>0</v>
      </c>
    </row>
    <row r="114" spans="1:16" x14ac:dyDescent="0.3">
      <c r="A114" s="32" t="s">
        <v>3216</v>
      </c>
      <c r="B114" s="40">
        <v>46108</v>
      </c>
      <c r="C114" s="40">
        <v>46113</v>
      </c>
      <c r="D114" s="32">
        <v>3319</v>
      </c>
      <c r="E114" s="32">
        <v>327</v>
      </c>
      <c r="F114" s="32">
        <v>2</v>
      </c>
      <c r="G114" s="65">
        <v>1</v>
      </c>
      <c r="H114" s="65">
        <v>81433</v>
      </c>
      <c r="I114" s="65" t="s">
        <v>17</v>
      </c>
      <c r="J114" s="66">
        <v>27847092</v>
      </c>
      <c r="K114" s="17" t="s">
        <v>508</v>
      </c>
      <c r="L114" s="15" t="s">
        <v>511</v>
      </c>
      <c r="M114" s="68">
        <v>279900</v>
      </c>
      <c r="N114" s="19">
        <v>0.9</v>
      </c>
      <c r="O114" s="33">
        <f t="shared" si="1"/>
        <v>27990</v>
      </c>
      <c r="P114" s="32" t="s">
        <v>0</v>
      </c>
    </row>
    <row r="115" spans="1:16" x14ac:dyDescent="0.3">
      <c r="A115" s="32" t="s">
        <v>3216</v>
      </c>
      <c r="B115" s="40">
        <v>46108</v>
      </c>
      <c r="C115" s="40">
        <v>46113</v>
      </c>
      <c r="D115" s="32">
        <v>3319</v>
      </c>
      <c r="E115" s="32">
        <v>327</v>
      </c>
      <c r="F115" s="32">
        <v>2</v>
      </c>
      <c r="G115" s="65">
        <v>1</v>
      </c>
      <c r="H115" s="65">
        <v>81433</v>
      </c>
      <c r="I115" s="65" t="s">
        <v>17</v>
      </c>
      <c r="J115" s="66">
        <v>27847109</v>
      </c>
      <c r="K115" s="17" t="s">
        <v>508</v>
      </c>
      <c r="L115" s="15" t="s">
        <v>512</v>
      </c>
      <c r="M115" s="68">
        <v>279900</v>
      </c>
      <c r="N115" s="19">
        <v>0.9</v>
      </c>
      <c r="O115" s="33">
        <f t="shared" si="1"/>
        <v>27990</v>
      </c>
      <c r="P115" s="32" t="s">
        <v>0</v>
      </c>
    </row>
    <row r="116" spans="1:16" x14ac:dyDescent="0.3">
      <c r="A116" s="32" t="s">
        <v>3216</v>
      </c>
      <c r="B116" s="40">
        <v>46108</v>
      </c>
      <c r="C116" s="40">
        <v>46113</v>
      </c>
      <c r="D116" s="32">
        <v>3319</v>
      </c>
      <c r="E116" s="32">
        <v>327</v>
      </c>
      <c r="F116" s="32">
        <v>2</v>
      </c>
      <c r="G116" s="65">
        <v>1</v>
      </c>
      <c r="H116" s="65">
        <v>81433</v>
      </c>
      <c r="I116" s="65" t="s">
        <v>17</v>
      </c>
      <c r="J116" s="66">
        <v>27847118</v>
      </c>
      <c r="K116" s="17" t="s">
        <v>508</v>
      </c>
      <c r="L116" s="15" t="s">
        <v>513</v>
      </c>
      <c r="M116" s="68">
        <v>279900</v>
      </c>
      <c r="N116" s="19">
        <v>0.9</v>
      </c>
      <c r="O116" s="33">
        <f t="shared" si="1"/>
        <v>27990</v>
      </c>
      <c r="P116" s="32" t="s">
        <v>0</v>
      </c>
    </row>
    <row r="117" spans="1:16" x14ac:dyDescent="0.3">
      <c r="A117" s="32" t="s">
        <v>3216</v>
      </c>
      <c r="B117" s="40">
        <v>46108</v>
      </c>
      <c r="C117" s="40">
        <v>46113</v>
      </c>
      <c r="D117" s="32">
        <v>3319</v>
      </c>
      <c r="E117" s="32">
        <v>327</v>
      </c>
      <c r="F117" s="32">
        <v>2</v>
      </c>
      <c r="G117" s="65">
        <v>2</v>
      </c>
      <c r="H117" s="65">
        <v>81433</v>
      </c>
      <c r="I117" s="65" t="s">
        <v>17</v>
      </c>
      <c r="J117" s="66">
        <v>26777017</v>
      </c>
      <c r="K117" s="17" t="s">
        <v>514</v>
      </c>
      <c r="L117" s="15" t="s">
        <v>515</v>
      </c>
      <c r="M117" s="68">
        <v>319900</v>
      </c>
      <c r="N117" s="19">
        <v>0.9</v>
      </c>
      <c r="O117" s="33">
        <f t="shared" si="1"/>
        <v>31990</v>
      </c>
      <c r="P117" s="32" t="s">
        <v>0</v>
      </c>
    </row>
    <row r="118" spans="1:16" x14ac:dyDescent="0.3">
      <c r="A118" s="32" t="s">
        <v>3216</v>
      </c>
      <c r="B118" s="40">
        <v>46108</v>
      </c>
      <c r="C118" s="40">
        <v>46113</v>
      </c>
      <c r="D118" s="32">
        <v>3319</v>
      </c>
      <c r="E118" s="32">
        <v>327</v>
      </c>
      <c r="F118" s="32">
        <v>2</v>
      </c>
      <c r="G118" s="65">
        <v>2</v>
      </c>
      <c r="H118" s="65">
        <v>81433</v>
      </c>
      <c r="I118" s="65" t="s">
        <v>17</v>
      </c>
      <c r="J118" s="66">
        <v>26777026</v>
      </c>
      <c r="K118" s="17" t="s">
        <v>514</v>
      </c>
      <c r="L118" s="15" t="s">
        <v>516</v>
      </c>
      <c r="M118" s="68">
        <v>319900</v>
      </c>
      <c r="N118" s="19">
        <v>0.9</v>
      </c>
      <c r="O118" s="33">
        <f t="shared" si="1"/>
        <v>31990</v>
      </c>
      <c r="P118" s="32" t="s">
        <v>0</v>
      </c>
    </row>
    <row r="119" spans="1:16" x14ac:dyDescent="0.3">
      <c r="A119" s="32" t="s">
        <v>3216</v>
      </c>
      <c r="B119" s="40">
        <v>46108</v>
      </c>
      <c r="C119" s="40">
        <v>46113</v>
      </c>
      <c r="D119" s="32">
        <v>3319</v>
      </c>
      <c r="E119" s="32">
        <v>327</v>
      </c>
      <c r="F119" s="32">
        <v>2</v>
      </c>
      <c r="G119" s="65">
        <v>2</v>
      </c>
      <c r="H119" s="65">
        <v>81433</v>
      </c>
      <c r="I119" s="65" t="s">
        <v>17</v>
      </c>
      <c r="J119" s="66">
        <v>26777035</v>
      </c>
      <c r="K119" s="17" t="s">
        <v>514</v>
      </c>
      <c r="L119" s="15" t="s">
        <v>517</v>
      </c>
      <c r="M119" s="68">
        <v>319900</v>
      </c>
      <c r="N119" s="19">
        <v>0.9</v>
      </c>
      <c r="O119" s="33">
        <f t="shared" si="1"/>
        <v>31990</v>
      </c>
      <c r="P119" s="32" t="s">
        <v>0</v>
      </c>
    </row>
    <row r="120" spans="1:16" x14ac:dyDescent="0.3">
      <c r="A120" s="32" t="s">
        <v>3216</v>
      </c>
      <c r="B120" s="40">
        <v>46108</v>
      </c>
      <c r="C120" s="40">
        <v>46113</v>
      </c>
      <c r="D120" s="32">
        <v>3319</v>
      </c>
      <c r="E120" s="32">
        <v>327</v>
      </c>
      <c r="F120" s="32">
        <v>2</v>
      </c>
      <c r="G120" s="65">
        <v>2</v>
      </c>
      <c r="H120" s="65">
        <v>81433</v>
      </c>
      <c r="I120" s="65" t="s">
        <v>17</v>
      </c>
      <c r="J120" s="66">
        <v>26777044</v>
      </c>
      <c r="K120" s="17" t="s">
        <v>514</v>
      </c>
      <c r="L120" s="15" t="s">
        <v>518</v>
      </c>
      <c r="M120" s="68">
        <v>319900</v>
      </c>
      <c r="N120" s="19">
        <v>0.9</v>
      </c>
      <c r="O120" s="33">
        <f t="shared" si="1"/>
        <v>31990</v>
      </c>
      <c r="P120" s="32" t="s">
        <v>0</v>
      </c>
    </row>
    <row r="121" spans="1:16" x14ac:dyDescent="0.3">
      <c r="A121" s="32" t="s">
        <v>3216</v>
      </c>
      <c r="B121" s="40">
        <v>46108</v>
      </c>
      <c r="C121" s="40">
        <v>46113</v>
      </c>
      <c r="D121" s="32">
        <v>3319</v>
      </c>
      <c r="E121" s="32">
        <v>327</v>
      </c>
      <c r="F121" s="32">
        <v>2</v>
      </c>
      <c r="G121" s="65">
        <v>2</v>
      </c>
      <c r="H121" s="65">
        <v>81433</v>
      </c>
      <c r="I121" s="65" t="s">
        <v>17</v>
      </c>
      <c r="J121" s="66">
        <v>26777053</v>
      </c>
      <c r="K121" s="17" t="s">
        <v>514</v>
      </c>
      <c r="L121" s="15" t="s">
        <v>519</v>
      </c>
      <c r="M121" s="68">
        <v>319900</v>
      </c>
      <c r="N121" s="19">
        <v>0.9</v>
      </c>
      <c r="O121" s="33">
        <f t="shared" si="1"/>
        <v>31990</v>
      </c>
      <c r="P121" s="32" t="s">
        <v>0</v>
      </c>
    </row>
    <row r="122" spans="1:16" x14ac:dyDescent="0.3">
      <c r="A122" s="32" t="s">
        <v>3216</v>
      </c>
      <c r="B122" s="40">
        <v>46108</v>
      </c>
      <c r="C122" s="40">
        <v>46113</v>
      </c>
      <c r="D122" s="32">
        <v>3319</v>
      </c>
      <c r="E122" s="32">
        <v>327</v>
      </c>
      <c r="F122" s="32">
        <v>2</v>
      </c>
      <c r="G122" s="65">
        <v>1</v>
      </c>
      <c r="H122" s="65">
        <v>81433</v>
      </c>
      <c r="I122" s="65" t="s">
        <v>17</v>
      </c>
      <c r="J122" s="66">
        <v>26736810</v>
      </c>
      <c r="K122" s="17" t="s">
        <v>520</v>
      </c>
      <c r="L122" s="15" t="s">
        <v>521</v>
      </c>
      <c r="M122" s="68">
        <v>199900</v>
      </c>
      <c r="N122" s="19">
        <v>0.9</v>
      </c>
      <c r="O122" s="33">
        <f t="shared" si="1"/>
        <v>19990</v>
      </c>
      <c r="P122" s="32" t="s">
        <v>0</v>
      </c>
    </row>
    <row r="123" spans="1:16" x14ac:dyDescent="0.3">
      <c r="A123" s="32" t="s">
        <v>3216</v>
      </c>
      <c r="B123" s="40">
        <v>46108</v>
      </c>
      <c r="C123" s="40">
        <v>46113</v>
      </c>
      <c r="D123" s="32">
        <v>3319</v>
      </c>
      <c r="E123" s="32">
        <v>327</v>
      </c>
      <c r="F123" s="32">
        <v>2</v>
      </c>
      <c r="G123" s="65">
        <v>1</v>
      </c>
      <c r="H123" s="65">
        <v>81433</v>
      </c>
      <c r="I123" s="65" t="s">
        <v>17</v>
      </c>
      <c r="J123" s="66">
        <v>26736829</v>
      </c>
      <c r="K123" s="17" t="s">
        <v>520</v>
      </c>
      <c r="L123" s="15" t="s">
        <v>522</v>
      </c>
      <c r="M123" s="68">
        <v>199900</v>
      </c>
      <c r="N123" s="19">
        <v>0.9</v>
      </c>
      <c r="O123" s="33">
        <f t="shared" si="1"/>
        <v>19990</v>
      </c>
      <c r="P123" s="32" t="s">
        <v>0</v>
      </c>
    </row>
    <row r="124" spans="1:16" x14ac:dyDescent="0.3">
      <c r="A124" s="32" t="s">
        <v>3216</v>
      </c>
      <c r="B124" s="40">
        <v>46108</v>
      </c>
      <c r="C124" s="40">
        <v>46113</v>
      </c>
      <c r="D124" s="32">
        <v>3319</v>
      </c>
      <c r="E124" s="32">
        <v>327</v>
      </c>
      <c r="F124" s="32">
        <v>2</v>
      </c>
      <c r="G124" s="65">
        <v>1</v>
      </c>
      <c r="H124" s="65">
        <v>81433</v>
      </c>
      <c r="I124" s="65" t="s">
        <v>17</v>
      </c>
      <c r="J124" s="66">
        <v>26736838</v>
      </c>
      <c r="K124" s="17" t="s">
        <v>520</v>
      </c>
      <c r="L124" s="15" t="s">
        <v>523</v>
      </c>
      <c r="M124" s="68">
        <v>199900</v>
      </c>
      <c r="N124" s="19">
        <v>0.9</v>
      </c>
      <c r="O124" s="33">
        <f t="shared" si="1"/>
        <v>19990</v>
      </c>
      <c r="P124" s="32" t="s">
        <v>0</v>
      </c>
    </row>
    <row r="125" spans="1:16" x14ac:dyDescent="0.3">
      <c r="A125" s="32" t="s">
        <v>3216</v>
      </c>
      <c r="B125" s="40">
        <v>46108</v>
      </c>
      <c r="C125" s="40">
        <v>46113</v>
      </c>
      <c r="D125" s="32">
        <v>3319</v>
      </c>
      <c r="E125" s="32">
        <v>327</v>
      </c>
      <c r="F125" s="32">
        <v>2</v>
      </c>
      <c r="G125" s="65">
        <v>1</v>
      </c>
      <c r="H125" s="65">
        <v>81433</v>
      </c>
      <c r="I125" s="65" t="s">
        <v>17</v>
      </c>
      <c r="J125" s="66">
        <v>26736847</v>
      </c>
      <c r="K125" s="17" t="s">
        <v>520</v>
      </c>
      <c r="L125" s="15" t="s">
        <v>524</v>
      </c>
      <c r="M125" s="68">
        <v>199900</v>
      </c>
      <c r="N125" s="19">
        <v>0.9</v>
      </c>
      <c r="O125" s="33">
        <f t="shared" si="1"/>
        <v>19990</v>
      </c>
      <c r="P125" s="32" t="s">
        <v>0</v>
      </c>
    </row>
    <row r="126" spans="1:16" x14ac:dyDescent="0.3">
      <c r="A126" s="32" t="s">
        <v>3216</v>
      </c>
      <c r="B126" s="40">
        <v>46108</v>
      </c>
      <c r="C126" s="40">
        <v>46113</v>
      </c>
      <c r="D126" s="32">
        <v>3319</v>
      </c>
      <c r="E126" s="32">
        <v>327</v>
      </c>
      <c r="F126" s="32">
        <v>2</v>
      </c>
      <c r="G126" s="65">
        <v>1</v>
      </c>
      <c r="H126" s="65">
        <v>81433</v>
      </c>
      <c r="I126" s="65" t="s">
        <v>17</v>
      </c>
      <c r="J126" s="66">
        <v>26736856</v>
      </c>
      <c r="K126" s="17" t="s">
        <v>520</v>
      </c>
      <c r="L126" s="15" t="s">
        <v>525</v>
      </c>
      <c r="M126" s="68">
        <v>199900</v>
      </c>
      <c r="N126" s="19">
        <v>0.9</v>
      </c>
      <c r="O126" s="33">
        <f t="shared" si="1"/>
        <v>19990</v>
      </c>
      <c r="P126" s="32" t="s">
        <v>0</v>
      </c>
    </row>
    <row r="127" spans="1:16" x14ac:dyDescent="0.3">
      <c r="A127" s="32" t="s">
        <v>3216</v>
      </c>
      <c r="B127" s="40">
        <v>46108</v>
      </c>
      <c r="C127" s="40">
        <v>46113</v>
      </c>
      <c r="D127" s="32">
        <v>3319</v>
      </c>
      <c r="E127" s="32">
        <v>327</v>
      </c>
      <c r="F127" s="32">
        <v>2</v>
      </c>
      <c r="G127" s="65">
        <v>1</v>
      </c>
      <c r="H127" s="65">
        <v>81433</v>
      </c>
      <c r="I127" s="65" t="s">
        <v>17</v>
      </c>
      <c r="J127" s="66">
        <v>26736865</v>
      </c>
      <c r="K127" s="17" t="s">
        <v>520</v>
      </c>
      <c r="L127" s="15" t="s">
        <v>526</v>
      </c>
      <c r="M127" s="68">
        <v>199900</v>
      </c>
      <c r="N127" s="19">
        <v>0.9</v>
      </c>
      <c r="O127" s="33">
        <f t="shared" si="1"/>
        <v>19990</v>
      </c>
      <c r="P127" s="32" t="s">
        <v>0</v>
      </c>
    </row>
    <row r="128" spans="1:16" x14ac:dyDescent="0.3">
      <c r="A128" s="32" t="s">
        <v>3216</v>
      </c>
      <c r="B128" s="40">
        <v>46108</v>
      </c>
      <c r="C128" s="40">
        <v>46113</v>
      </c>
      <c r="D128" s="32">
        <v>3319</v>
      </c>
      <c r="E128" s="32">
        <v>327</v>
      </c>
      <c r="F128" s="32">
        <v>2</v>
      </c>
      <c r="G128" s="65">
        <v>1</v>
      </c>
      <c r="H128" s="65">
        <v>81433</v>
      </c>
      <c r="I128" s="65" t="s">
        <v>17</v>
      </c>
      <c r="J128" s="66">
        <v>26736874</v>
      </c>
      <c r="K128" s="17" t="s">
        <v>520</v>
      </c>
      <c r="L128" s="15" t="s">
        <v>527</v>
      </c>
      <c r="M128" s="68">
        <v>199900</v>
      </c>
      <c r="N128" s="19">
        <v>0.9</v>
      </c>
      <c r="O128" s="33">
        <f t="shared" si="1"/>
        <v>19990</v>
      </c>
      <c r="P128" s="32" t="s">
        <v>0</v>
      </c>
    </row>
    <row r="129" spans="1:16" x14ac:dyDescent="0.3">
      <c r="A129" s="32" t="s">
        <v>3216</v>
      </c>
      <c r="B129" s="40">
        <v>46108</v>
      </c>
      <c r="C129" s="40">
        <v>46113</v>
      </c>
      <c r="D129" s="32">
        <v>3319</v>
      </c>
      <c r="E129" s="32">
        <v>327</v>
      </c>
      <c r="F129" s="32">
        <v>2</v>
      </c>
      <c r="G129" s="65">
        <v>1</v>
      </c>
      <c r="H129" s="65">
        <v>81433</v>
      </c>
      <c r="I129" s="65" t="s">
        <v>17</v>
      </c>
      <c r="J129" s="66">
        <v>26736883</v>
      </c>
      <c r="K129" s="17" t="s">
        <v>520</v>
      </c>
      <c r="L129" s="15" t="s">
        <v>528</v>
      </c>
      <c r="M129" s="68">
        <v>199900</v>
      </c>
      <c r="N129" s="19">
        <v>0.9</v>
      </c>
      <c r="O129" s="33">
        <f t="shared" si="1"/>
        <v>19990</v>
      </c>
      <c r="P129" s="32" t="s">
        <v>0</v>
      </c>
    </row>
    <row r="130" spans="1:16" x14ac:dyDescent="0.3">
      <c r="A130" s="32" t="s">
        <v>3216</v>
      </c>
      <c r="B130" s="40">
        <v>46108</v>
      </c>
      <c r="C130" s="40">
        <v>46113</v>
      </c>
      <c r="D130" s="32">
        <v>3319</v>
      </c>
      <c r="E130" s="32">
        <v>327</v>
      </c>
      <c r="F130" s="32">
        <v>2</v>
      </c>
      <c r="G130" s="65">
        <v>1</v>
      </c>
      <c r="H130" s="65">
        <v>81433</v>
      </c>
      <c r="I130" s="65" t="s">
        <v>17</v>
      </c>
      <c r="J130" s="66">
        <v>26736892</v>
      </c>
      <c r="K130" s="17" t="s">
        <v>520</v>
      </c>
      <c r="L130" s="15" t="s">
        <v>529</v>
      </c>
      <c r="M130" s="68">
        <v>199900</v>
      </c>
      <c r="N130" s="19">
        <v>0.9</v>
      </c>
      <c r="O130" s="33">
        <f t="shared" si="1"/>
        <v>19990</v>
      </c>
      <c r="P130" s="32" t="s">
        <v>0</v>
      </c>
    </row>
    <row r="131" spans="1:16" x14ac:dyDescent="0.3">
      <c r="A131" s="32" t="s">
        <v>3216</v>
      </c>
      <c r="B131" s="40">
        <v>46108</v>
      </c>
      <c r="C131" s="40">
        <v>46113</v>
      </c>
      <c r="D131" s="32">
        <v>3319</v>
      </c>
      <c r="E131" s="32">
        <v>327</v>
      </c>
      <c r="F131" s="32">
        <v>2</v>
      </c>
      <c r="G131" s="65">
        <v>1</v>
      </c>
      <c r="H131" s="65">
        <v>81433</v>
      </c>
      <c r="I131" s="65" t="s">
        <v>17</v>
      </c>
      <c r="J131" s="66">
        <v>26736909</v>
      </c>
      <c r="K131" s="17" t="s">
        <v>520</v>
      </c>
      <c r="L131" s="15" t="s">
        <v>530</v>
      </c>
      <c r="M131" s="68">
        <v>199900</v>
      </c>
      <c r="N131" s="19">
        <v>0.9</v>
      </c>
      <c r="O131" s="33">
        <f>M131*10%</f>
        <v>19990</v>
      </c>
      <c r="P131" s="32" t="s">
        <v>0</v>
      </c>
    </row>
  </sheetData>
  <autoFilter ref="A1:P131" xr:uid="{00000000-0009-0000-0000-000001000000}"/>
  <phoneticPr fontId="14" type="noConversion"/>
  <conditionalFormatting sqref="J1">
    <cfRule type="duplicateValues" dxfId="423" priority="3"/>
    <cfRule type="duplicateValues" dxfId="422" priority="4"/>
    <cfRule type="duplicateValues" dxfId="421" priority="5"/>
    <cfRule type="duplicateValues" dxfId="420" priority="6"/>
  </conditionalFormatting>
  <conditionalFormatting sqref="J1:J1048576">
    <cfRule type="duplicateValues" dxfId="419" priority="1"/>
    <cfRule type="duplicateValues" dxfId="418" priority="2"/>
  </conditionalFormatting>
  <conditionalFormatting sqref="J2:J16">
    <cfRule type="duplicateValues" dxfId="417" priority="20"/>
    <cfRule type="duplicateValues" dxfId="416" priority="32"/>
  </conditionalFormatting>
  <conditionalFormatting sqref="J2:J131">
    <cfRule type="duplicateValues" dxfId="415" priority="34"/>
    <cfRule type="duplicateValues" dxfId="414" priority="35"/>
  </conditionalFormatting>
  <conditionalFormatting sqref="J17:J23">
    <cfRule type="duplicateValues" dxfId="413" priority="31"/>
  </conditionalFormatting>
  <conditionalFormatting sqref="J24:J26">
    <cfRule type="duplicateValues" dxfId="412" priority="30"/>
  </conditionalFormatting>
  <conditionalFormatting sqref="J27:J33">
    <cfRule type="duplicateValues" dxfId="411" priority="29"/>
  </conditionalFormatting>
  <conditionalFormatting sqref="J32:J33">
    <cfRule type="duplicateValues" dxfId="410" priority="19"/>
  </conditionalFormatting>
  <conditionalFormatting sqref="J34:J37">
    <cfRule type="duplicateValues" dxfId="409" priority="22"/>
  </conditionalFormatting>
  <conditionalFormatting sqref="J34:J39">
    <cfRule type="duplicateValues" dxfId="408" priority="23"/>
  </conditionalFormatting>
  <conditionalFormatting sqref="J38:J39">
    <cfRule type="duplicateValues" dxfId="407" priority="21"/>
  </conditionalFormatting>
  <conditionalFormatting sqref="J40:J41">
    <cfRule type="duplicateValues" dxfId="406" priority="28"/>
  </conditionalFormatting>
  <conditionalFormatting sqref="J42">
    <cfRule type="duplicateValues" dxfId="405" priority="27"/>
  </conditionalFormatting>
  <conditionalFormatting sqref="J43:J44">
    <cfRule type="duplicateValues" dxfId="404" priority="26"/>
  </conditionalFormatting>
  <conditionalFormatting sqref="J45:J46">
    <cfRule type="duplicateValues" dxfId="403" priority="18"/>
  </conditionalFormatting>
  <conditionalFormatting sqref="J47:J54">
    <cfRule type="duplicateValues" dxfId="402" priority="25"/>
  </conditionalFormatting>
  <conditionalFormatting sqref="J55:J59">
    <cfRule type="duplicateValues" dxfId="401" priority="24"/>
  </conditionalFormatting>
  <conditionalFormatting sqref="J90:J92">
    <cfRule type="duplicateValues" dxfId="400" priority="17"/>
  </conditionalFormatting>
  <conditionalFormatting sqref="J93:J96">
    <cfRule type="duplicateValues" dxfId="399" priority="16"/>
  </conditionalFormatting>
  <conditionalFormatting sqref="J97:J98">
    <cfRule type="duplicateValues" dxfId="398" priority="15"/>
  </conditionalFormatting>
  <conditionalFormatting sqref="J99:J100">
    <cfRule type="duplicateValues" dxfId="397" priority="14"/>
  </conditionalFormatting>
  <conditionalFormatting sqref="J101:J105">
    <cfRule type="duplicateValues" dxfId="396" priority="12"/>
    <cfRule type="duplicateValues" dxfId="395" priority="13"/>
  </conditionalFormatting>
  <conditionalFormatting sqref="J106">
    <cfRule type="duplicateValues" dxfId="394" priority="11"/>
  </conditionalFormatting>
  <conditionalFormatting sqref="J107:J114">
    <cfRule type="duplicateValues" dxfId="393" priority="10"/>
  </conditionalFormatting>
  <conditionalFormatting sqref="J115">
    <cfRule type="duplicateValues" dxfId="392" priority="9"/>
  </conditionalFormatting>
  <conditionalFormatting sqref="J116:J117">
    <cfRule type="duplicateValues" dxfId="391" priority="8"/>
  </conditionalFormatting>
  <conditionalFormatting sqref="J118:J123">
    <cfRule type="duplicateValues" dxfId="390" priority="7"/>
  </conditionalFormatting>
  <conditionalFormatting sqref="J124:J131">
    <cfRule type="duplicateValues" dxfId="389" priority="33"/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91"/>
  <sheetViews>
    <sheetView zoomScale="90" zoomScaleNormal="90" workbookViewId="0">
      <selection activeCell="N2" sqref="N2:N291"/>
    </sheetView>
  </sheetViews>
  <sheetFormatPr defaultColWidth="19.44140625" defaultRowHeight="15.6" x14ac:dyDescent="0.3"/>
  <cols>
    <col min="1" max="1" width="20.6640625" style="59" customWidth="1"/>
    <col min="2" max="3" width="11.6640625" style="59" customWidth="1"/>
    <col min="4" max="6" width="8.6640625" style="59" customWidth="1"/>
    <col min="7" max="7" width="8.6640625" style="16" customWidth="1"/>
    <col min="8" max="9" width="11.6640625" style="16" customWidth="1"/>
    <col min="10" max="10" width="11.6640625" style="60" customWidth="1"/>
    <col min="11" max="11" width="11.6640625" style="13" customWidth="1"/>
    <col min="12" max="12" width="35.6640625" style="16" customWidth="1"/>
    <col min="13" max="13" width="15.88671875" style="63" customWidth="1"/>
    <col min="14" max="14" width="8.6640625" style="19" customWidth="1"/>
    <col min="15" max="15" width="15.88671875" style="63" customWidth="1"/>
    <col min="16" max="16" width="15.88671875" style="59" customWidth="1"/>
    <col min="17" max="16384" width="19.44140625" style="12"/>
  </cols>
  <sheetData>
    <row r="1" spans="1:16" ht="30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1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25" t="s">
        <v>3215</v>
      </c>
      <c r="B2" s="26">
        <v>46108</v>
      </c>
      <c r="C2" s="26">
        <v>46113</v>
      </c>
      <c r="D2" s="25">
        <v>3319</v>
      </c>
      <c r="E2" s="25">
        <v>327</v>
      </c>
      <c r="F2" s="25">
        <v>2</v>
      </c>
      <c r="G2" s="48">
        <v>1</v>
      </c>
      <c r="H2" s="46">
        <v>81011</v>
      </c>
      <c r="I2" s="48" t="s">
        <v>17</v>
      </c>
      <c r="J2" s="49">
        <v>29447850</v>
      </c>
      <c r="K2" s="45" t="s">
        <v>531</v>
      </c>
      <c r="L2" s="45" t="s">
        <v>532</v>
      </c>
      <c r="M2" s="61">
        <v>129900</v>
      </c>
      <c r="N2" s="64">
        <v>0.9</v>
      </c>
      <c r="O2" s="36">
        <f>M2*15%</f>
        <v>19485</v>
      </c>
      <c r="P2" s="25" t="s">
        <v>0</v>
      </c>
    </row>
    <row r="3" spans="1:16" x14ac:dyDescent="0.3">
      <c r="A3" s="25" t="s">
        <v>3215</v>
      </c>
      <c r="B3" s="26">
        <v>46108</v>
      </c>
      <c r="C3" s="26">
        <v>46113</v>
      </c>
      <c r="D3" s="25">
        <v>3319</v>
      </c>
      <c r="E3" s="25">
        <v>327</v>
      </c>
      <c r="F3" s="25">
        <v>2</v>
      </c>
      <c r="G3" s="48">
        <v>1</v>
      </c>
      <c r="H3" s="46">
        <v>81011</v>
      </c>
      <c r="I3" s="48" t="s">
        <v>17</v>
      </c>
      <c r="J3" s="49">
        <v>29447869</v>
      </c>
      <c r="K3" s="45" t="s">
        <v>531</v>
      </c>
      <c r="L3" s="45" t="s">
        <v>533</v>
      </c>
      <c r="M3" s="61">
        <v>129900</v>
      </c>
      <c r="N3" s="64">
        <v>0.9</v>
      </c>
      <c r="O3" s="36">
        <f t="shared" ref="O3:O66" si="0">M3*15%</f>
        <v>19485</v>
      </c>
      <c r="P3" s="25" t="s">
        <v>0</v>
      </c>
    </row>
    <row r="4" spans="1:16" x14ac:dyDescent="0.3">
      <c r="A4" s="25" t="s">
        <v>3215</v>
      </c>
      <c r="B4" s="26">
        <v>46108</v>
      </c>
      <c r="C4" s="26">
        <v>46113</v>
      </c>
      <c r="D4" s="25">
        <v>3319</v>
      </c>
      <c r="E4" s="25">
        <v>327</v>
      </c>
      <c r="F4" s="25">
        <v>2</v>
      </c>
      <c r="G4" s="48">
        <v>1</v>
      </c>
      <c r="H4" s="46">
        <v>81011</v>
      </c>
      <c r="I4" s="48" t="s">
        <v>17</v>
      </c>
      <c r="J4" s="49">
        <v>29447878</v>
      </c>
      <c r="K4" s="45" t="s">
        <v>531</v>
      </c>
      <c r="L4" s="45" t="s">
        <v>534</v>
      </c>
      <c r="M4" s="61">
        <v>129900</v>
      </c>
      <c r="N4" s="64">
        <v>0.9</v>
      </c>
      <c r="O4" s="36">
        <f t="shared" si="0"/>
        <v>19485</v>
      </c>
      <c r="P4" s="25" t="s">
        <v>0</v>
      </c>
    </row>
    <row r="5" spans="1:16" x14ac:dyDescent="0.3">
      <c r="A5" s="25" t="s">
        <v>3215</v>
      </c>
      <c r="B5" s="26">
        <v>46108</v>
      </c>
      <c r="C5" s="26">
        <v>46113</v>
      </c>
      <c r="D5" s="25">
        <v>3319</v>
      </c>
      <c r="E5" s="25">
        <v>327</v>
      </c>
      <c r="F5" s="25">
        <v>2</v>
      </c>
      <c r="G5" s="48">
        <v>1</v>
      </c>
      <c r="H5" s="46">
        <v>81011</v>
      </c>
      <c r="I5" s="48" t="s">
        <v>17</v>
      </c>
      <c r="J5" s="49">
        <v>29447887</v>
      </c>
      <c r="K5" s="45" t="s">
        <v>531</v>
      </c>
      <c r="L5" s="45" t="s">
        <v>535</v>
      </c>
      <c r="M5" s="61">
        <v>129900</v>
      </c>
      <c r="N5" s="64">
        <v>0.9</v>
      </c>
      <c r="O5" s="36">
        <f t="shared" si="0"/>
        <v>19485</v>
      </c>
      <c r="P5" s="25" t="s">
        <v>0</v>
      </c>
    </row>
    <row r="6" spans="1:16" x14ac:dyDescent="0.3">
      <c r="A6" s="25" t="s">
        <v>3215</v>
      </c>
      <c r="B6" s="26">
        <v>46108</v>
      </c>
      <c r="C6" s="26">
        <v>46113</v>
      </c>
      <c r="D6" s="25">
        <v>3319</v>
      </c>
      <c r="E6" s="25">
        <v>327</v>
      </c>
      <c r="F6" s="25">
        <v>2</v>
      </c>
      <c r="G6" s="48">
        <v>1</v>
      </c>
      <c r="H6" s="46">
        <v>81433</v>
      </c>
      <c r="I6" s="48" t="s">
        <v>17</v>
      </c>
      <c r="J6" s="49">
        <v>26737775</v>
      </c>
      <c r="K6" s="45" t="s">
        <v>536</v>
      </c>
      <c r="L6" s="45" t="s">
        <v>537</v>
      </c>
      <c r="M6" s="61">
        <v>199900</v>
      </c>
      <c r="N6" s="64">
        <v>0.9</v>
      </c>
      <c r="O6" s="36">
        <f t="shared" si="0"/>
        <v>29985</v>
      </c>
      <c r="P6" s="25" t="s">
        <v>0</v>
      </c>
    </row>
    <row r="7" spans="1:16" x14ac:dyDescent="0.3">
      <c r="A7" s="25" t="s">
        <v>3215</v>
      </c>
      <c r="B7" s="26">
        <v>46108</v>
      </c>
      <c r="C7" s="26">
        <v>46113</v>
      </c>
      <c r="D7" s="25">
        <v>3319</v>
      </c>
      <c r="E7" s="25">
        <v>327</v>
      </c>
      <c r="F7" s="25">
        <v>2</v>
      </c>
      <c r="G7" s="48">
        <v>1</v>
      </c>
      <c r="H7" s="46">
        <v>81433</v>
      </c>
      <c r="I7" s="48" t="s">
        <v>17</v>
      </c>
      <c r="J7" s="49">
        <v>26737784</v>
      </c>
      <c r="K7" s="45" t="s">
        <v>536</v>
      </c>
      <c r="L7" s="45" t="s">
        <v>538</v>
      </c>
      <c r="M7" s="61">
        <v>199900</v>
      </c>
      <c r="N7" s="64">
        <v>0.9</v>
      </c>
      <c r="O7" s="36">
        <f t="shared" si="0"/>
        <v>29985</v>
      </c>
      <c r="P7" s="25" t="s">
        <v>0</v>
      </c>
    </row>
    <row r="8" spans="1:16" x14ac:dyDescent="0.3">
      <c r="A8" s="25" t="s">
        <v>3215</v>
      </c>
      <c r="B8" s="26">
        <v>46108</v>
      </c>
      <c r="C8" s="26">
        <v>46113</v>
      </c>
      <c r="D8" s="25">
        <v>3319</v>
      </c>
      <c r="E8" s="25">
        <v>327</v>
      </c>
      <c r="F8" s="25">
        <v>2</v>
      </c>
      <c r="G8" s="48">
        <v>1</v>
      </c>
      <c r="H8" s="46">
        <v>81433</v>
      </c>
      <c r="I8" s="48" t="s">
        <v>17</v>
      </c>
      <c r="J8" s="49">
        <v>26737793</v>
      </c>
      <c r="K8" s="45" t="s">
        <v>536</v>
      </c>
      <c r="L8" s="45" t="s">
        <v>539</v>
      </c>
      <c r="M8" s="61">
        <v>199900</v>
      </c>
      <c r="N8" s="64">
        <v>0.9</v>
      </c>
      <c r="O8" s="36">
        <f t="shared" si="0"/>
        <v>29985</v>
      </c>
      <c r="P8" s="25" t="s">
        <v>0</v>
      </c>
    </row>
    <row r="9" spans="1:16" x14ac:dyDescent="0.3">
      <c r="A9" s="25" t="s">
        <v>3215</v>
      </c>
      <c r="B9" s="26">
        <v>46108</v>
      </c>
      <c r="C9" s="26">
        <v>46113</v>
      </c>
      <c r="D9" s="25">
        <v>3319</v>
      </c>
      <c r="E9" s="25">
        <v>327</v>
      </c>
      <c r="F9" s="25">
        <v>2</v>
      </c>
      <c r="G9" s="48">
        <v>1</v>
      </c>
      <c r="H9" s="46">
        <v>81433</v>
      </c>
      <c r="I9" s="48" t="s">
        <v>17</v>
      </c>
      <c r="J9" s="49">
        <v>26737800</v>
      </c>
      <c r="K9" s="45" t="s">
        <v>536</v>
      </c>
      <c r="L9" s="45" t="s">
        <v>540</v>
      </c>
      <c r="M9" s="61">
        <v>199900</v>
      </c>
      <c r="N9" s="64">
        <v>0.9</v>
      </c>
      <c r="O9" s="36">
        <f t="shared" si="0"/>
        <v>29985</v>
      </c>
      <c r="P9" s="25" t="s">
        <v>0</v>
      </c>
    </row>
    <row r="10" spans="1:16" x14ac:dyDescent="0.3">
      <c r="A10" s="25" t="s">
        <v>3215</v>
      </c>
      <c r="B10" s="26">
        <v>46108</v>
      </c>
      <c r="C10" s="26">
        <v>46113</v>
      </c>
      <c r="D10" s="25">
        <v>3319</v>
      </c>
      <c r="E10" s="25">
        <v>327</v>
      </c>
      <c r="F10" s="25">
        <v>2</v>
      </c>
      <c r="G10" s="48">
        <v>1</v>
      </c>
      <c r="H10" s="46">
        <v>81433</v>
      </c>
      <c r="I10" s="48" t="s">
        <v>17</v>
      </c>
      <c r="J10" s="49">
        <v>26737819</v>
      </c>
      <c r="K10" s="45" t="s">
        <v>536</v>
      </c>
      <c r="L10" s="45" t="s">
        <v>541</v>
      </c>
      <c r="M10" s="61">
        <v>199900</v>
      </c>
      <c r="N10" s="64">
        <v>0.9</v>
      </c>
      <c r="O10" s="36">
        <f t="shared" si="0"/>
        <v>29985</v>
      </c>
      <c r="P10" s="25" t="s">
        <v>0</v>
      </c>
    </row>
    <row r="11" spans="1:16" x14ac:dyDescent="0.3">
      <c r="A11" s="25" t="s">
        <v>3215</v>
      </c>
      <c r="B11" s="26">
        <v>46108</v>
      </c>
      <c r="C11" s="26">
        <v>46113</v>
      </c>
      <c r="D11" s="25">
        <v>3319</v>
      </c>
      <c r="E11" s="25">
        <v>327</v>
      </c>
      <c r="F11" s="25">
        <v>2</v>
      </c>
      <c r="G11" s="48">
        <v>1</v>
      </c>
      <c r="H11" s="46">
        <v>81433</v>
      </c>
      <c r="I11" s="48" t="s">
        <v>17</v>
      </c>
      <c r="J11" s="49">
        <v>26978210</v>
      </c>
      <c r="K11" s="45" t="s">
        <v>536</v>
      </c>
      <c r="L11" s="45" t="s">
        <v>542</v>
      </c>
      <c r="M11" s="61">
        <v>199900</v>
      </c>
      <c r="N11" s="64">
        <v>0.9</v>
      </c>
      <c r="O11" s="36">
        <f t="shared" si="0"/>
        <v>29985</v>
      </c>
      <c r="P11" s="25" t="s">
        <v>0</v>
      </c>
    </row>
    <row r="12" spans="1:16" x14ac:dyDescent="0.3">
      <c r="A12" s="25" t="s">
        <v>3215</v>
      </c>
      <c r="B12" s="26">
        <v>46108</v>
      </c>
      <c r="C12" s="26">
        <v>46113</v>
      </c>
      <c r="D12" s="25">
        <v>3319</v>
      </c>
      <c r="E12" s="25">
        <v>327</v>
      </c>
      <c r="F12" s="25">
        <v>2</v>
      </c>
      <c r="G12" s="48">
        <v>1</v>
      </c>
      <c r="H12" s="46">
        <v>81433</v>
      </c>
      <c r="I12" s="48" t="s">
        <v>17</v>
      </c>
      <c r="J12" s="49">
        <v>26978229</v>
      </c>
      <c r="K12" s="45" t="s">
        <v>536</v>
      </c>
      <c r="L12" s="45" t="s">
        <v>543</v>
      </c>
      <c r="M12" s="61">
        <v>199900</v>
      </c>
      <c r="N12" s="64">
        <v>0.9</v>
      </c>
      <c r="O12" s="36">
        <f t="shared" si="0"/>
        <v>29985</v>
      </c>
      <c r="P12" s="25" t="s">
        <v>0</v>
      </c>
    </row>
    <row r="13" spans="1:16" x14ac:dyDescent="0.3">
      <c r="A13" s="25" t="s">
        <v>3215</v>
      </c>
      <c r="B13" s="26">
        <v>46108</v>
      </c>
      <c r="C13" s="26">
        <v>46113</v>
      </c>
      <c r="D13" s="25">
        <v>3319</v>
      </c>
      <c r="E13" s="25">
        <v>327</v>
      </c>
      <c r="F13" s="25">
        <v>2</v>
      </c>
      <c r="G13" s="48">
        <v>1</v>
      </c>
      <c r="H13" s="46">
        <v>81433</v>
      </c>
      <c r="I13" s="48" t="s">
        <v>17</v>
      </c>
      <c r="J13" s="49">
        <v>26978238</v>
      </c>
      <c r="K13" s="45" t="s">
        <v>536</v>
      </c>
      <c r="L13" s="45" t="s">
        <v>544</v>
      </c>
      <c r="M13" s="61">
        <v>199900</v>
      </c>
      <c r="N13" s="64">
        <v>0.9</v>
      </c>
      <c r="O13" s="36">
        <f t="shared" si="0"/>
        <v>29985</v>
      </c>
      <c r="P13" s="25" t="s">
        <v>0</v>
      </c>
    </row>
    <row r="14" spans="1:16" x14ac:dyDescent="0.3">
      <c r="A14" s="25" t="s">
        <v>3215</v>
      </c>
      <c r="B14" s="26">
        <v>46108</v>
      </c>
      <c r="C14" s="26">
        <v>46113</v>
      </c>
      <c r="D14" s="25">
        <v>3319</v>
      </c>
      <c r="E14" s="25">
        <v>327</v>
      </c>
      <c r="F14" s="25">
        <v>2</v>
      </c>
      <c r="G14" s="48">
        <v>1</v>
      </c>
      <c r="H14" s="46">
        <v>81433</v>
      </c>
      <c r="I14" s="48" t="s">
        <v>17</v>
      </c>
      <c r="J14" s="49">
        <v>26978247</v>
      </c>
      <c r="K14" s="45" t="s">
        <v>536</v>
      </c>
      <c r="L14" s="45" t="s">
        <v>545</v>
      </c>
      <c r="M14" s="61">
        <v>199900</v>
      </c>
      <c r="N14" s="64">
        <v>0.9</v>
      </c>
      <c r="O14" s="36">
        <f t="shared" si="0"/>
        <v>29985</v>
      </c>
      <c r="P14" s="25" t="s">
        <v>0</v>
      </c>
    </row>
    <row r="15" spans="1:16" x14ac:dyDescent="0.3">
      <c r="A15" s="25" t="s">
        <v>3215</v>
      </c>
      <c r="B15" s="26">
        <v>46108</v>
      </c>
      <c r="C15" s="26">
        <v>46113</v>
      </c>
      <c r="D15" s="25">
        <v>3319</v>
      </c>
      <c r="E15" s="25">
        <v>327</v>
      </c>
      <c r="F15" s="25">
        <v>2</v>
      </c>
      <c r="G15" s="48">
        <v>1</v>
      </c>
      <c r="H15" s="46">
        <v>81433</v>
      </c>
      <c r="I15" s="48" t="s">
        <v>17</v>
      </c>
      <c r="J15" s="49">
        <v>26978256</v>
      </c>
      <c r="K15" s="45" t="s">
        <v>536</v>
      </c>
      <c r="L15" s="45" t="s">
        <v>546</v>
      </c>
      <c r="M15" s="61">
        <v>199900</v>
      </c>
      <c r="N15" s="64">
        <v>0.9</v>
      </c>
      <c r="O15" s="36">
        <f t="shared" si="0"/>
        <v>29985</v>
      </c>
      <c r="P15" s="25" t="s">
        <v>0</v>
      </c>
    </row>
    <row r="16" spans="1:16" x14ac:dyDescent="0.3">
      <c r="A16" s="25" t="s">
        <v>3215</v>
      </c>
      <c r="B16" s="26">
        <v>46108</v>
      </c>
      <c r="C16" s="26">
        <v>46113</v>
      </c>
      <c r="D16" s="25">
        <v>3319</v>
      </c>
      <c r="E16" s="25">
        <v>327</v>
      </c>
      <c r="F16" s="25">
        <v>2</v>
      </c>
      <c r="G16" s="48">
        <v>1</v>
      </c>
      <c r="H16" s="46">
        <v>81433</v>
      </c>
      <c r="I16" s="48" t="s">
        <v>17</v>
      </c>
      <c r="J16" s="49">
        <v>27022044</v>
      </c>
      <c r="K16" s="45" t="s">
        <v>547</v>
      </c>
      <c r="L16" s="45" t="s">
        <v>548</v>
      </c>
      <c r="M16" s="61">
        <v>199900</v>
      </c>
      <c r="N16" s="64">
        <v>0.9</v>
      </c>
      <c r="O16" s="36">
        <f t="shared" si="0"/>
        <v>29985</v>
      </c>
      <c r="P16" s="25" t="s">
        <v>0</v>
      </c>
    </row>
    <row r="17" spans="1:16" x14ac:dyDescent="0.3">
      <c r="A17" s="25" t="s">
        <v>3215</v>
      </c>
      <c r="B17" s="26">
        <v>46108</v>
      </c>
      <c r="C17" s="26">
        <v>46113</v>
      </c>
      <c r="D17" s="25">
        <v>3319</v>
      </c>
      <c r="E17" s="25">
        <v>327</v>
      </c>
      <c r="F17" s="25">
        <v>2</v>
      </c>
      <c r="G17" s="48">
        <v>1</v>
      </c>
      <c r="H17" s="48">
        <v>81433</v>
      </c>
      <c r="I17" s="48" t="s">
        <v>17</v>
      </c>
      <c r="J17" s="50">
        <v>27022053</v>
      </c>
      <c r="K17" s="43" t="s">
        <v>547</v>
      </c>
      <c r="L17" s="58" t="s">
        <v>549</v>
      </c>
      <c r="M17" s="61">
        <v>199900</v>
      </c>
      <c r="N17" s="64">
        <v>0.9</v>
      </c>
      <c r="O17" s="36">
        <f t="shared" si="0"/>
        <v>29985</v>
      </c>
      <c r="P17" s="25" t="s">
        <v>0</v>
      </c>
    </row>
    <row r="18" spans="1:16" x14ac:dyDescent="0.3">
      <c r="A18" s="25" t="s">
        <v>3215</v>
      </c>
      <c r="B18" s="26">
        <v>46108</v>
      </c>
      <c r="C18" s="26">
        <v>46113</v>
      </c>
      <c r="D18" s="25">
        <v>3319</v>
      </c>
      <c r="E18" s="25">
        <v>327</v>
      </c>
      <c r="F18" s="25">
        <v>2</v>
      </c>
      <c r="G18" s="48">
        <v>1</v>
      </c>
      <c r="H18" s="48">
        <v>81433</v>
      </c>
      <c r="I18" s="48" t="s">
        <v>17</v>
      </c>
      <c r="J18" s="50">
        <v>27022062</v>
      </c>
      <c r="K18" s="43" t="s">
        <v>547</v>
      </c>
      <c r="L18" s="58" t="s">
        <v>550</v>
      </c>
      <c r="M18" s="61">
        <v>199900</v>
      </c>
      <c r="N18" s="64">
        <v>0.9</v>
      </c>
      <c r="O18" s="36">
        <f t="shared" si="0"/>
        <v>29985</v>
      </c>
      <c r="P18" s="25" t="s">
        <v>0</v>
      </c>
    </row>
    <row r="19" spans="1:16" x14ac:dyDescent="0.3">
      <c r="A19" s="25" t="s">
        <v>3215</v>
      </c>
      <c r="B19" s="26">
        <v>46108</v>
      </c>
      <c r="C19" s="26">
        <v>46113</v>
      </c>
      <c r="D19" s="25">
        <v>3319</v>
      </c>
      <c r="E19" s="25">
        <v>327</v>
      </c>
      <c r="F19" s="25">
        <v>2</v>
      </c>
      <c r="G19" s="48">
        <v>1</v>
      </c>
      <c r="H19" s="48">
        <v>81433</v>
      </c>
      <c r="I19" s="48" t="s">
        <v>17</v>
      </c>
      <c r="J19" s="50">
        <v>27022071</v>
      </c>
      <c r="K19" s="43" t="s">
        <v>547</v>
      </c>
      <c r="L19" s="58" t="s">
        <v>551</v>
      </c>
      <c r="M19" s="61">
        <v>199900</v>
      </c>
      <c r="N19" s="64">
        <v>0.9</v>
      </c>
      <c r="O19" s="36">
        <f t="shared" si="0"/>
        <v>29985</v>
      </c>
      <c r="P19" s="25" t="s">
        <v>0</v>
      </c>
    </row>
    <row r="20" spans="1:16" x14ac:dyDescent="0.3">
      <c r="A20" s="25" t="s">
        <v>3215</v>
      </c>
      <c r="B20" s="26">
        <v>46108</v>
      </c>
      <c r="C20" s="26">
        <v>46113</v>
      </c>
      <c r="D20" s="25">
        <v>3319</v>
      </c>
      <c r="E20" s="25">
        <v>327</v>
      </c>
      <c r="F20" s="25">
        <v>2</v>
      </c>
      <c r="G20" s="48">
        <v>1</v>
      </c>
      <c r="H20" s="48">
        <v>81433</v>
      </c>
      <c r="I20" s="48" t="s">
        <v>17</v>
      </c>
      <c r="J20" s="50">
        <v>27022080</v>
      </c>
      <c r="K20" s="43" t="s">
        <v>547</v>
      </c>
      <c r="L20" s="58" t="s">
        <v>552</v>
      </c>
      <c r="M20" s="61">
        <v>199900</v>
      </c>
      <c r="N20" s="64">
        <v>0.9</v>
      </c>
      <c r="O20" s="36">
        <f t="shared" si="0"/>
        <v>29985</v>
      </c>
      <c r="P20" s="25" t="s">
        <v>0</v>
      </c>
    </row>
    <row r="21" spans="1:16" x14ac:dyDescent="0.3">
      <c r="A21" s="25" t="s">
        <v>3215</v>
      </c>
      <c r="B21" s="26">
        <v>46108</v>
      </c>
      <c r="C21" s="26">
        <v>46113</v>
      </c>
      <c r="D21" s="25">
        <v>3319</v>
      </c>
      <c r="E21" s="25">
        <v>327</v>
      </c>
      <c r="F21" s="25">
        <v>2</v>
      </c>
      <c r="G21" s="48">
        <v>1</v>
      </c>
      <c r="H21" s="48">
        <v>81433</v>
      </c>
      <c r="I21" s="48" t="s">
        <v>17</v>
      </c>
      <c r="J21" s="50">
        <v>27022099</v>
      </c>
      <c r="K21" s="43" t="s">
        <v>547</v>
      </c>
      <c r="L21" s="58" t="s">
        <v>553</v>
      </c>
      <c r="M21" s="61">
        <v>199900</v>
      </c>
      <c r="N21" s="64">
        <v>0.9</v>
      </c>
      <c r="O21" s="36">
        <f t="shared" si="0"/>
        <v>29985</v>
      </c>
      <c r="P21" s="25" t="s">
        <v>0</v>
      </c>
    </row>
    <row r="22" spans="1:16" x14ac:dyDescent="0.3">
      <c r="A22" s="25" t="s">
        <v>3215</v>
      </c>
      <c r="B22" s="26">
        <v>46108</v>
      </c>
      <c r="C22" s="26">
        <v>46113</v>
      </c>
      <c r="D22" s="25">
        <v>3319</v>
      </c>
      <c r="E22" s="25">
        <v>327</v>
      </c>
      <c r="F22" s="25">
        <v>2</v>
      </c>
      <c r="G22" s="48">
        <v>1</v>
      </c>
      <c r="H22" s="48">
        <v>81433</v>
      </c>
      <c r="I22" s="48" t="s">
        <v>17</v>
      </c>
      <c r="J22" s="50">
        <v>27022106</v>
      </c>
      <c r="K22" s="43" t="s">
        <v>547</v>
      </c>
      <c r="L22" s="58" t="s">
        <v>554</v>
      </c>
      <c r="M22" s="61">
        <v>199900</v>
      </c>
      <c r="N22" s="64">
        <v>0.9</v>
      </c>
      <c r="O22" s="36">
        <f t="shared" si="0"/>
        <v>29985</v>
      </c>
      <c r="P22" s="25" t="s">
        <v>0</v>
      </c>
    </row>
    <row r="23" spans="1:16" x14ac:dyDescent="0.3">
      <c r="A23" s="25" t="s">
        <v>3215</v>
      </c>
      <c r="B23" s="26">
        <v>46108</v>
      </c>
      <c r="C23" s="26">
        <v>46113</v>
      </c>
      <c r="D23" s="25">
        <v>3319</v>
      </c>
      <c r="E23" s="25">
        <v>327</v>
      </c>
      <c r="F23" s="25">
        <v>2</v>
      </c>
      <c r="G23" s="48">
        <v>1</v>
      </c>
      <c r="H23" s="48">
        <v>81433</v>
      </c>
      <c r="I23" s="48" t="s">
        <v>17</v>
      </c>
      <c r="J23" s="50">
        <v>27022115</v>
      </c>
      <c r="K23" s="43" t="s">
        <v>547</v>
      </c>
      <c r="L23" s="58" t="s">
        <v>555</v>
      </c>
      <c r="M23" s="61">
        <v>199900</v>
      </c>
      <c r="N23" s="64">
        <v>0.9</v>
      </c>
      <c r="O23" s="36">
        <f t="shared" si="0"/>
        <v>29985</v>
      </c>
      <c r="P23" s="25" t="s">
        <v>0</v>
      </c>
    </row>
    <row r="24" spans="1:16" x14ac:dyDescent="0.3">
      <c r="A24" s="25" t="s">
        <v>3215</v>
      </c>
      <c r="B24" s="26">
        <v>46108</v>
      </c>
      <c r="C24" s="26">
        <v>46113</v>
      </c>
      <c r="D24" s="25">
        <v>3319</v>
      </c>
      <c r="E24" s="25">
        <v>327</v>
      </c>
      <c r="F24" s="25">
        <v>2</v>
      </c>
      <c r="G24" s="48">
        <v>1</v>
      </c>
      <c r="H24" s="48">
        <v>81433</v>
      </c>
      <c r="I24" s="48" t="s">
        <v>17</v>
      </c>
      <c r="J24" s="50">
        <v>27022124</v>
      </c>
      <c r="K24" s="43" t="s">
        <v>547</v>
      </c>
      <c r="L24" s="58" t="s">
        <v>556</v>
      </c>
      <c r="M24" s="61">
        <v>199900</v>
      </c>
      <c r="N24" s="64">
        <v>0.9</v>
      </c>
      <c r="O24" s="36">
        <f t="shared" si="0"/>
        <v>29985</v>
      </c>
      <c r="P24" s="25" t="s">
        <v>0</v>
      </c>
    </row>
    <row r="25" spans="1:16" x14ac:dyDescent="0.3">
      <c r="A25" s="25" t="s">
        <v>3215</v>
      </c>
      <c r="B25" s="26">
        <v>46108</v>
      </c>
      <c r="C25" s="26">
        <v>46113</v>
      </c>
      <c r="D25" s="25">
        <v>3319</v>
      </c>
      <c r="E25" s="25">
        <v>327</v>
      </c>
      <c r="F25" s="25">
        <v>2</v>
      </c>
      <c r="G25" s="48">
        <v>1</v>
      </c>
      <c r="H25" s="48">
        <v>81433</v>
      </c>
      <c r="I25" s="48" t="s">
        <v>17</v>
      </c>
      <c r="J25" s="50">
        <v>27022133</v>
      </c>
      <c r="K25" s="43" t="s">
        <v>547</v>
      </c>
      <c r="L25" s="58" t="s">
        <v>557</v>
      </c>
      <c r="M25" s="61">
        <v>199900</v>
      </c>
      <c r="N25" s="64">
        <v>0.9</v>
      </c>
      <c r="O25" s="36">
        <f t="shared" si="0"/>
        <v>29985</v>
      </c>
      <c r="P25" s="25" t="s">
        <v>0</v>
      </c>
    </row>
    <row r="26" spans="1:16" x14ac:dyDescent="0.3">
      <c r="A26" s="25" t="s">
        <v>3215</v>
      </c>
      <c r="B26" s="26">
        <v>46108</v>
      </c>
      <c r="C26" s="26">
        <v>46113</v>
      </c>
      <c r="D26" s="25">
        <v>3319</v>
      </c>
      <c r="E26" s="25">
        <v>327</v>
      </c>
      <c r="F26" s="25">
        <v>2</v>
      </c>
      <c r="G26" s="48">
        <v>1</v>
      </c>
      <c r="H26" s="48">
        <v>81433</v>
      </c>
      <c r="I26" s="48" t="s">
        <v>17</v>
      </c>
      <c r="J26" s="50">
        <v>27022222</v>
      </c>
      <c r="K26" s="43" t="s">
        <v>558</v>
      </c>
      <c r="L26" s="58" t="s">
        <v>559</v>
      </c>
      <c r="M26" s="61">
        <v>239900</v>
      </c>
      <c r="N26" s="64">
        <v>0.9</v>
      </c>
      <c r="O26" s="36">
        <f t="shared" si="0"/>
        <v>35985</v>
      </c>
      <c r="P26" s="25" t="s">
        <v>0</v>
      </c>
    </row>
    <row r="27" spans="1:16" x14ac:dyDescent="0.3">
      <c r="A27" s="25" t="s">
        <v>3215</v>
      </c>
      <c r="B27" s="26">
        <v>46108</v>
      </c>
      <c r="C27" s="26">
        <v>46113</v>
      </c>
      <c r="D27" s="25">
        <v>3319</v>
      </c>
      <c r="E27" s="25">
        <v>327</v>
      </c>
      <c r="F27" s="25">
        <v>2</v>
      </c>
      <c r="G27" s="48">
        <v>1</v>
      </c>
      <c r="H27" s="48">
        <v>81433</v>
      </c>
      <c r="I27" s="48" t="s">
        <v>17</v>
      </c>
      <c r="J27" s="50">
        <v>27022231</v>
      </c>
      <c r="K27" s="43" t="s">
        <v>558</v>
      </c>
      <c r="L27" s="58" t="s">
        <v>560</v>
      </c>
      <c r="M27" s="61">
        <v>239900</v>
      </c>
      <c r="N27" s="64">
        <v>0.9</v>
      </c>
      <c r="O27" s="36">
        <f t="shared" si="0"/>
        <v>35985</v>
      </c>
      <c r="P27" s="25" t="s">
        <v>0</v>
      </c>
    </row>
    <row r="28" spans="1:16" x14ac:dyDescent="0.3">
      <c r="A28" s="25" t="s">
        <v>3215</v>
      </c>
      <c r="B28" s="26">
        <v>46108</v>
      </c>
      <c r="C28" s="26">
        <v>46113</v>
      </c>
      <c r="D28" s="25">
        <v>3319</v>
      </c>
      <c r="E28" s="25">
        <v>327</v>
      </c>
      <c r="F28" s="25">
        <v>2</v>
      </c>
      <c r="G28" s="48">
        <v>1</v>
      </c>
      <c r="H28" s="48">
        <v>81433</v>
      </c>
      <c r="I28" s="48" t="s">
        <v>17</v>
      </c>
      <c r="J28" s="50">
        <v>27022240</v>
      </c>
      <c r="K28" s="43" t="s">
        <v>558</v>
      </c>
      <c r="L28" s="58" t="s">
        <v>561</v>
      </c>
      <c r="M28" s="61">
        <v>239900</v>
      </c>
      <c r="N28" s="64">
        <v>0.9</v>
      </c>
      <c r="O28" s="36">
        <f t="shared" si="0"/>
        <v>35985</v>
      </c>
      <c r="P28" s="25" t="s">
        <v>0</v>
      </c>
    </row>
    <row r="29" spans="1:16" x14ac:dyDescent="0.3">
      <c r="A29" s="25" t="s">
        <v>3215</v>
      </c>
      <c r="B29" s="26">
        <v>46108</v>
      </c>
      <c r="C29" s="26">
        <v>46113</v>
      </c>
      <c r="D29" s="25">
        <v>3319</v>
      </c>
      <c r="E29" s="25">
        <v>327</v>
      </c>
      <c r="F29" s="25">
        <v>2</v>
      </c>
      <c r="G29" s="48">
        <v>1</v>
      </c>
      <c r="H29" s="48">
        <v>81433</v>
      </c>
      <c r="I29" s="48" t="s">
        <v>17</v>
      </c>
      <c r="J29" s="50">
        <v>27022259</v>
      </c>
      <c r="K29" s="43" t="s">
        <v>558</v>
      </c>
      <c r="L29" s="58" t="s">
        <v>562</v>
      </c>
      <c r="M29" s="61">
        <v>239900</v>
      </c>
      <c r="N29" s="64">
        <v>0.9</v>
      </c>
      <c r="O29" s="36">
        <f t="shared" si="0"/>
        <v>35985</v>
      </c>
      <c r="P29" s="25" t="s">
        <v>0</v>
      </c>
    </row>
    <row r="30" spans="1:16" x14ac:dyDescent="0.3">
      <c r="A30" s="25" t="s">
        <v>3215</v>
      </c>
      <c r="B30" s="26">
        <v>46108</v>
      </c>
      <c r="C30" s="26">
        <v>46113</v>
      </c>
      <c r="D30" s="25">
        <v>3319</v>
      </c>
      <c r="E30" s="25">
        <v>327</v>
      </c>
      <c r="F30" s="25">
        <v>2</v>
      </c>
      <c r="G30" s="48">
        <v>1</v>
      </c>
      <c r="H30" s="48">
        <v>81433</v>
      </c>
      <c r="I30" s="48" t="s">
        <v>17</v>
      </c>
      <c r="J30" s="50">
        <v>27022268</v>
      </c>
      <c r="K30" s="43" t="s">
        <v>558</v>
      </c>
      <c r="L30" s="58" t="s">
        <v>563</v>
      </c>
      <c r="M30" s="61">
        <v>239900</v>
      </c>
      <c r="N30" s="64">
        <v>0.9</v>
      </c>
      <c r="O30" s="36">
        <f t="shared" si="0"/>
        <v>35985</v>
      </c>
      <c r="P30" s="25" t="s">
        <v>0</v>
      </c>
    </row>
    <row r="31" spans="1:16" x14ac:dyDescent="0.3">
      <c r="A31" s="25" t="s">
        <v>3215</v>
      </c>
      <c r="B31" s="26">
        <v>46108</v>
      </c>
      <c r="C31" s="26">
        <v>46113</v>
      </c>
      <c r="D31" s="25">
        <v>3319</v>
      </c>
      <c r="E31" s="25">
        <v>327</v>
      </c>
      <c r="F31" s="25">
        <v>2</v>
      </c>
      <c r="G31" s="48">
        <v>1</v>
      </c>
      <c r="H31" s="48">
        <v>81433</v>
      </c>
      <c r="I31" s="48" t="s">
        <v>17</v>
      </c>
      <c r="J31" s="50">
        <v>27022277</v>
      </c>
      <c r="K31" s="43" t="s">
        <v>558</v>
      </c>
      <c r="L31" s="58" t="s">
        <v>564</v>
      </c>
      <c r="M31" s="61">
        <v>239900</v>
      </c>
      <c r="N31" s="64">
        <v>0.9</v>
      </c>
      <c r="O31" s="36">
        <f t="shared" si="0"/>
        <v>35985</v>
      </c>
      <c r="P31" s="25" t="s">
        <v>0</v>
      </c>
    </row>
    <row r="32" spans="1:16" x14ac:dyDescent="0.3">
      <c r="A32" s="25" t="s">
        <v>3215</v>
      </c>
      <c r="B32" s="26">
        <v>46108</v>
      </c>
      <c r="C32" s="26">
        <v>46113</v>
      </c>
      <c r="D32" s="25">
        <v>3319</v>
      </c>
      <c r="E32" s="25">
        <v>327</v>
      </c>
      <c r="F32" s="25">
        <v>2</v>
      </c>
      <c r="G32" s="48">
        <v>1</v>
      </c>
      <c r="H32" s="48">
        <v>81433</v>
      </c>
      <c r="I32" s="48" t="s">
        <v>17</v>
      </c>
      <c r="J32" s="50">
        <v>27022286</v>
      </c>
      <c r="K32" s="43" t="s">
        <v>558</v>
      </c>
      <c r="L32" s="58" t="s">
        <v>565</v>
      </c>
      <c r="M32" s="61">
        <v>239900</v>
      </c>
      <c r="N32" s="64">
        <v>0.9</v>
      </c>
      <c r="O32" s="36">
        <f t="shared" si="0"/>
        <v>35985</v>
      </c>
      <c r="P32" s="25" t="s">
        <v>0</v>
      </c>
    </row>
    <row r="33" spans="1:16" x14ac:dyDescent="0.3">
      <c r="A33" s="25" t="s">
        <v>3215</v>
      </c>
      <c r="B33" s="26">
        <v>46108</v>
      </c>
      <c r="C33" s="26">
        <v>46113</v>
      </c>
      <c r="D33" s="25">
        <v>3319</v>
      </c>
      <c r="E33" s="25">
        <v>327</v>
      </c>
      <c r="F33" s="25">
        <v>2</v>
      </c>
      <c r="G33" s="48">
        <v>1</v>
      </c>
      <c r="H33" s="48">
        <v>81433</v>
      </c>
      <c r="I33" s="48" t="s">
        <v>17</v>
      </c>
      <c r="J33" s="50">
        <v>27022295</v>
      </c>
      <c r="K33" s="43" t="s">
        <v>558</v>
      </c>
      <c r="L33" s="58" t="s">
        <v>566</v>
      </c>
      <c r="M33" s="61">
        <v>239900</v>
      </c>
      <c r="N33" s="64">
        <v>0.9</v>
      </c>
      <c r="O33" s="36">
        <f t="shared" si="0"/>
        <v>35985</v>
      </c>
      <c r="P33" s="25" t="s">
        <v>0</v>
      </c>
    </row>
    <row r="34" spans="1:16" x14ac:dyDescent="0.3">
      <c r="A34" s="25" t="s">
        <v>3215</v>
      </c>
      <c r="B34" s="26">
        <v>46108</v>
      </c>
      <c r="C34" s="26">
        <v>46113</v>
      </c>
      <c r="D34" s="25">
        <v>3319</v>
      </c>
      <c r="E34" s="25">
        <v>327</v>
      </c>
      <c r="F34" s="25">
        <v>2</v>
      </c>
      <c r="G34" s="48">
        <v>1</v>
      </c>
      <c r="H34" s="48">
        <v>81433</v>
      </c>
      <c r="I34" s="48" t="s">
        <v>17</v>
      </c>
      <c r="J34" s="50">
        <v>27022302</v>
      </c>
      <c r="K34" s="43" t="s">
        <v>558</v>
      </c>
      <c r="L34" s="58" t="s">
        <v>567</v>
      </c>
      <c r="M34" s="61">
        <v>239900</v>
      </c>
      <c r="N34" s="64">
        <v>0.9</v>
      </c>
      <c r="O34" s="36">
        <f t="shared" si="0"/>
        <v>35985</v>
      </c>
      <c r="P34" s="25" t="s">
        <v>0</v>
      </c>
    </row>
    <row r="35" spans="1:16" x14ac:dyDescent="0.3">
      <c r="A35" s="25" t="s">
        <v>3215</v>
      </c>
      <c r="B35" s="26">
        <v>46108</v>
      </c>
      <c r="C35" s="26">
        <v>46113</v>
      </c>
      <c r="D35" s="25">
        <v>3319</v>
      </c>
      <c r="E35" s="25">
        <v>327</v>
      </c>
      <c r="F35" s="25">
        <v>2</v>
      </c>
      <c r="G35" s="48">
        <v>1</v>
      </c>
      <c r="H35" s="48">
        <v>81433</v>
      </c>
      <c r="I35" s="48" t="s">
        <v>17</v>
      </c>
      <c r="J35" s="50">
        <v>27022311</v>
      </c>
      <c r="K35" s="43" t="s">
        <v>558</v>
      </c>
      <c r="L35" s="58" t="s">
        <v>568</v>
      </c>
      <c r="M35" s="61">
        <v>239900</v>
      </c>
      <c r="N35" s="64">
        <v>0.9</v>
      </c>
      <c r="O35" s="36">
        <f t="shared" si="0"/>
        <v>35985</v>
      </c>
      <c r="P35" s="25" t="s">
        <v>0</v>
      </c>
    </row>
    <row r="36" spans="1:16" x14ac:dyDescent="0.3">
      <c r="A36" s="25" t="s">
        <v>3215</v>
      </c>
      <c r="B36" s="26">
        <v>46108</v>
      </c>
      <c r="C36" s="26">
        <v>46113</v>
      </c>
      <c r="D36" s="25">
        <v>3319</v>
      </c>
      <c r="E36" s="25">
        <v>327</v>
      </c>
      <c r="F36" s="25">
        <v>2</v>
      </c>
      <c r="G36" s="48">
        <v>1</v>
      </c>
      <c r="H36" s="48">
        <v>81433</v>
      </c>
      <c r="I36" s="48" t="s">
        <v>17</v>
      </c>
      <c r="J36" s="50">
        <v>27847029</v>
      </c>
      <c r="K36" s="43" t="s">
        <v>508</v>
      </c>
      <c r="L36" s="58" t="s">
        <v>569</v>
      </c>
      <c r="M36" s="61">
        <v>279900</v>
      </c>
      <c r="N36" s="64">
        <v>0.9</v>
      </c>
      <c r="O36" s="36">
        <f t="shared" si="0"/>
        <v>41985</v>
      </c>
      <c r="P36" s="25" t="s">
        <v>0</v>
      </c>
    </row>
    <row r="37" spans="1:16" x14ac:dyDescent="0.3">
      <c r="A37" s="25" t="s">
        <v>3215</v>
      </c>
      <c r="B37" s="26">
        <v>46108</v>
      </c>
      <c r="C37" s="26">
        <v>46113</v>
      </c>
      <c r="D37" s="25">
        <v>3319</v>
      </c>
      <c r="E37" s="25">
        <v>327</v>
      </c>
      <c r="F37" s="25">
        <v>2</v>
      </c>
      <c r="G37" s="48">
        <v>1</v>
      </c>
      <c r="H37" s="48">
        <v>81433</v>
      </c>
      <c r="I37" s="48" t="s">
        <v>17</v>
      </c>
      <c r="J37" s="50">
        <v>27847038</v>
      </c>
      <c r="K37" s="43" t="s">
        <v>508</v>
      </c>
      <c r="L37" s="58" t="s">
        <v>570</v>
      </c>
      <c r="M37" s="61">
        <v>279900</v>
      </c>
      <c r="N37" s="64">
        <v>0.9</v>
      </c>
      <c r="O37" s="36">
        <f t="shared" si="0"/>
        <v>41985</v>
      </c>
      <c r="P37" s="25" t="s">
        <v>0</v>
      </c>
    </row>
    <row r="38" spans="1:16" x14ac:dyDescent="0.3">
      <c r="A38" s="25" t="s">
        <v>3215</v>
      </c>
      <c r="B38" s="26">
        <v>46108</v>
      </c>
      <c r="C38" s="26">
        <v>46113</v>
      </c>
      <c r="D38" s="25">
        <v>3319</v>
      </c>
      <c r="E38" s="25">
        <v>327</v>
      </c>
      <c r="F38" s="25">
        <v>2</v>
      </c>
      <c r="G38" s="48">
        <v>1</v>
      </c>
      <c r="H38" s="48">
        <v>81433</v>
      </c>
      <c r="I38" s="48" t="s">
        <v>17</v>
      </c>
      <c r="J38" s="50">
        <v>27847047</v>
      </c>
      <c r="K38" s="43" t="s">
        <v>508</v>
      </c>
      <c r="L38" s="58" t="s">
        <v>571</v>
      </c>
      <c r="M38" s="61">
        <v>279900</v>
      </c>
      <c r="N38" s="64">
        <v>0.9</v>
      </c>
      <c r="O38" s="36">
        <f t="shared" si="0"/>
        <v>41985</v>
      </c>
      <c r="P38" s="25" t="s">
        <v>0</v>
      </c>
    </row>
    <row r="39" spans="1:16" x14ac:dyDescent="0.3">
      <c r="A39" s="25" t="s">
        <v>3215</v>
      </c>
      <c r="B39" s="26">
        <v>46108</v>
      </c>
      <c r="C39" s="26">
        <v>46113</v>
      </c>
      <c r="D39" s="25">
        <v>3319</v>
      </c>
      <c r="E39" s="25">
        <v>327</v>
      </c>
      <c r="F39" s="25">
        <v>2</v>
      </c>
      <c r="G39" s="48">
        <v>1</v>
      </c>
      <c r="H39" s="48">
        <v>81433</v>
      </c>
      <c r="I39" s="48" t="s">
        <v>17</v>
      </c>
      <c r="J39" s="50">
        <v>27847056</v>
      </c>
      <c r="K39" s="43" t="s">
        <v>508</v>
      </c>
      <c r="L39" s="58" t="s">
        <v>572</v>
      </c>
      <c r="M39" s="61">
        <v>279900</v>
      </c>
      <c r="N39" s="64">
        <v>0.9</v>
      </c>
      <c r="O39" s="36">
        <f t="shared" si="0"/>
        <v>41985</v>
      </c>
      <c r="P39" s="25" t="s">
        <v>0</v>
      </c>
    </row>
    <row r="40" spans="1:16" x14ac:dyDescent="0.3">
      <c r="A40" s="25" t="s">
        <v>3215</v>
      </c>
      <c r="B40" s="26">
        <v>46108</v>
      </c>
      <c r="C40" s="26">
        <v>46113</v>
      </c>
      <c r="D40" s="25">
        <v>3319</v>
      </c>
      <c r="E40" s="25">
        <v>327</v>
      </c>
      <c r="F40" s="25">
        <v>2</v>
      </c>
      <c r="G40" s="48">
        <v>1</v>
      </c>
      <c r="H40" s="48">
        <v>81433</v>
      </c>
      <c r="I40" s="48" t="s">
        <v>17</v>
      </c>
      <c r="J40" s="50">
        <v>27847065</v>
      </c>
      <c r="K40" s="43" t="s">
        <v>508</v>
      </c>
      <c r="L40" s="58" t="s">
        <v>573</v>
      </c>
      <c r="M40" s="61">
        <v>279900</v>
      </c>
      <c r="N40" s="64">
        <v>0.9</v>
      </c>
      <c r="O40" s="36">
        <f t="shared" si="0"/>
        <v>41985</v>
      </c>
      <c r="P40" s="25" t="s">
        <v>0</v>
      </c>
    </row>
    <row r="41" spans="1:16" x14ac:dyDescent="0.3">
      <c r="A41" s="25" t="s">
        <v>3215</v>
      </c>
      <c r="B41" s="26">
        <v>46108</v>
      </c>
      <c r="C41" s="26">
        <v>46113</v>
      </c>
      <c r="D41" s="25">
        <v>3319</v>
      </c>
      <c r="E41" s="25">
        <v>327</v>
      </c>
      <c r="F41" s="25">
        <v>2</v>
      </c>
      <c r="G41" s="48">
        <v>1</v>
      </c>
      <c r="H41" s="48">
        <v>81433</v>
      </c>
      <c r="I41" s="48" t="s">
        <v>17</v>
      </c>
      <c r="J41" s="50">
        <v>27847127</v>
      </c>
      <c r="K41" s="43" t="s">
        <v>508</v>
      </c>
      <c r="L41" s="58" t="s">
        <v>574</v>
      </c>
      <c r="M41" s="61">
        <v>279900</v>
      </c>
      <c r="N41" s="64">
        <v>0.9</v>
      </c>
      <c r="O41" s="36">
        <f t="shared" si="0"/>
        <v>41985</v>
      </c>
      <c r="P41" s="25" t="s">
        <v>0</v>
      </c>
    </row>
    <row r="42" spans="1:16" x14ac:dyDescent="0.3">
      <c r="A42" s="25" t="s">
        <v>3215</v>
      </c>
      <c r="B42" s="26">
        <v>46108</v>
      </c>
      <c r="C42" s="26">
        <v>46113</v>
      </c>
      <c r="D42" s="25">
        <v>3319</v>
      </c>
      <c r="E42" s="25">
        <v>327</v>
      </c>
      <c r="F42" s="25">
        <v>2</v>
      </c>
      <c r="G42" s="48">
        <v>1</v>
      </c>
      <c r="H42" s="48">
        <v>81433</v>
      </c>
      <c r="I42" s="48" t="s">
        <v>17</v>
      </c>
      <c r="J42" s="50">
        <v>27847136</v>
      </c>
      <c r="K42" s="43" t="s">
        <v>508</v>
      </c>
      <c r="L42" s="58" t="s">
        <v>575</v>
      </c>
      <c r="M42" s="61">
        <v>279900</v>
      </c>
      <c r="N42" s="64">
        <v>0.9</v>
      </c>
      <c r="O42" s="36">
        <f t="shared" si="0"/>
        <v>41985</v>
      </c>
      <c r="P42" s="25" t="s">
        <v>0</v>
      </c>
    </row>
    <row r="43" spans="1:16" x14ac:dyDescent="0.3">
      <c r="A43" s="25" t="s">
        <v>3215</v>
      </c>
      <c r="B43" s="26">
        <v>46108</v>
      </c>
      <c r="C43" s="26">
        <v>46113</v>
      </c>
      <c r="D43" s="25">
        <v>3319</v>
      </c>
      <c r="E43" s="25">
        <v>327</v>
      </c>
      <c r="F43" s="25">
        <v>2</v>
      </c>
      <c r="G43" s="48">
        <v>1</v>
      </c>
      <c r="H43" s="48">
        <v>81433</v>
      </c>
      <c r="I43" s="48" t="s">
        <v>17</v>
      </c>
      <c r="J43" s="50">
        <v>27847145</v>
      </c>
      <c r="K43" s="43" t="s">
        <v>508</v>
      </c>
      <c r="L43" s="58" t="s">
        <v>576</v>
      </c>
      <c r="M43" s="61">
        <v>279900</v>
      </c>
      <c r="N43" s="64">
        <v>0.9</v>
      </c>
      <c r="O43" s="36">
        <f t="shared" si="0"/>
        <v>41985</v>
      </c>
      <c r="P43" s="25" t="s">
        <v>0</v>
      </c>
    </row>
    <row r="44" spans="1:16" x14ac:dyDescent="0.3">
      <c r="A44" s="25" t="s">
        <v>3215</v>
      </c>
      <c r="B44" s="26">
        <v>46108</v>
      </c>
      <c r="C44" s="26">
        <v>46113</v>
      </c>
      <c r="D44" s="25">
        <v>3319</v>
      </c>
      <c r="E44" s="25">
        <v>327</v>
      </c>
      <c r="F44" s="25">
        <v>2</v>
      </c>
      <c r="G44" s="48">
        <v>1</v>
      </c>
      <c r="H44" s="48">
        <v>81433</v>
      </c>
      <c r="I44" s="48" t="s">
        <v>17</v>
      </c>
      <c r="J44" s="50">
        <v>27847154</v>
      </c>
      <c r="K44" s="43" t="s">
        <v>508</v>
      </c>
      <c r="L44" s="58" t="s">
        <v>577</v>
      </c>
      <c r="M44" s="61">
        <v>279900</v>
      </c>
      <c r="N44" s="64">
        <v>0.9</v>
      </c>
      <c r="O44" s="36">
        <f t="shared" si="0"/>
        <v>41985</v>
      </c>
      <c r="P44" s="25" t="s">
        <v>0</v>
      </c>
    </row>
    <row r="45" spans="1:16" x14ac:dyDescent="0.3">
      <c r="A45" s="25" t="s">
        <v>3215</v>
      </c>
      <c r="B45" s="26">
        <v>46108</v>
      </c>
      <c r="C45" s="26">
        <v>46113</v>
      </c>
      <c r="D45" s="25">
        <v>3319</v>
      </c>
      <c r="E45" s="25">
        <v>327</v>
      </c>
      <c r="F45" s="25">
        <v>2</v>
      </c>
      <c r="G45" s="48">
        <v>1</v>
      </c>
      <c r="H45" s="48">
        <v>81433</v>
      </c>
      <c r="I45" s="48" t="s">
        <v>17</v>
      </c>
      <c r="J45" s="50">
        <v>27847163</v>
      </c>
      <c r="K45" s="43" t="s">
        <v>508</v>
      </c>
      <c r="L45" s="58" t="s">
        <v>578</v>
      </c>
      <c r="M45" s="61">
        <v>279900</v>
      </c>
      <c r="N45" s="64">
        <v>0.9</v>
      </c>
      <c r="O45" s="36">
        <f t="shared" si="0"/>
        <v>41985</v>
      </c>
      <c r="P45" s="25" t="s">
        <v>0</v>
      </c>
    </row>
    <row r="46" spans="1:16" x14ac:dyDescent="0.3">
      <c r="A46" s="25" t="s">
        <v>3215</v>
      </c>
      <c r="B46" s="26">
        <v>46108</v>
      </c>
      <c r="C46" s="26">
        <v>46113</v>
      </c>
      <c r="D46" s="25">
        <v>3319</v>
      </c>
      <c r="E46" s="25">
        <v>327</v>
      </c>
      <c r="F46" s="25">
        <v>2</v>
      </c>
      <c r="G46" s="48">
        <v>1</v>
      </c>
      <c r="H46" s="48">
        <v>81433</v>
      </c>
      <c r="I46" s="48" t="s">
        <v>17</v>
      </c>
      <c r="J46" s="50">
        <v>27881072</v>
      </c>
      <c r="K46" s="43" t="s">
        <v>579</v>
      </c>
      <c r="L46" s="58" t="s">
        <v>580</v>
      </c>
      <c r="M46" s="61">
        <v>199900</v>
      </c>
      <c r="N46" s="64">
        <v>0.9</v>
      </c>
      <c r="O46" s="36">
        <f t="shared" si="0"/>
        <v>29985</v>
      </c>
      <c r="P46" s="25" t="s">
        <v>0</v>
      </c>
    </row>
    <row r="47" spans="1:16" x14ac:dyDescent="0.3">
      <c r="A47" s="25" t="s">
        <v>3215</v>
      </c>
      <c r="B47" s="26">
        <v>46108</v>
      </c>
      <c r="C47" s="26">
        <v>46113</v>
      </c>
      <c r="D47" s="25">
        <v>3319</v>
      </c>
      <c r="E47" s="25">
        <v>327</v>
      </c>
      <c r="F47" s="25">
        <v>2</v>
      </c>
      <c r="G47" s="48">
        <v>1</v>
      </c>
      <c r="H47" s="48">
        <v>81433</v>
      </c>
      <c r="I47" s="48" t="s">
        <v>17</v>
      </c>
      <c r="J47" s="50">
        <v>27881081</v>
      </c>
      <c r="K47" s="43" t="s">
        <v>579</v>
      </c>
      <c r="L47" s="58" t="s">
        <v>581</v>
      </c>
      <c r="M47" s="61">
        <v>199900</v>
      </c>
      <c r="N47" s="64">
        <v>0.9</v>
      </c>
      <c r="O47" s="36">
        <f t="shared" si="0"/>
        <v>29985</v>
      </c>
      <c r="P47" s="25" t="s">
        <v>0</v>
      </c>
    </row>
    <row r="48" spans="1:16" x14ac:dyDescent="0.3">
      <c r="A48" s="25" t="s">
        <v>3215</v>
      </c>
      <c r="B48" s="26">
        <v>46108</v>
      </c>
      <c r="C48" s="26">
        <v>46113</v>
      </c>
      <c r="D48" s="25">
        <v>3319</v>
      </c>
      <c r="E48" s="25">
        <v>327</v>
      </c>
      <c r="F48" s="25">
        <v>2</v>
      </c>
      <c r="G48" s="48">
        <v>1</v>
      </c>
      <c r="H48" s="48">
        <v>81433</v>
      </c>
      <c r="I48" s="48" t="s">
        <v>17</v>
      </c>
      <c r="J48" s="50">
        <v>27881090</v>
      </c>
      <c r="K48" s="43" t="s">
        <v>579</v>
      </c>
      <c r="L48" s="58" t="s">
        <v>582</v>
      </c>
      <c r="M48" s="61">
        <v>199900</v>
      </c>
      <c r="N48" s="64">
        <v>0.9</v>
      </c>
      <c r="O48" s="36">
        <f t="shared" si="0"/>
        <v>29985</v>
      </c>
      <c r="P48" s="25" t="s">
        <v>0</v>
      </c>
    </row>
    <row r="49" spans="1:16" x14ac:dyDescent="0.3">
      <c r="A49" s="25" t="s">
        <v>3215</v>
      </c>
      <c r="B49" s="26">
        <v>46108</v>
      </c>
      <c r="C49" s="26">
        <v>46113</v>
      </c>
      <c r="D49" s="25">
        <v>3319</v>
      </c>
      <c r="E49" s="25">
        <v>327</v>
      </c>
      <c r="F49" s="25">
        <v>2</v>
      </c>
      <c r="G49" s="48">
        <v>1</v>
      </c>
      <c r="H49" s="48">
        <v>81433</v>
      </c>
      <c r="I49" s="48" t="s">
        <v>17</v>
      </c>
      <c r="J49" s="50">
        <v>27881107</v>
      </c>
      <c r="K49" s="43" t="s">
        <v>579</v>
      </c>
      <c r="L49" s="58" t="s">
        <v>583</v>
      </c>
      <c r="M49" s="61">
        <v>199900</v>
      </c>
      <c r="N49" s="64">
        <v>0.9</v>
      </c>
      <c r="O49" s="36">
        <f t="shared" si="0"/>
        <v>29985</v>
      </c>
      <c r="P49" s="25" t="s">
        <v>0</v>
      </c>
    </row>
    <row r="50" spans="1:16" x14ac:dyDescent="0.3">
      <c r="A50" s="25" t="s">
        <v>3215</v>
      </c>
      <c r="B50" s="26">
        <v>46108</v>
      </c>
      <c r="C50" s="26">
        <v>46113</v>
      </c>
      <c r="D50" s="25">
        <v>3319</v>
      </c>
      <c r="E50" s="25">
        <v>327</v>
      </c>
      <c r="F50" s="25">
        <v>2</v>
      </c>
      <c r="G50" s="48">
        <v>1</v>
      </c>
      <c r="H50" s="48">
        <v>81433</v>
      </c>
      <c r="I50" s="48" t="s">
        <v>17</v>
      </c>
      <c r="J50" s="50">
        <v>27881116</v>
      </c>
      <c r="K50" s="43" t="s">
        <v>579</v>
      </c>
      <c r="L50" s="58" t="s">
        <v>584</v>
      </c>
      <c r="M50" s="61">
        <v>199900</v>
      </c>
      <c r="N50" s="64">
        <v>0.9</v>
      </c>
      <c r="O50" s="36">
        <f t="shared" si="0"/>
        <v>29985</v>
      </c>
      <c r="P50" s="25" t="s">
        <v>0</v>
      </c>
    </row>
    <row r="51" spans="1:16" x14ac:dyDescent="0.3">
      <c r="A51" s="25" t="s">
        <v>3215</v>
      </c>
      <c r="B51" s="26">
        <v>46108</v>
      </c>
      <c r="C51" s="26">
        <v>46113</v>
      </c>
      <c r="D51" s="25">
        <v>3319</v>
      </c>
      <c r="E51" s="25">
        <v>327</v>
      </c>
      <c r="F51" s="25">
        <v>2</v>
      </c>
      <c r="G51" s="48">
        <v>1</v>
      </c>
      <c r="H51" s="48">
        <v>81433</v>
      </c>
      <c r="I51" s="48" t="s">
        <v>17</v>
      </c>
      <c r="J51" s="50">
        <v>27881554</v>
      </c>
      <c r="K51" s="43" t="s">
        <v>579</v>
      </c>
      <c r="L51" s="58" t="s">
        <v>585</v>
      </c>
      <c r="M51" s="61">
        <v>199900</v>
      </c>
      <c r="N51" s="64">
        <v>0.9</v>
      </c>
      <c r="O51" s="36">
        <f t="shared" si="0"/>
        <v>29985</v>
      </c>
      <c r="P51" s="25" t="s">
        <v>0</v>
      </c>
    </row>
    <row r="52" spans="1:16" x14ac:dyDescent="0.3">
      <c r="A52" s="25" t="s">
        <v>3215</v>
      </c>
      <c r="B52" s="26">
        <v>46108</v>
      </c>
      <c r="C52" s="26">
        <v>46113</v>
      </c>
      <c r="D52" s="25">
        <v>3319</v>
      </c>
      <c r="E52" s="25">
        <v>327</v>
      </c>
      <c r="F52" s="25">
        <v>2</v>
      </c>
      <c r="G52" s="48">
        <v>1</v>
      </c>
      <c r="H52" s="48">
        <v>81433</v>
      </c>
      <c r="I52" s="48" t="s">
        <v>17</v>
      </c>
      <c r="J52" s="50">
        <v>27881563</v>
      </c>
      <c r="K52" s="43" t="s">
        <v>579</v>
      </c>
      <c r="L52" s="58" t="s">
        <v>586</v>
      </c>
      <c r="M52" s="61">
        <v>199900</v>
      </c>
      <c r="N52" s="64">
        <v>0.9</v>
      </c>
      <c r="O52" s="36">
        <f t="shared" si="0"/>
        <v>29985</v>
      </c>
      <c r="P52" s="25" t="s">
        <v>0</v>
      </c>
    </row>
    <row r="53" spans="1:16" x14ac:dyDescent="0.3">
      <c r="A53" s="25" t="s">
        <v>3215</v>
      </c>
      <c r="B53" s="26">
        <v>46108</v>
      </c>
      <c r="C53" s="26">
        <v>46113</v>
      </c>
      <c r="D53" s="25">
        <v>3319</v>
      </c>
      <c r="E53" s="25">
        <v>327</v>
      </c>
      <c r="F53" s="25">
        <v>2</v>
      </c>
      <c r="G53" s="48">
        <v>1</v>
      </c>
      <c r="H53" s="48">
        <v>81433</v>
      </c>
      <c r="I53" s="48" t="s">
        <v>17</v>
      </c>
      <c r="J53" s="50">
        <v>27881572</v>
      </c>
      <c r="K53" s="43" t="s">
        <v>579</v>
      </c>
      <c r="L53" s="58" t="s">
        <v>587</v>
      </c>
      <c r="M53" s="61">
        <v>199900</v>
      </c>
      <c r="N53" s="64">
        <v>0.9</v>
      </c>
      <c r="O53" s="36">
        <f t="shared" si="0"/>
        <v>29985</v>
      </c>
      <c r="P53" s="25" t="s">
        <v>0</v>
      </c>
    </row>
    <row r="54" spans="1:16" x14ac:dyDescent="0.3">
      <c r="A54" s="25" t="s">
        <v>3215</v>
      </c>
      <c r="B54" s="26">
        <v>46108</v>
      </c>
      <c r="C54" s="26">
        <v>46113</v>
      </c>
      <c r="D54" s="25">
        <v>3319</v>
      </c>
      <c r="E54" s="25">
        <v>327</v>
      </c>
      <c r="F54" s="25">
        <v>2</v>
      </c>
      <c r="G54" s="48">
        <v>1</v>
      </c>
      <c r="H54" s="48">
        <v>81433</v>
      </c>
      <c r="I54" s="48" t="s">
        <v>17</v>
      </c>
      <c r="J54" s="50">
        <v>27881581</v>
      </c>
      <c r="K54" s="43" t="s">
        <v>579</v>
      </c>
      <c r="L54" s="58" t="s">
        <v>588</v>
      </c>
      <c r="M54" s="61">
        <v>199900</v>
      </c>
      <c r="N54" s="64">
        <v>0.9</v>
      </c>
      <c r="O54" s="36">
        <f t="shared" si="0"/>
        <v>29985</v>
      </c>
      <c r="P54" s="25" t="s">
        <v>0</v>
      </c>
    </row>
    <row r="55" spans="1:16" x14ac:dyDescent="0.3">
      <c r="A55" s="25" t="s">
        <v>3215</v>
      </c>
      <c r="B55" s="26">
        <v>46108</v>
      </c>
      <c r="C55" s="26">
        <v>46113</v>
      </c>
      <c r="D55" s="25">
        <v>3319</v>
      </c>
      <c r="E55" s="25">
        <v>327</v>
      </c>
      <c r="F55" s="25">
        <v>2</v>
      </c>
      <c r="G55" s="48">
        <v>1</v>
      </c>
      <c r="H55" s="48">
        <v>81433</v>
      </c>
      <c r="I55" s="28" t="s">
        <v>17</v>
      </c>
      <c r="J55" s="50">
        <v>27881590</v>
      </c>
      <c r="K55" s="43" t="s">
        <v>579</v>
      </c>
      <c r="L55" s="58" t="s">
        <v>589</v>
      </c>
      <c r="M55" s="61">
        <v>199900</v>
      </c>
      <c r="N55" s="64">
        <v>0.9</v>
      </c>
      <c r="O55" s="36">
        <f t="shared" si="0"/>
        <v>29985</v>
      </c>
      <c r="P55" s="25" t="s">
        <v>0</v>
      </c>
    </row>
    <row r="56" spans="1:16" x14ac:dyDescent="0.3">
      <c r="A56" s="25" t="s">
        <v>3215</v>
      </c>
      <c r="B56" s="26">
        <v>46108</v>
      </c>
      <c r="C56" s="26">
        <v>46113</v>
      </c>
      <c r="D56" s="25">
        <v>3319</v>
      </c>
      <c r="E56" s="25">
        <v>327</v>
      </c>
      <c r="F56" s="25">
        <v>2</v>
      </c>
      <c r="G56" s="48">
        <v>1</v>
      </c>
      <c r="H56" s="48">
        <v>81433</v>
      </c>
      <c r="I56" s="28" t="s">
        <v>17</v>
      </c>
      <c r="J56" s="50">
        <v>28701406</v>
      </c>
      <c r="K56" s="43" t="s">
        <v>590</v>
      </c>
      <c r="L56" s="58" t="s">
        <v>591</v>
      </c>
      <c r="M56" s="61">
        <v>299900</v>
      </c>
      <c r="N56" s="64">
        <v>0.9</v>
      </c>
      <c r="O56" s="36">
        <f t="shared" si="0"/>
        <v>44985</v>
      </c>
      <c r="P56" s="25" t="s">
        <v>0</v>
      </c>
    </row>
    <row r="57" spans="1:16" x14ac:dyDescent="0.3">
      <c r="A57" s="25" t="s">
        <v>3215</v>
      </c>
      <c r="B57" s="26">
        <v>46108</v>
      </c>
      <c r="C57" s="26">
        <v>46113</v>
      </c>
      <c r="D57" s="25">
        <v>3319</v>
      </c>
      <c r="E57" s="25">
        <v>327</v>
      </c>
      <c r="F57" s="25">
        <v>2</v>
      </c>
      <c r="G57" s="48">
        <v>1</v>
      </c>
      <c r="H57" s="48">
        <v>81433</v>
      </c>
      <c r="I57" s="28" t="s">
        <v>17</v>
      </c>
      <c r="J57" s="50">
        <v>28701415</v>
      </c>
      <c r="K57" s="43" t="s">
        <v>590</v>
      </c>
      <c r="L57" s="58" t="s">
        <v>592</v>
      </c>
      <c r="M57" s="61">
        <v>299900</v>
      </c>
      <c r="N57" s="64">
        <v>0.9</v>
      </c>
      <c r="O57" s="36">
        <f t="shared" si="0"/>
        <v>44985</v>
      </c>
      <c r="P57" s="25" t="s">
        <v>0</v>
      </c>
    </row>
    <row r="58" spans="1:16" x14ac:dyDescent="0.3">
      <c r="A58" s="25" t="s">
        <v>3215</v>
      </c>
      <c r="B58" s="26">
        <v>46108</v>
      </c>
      <c r="C58" s="26">
        <v>46113</v>
      </c>
      <c r="D58" s="25">
        <v>3319</v>
      </c>
      <c r="E58" s="25">
        <v>327</v>
      </c>
      <c r="F58" s="25">
        <v>2</v>
      </c>
      <c r="G58" s="48">
        <v>1</v>
      </c>
      <c r="H58" s="48">
        <v>81433</v>
      </c>
      <c r="I58" s="28" t="s">
        <v>17</v>
      </c>
      <c r="J58" s="50">
        <v>28701424</v>
      </c>
      <c r="K58" s="43" t="s">
        <v>590</v>
      </c>
      <c r="L58" s="58" t="s">
        <v>593</v>
      </c>
      <c r="M58" s="61">
        <v>299900</v>
      </c>
      <c r="N58" s="64">
        <v>0.9</v>
      </c>
      <c r="O58" s="36">
        <f t="shared" si="0"/>
        <v>44985</v>
      </c>
      <c r="P58" s="25" t="s">
        <v>0</v>
      </c>
    </row>
    <row r="59" spans="1:16" x14ac:dyDescent="0.3">
      <c r="A59" s="25" t="s">
        <v>3215</v>
      </c>
      <c r="B59" s="26">
        <v>46108</v>
      </c>
      <c r="C59" s="26">
        <v>46113</v>
      </c>
      <c r="D59" s="25">
        <v>3319</v>
      </c>
      <c r="E59" s="25">
        <v>327</v>
      </c>
      <c r="F59" s="25">
        <v>2</v>
      </c>
      <c r="G59" s="48">
        <v>1</v>
      </c>
      <c r="H59" s="48">
        <v>81433</v>
      </c>
      <c r="I59" s="28" t="s">
        <v>17</v>
      </c>
      <c r="J59" s="50">
        <v>28701433</v>
      </c>
      <c r="K59" s="43" t="s">
        <v>590</v>
      </c>
      <c r="L59" s="58" t="s">
        <v>594</v>
      </c>
      <c r="M59" s="61">
        <v>299900</v>
      </c>
      <c r="N59" s="64">
        <v>0.9</v>
      </c>
      <c r="O59" s="36">
        <f t="shared" si="0"/>
        <v>44985</v>
      </c>
      <c r="P59" s="25" t="s">
        <v>0</v>
      </c>
    </row>
    <row r="60" spans="1:16" x14ac:dyDescent="0.3">
      <c r="A60" s="25" t="s">
        <v>3215</v>
      </c>
      <c r="B60" s="26">
        <v>46108</v>
      </c>
      <c r="C60" s="26">
        <v>46113</v>
      </c>
      <c r="D60" s="25">
        <v>3319</v>
      </c>
      <c r="E60" s="25">
        <v>327</v>
      </c>
      <c r="F60" s="25">
        <v>2</v>
      </c>
      <c r="G60" s="28">
        <v>1</v>
      </c>
      <c r="H60" s="28">
        <v>81433</v>
      </c>
      <c r="I60" s="28" t="s">
        <v>17</v>
      </c>
      <c r="J60" s="51">
        <v>28701442</v>
      </c>
      <c r="K60" t="s">
        <v>590</v>
      </c>
      <c r="L60" s="6" t="s">
        <v>595</v>
      </c>
      <c r="M60" s="62">
        <v>299900</v>
      </c>
      <c r="N60" s="64">
        <v>0.9</v>
      </c>
      <c r="O60" s="36">
        <f t="shared" si="0"/>
        <v>44985</v>
      </c>
      <c r="P60" s="25" t="s">
        <v>0</v>
      </c>
    </row>
    <row r="61" spans="1:16" x14ac:dyDescent="0.3">
      <c r="A61" s="25" t="s">
        <v>3215</v>
      </c>
      <c r="B61" s="26">
        <v>46108</v>
      </c>
      <c r="C61" s="26">
        <v>46113</v>
      </c>
      <c r="D61" s="25">
        <v>3319</v>
      </c>
      <c r="E61" s="25">
        <v>327</v>
      </c>
      <c r="F61" s="25">
        <v>2</v>
      </c>
      <c r="G61" s="28">
        <v>1</v>
      </c>
      <c r="H61" s="28">
        <v>81433</v>
      </c>
      <c r="I61" s="28" t="s">
        <v>17</v>
      </c>
      <c r="J61" s="51">
        <v>28701451</v>
      </c>
      <c r="K61" t="s">
        <v>596</v>
      </c>
      <c r="L61" s="6" t="s">
        <v>597</v>
      </c>
      <c r="M61" s="62">
        <v>199900</v>
      </c>
      <c r="N61" s="64">
        <v>0.9</v>
      </c>
      <c r="O61" s="36">
        <f t="shared" si="0"/>
        <v>29985</v>
      </c>
      <c r="P61" s="25" t="s">
        <v>0</v>
      </c>
    </row>
    <row r="62" spans="1:16" x14ac:dyDescent="0.3">
      <c r="A62" s="25" t="s">
        <v>3215</v>
      </c>
      <c r="B62" s="26">
        <v>46108</v>
      </c>
      <c r="C62" s="26">
        <v>46113</v>
      </c>
      <c r="D62" s="25">
        <v>3319</v>
      </c>
      <c r="E62" s="25">
        <v>327</v>
      </c>
      <c r="F62" s="25">
        <v>2</v>
      </c>
      <c r="G62" s="28">
        <v>1</v>
      </c>
      <c r="H62" s="28">
        <v>81433</v>
      </c>
      <c r="I62" s="28" t="s">
        <v>17</v>
      </c>
      <c r="J62" s="51">
        <v>28701460</v>
      </c>
      <c r="K62" t="s">
        <v>596</v>
      </c>
      <c r="L62" s="6" t="s">
        <v>598</v>
      </c>
      <c r="M62" s="62">
        <v>199900</v>
      </c>
      <c r="N62" s="64">
        <v>0.9</v>
      </c>
      <c r="O62" s="36">
        <f t="shared" si="0"/>
        <v>29985</v>
      </c>
      <c r="P62" s="25" t="s">
        <v>0</v>
      </c>
    </row>
    <row r="63" spans="1:16" x14ac:dyDescent="0.3">
      <c r="A63" s="25" t="s">
        <v>3215</v>
      </c>
      <c r="B63" s="26">
        <v>46108</v>
      </c>
      <c r="C63" s="26">
        <v>46113</v>
      </c>
      <c r="D63" s="25">
        <v>3319</v>
      </c>
      <c r="E63" s="25">
        <v>327</v>
      </c>
      <c r="F63" s="25">
        <v>2</v>
      </c>
      <c r="G63" s="28">
        <v>1</v>
      </c>
      <c r="H63" s="28">
        <v>81433</v>
      </c>
      <c r="I63" s="28" t="s">
        <v>17</v>
      </c>
      <c r="J63" s="51">
        <v>28701479</v>
      </c>
      <c r="K63" t="s">
        <v>596</v>
      </c>
      <c r="L63" s="6" t="s">
        <v>599</v>
      </c>
      <c r="M63" s="62">
        <v>199900</v>
      </c>
      <c r="N63" s="64">
        <v>0.9</v>
      </c>
      <c r="O63" s="36">
        <f t="shared" si="0"/>
        <v>29985</v>
      </c>
      <c r="P63" s="25" t="s">
        <v>0</v>
      </c>
    </row>
    <row r="64" spans="1:16" x14ac:dyDescent="0.3">
      <c r="A64" s="25" t="s">
        <v>3215</v>
      </c>
      <c r="B64" s="26">
        <v>46108</v>
      </c>
      <c r="C64" s="26">
        <v>46113</v>
      </c>
      <c r="D64" s="25">
        <v>3319</v>
      </c>
      <c r="E64" s="25">
        <v>327</v>
      </c>
      <c r="F64" s="25">
        <v>2</v>
      </c>
      <c r="G64" s="28">
        <v>1</v>
      </c>
      <c r="H64" s="28">
        <v>81433</v>
      </c>
      <c r="I64" s="28" t="s">
        <v>17</v>
      </c>
      <c r="J64" s="51">
        <v>28701488</v>
      </c>
      <c r="K64" t="s">
        <v>596</v>
      </c>
      <c r="L64" s="6" t="s">
        <v>600</v>
      </c>
      <c r="M64" s="62">
        <v>199900</v>
      </c>
      <c r="N64" s="64">
        <v>0.9</v>
      </c>
      <c r="O64" s="36">
        <f t="shared" si="0"/>
        <v>29985</v>
      </c>
      <c r="P64" s="25" t="s">
        <v>0</v>
      </c>
    </row>
    <row r="65" spans="1:16" x14ac:dyDescent="0.3">
      <c r="A65" s="25" t="s">
        <v>3215</v>
      </c>
      <c r="B65" s="26">
        <v>46108</v>
      </c>
      <c r="C65" s="26">
        <v>46113</v>
      </c>
      <c r="D65" s="25">
        <v>3319</v>
      </c>
      <c r="E65" s="25">
        <v>327</v>
      </c>
      <c r="F65" s="25">
        <v>2</v>
      </c>
      <c r="G65" s="28">
        <v>1</v>
      </c>
      <c r="H65" s="28">
        <v>81433</v>
      </c>
      <c r="I65" s="28" t="s">
        <v>17</v>
      </c>
      <c r="J65" s="51">
        <v>28701497</v>
      </c>
      <c r="K65" t="s">
        <v>596</v>
      </c>
      <c r="L65" s="6" t="s">
        <v>601</v>
      </c>
      <c r="M65" s="62">
        <v>199900</v>
      </c>
      <c r="N65" s="64">
        <v>0.9</v>
      </c>
      <c r="O65" s="36">
        <f t="shared" si="0"/>
        <v>29985</v>
      </c>
      <c r="P65" s="25" t="s">
        <v>0</v>
      </c>
    </row>
    <row r="66" spans="1:16" x14ac:dyDescent="0.3">
      <c r="A66" s="25" t="s">
        <v>3215</v>
      </c>
      <c r="B66" s="26">
        <v>46108</v>
      </c>
      <c r="C66" s="26">
        <v>46113</v>
      </c>
      <c r="D66" s="25">
        <v>3319</v>
      </c>
      <c r="E66" s="25">
        <v>327</v>
      </c>
      <c r="F66" s="25">
        <v>2</v>
      </c>
      <c r="G66" s="28">
        <v>1</v>
      </c>
      <c r="H66" s="28">
        <v>81433</v>
      </c>
      <c r="I66" s="28" t="s">
        <v>17</v>
      </c>
      <c r="J66" s="51">
        <v>28701504</v>
      </c>
      <c r="K66" t="s">
        <v>596</v>
      </c>
      <c r="L66" s="6" t="s">
        <v>602</v>
      </c>
      <c r="M66" s="62">
        <v>199900</v>
      </c>
      <c r="N66" s="64">
        <v>0.9</v>
      </c>
      <c r="O66" s="36">
        <f t="shared" si="0"/>
        <v>29985</v>
      </c>
      <c r="P66" s="25" t="s">
        <v>0</v>
      </c>
    </row>
    <row r="67" spans="1:16" x14ac:dyDescent="0.3">
      <c r="A67" s="25" t="s">
        <v>3215</v>
      </c>
      <c r="B67" s="26">
        <v>46108</v>
      </c>
      <c r="C67" s="26">
        <v>46113</v>
      </c>
      <c r="D67" s="25">
        <v>3319</v>
      </c>
      <c r="E67" s="25">
        <v>327</v>
      </c>
      <c r="F67" s="25">
        <v>2</v>
      </c>
      <c r="G67" s="28">
        <v>1</v>
      </c>
      <c r="H67" s="28">
        <v>81433</v>
      </c>
      <c r="I67" s="28" t="s">
        <v>17</v>
      </c>
      <c r="J67" s="51">
        <v>28701513</v>
      </c>
      <c r="K67" t="s">
        <v>596</v>
      </c>
      <c r="L67" s="6" t="s">
        <v>603</v>
      </c>
      <c r="M67" s="62">
        <v>199900</v>
      </c>
      <c r="N67" s="64">
        <v>0.9</v>
      </c>
      <c r="O67" s="36">
        <f t="shared" ref="O67:O130" si="1">M67*15%</f>
        <v>29985</v>
      </c>
      <c r="P67" s="25" t="s">
        <v>0</v>
      </c>
    </row>
    <row r="68" spans="1:16" x14ac:dyDescent="0.3">
      <c r="A68" s="25" t="s">
        <v>3215</v>
      </c>
      <c r="B68" s="26">
        <v>46108</v>
      </c>
      <c r="C68" s="26">
        <v>46113</v>
      </c>
      <c r="D68" s="25">
        <v>3319</v>
      </c>
      <c r="E68" s="25">
        <v>327</v>
      </c>
      <c r="F68" s="25">
        <v>2</v>
      </c>
      <c r="G68" s="28">
        <v>1</v>
      </c>
      <c r="H68" s="28">
        <v>81433</v>
      </c>
      <c r="I68" s="28" t="s">
        <v>17</v>
      </c>
      <c r="J68" s="51">
        <v>28701522</v>
      </c>
      <c r="K68" t="s">
        <v>596</v>
      </c>
      <c r="L68" s="6" t="s">
        <v>604</v>
      </c>
      <c r="M68" s="62">
        <v>199900</v>
      </c>
      <c r="N68" s="64">
        <v>0.9</v>
      </c>
      <c r="O68" s="36">
        <f t="shared" si="1"/>
        <v>29985</v>
      </c>
      <c r="P68" s="25" t="s">
        <v>0</v>
      </c>
    </row>
    <row r="69" spans="1:16" x14ac:dyDescent="0.3">
      <c r="A69" s="25" t="s">
        <v>3215</v>
      </c>
      <c r="B69" s="26">
        <v>46108</v>
      </c>
      <c r="C69" s="26">
        <v>46113</v>
      </c>
      <c r="D69" s="25">
        <v>3319</v>
      </c>
      <c r="E69" s="25">
        <v>327</v>
      </c>
      <c r="F69" s="25">
        <v>2</v>
      </c>
      <c r="G69" s="28">
        <v>1</v>
      </c>
      <c r="H69" s="28">
        <v>81433</v>
      </c>
      <c r="I69" s="28" t="s">
        <v>17</v>
      </c>
      <c r="J69" s="51">
        <v>28701531</v>
      </c>
      <c r="K69" t="s">
        <v>596</v>
      </c>
      <c r="L69" s="6" t="s">
        <v>605</v>
      </c>
      <c r="M69" s="62">
        <v>199900</v>
      </c>
      <c r="N69" s="64">
        <v>0.9</v>
      </c>
      <c r="O69" s="36">
        <f t="shared" si="1"/>
        <v>29985</v>
      </c>
      <c r="P69" s="25" t="s">
        <v>0</v>
      </c>
    </row>
    <row r="70" spans="1:16" x14ac:dyDescent="0.3">
      <c r="A70" s="25" t="s">
        <v>3215</v>
      </c>
      <c r="B70" s="26">
        <v>46108</v>
      </c>
      <c r="C70" s="26">
        <v>46113</v>
      </c>
      <c r="D70" s="25">
        <v>3319</v>
      </c>
      <c r="E70" s="25">
        <v>327</v>
      </c>
      <c r="F70" s="25">
        <v>2</v>
      </c>
      <c r="G70" s="28">
        <v>1</v>
      </c>
      <c r="H70" s="28">
        <v>81433</v>
      </c>
      <c r="I70" s="28" t="s">
        <v>17</v>
      </c>
      <c r="J70" s="51">
        <v>28701540</v>
      </c>
      <c r="K70" t="s">
        <v>596</v>
      </c>
      <c r="L70" s="6" t="s">
        <v>606</v>
      </c>
      <c r="M70" s="62">
        <v>199900</v>
      </c>
      <c r="N70" s="64">
        <v>0.9</v>
      </c>
      <c r="O70" s="36">
        <f t="shared" si="1"/>
        <v>29985</v>
      </c>
      <c r="P70" s="25" t="s">
        <v>0</v>
      </c>
    </row>
    <row r="71" spans="1:16" x14ac:dyDescent="0.3">
      <c r="A71" s="25" t="s">
        <v>3215</v>
      </c>
      <c r="B71" s="26">
        <v>46108</v>
      </c>
      <c r="C71" s="26">
        <v>46113</v>
      </c>
      <c r="D71" s="25">
        <v>3319</v>
      </c>
      <c r="E71" s="25">
        <v>327</v>
      </c>
      <c r="F71" s="25">
        <v>2</v>
      </c>
      <c r="G71" s="28">
        <v>1</v>
      </c>
      <c r="H71" s="28">
        <v>81433</v>
      </c>
      <c r="I71" s="28" t="s">
        <v>17</v>
      </c>
      <c r="J71" s="51">
        <v>26329260</v>
      </c>
      <c r="K71" t="s">
        <v>607</v>
      </c>
      <c r="L71" s="6" t="s">
        <v>608</v>
      </c>
      <c r="M71" s="62">
        <v>199900</v>
      </c>
      <c r="N71" s="64">
        <v>0.9</v>
      </c>
      <c r="O71" s="36">
        <f t="shared" si="1"/>
        <v>29985</v>
      </c>
      <c r="P71" s="25" t="s">
        <v>0</v>
      </c>
    </row>
    <row r="72" spans="1:16" x14ac:dyDescent="0.3">
      <c r="A72" s="25" t="s">
        <v>3215</v>
      </c>
      <c r="B72" s="26">
        <v>46108</v>
      </c>
      <c r="C72" s="26">
        <v>46113</v>
      </c>
      <c r="D72" s="25">
        <v>3319</v>
      </c>
      <c r="E72" s="25">
        <v>327</v>
      </c>
      <c r="F72" s="25">
        <v>2</v>
      </c>
      <c r="G72" s="28">
        <v>1</v>
      </c>
      <c r="H72" s="28">
        <v>81433</v>
      </c>
      <c r="I72" s="28" t="s">
        <v>17</v>
      </c>
      <c r="J72" s="51">
        <v>26329279</v>
      </c>
      <c r="K72" t="s">
        <v>607</v>
      </c>
      <c r="L72" s="6" t="s">
        <v>609</v>
      </c>
      <c r="M72" s="62">
        <v>199900</v>
      </c>
      <c r="N72" s="64">
        <v>0.9</v>
      </c>
      <c r="O72" s="36">
        <f t="shared" si="1"/>
        <v>29985</v>
      </c>
      <c r="P72" s="25" t="s">
        <v>0</v>
      </c>
    </row>
    <row r="73" spans="1:16" x14ac:dyDescent="0.3">
      <c r="A73" s="25" t="s">
        <v>3215</v>
      </c>
      <c r="B73" s="26">
        <v>46108</v>
      </c>
      <c r="C73" s="26">
        <v>46113</v>
      </c>
      <c r="D73" s="25">
        <v>3319</v>
      </c>
      <c r="E73" s="25">
        <v>327</v>
      </c>
      <c r="F73" s="25">
        <v>2</v>
      </c>
      <c r="G73" s="28">
        <v>1</v>
      </c>
      <c r="H73" s="28">
        <v>81433</v>
      </c>
      <c r="I73" s="28" t="s">
        <v>17</v>
      </c>
      <c r="J73" s="51">
        <v>26329288</v>
      </c>
      <c r="K73" t="s">
        <v>607</v>
      </c>
      <c r="L73" s="6" t="s">
        <v>610</v>
      </c>
      <c r="M73" s="62">
        <v>199900</v>
      </c>
      <c r="N73" s="64">
        <v>0.9</v>
      </c>
      <c r="O73" s="36">
        <f t="shared" si="1"/>
        <v>29985</v>
      </c>
      <c r="P73" s="25" t="s">
        <v>0</v>
      </c>
    </row>
    <row r="74" spans="1:16" x14ac:dyDescent="0.3">
      <c r="A74" s="25" t="s">
        <v>3215</v>
      </c>
      <c r="B74" s="26">
        <v>46108</v>
      </c>
      <c r="C74" s="26">
        <v>46113</v>
      </c>
      <c r="D74" s="25">
        <v>3319</v>
      </c>
      <c r="E74" s="25">
        <v>327</v>
      </c>
      <c r="F74" s="25">
        <v>2</v>
      </c>
      <c r="G74" s="28">
        <v>1</v>
      </c>
      <c r="H74" s="28">
        <v>81433</v>
      </c>
      <c r="I74" s="28" t="s">
        <v>17</v>
      </c>
      <c r="J74" s="51">
        <v>26329297</v>
      </c>
      <c r="K74" t="s">
        <v>607</v>
      </c>
      <c r="L74" s="6" t="s">
        <v>611</v>
      </c>
      <c r="M74" s="62">
        <v>199900</v>
      </c>
      <c r="N74" s="64">
        <v>0.9</v>
      </c>
      <c r="O74" s="36">
        <f t="shared" si="1"/>
        <v>29985</v>
      </c>
      <c r="P74" s="25" t="s">
        <v>0</v>
      </c>
    </row>
    <row r="75" spans="1:16" x14ac:dyDescent="0.3">
      <c r="A75" s="25" t="s">
        <v>3215</v>
      </c>
      <c r="B75" s="26">
        <v>46108</v>
      </c>
      <c r="C75" s="26">
        <v>46113</v>
      </c>
      <c r="D75" s="25">
        <v>3319</v>
      </c>
      <c r="E75" s="25">
        <v>327</v>
      </c>
      <c r="F75" s="25">
        <v>2</v>
      </c>
      <c r="G75" s="28">
        <v>1</v>
      </c>
      <c r="H75" s="28">
        <v>81433</v>
      </c>
      <c r="I75" s="28" t="s">
        <v>17</v>
      </c>
      <c r="J75" s="51">
        <v>26329304</v>
      </c>
      <c r="K75" t="s">
        <v>607</v>
      </c>
      <c r="L75" s="6" t="s">
        <v>612</v>
      </c>
      <c r="M75" s="62">
        <v>199900</v>
      </c>
      <c r="N75" s="64">
        <v>0.9</v>
      </c>
      <c r="O75" s="36">
        <f t="shared" si="1"/>
        <v>29985</v>
      </c>
      <c r="P75" s="25" t="s">
        <v>0</v>
      </c>
    </row>
    <row r="76" spans="1:16" x14ac:dyDescent="0.3">
      <c r="A76" s="25" t="s">
        <v>3215</v>
      </c>
      <c r="B76" s="26">
        <v>46108</v>
      </c>
      <c r="C76" s="26">
        <v>46113</v>
      </c>
      <c r="D76" s="25">
        <v>3319</v>
      </c>
      <c r="E76" s="25">
        <v>327</v>
      </c>
      <c r="F76" s="25">
        <v>2</v>
      </c>
      <c r="G76" s="28">
        <v>1</v>
      </c>
      <c r="H76" s="28">
        <v>81433</v>
      </c>
      <c r="I76" s="28" t="s">
        <v>17</v>
      </c>
      <c r="J76" s="51">
        <v>26329313</v>
      </c>
      <c r="K76" t="s">
        <v>613</v>
      </c>
      <c r="L76" s="6" t="s">
        <v>614</v>
      </c>
      <c r="M76" s="62">
        <v>199900</v>
      </c>
      <c r="N76" s="64">
        <v>0.9</v>
      </c>
      <c r="O76" s="36">
        <f t="shared" si="1"/>
        <v>29985</v>
      </c>
      <c r="P76" s="25" t="s">
        <v>0</v>
      </c>
    </row>
    <row r="77" spans="1:16" x14ac:dyDescent="0.3">
      <c r="A77" s="25" t="s">
        <v>3215</v>
      </c>
      <c r="B77" s="26">
        <v>46108</v>
      </c>
      <c r="C77" s="26">
        <v>46113</v>
      </c>
      <c r="D77" s="25">
        <v>3319</v>
      </c>
      <c r="E77" s="25">
        <v>327</v>
      </c>
      <c r="F77" s="25">
        <v>2</v>
      </c>
      <c r="G77" s="28">
        <v>1</v>
      </c>
      <c r="H77" s="28">
        <v>81433</v>
      </c>
      <c r="I77" s="28" t="s">
        <v>17</v>
      </c>
      <c r="J77" s="51">
        <v>26329322</v>
      </c>
      <c r="K77" t="s">
        <v>613</v>
      </c>
      <c r="L77" s="6" t="s">
        <v>615</v>
      </c>
      <c r="M77" s="62">
        <v>199900</v>
      </c>
      <c r="N77" s="64">
        <v>0.9</v>
      </c>
      <c r="O77" s="36">
        <f t="shared" si="1"/>
        <v>29985</v>
      </c>
      <c r="P77" s="25" t="s">
        <v>0</v>
      </c>
    </row>
    <row r="78" spans="1:16" x14ac:dyDescent="0.3">
      <c r="A78" s="25" t="s">
        <v>3215</v>
      </c>
      <c r="B78" s="26">
        <v>46108</v>
      </c>
      <c r="C78" s="26">
        <v>46113</v>
      </c>
      <c r="D78" s="25">
        <v>3319</v>
      </c>
      <c r="E78" s="25">
        <v>327</v>
      </c>
      <c r="F78" s="25">
        <v>2</v>
      </c>
      <c r="G78" s="28">
        <v>1</v>
      </c>
      <c r="H78" s="28">
        <v>81433</v>
      </c>
      <c r="I78" s="28" t="s">
        <v>17</v>
      </c>
      <c r="J78" s="51">
        <v>26329331</v>
      </c>
      <c r="K78" t="s">
        <v>613</v>
      </c>
      <c r="L78" s="6" t="s">
        <v>616</v>
      </c>
      <c r="M78" s="62">
        <v>199900</v>
      </c>
      <c r="N78" s="64">
        <v>0.9</v>
      </c>
      <c r="O78" s="36">
        <f t="shared" si="1"/>
        <v>29985</v>
      </c>
      <c r="P78" s="25" t="s">
        <v>0</v>
      </c>
    </row>
    <row r="79" spans="1:16" x14ac:dyDescent="0.3">
      <c r="A79" s="25" t="s">
        <v>3215</v>
      </c>
      <c r="B79" s="26">
        <v>46108</v>
      </c>
      <c r="C79" s="26">
        <v>46113</v>
      </c>
      <c r="D79" s="25">
        <v>3319</v>
      </c>
      <c r="E79" s="25">
        <v>327</v>
      </c>
      <c r="F79" s="25">
        <v>2</v>
      </c>
      <c r="G79" s="28">
        <v>1</v>
      </c>
      <c r="H79" s="28">
        <v>81433</v>
      </c>
      <c r="I79" s="28" t="s">
        <v>17</v>
      </c>
      <c r="J79" s="51">
        <v>26329340</v>
      </c>
      <c r="K79" t="s">
        <v>613</v>
      </c>
      <c r="L79" s="6" t="s">
        <v>617</v>
      </c>
      <c r="M79" s="62">
        <v>199900</v>
      </c>
      <c r="N79" s="64">
        <v>0.9</v>
      </c>
      <c r="O79" s="36">
        <f t="shared" si="1"/>
        <v>29985</v>
      </c>
      <c r="P79" s="25" t="s">
        <v>0</v>
      </c>
    </row>
    <row r="80" spans="1:16" x14ac:dyDescent="0.3">
      <c r="A80" s="25" t="s">
        <v>3215</v>
      </c>
      <c r="B80" s="26">
        <v>46108</v>
      </c>
      <c r="C80" s="26">
        <v>46113</v>
      </c>
      <c r="D80" s="25">
        <v>3319</v>
      </c>
      <c r="E80" s="25">
        <v>327</v>
      </c>
      <c r="F80" s="25">
        <v>2</v>
      </c>
      <c r="G80" s="28">
        <v>1</v>
      </c>
      <c r="H80" s="28">
        <v>81433</v>
      </c>
      <c r="I80" s="28" t="s">
        <v>17</v>
      </c>
      <c r="J80" s="51">
        <v>26329359</v>
      </c>
      <c r="K80" t="s">
        <v>613</v>
      </c>
      <c r="L80" s="6" t="s">
        <v>618</v>
      </c>
      <c r="M80" s="62">
        <v>199900</v>
      </c>
      <c r="N80" s="64">
        <v>0.9</v>
      </c>
      <c r="O80" s="36">
        <f t="shared" si="1"/>
        <v>29985</v>
      </c>
      <c r="P80" s="25" t="s">
        <v>0</v>
      </c>
    </row>
    <row r="81" spans="1:16" x14ac:dyDescent="0.3">
      <c r="A81" s="25" t="s">
        <v>3215</v>
      </c>
      <c r="B81" s="26">
        <v>46108</v>
      </c>
      <c r="C81" s="26">
        <v>46113</v>
      </c>
      <c r="D81" s="25">
        <v>3319</v>
      </c>
      <c r="E81" s="25">
        <v>327</v>
      </c>
      <c r="F81" s="25">
        <v>2</v>
      </c>
      <c r="G81" s="28">
        <v>1</v>
      </c>
      <c r="H81" s="28">
        <v>81433</v>
      </c>
      <c r="I81" s="28" t="s">
        <v>17</v>
      </c>
      <c r="J81" s="51">
        <v>31810363</v>
      </c>
      <c r="K81" t="s">
        <v>619</v>
      </c>
      <c r="L81" s="6" t="s">
        <v>620</v>
      </c>
      <c r="M81" s="62">
        <v>199900</v>
      </c>
      <c r="N81" s="64">
        <v>0.9</v>
      </c>
      <c r="O81" s="36">
        <f t="shared" si="1"/>
        <v>29985</v>
      </c>
      <c r="P81" s="25" t="s">
        <v>0</v>
      </c>
    </row>
    <row r="82" spans="1:16" x14ac:dyDescent="0.3">
      <c r="A82" s="25" t="s">
        <v>3215</v>
      </c>
      <c r="B82" s="26">
        <v>46108</v>
      </c>
      <c r="C82" s="26">
        <v>46113</v>
      </c>
      <c r="D82" s="25">
        <v>3319</v>
      </c>
      <c r="E82" s="25">
        <v>327</v>
      </c>
      <c r="F82" s="25">
        <v>2</v>
      </c>
      <c r="G82" s="28">
        <v>1</v>
      </c>
      <c r="H82" s="28">
        <v>81433</v>
      </c>
      <c r="I82" s="28" t="s">
        <v>17</v>
      </c>
      <c r="J82" s="51">
        <v>31810372</v>
      </c>
      <c r="K82" t="s">
        <v>619</v>
      </c>
      <c r="L82" s="6" t="s">
        <v>621</v>
      </c>
      <c r="M82" s="62">
        <v>199900</v>
      </c>
      <c r="N82" s="64">
        <v>0.9</v>
      </c>
      <c r="O82" s="36">
        <f t="shared" si="1"/>
        <v>29985</v>
      </c>
      <c r="P82" s="25" t="s">
        <v>0</v>
      </c>
    </row>
    <row r="83" spans="1:16" x14ac:dyDescent="0.3">
      <c r="A83" s="25" t="s">
        <v>3215</v>
      </c>
      <c r="B83" s="26">
        <v>46108</v>
      </c>
      <c r="C83" s="26">
        <v>46113</v>
      </c>
      <c r="D83" s="25">
        <v>3319</v>
      </c>
      <c r="E83" s="25">
        <v>327</v>
      </c>
      <c r="F83" s="25">
        <v>2</v>
      </c>
      <c r="G83" s="28">
        <v>1</v>
      </c>
      <c r="H83" s="28">
        <v>81433</v>
      </c>
      <c r="I83" s="28" t="s">
        <v>17</v>
      </c>
      <c r="J83" s="51">
        <v>31810381</v>
      </c>
      <c r="K83" t="s">
        <v>619</v>
      </c>
      <c r="L83" s="6" t="s">
        <v>622</v>
      </c>
      <c r="M83" s="62">
        <v>199900</v>
      </c>
      <c r="N83" s="64">
        <v>0.9</v>
      </c>
      <c r="O83" s="36">
        <f t="shared" si="1"/>
        <v>29985</v>
      </c>
      <c r="P83" s="25" t="s">
        <v>0</v>
      </c>
    </row>
    <row r="84" spans="1:16" x14ac:dyDescent="0.3">
      <c r="A84" s="25" t="s">
        <v>3215</v>
      </c>
      <c r="B84" s="26">
        <v>46108</v>
      </c>
      <c r="C84" s="26">
        <v>46113</v>
      </c>
      <c r="D84" s="25">
        <v>3319</v>
      </c>
      <c r="E84" s="25">
        <v>327</v>
      </c>
      <c r="F84" s="25">
        <v>2</v>
      </c>
      <c r="G84" s="28">
        <v>1</v>
      </c>
      <c r="H84" s="28">
        <v>81433</v>
      </c>
      <c r="I84" s="28" t="s">
        <v>17</v>
      </c>
      <c r="J84" s="51">
        <v>31810390</v>
      </c>
      <c r="K84" t="s">
        <v>619</v>
      </c>
      <c r="L84" s="6" t="s">
        <v>623</v>
      </c>
      <c r="M84" s="62">
        <v>199900</v>
      </c>
      <c r="N84" s="64">
        <v>0.9</v>
      </c>
      <c r="O84" s="36">
        <f t="shared" si="1"/>
        <v>29985</v>
      </c>
      <c r="P84" s="25" t="s">
        <v>0</v>
      </c>
    </row>
    <row r="85" spans="1:16" x14ac:dyDescent="0.3">
      <c r="A85" s="25" t="s">
        <v>3215</v>
      </c>
      <c r="B85" s="26">
        <v>46108</v>
      </c>
      <c r="C85" s="26">
        <v>46113</v>
      </c>
      <c r="D85" s="25">
        <v>3319</v>
      </c>
      <c r="E85" s="25">
        <v>327</v>
      </c>
      <c r="F85" s="25">
        <v>2</v>
      </c>
      <c r="G85" s="28">
        <v>1</v>
      </c>
      <c r="H85" s="28">
        <v>81433</v>
      </c>
      <c r="I85" s="28" t="s">
        <v>17</v>
      </c>
      <c r="J85" s="51">
        <v>31810407</v>
      </c>
      <c r="K85" t="s">
        <v>619</v>
      </c>
      <c r="L85" s="6" t="s">
        <v>624</v>
      </c>
      <c r="M85" s="62">
        <v>199900</v>
      </c>
      <c r="N85" s="64">
        <v>0.9</v>
      </c>
      <c r="O85" s="36">
        <f t="shared" si="1"/>
        <v>29985</v>
      </c>
      <c r="P85" s="25" t="s">
        <v>0</v>
      </c>
    </row>
    <row r="86" spans="1:16" x14ac:dyDescent="0.3">
      <c r="A86" s="25" t="s">
        <v>3215</v>
      </c>
      <c r="B86" s="26">
        <v>46108</v>
      </c>
      <c r="C86" s="26">
        <v>46113</v>
      </c>
      <c r="D86" s="25">
        <v>3319</v>
      </c>
      <c r="E86" s="25">
        <v>327</v>
      </c>
      <c r="F86" s="25">
        <v>2</v>
      </c>
      <c r="G86" s="28">
        <v>1</v>
      </c>
      <c r="H86" s="28">
        <v>81433</v>
      </c>
      <c r="I86" s="28" t="s">
        <v>17</v>
      </c>
      <c r="J86" s="51">
        <v>31814092</v>
      </c>
      <c r="K86" t="s">
        <v>625</v>
      </c>
      <c r="L86" s="6" t="s">
        <v>626</v>
      </c>
      <c r="M86" s="62">
        <v>199900</v>
      </c>
      <c r="N86" s="64">
        <v>0.9</v>
      </c>
      <c r="O86" s="36">
        <f t="shared" si="1"/>
        <v>29985</v>
      </c>
      <c r="P86" s="25" t="s">
        <v>0</v>
      </c>
    </row>
    <row r="87" spans="1:16" x14ac:dyDescent="0.3">
      <c r="A87" s="25" t="s">
        <v>3215</v>
      </c>
      <c r="B87" s="26">
        <v>46108</v>
      </c>
      <c r="C87" s="26">
        <v>46113</v>
      </c>
      <c r="D87" s="25">
        <v>3319</v>
      </c>
      <c r="E87" s="25">
        <v>327</v>
      </c>
      <c r="F87" s="25">
        <v>2</v>
      </c>
      <c r="G87" s="28">
        <v>1</v>
      </c>
      <c r="H87" s="28">
        <v>81433</v>
      </c>
      <c r="I87" s="28" t="s">
        <v>17</v>
      </c>
      <c r="J87" s="51">
        <v>31814109</v>
      </c>
      <c r="K87" t="s">
        <v>625</v>
      </c>
      <c r="L87" s="6" t="s">
        <v>627</v>
      </c>
      <c r="M87" s="62">
        <v>199900</v>
      </c>
      <c r="N87" s="64">
        <v>0.9</v>
      </c>
      <c r="O87" s="36">
        <f t="shared" si="1"/>
        <v>29985</v>
      </c>
      <c r="P87" s="25" t="s">
        <v>0</v>
      </c>
    </row>
    <row r="88" spans="1:16" x14ac:dyDescent="0.3">
      <c r="A88" s="25" t="s">
        <v>3215</v>
      </c>
      <c r="B88" s="26">
        <v>46108</v>
      </c>
      <c r="C88" s="26">
        <v>46113</v>
      </c>
      <c r="D88" s="25">
        <v>3319</v>
      </c>
      <c r="E88" s="25">
        <v>327</v>
      </c>
      <c r="F88" s="25">
        <v>2</v>
      </c>
      <c r="G88" s="28">
        <v>1</v>
      </c>
      <c r="H88" s="28">
        <v>81433</v>
      </c>
      <c r="I88" s="28" t="s">
        <v>17</v>
      </c>
      <c r="J88" s="51">
        <v>31814118</v>
      </c>
      <c r="K88" t="s">
        <v>625</v>
      </c>
      <c r="L88" s="6" t="s">
        <v>628</v>
      </c>
      <c r="M88" s="62">
        <v>199900</v>
      </c>
      <c r="N88" s="64">
        <v>0.9</v>
      </c>
      <c r="O88" s="36">
        <f t="shared" si="1"/>
        <v>29985</v>
      </c>
      <c r="P88" s="25" t="s">
        <v>0</v>
      </c>
    </row>
    <row r="89" spans="1:16" x14ac:dyDescent="0.3">
      <c r="A89" s="25" t="s">
        <v>3215</v>
      </c>
      <c r="B89" s="26">
        <v>46108</v>
      </c>
      <c r="C89" s="26">
        <v>46113</v>
      </c>
      <c r="D89" s="25">
        <v>3319</v>
      </c>
      <c r="E89" s="25">
        <v>327</v>
      </c>
      <c r="F89" s="25">
        <v>2</v>
      </c>
      <c r="G89" s="28">
        <v>1</v>
      </c>
      <c r="H89" s="28">
        <v>81433</v>
      </c>
      <c r="I89" s="28" t="s">
        <v>17</v>
      </c>
      <c r="J89" s="51">
        <v>31814127</v>
      </c>
      <c r="K89" t="s">
        <v>625</v>
      </c>
      <c r="L89" s="6" t="s">
        <v>629</v>
      </c>
      <c r="M89" s="62">
        <v>199900</v>
      </c>
      <c r="N89" s="64">
        <v>0.9</v>
      </c>
      <c r="O89" s="36">
        <f t="shared" si="1"/>
        <v>29985</v>
      </c>
      <c r="P89" s="25" t="s">
        <v>0</v>
      </c>
    </row>
    <row r="90" spans="1:16" x14ac:dyDescent="0.3">
      <c r="A90" s="25" t="s">
        <v>3215</v>
      </c>
      <c r="B90" s="26">
        <v>46108</v>
      </c>
      <c r="C90" s="26">
        <v>46113</v>
      </c>
      <c r="D90" s="25">
        <v>3319</v>
      </c>
      <c r="E90" s="25">
        <v>327</v>
      </c>
      <c r="F90" s="25">
        <v>2</v>
      </c>
      <c r="G90" s="48">
        <v>1</v>
      </c>
      <c r="H90" s="48">
        <v>81433</v>
      </c>
      <c r="I90" s="48" t="s">
        <v>17</v>
      </c>
      <c r="J90" s="50">
        <v>31814136</v>
      </c>
      <c r="K90" s="43" t="s">
        <v>625</v>
      </c>
      <c r="L90" s="58" t="s">
        <v>630</v>
      </c>
      <c r="M90" s="61">
        <v>199900</v>
      </c>
      <c r="N90" s="64">
        <v>0.9</v>
      </c>
      <c r="O90" s="36">
        <f t="shared" si="1"/>
        <v>29985</v>
      </c>
      <c r="P90" s="25" t="s">
        <v>0</v>
      </c>
    </row>
    <row r="91" spans="1:16" x14ac:dyDescent="0.3">
      <c r="A91" s="25" t="s">
        <v>3215</v>
      </c>
      <c r="B91" s="26">
        <v>46108</v>
      </c>
      <c r="C91" s="26">
        <v>46113</v>
      </c>
      <c r="D91" s="25">
        <v>3319</v>
      </c>
      <c r="E91" s="25">
        <v>327</v>
      </c>
      <c r="F91" s="25">
        <v>2</v>
      </c>
      <c r="G91" s="48">
        <v>1</v>
      </c>
      <c r="H91" s="48">
        <v>81433</v>
      </c>
      <c r="I91" s="48" t="s">
        <v>17</v>
      </c>
      <c r="J91" s="50">
        <v>32641704</v>
      </c>
      <c r="K91" s="43" t="s">
        <v>631</v>
      </c>
      <c r="L91" s="58" t="s">
        <v>632</v>
      </c>
      <c r="M91" s="61">
        <v>239900</v>
      </c>
      <c r="N91" s="64">
        <v>0.9</v>
      </c>
      <c r="O91" s="36">
        <f t="shared" si="1"/>
        <v>35985</v>
      </c>
      <c r="P91" s="25" t="s">
        <v>0</v>
      </c>
    </row>
    <row r="92" spans="1:16" x14ac:dyDescent="0.3">
      <c r="A92" s="25" t="s">
        <v>3215</v>
      </c>
      <c r="B92" s="26">
        <v>46108</v>
      </c>
      <c r="C92" s="26">
        <v>46113</v>
      </c>
      <c r="D92" s="25">
        <v>3319</v>
      </c>
      <c r="E92" s="25">
        <v>327</v>
      </c>
      <c r="F92" s="25">
        <v>2</v>
      </c>
      <c r="G92" s="48">
        <v>1</v>
      </c>
      <c r="H92" s="48">
        <v>81433</v>
      </c>
      <c r="I92" s="48" t="s">
        <v>17</v>
      </c>
      <c r="J92" s="50">
        <v>32641713</v>
      </c>
      <c r="K92" s="43" t="s">
        <v>631</v>
      </c>
      <c r="L92" s="58" t="s">
        <v>633</v>
      </c>
      <c r="M92" s="61">
        <v>239900</v>
      </c>
      <c r="N92" s="64">
        <v>0.9</v>
      </c>
      <c r="O92" s="36">
        <f t="shared" si="1"/>
        <v>35985</v>
      </c>
      <c r="P92" s="25" t="s">
        <v>0</v>
      </c>
    </row>
    <row r="93" spans="1:16" x14ac:dyDescent="0.3">
      <c r="A93" s="25" t="s">
        <v>3215</v>
      </c>
      <c r="B93" s="26">
        <v>46108</v>
      </c>
      <c r="C93" s="26">
        <v>46113</v>
      </c>
      <c r="D93" s="25">
        <v>3319</v>
      </c>
      <c r="E93" s="25">
        <v>327</v>
      </c>
      <c r="F93" s="25">
        <v>2</v>
      </c>
      <c r="G93" s="48">
        <v>1</v>
      </c>
      <c r="H93" s="48">
        <v>81433</v>
      </c>
      <c r="I93" s="48" t="s">
        <v>17</v>
      </c>
      <c r="J93" s="50">
        <v>32641722</v>
      </c>
      <c r="K93" s="43" t="s">
        <v>631</v>
      </c>
      <c r="L93" s="58" t="s">
        <v>634</v>
      </c>
      <c r="M93" s="61">
        <v>239900</v>
      </c>
      <c r="N93" s="64">
        <v>0.9</v>
      </c>
      <c r="O93" s="36">
        <f t="shared" si="1"/>
        <v>35985</v>
      </c>
      <c r="P93" s="25" t="s">
        <v>0</v>
      </c>
    </row>
    <row r="94" spans="1:16" x14ac:dyDescent="0.3">
      <c r="A94" s="25" t="s">
        <v>3215</v>
      </c>
      <c r="B94" s="26">
        <v>46108</v>
      </c>
      <c r="C94" s="26">
        <v>46113</v>
      </c>
      <c r="D94" s="25">
        <v>3319</v>
      </c>
      <c r="E94" s="25">
        <v>327</v>
      </c>
      <c r="F94" s="25">
        <v>2</v>
      </c>
      <c r="G94" s="48">
        <v>1</v>
      </c>
      <c r="H94" s="48">
        <v>81433</v>
      </c>
      <c r="I94" s="48" t="s">
        <v>17</v>
      </c>
      <c r="J94" s="50">
        <v>32641731</v>
      </c>
      <c r="K94" s="43" t="s">
        <v>631</v>
      </c>
      <c r="L94" s="58" t="s">
        <v>635</v>
      </c>
      <c r="M94" s="61">
        <v>239900</v>
      </c>
      <c r="N94" s="64">
        <v>0.9</v>
      </c>
      <c r="O94" s="36">
        <f t="shared" si="1"/>
        <v>35985</v>
      </c>
      <c r="P94" s="25" t="s">
        <v>0</v>
      </c>
    </row>
    <row r="95" spans="1:16" x14ac:dyDescent="0.3">
      <c r="A95" s="25" t="s">
        <v>3215</v>
      </c>
      <c r="B95" s="26">
        <v>46108</v>
      </c>
      <c r="C95" s="26">
        <v>46113</v>
      </c>
      <c r="D95" s="25">
        <v>3319</v>
      </c>
      <c r="E95" s="25">
        <v>327</v>
      </c>
      <c r="F95" s="25">
        <v>2</v>
      </c>
      <c r="G95" s="48">
        <v>1</v>
      </c>
      <c r="H95" s="48">
        <v>81433</v>
      </c>
      <c r="I95" s="48" t="s">
        <v>17</v>
      </c>
      <c r="J95" s="50">
        <v>32641740</v>
      </c>
      <c r="K95" s="43" t="s">
        <v>631</v>
      </c>
      <c r="L95" s="58" t="s">
        <v>636</v>
      </c>
      <c r="M95" s="61">
        <v>239900</v>
      </c>
      <c r="N95" s="64">
        <v>0.9</v>
      </c>
      <c r="O95" s="36">
        <f t="shared" si="1"/>
        <v>35985</v>
      </c>
      <c r="P95" s="25" t="s">
        <v>0</v>
      </c>
    </row>
    <row r="96" spans="1:16" x14ac:dyDescent="0.3">
      <c r="A96" s="25" t="s">
        <v>3215</v>
      </c>
      <c r="B96" s="26">
        <v>46108</v>
      </c>
      <c r="C96" s="26">
        <v>46113</v>
      </c>
      <c r="D96" s="25">
        <v>3319</v>
      </c>
      <c r="E96" s="25">
        <v>327</v>
      </c>
      <c r="F96" s="25">
        <v>2</v>
      </c>
      <c r="G96" s="48">
        <v>1</v>
      </c>
      <c r="H96" s="48">
        <v>81433</v>
      </c>
      <c r="I96" s="48" t="s">
        <v>17</v>
      </c>
      <c r="J96" s="50">
        <v>32641759</v>
      </c>
      <c r="K96" s="43" t="s">
        <v>631</v>
      </c>
      <c r="L96" s="58" t="s">
        <v>637</v>
      </c>
      <c r="M96" s="61">
        <v>239900</v>
      </c>
      <c r="N96" s="64">
        <v>0.9</v>
      </c>
      <c r="O96" s="36">
        <f t="shared" si="1"/>
        <v>35985</v>
      </c>
      <c r="P96" s="25" t="s">
        <v>0</v>
      </c>
    </row>
    <row r="97" spans="1:16" x14ac:dyDescent="0.3">
      <c r="A97" s="25" t="s">
        <v>3215</v>
      </c>
      <c r="B97" s="26">
        <v>46108</v>
      </c>
      <c r="C97" s="26">
        <v>46113</v>
      </c>
      <c r="D97" s="25">
        <v>3319</v>
      </c>
      <c r="E97" s="25">
        <v>327</v>
      </c>
      <c r="F97" s="25">
        <v>2</v>
      </c>
      <c r="G97" s="48">
        <v>1</v>
      </c>
      <c r="H97" s="48">
        <v>81433</v>
      </c>
      <c r="I97" s="48" t="s">
        <v>17</v>
      </c>
      <c r="J97" s="50">
        <v>32641768</v>
      </c>
      <c r="K97" s="43" t="s">
        <v>631</v>
      </c>
      <c r="L97" s="58" t="s">
        <v>638</v>
      </c>
      <c r="M97" s="61">
        <v>239900</v>
      </c>
      <c r="N97" s="64">
        <v>0.9</v>
      </c>
      <c r="O97" s="36">
        <f t="shared" si="1"/>
        <v>35985</v>
      </c>
      <c r="P97" s="25" t="s">
        <v>0</v>
      </c>
    </row>
    <row r="98" spans="1:16" x14ac:dyDescent="0.3">
      <c r="A98" s="25" t="s">
        <v>3215</v>
      </c>
      <c r="B98" s="26">
        <v>46108</v>
      </c>
      <c r="C98" s="26">
        <v>46113</v>
      </c>
      <c r="D98" s="25">
        <v>3319</v>
      </c>
      <c r="E98" s="25">
        <v>327</v>
      </c>
      <c r="F98" s="25">
        <v>2</v>
      </c>
      <c r="G98" s="48">
        <v>1</v>
      </c>
      <c r="H98" s="48">
        <v>81433</v>
      </c>
      <c r="I98" s="48" t="s">
        <v>17</v>
      </c>
      <c r="J98" s="50">
        <v>32641777</v>
      </c>
      <c r="K98" s="43" t="s">
        <v>631</v>
      </c>
      <c r="L98" s="58" t="s">
        <v>639</v>
      </c>
      <c r="M98" s="61">
        <v>239900</v>
      </c>
      <c r="N98" s="64">
        <v>0.9</v>
      </c>
      <c r="O98" s="36">
        <f t="shared" si="1"/>
        <v>35985</v>
      </c>
      <c r="P98" s="25" t="s">
        <v>0</v>
      </c>
    </row>
    <row r="99" spans="1:16" x14ac:dyDescent="0.3">
      <c r="A99" s="25" t="s">
        <v>3215</v>
      </c>
      <c r="B99" s="26">
        <v>46108</v>
      </c>
      <c r="C99" s="26">
        <v>46113</v>
      </c>
      <c r="D99" s="25">
        <v>3319</v>
      </c>
      <c r="E99" s="25">
        <v>327</v>
      </c>
      <c r="F99" s="25">
        <v>2</v>
      </c>
      <c r="G99" s="48">
        <v>1</v>
      </c>
      <c r="H99" s="48">
        <v>81433</v>
      </c>
      <c r="I99" s="48" t="s">
        <v>17</v>
      </c>
      <c r="J99" s="50">
        <v>32641786</v>
      </c>
      <c r="K99" s="43" t="s">
        <v>631</v>
      </c>
      <c r="L99" s="58" t="s">
        <v>640</v>
      </c>
      <c r="M99" s="61">
        <v>239900</v>
      </c>
      <c r="N99" s="64">
        <v>0.9</v>
      </c>
      <c r="O99" s="36">
        <f t="shared" si="1"/>
        <v>35985</v>
      </c>
      <c r="P99" s="25" t="s">
        <v>0</v>
      </c>
    </row>
    <row r="100" spans="1:16" x14ac:dyDescent="0.3">
      <c r="A100" s="25" t="s">
        <v>3215</v>
      </c>
      <c r="B100" s="26">
        <v>46108</v>
      </c>
      <c r="C100" s="26">
        <v>46113</v>
      </c>
      <c r="D100" s="25">
        <v>3319</v>
      </c>
      <c r="E100" s="25">
        <v>327</v>
      </c>
      <c r="F100" s="25">
        <v>2</v>
      </c>
      <c r="G100" s="48">
        <v>1</v>
      </c>
      <c r="H100" s="48">
        <v>81433</v>
      </c>
      <c r="I100" s="48" t="s">
        <v>17</v>
      </c>
      <c r="J100" s="50">
        <v>32641795</v>
      </c>
      <c r="K100" s="43" t="s">
        <v>631</v>
      </c>
      <c r="L100" s="58" t="s">
        <v>641</v>
      </c>
      <c r="M100" s="61">
        <v>239900</v>
      </c>
      <c r="N100" s="64">
        <v>0.9</v>
      </c>
      <c r="O100" s="36">
        <f t="shared" si="1"/>
        <v>35985</v>
      </c>
      <c r="P100" s="25" t="s">
        <v>0</v>
      </c>
    </row>
    <row r="101" spans="1:16" x14ac:dyDescent="0.3">
      <c r="A101" s="25" t="s">
        <v>3215</v>
      </c>
      <c r="B101" s="26">
        <v>46108</v>
      </c>
      <c r="C101" s="26">
        <v>46113</v>
      </c>
      <c r="D101" s="25">
        <v>3319</v>
      </c>
      <c r="E101" s="25">
        <v>327</v>
      </c>
      <c r="F101" s="25">
        <v>2</v>
      </c>
      <c r="G101" s="48">
        <v>1</v>
      </c>
      <c r="H101" s="48">
        <v>81433</v>
      </c>
      <c r="I101" s="48" t="s">
        <v>17</v>
      </c>
      <c r="J101" s="50">
        <v>28070802</v>
      </c>
      <c r="K101" s="43" t="s">
        <v>642</v>
      </c>
      <c r="L101" s="58" t="s">
        <v>643</v>
      </c>
      <c r="M101" s="61">
        <v>279900</v>
      </c>
      <c r="N101" s="64">
        <v>0.9</v>
      </c>
      <c r="O101" s="36">
        <f t="shared" si="1"/>
        <v>41985</v>
      </c>
      <c r="P101" s="25" t="s">
        <v>0</v>
      </c>
    </row>
    <row r="102" spans="1:16" x14ac:dyDescent="0.3">
      <c r="A102" s="25" t="s">
        <v>3215</v>
      </c>
      <c r="B102" s="26">
        <v>46108</v>
      </c>
      <c r="C102" s="26">
        <v>46113</v>
      </c>
      <c r="D102" s="25">
        <v>3319</v>
      </c>
      <c r="E102" s="25">
        <v>327</v>
      </c>
      <c r="F102" s="25">
        <v>2</v>
      </c>
      <c r="G102" s="48">
        <v>1</v>
      </c>
      <c r="H102" s="48">
        <v>81433</v>
      </c>
      <c r="I102" s="48" t="s">
        <v>17</v>
      </c>
      <c r="J102" s="50">
        <v>28070811</v>
      </c>
      <c r="K102" s="43" t="s">
        <v>642</v>
      </c>
      <c r="L102" s="58" t="s">
        <v>644</v>
      </c>
      <c r="M102" s="61">
        <v>279900</v>
      </c>
      <c r="N102" s="64">
        <v>0.9</v>
      </c>
      <c r="O102" s="36">
        <f t="shared" si="1"/>
        <v>41985</v>
      </c>
      <c r="P102" s="25" t="s">
        <v>0</v>
      </c>
    </row>
    <row r="103" spans="1:16" x14ac:dyDescent="0.3">
      <c r="A103" s="25" t="s">
        <v>3215</v>
      </c>
      <c r="B103" s="26">
        <v>46108</v>
      </c>
      <c r="C103" s="26">
        <v>46113</v>
      </c>
      <c r="D103" s="25">
        <v>3319</v>
      </c>
      <c r="E103" s="25">
        <v>327</v>
      </c>
      <c r="F103" s="25">
        <v>2</v>
      </c>
      <c r="G103" s="48">
        <v>1</v>
      </c>
      <c r="H103" s="48">
        <v>81433</v>
      </c>
      <c r="I103" s="48" t="s">
        <v>17</v>
      </c>
      <c r="J103" s="50">
        <v>28070820</v>
      </c>
      <c r="K103" s="43" t="s">
        <v>642</v>
      </c>
      <c r="L103" s="58" t="s">
        <v>645</v>
      </c>
      <c r="M103" s="61">
        <v>279900</v>
      </c>
      <c r="N103" s="64">
        <v>0.9</v>
      </c>
      <c r="O103" s="36">
        <f t="shared" si="1"/>
        <v>41985</v>
      </c>
      <c r="P103" s="25" t="s">
        <v>0</v>
      </c>
    </row>
    <row r="104" spans="1:16" x14ac:dyDescent="0.3">
      <c r="A104" s="25" t="s">
        <v>3215</v>
      </c>
      <c r="B104" s="26">
        <v>46108</v>
      </c>
      <c r="C104" s="26">
        <v>46113</v>
      </c>
      <c r="D104" s="25">
        <v>3319</v>
      </c>
      <c r="E104" s="25">
        <v>327</v>
      </c>
      <c r="F104" s="25">
        <v>2</v>
      </c>
      <c r="G104" s="48">
        <v>1</v>
      </c>
      <c r="H104" s="48">
        <v>81433</v>
      </c>
      <c r="I104" s="48" t="s">
        <v>17</v>
      </c>
      <c r="J104" s="50">
        <v>28070839</v>
      </c>
      <c r="K104" s="43" t="s">
        <v>642</v>
      </c>
      <c r="L104" s="58" t="s">
        <v>646</v>
      </c>
      <c r="M104" s="61">
        <v>279900</v>
      </c>
      <c r="N104" s="64">
        <v>0.9</v>
      </c>
      <c r="O104" s="36">
        <f t="shared" si="1"/>
        <v>41985</v>
      </c>
      <c r="P104" s="25" t="s">
        <v>0</v>
      </c>
    </row>
    <row r="105" spans="1:16" x14ac:dyDescent="0.3">
      <c r="A105" s="25" t="s">
        <v>3215</v>
      </c>
      <c r="B105" s="26">
        <v>46108</v>
      </c>
      <c r="C105" s="26">
        <v>46113</v>
      </c>
      <c r="D105" s="25">
        <v>3319</v>
      </c>
      <c r="E105" s="25">
        <v>327</v>
      </c>
      <c r="F105" s="25">
        <v>2</v>
      </c>
      <c r="G105" s="48">
        <v>1</v>
      </c>
      <c r="H105" s="48">
        <v>81433</v>
      </c>
      <c r="I105" s="48" t="s">
        <v>17</v>
      </c>
      <c r="J105" s="50">
        <v>28070848</v>
      </c>
      <c r="K105" s="43" t="s">
        <v>642</v>
      </c>
      <c r="L105" s="58" t="s">
        <v>647</v>
      </c>
      <c r="M105" s="61">
        <v>279900</v>
      </c>
      <c r="N105" s="64">
        <v>0.9</v>
      </c>
      <c r="O105" s="36">
        <f t="shared" si="1"/>
        <v>41985</v>
      </c>
      <c r="P105" s="25" t="s">
        <v>0</v>
      </c>
    </row>
    <row r="106" spans="1:16" x14ac:dyDescent="0.3">
      <c r="A106" s="25" t="s">
        <v>3215</v>
      </c>
      <c r="B106" s="26">
        <v>46108</v>
      </c>
      <c r="C106" s="26">
        <v>46113</v>
      </c>
      <c r="D106" s="25">
        <v>3319</v>
      </c>
      <c r="E106" s="25">
        <v>327</v>
      </c>
      <c r="F106" s="25">
        <v>2</v>
      </c>
      <c r="G106" s="48">
        <v>2</v>
      </c>
      <c r="H106" s="48">
        <v>81433</v>
      </c>
      <c r="I106" s="48" t="s">
        <v>17</v>
      </c>
      <c r="J106" s="50">
        <v>26467601</v>
      </c>
      <c r="K106" s="43" t="s">
        <v>648</v>
      </c>
      <c r="L106" s="58" t="s">
        <v>649</v>
      </c>
      <c r="M106" s="61">
        <v>299900</v>
      </c>
      <c r="N106" s="64">
        <v>0.9</v>
      </c>
      <c r="O106" s="36">
        <f t="shared" si="1"/>
        <v>44985</v>
      </c>
      <c r="P106" s="25" t="s">
        <v>0</v>
      </c>
    </row>
    <row r="107" spans="1:16" x14ac:dyDescent="0.3">
      <c r="A107" s="25" t="s">
        <v>3215</v>
      </c>
      <c r="B107" s="26">
        <v>46108</v>
      </c>
      <c r="C107" s="26">
        <v>46113</v>
      </c>
      <c r="D107" s="25">
        <v>3319</v>
      </c>
      <c r="E107" s="25">
        <v>327</v>
      </c>
      <c r="F107" s="25">
        <v>2</v>
      </c>
      <c r="G107" s="48">
        <v>2</v>
      </c>
      <c r="H107" s="48">
        <v>81433</v>
      </c>
      <c r="I107" s="48" t="s">
        <v>17</v>
      </c>
      <c r="J107" s="50">
        <v>26467610</v>
      </c>
      <c r="K107" s="43" t="s">
        <v>648</v>
      </c>
      <c r="L107" s="58" t="s">
        <v>650</v>
      </c>
      <c r="M107" s="61">
        <v>299900</v>
      </c>
      <c r="N107" s="64">
        <v>0.9</v>
      </c>
      <c r="O107" s="36">
        <f t="shared" si="1"/>
        <v>44985</v>
      </c>
      <c r="P107" s="25" t="s">
        <v>0</v>
      </c>
    </row>
    <row r="108" spans="1:16" x14ac:dyDescent="0.3">
      <c r="A108" s="25" t="s">
        <v>3215</v>
      </c>
      <c r="B108" s="26">
        <v>46108</v>
      </c>
      <c r="C108" s="26">
        <v>46113</v>
      </c>
      <c r="D108" s="25">
        <v>3319</v>
      </c>
      <c r="E108" s="25">
        <v>327</v>
      </c>
      <c r="F108" s="25">
        <v>2</v>
      </c>
      <c r="G108" s="48">
        <v>2</v>
      </c>
      <c r="H108" s="48">
        <v>81433</v>
      </c>
      <c r="I108" s="48" t="s">
        <v>17</v>
      </c>
      <c r="J108" s="50">
        <v>26467629</v>
      </c>
      <c r="K108" s="43" t="s">
        <v>648</v>
      </c>
      <c r="L108" s="58" t="s">
        <v>651</v>
      </c>
      <c r="M108" s="61">
        <v>299900</v>
      </c>
      <c r="N108" s="64">
        <v>0.9</v>
      </c>
      <c r="O108" s="36">
        <f t="shared" si="1"/>
        <v>44985</v>
      </c>
      <c r="P108" s="25" t="s">
        <v>0</v>
      </c>
    </row>
    <row r="109" spans="1:16" x14ac:dyDescent="0.3">
      <c r="A109" s="25" t="s">
        <v>3215</v>
      </c>
      <c r="B109" s="26">
        <v>46108</v>
      </c>
      <c r="C109" s="26">
        <v>46113</v>
      </c>
      <c r="D109" s="25">
        <v>3319</v>
      </c>
      <c r="E109" s="25">
        <v>327</v>
      </c>
      <c r="F109" s="25">
        <v>2</v>
      </c>
      <c r="G109" s="48">
        <v>2</v>
      </c>
      <c r="H109" s="48">
        <v>81433</v>
      </c>
      <c r="I109" s="48" t="s">
        <v>17</v>
      </c>
      <c r="J109" s="50">
        <v>26467638</v>
      </c>
      <c r="K109" s="43" t="s">
        <v>648</v>
      </c>
      <c r="L109" s="58" t="s">
        <v>652</v>
      </c>
      <c r="M109" s="61">
        <v>299900</v>
      </c>
      <c r="N109" s="64">
        <v>0.9</v>
      </c>
      <c r="O109" s="36">
        <f t="shared" si="1"/>
        <v>44985</v>
      </c>
      <c r="P109" s="25" t="s">
        <v>0</v>
      </c>
    </row>
    <row r="110" spans="1:16" x14ac:dyDescent="0.3">
      <c r="A110" s="25" t="s">
        <v>3215</v>
      </c>
      <c r="B110" s="26">
        <v>46108</v>
      </c>
      <c r="C110" s="26">
        <v>46113</v>
      </c>
      <c r="D110" s="25">
        <v>3319</v>
      </c>
      <c r="E110" s="25">
        <v>327</v>
      </c>
      <c r="F110" s="25">
        <v>2</v>
      </c>
      <c r="G110" s="48">
        <v>2</v>
      </c>
      <c r="H110" s="48">
        <v>81433</v>
      </c>
      <c r="I110" s="48" t="s">
        <v>17</v>
      </c>
      <c r="J110" s="50">
        <v>26467647</v>
      </c>
      <c r="K110" s="43" t="s">
        <v>648</v>
      </c>
      <c r="L110" s="58" t="s">
        <v>653</v>
      </c>
      <c r="M110" s="61">
        <v>299900</v>
      </c>
      <c r="N110" s="64">
        <v>0.9</v>
      </c>
      <c r="O110" s="36">
        <f t="shared" si="1"/>
        <v>44985</v>
      </c>
      <c r="P110" s="25" t="s">
        <v>0</v>
      </c>
    </row>
    <row r="111" spans="1:16" x14ac:dyDescent="0.3">
      <c r="A111" s="25" t="s">
        <v>3215</v>
      </c>
      <c r="B111" s="26">
        <v>46108</v>
      </c>
      <c r="C111" s="26">
        <v>46113</v>
      </c>
      <c r="D111" s="25">
        <v>3319</v>
      </c>
      <c r="E111" s="25">
        <v>327</v>
      </c>
      <c r="F111" s="25">
        <v>2</v>
      </c>
      <c r="G111" s="48">
        <v>2</v>
      </c>
      <c r="H111" s="48">
        <v>81433</v>
      </c>
      <c r="I111" s="48" t="s">
        <v>17</v>
      </c>
      <c r="J111" s="50">
        <v>26467656</v>
      </c>
      <c r="K111" s="43" t="s">
        <v>654</v>
      </c>
      <c r="L111" s="58" t="s">
        <v>655</v>
      </c>
      <c r="M111" s="61">
        <v>299900</v>
      </c>
      <c r="N111" s="64">
        <v>0.9</v>
      </c>
      <c r="O111" s="36">
        <f t="shared" si="1"/>
        <v>44985</v>
      </c>
      <c r="P111" s="25" t="s">
        <v>0</v>
      </c>
    </row>
    <row r="112" spans="1:16" x14ac:dyDescent="0.3">
      <c r="A112" s="25" t="s">
        <v>3215</v>
      </c>
      <c r="B112" s="26">
        <v>46108</v>
      </c>
      <c r="C112" s="26">
        <v>46113</v>
      </c>
      <c r="D112" s="25">
        <v>3319</v>
      </c>
      <c r="E112" s="25">
        <v>327</v>
      </c>
      <c r="F112" s="25">
        <v>2</v>
      </c>
      <c r="G112" s="48">
        <v>2</v>
      </c>
      <c r="H112" s="48">
        <v>81433</v>
      </c>
      <c r="I112" s="48" t="s">
        <v>17</v>
      </c>
      <c r="J112" s="50">
        <v>26467665</v>
      </c>
      <c r="K112" s="43" t="s">
        <v>654</v>
      </c>
      <c r="L112" s="58" t="s">
        <v>656</v>
      </c>
      <c r="M112" s="61">
        <v>299900</v>
      </c>
      <c r="N112" s="64">
        <v>0.9</v>
      </c>
      <c r="O112" s="36">
        <f t="shared" si="1"/>
        <v>44985</v>
      </c>
      <c r="P112" s="25" t="s">
        <v>0</v>
      </c>
    </row>
    <row r="113" spans="1:16" x14ac:dyDescent="0.3">
      <c r="A113" s="25" t="s">
        <v>3215</v>
      </c>
      <c r="B113" s="26">
        <v>46108</v>
      </c>
      <c r="C113" s="26">
        <v>46113</v>
      </c>
      <c r="D113" s="25">
        <v>3319</v>
      </c>
      <c r="E113" s="25">
        <v>327</v>
      </c>
      <c r="F113" s="25">
        <v>2</v>
      </c>
      <c r="G113" s="48">
        <v>2</v>
      </c>
      <c r="H113" s="48">
        <v>81433</v>
      </c>
      <c r="I113" s="48" t="s">
        <v>17</v>
      </c>
      <c r="J113" s="50">
        <v>26467674</v>
      </c>
      <c r="K113" s="43" t="s">
        <v>654</v>
      </c>
      <c r="L113" s="58" t="s">
        <v>657</v>
      </c>
      <c r="M113" s="61">
        <v>299900</v>
      </c>
      <c r="N113" s="64">
        <v>0.9</v>
      </c>
      <c r="O113" s="36">
        <f t="shared" si="1"/>
        <v>44985</v>
      </c>
      <c r="P113" s="25" t="s">
        <v>0</v>
      </c>
    </row>
    <row r="114" spans="1:16" x14ac:dyDescent="0.3">
      <c r="A114" s="25" t="s">
        <v>3215</v>
      </c>
      <c r="B114" s="26">
        <v>46108</v>
      </c>
      <c r="C114" s="26">
        <v>46113</v>
      </c>
      <c r="D114" s="25">
        <v>3319</v>
      </c>
      <c r="E114" s="25">
        <v>327</v>
      </c>
      <c r="F114" s="25">
        <v>2</v>
      </c>
      <c r="G114" s="48">
        <v>2</v>
      </c>
      <c r="H114" s="48">
        <v>81433</v>
      </c>
      <c r="I114" s="48" t="s">
        <v>17</v>
      </c>
      <c r="J114" s="50">
        <v>26467683</v>
      </c>
      <c r="K114" s="43" t="s">
        <v>654</v>
      </c>
      <c r="L114" s="58" t="s">
        <v>658</v>
      </c>
      <c r="M114" s="61">
        <v>299900</v>
      </c>
      <c r="N114" s="64">
        <v>0.9</v>
      </c>
      <c r="O114" s="36">
        <f t="shared" si="1"/>
        <v>44985</v>
      </c>
      <c r="P114" s="25" t="s">
        <v>0</v>
      </c>
    </row>
    <row r="115" spans="1:16" x14ac:dyDescent="0.3">
      <c r="A115" s="25" t="s">
        <v>3215</v>
      </c>
      <c r="B115" s="26">
        <v>46108</v>
      </c>
      <c r="C115" s="26">
        <v>46113</v>
      </c>
      <c r="D115" s="25">
        <v>3319</v>
      </c>
      <c r="E115" s="25">
        <v>327</v>
      </c>
      <c r="F115" s="25">
        <v>2</v>
      </c>
      <c r="G115" s="48">
        <v>2</v>
      </c>
      <c r="H115" s="48">
        <v>81433</v>
      </c>
      <c r="I115" s="48" t="s">
        <v>17</v>
      </c>
      <c r="J115" s="50">
        <v>26467692</v>
      </c>
      <c r="K115" s="43" t="s">
        <v>654</v>
      </c>
      <c r="L115" s="58" t="s">
        <v>659</v>
      </c>
      <c r="M115" s="61">
        <v>299900</v>
      </c>
      <c r="N115" s="64">
        <v>0.9</v>
      </c>
      <c r="O115" s="36">
        <f t="shared" si="1"/>
        <v>44985</v>
      </c>
      <c r="P115" s="25" t="s">
        <v>0</v>
      </c>
    </row>
    <row r="116" spans="1:16" x14ac:dyDescent="0.3">
      <c r="A116" s="25" t="s">
        <v>3215</v>
      </c>
      <c r="B116" s="26">
        <v>46108</v>
      </c>
      <c r="C116" s="26">
        <v>46113</v>
      </c>
      <c r="D116" s="25">
        <v>3319</v>
      </c>
      <c r="E116" s="25">
        <v>327</v>
      </c>
      <c r="F116" s="25">
        <v>2</v>
      </c>
      <c r="G116" s="48">
        <v>2</v>
      </c>
      <c r="H116" s="48">
        <v>81433</v>
      </c>
      <c r="I116" s="48" t="s">
        <v>17</v>
      </c>
      <c r="J116" s="50">
        <v>26776714</v>
      </c>
      <c r="K116" s="43" t="s">
        <v>660</v>
      </c>
      <c r="L116" s="58" t="s">
        <v>661</v>
      </c>
      <c r="M116" s="61">
        <v>319900</v>
      </c>
      <c r="N116" s="64">
        <v>0.9</v>
      </c>
      <c r="O116" s="36">
        <f t="shared" si="1"/>
        <v>47985</v>
      </c>
      <c r="P116" s="25" t="s">
        <v>0</v>
      </c>
    </row>
    <row r="117" spans="1:16" x14ac:dyDescent="0.3">
      <c r="A117" s="25" t="s">
        <v>3215</v>
      </c>
      <c r="B117" s="26">
        <v>46108</v>
      </c>
      <c r="C117" s="26">
        <v>46113</v>
      </c>
      <c r="D117" s="25">
        <v>3319</v>
      </c>
      <c r="E117" s="25">
        <v>327</v>
      </c>
      <c r="F117" s="25">
        <v>2</v>
      </c>
      <c r="G117" s="48">
        <v>2</v>
      </c>
      <c r="H117" s="48">
        <v>81433</v>
      </c>
      <c r="I117" s="48" t="s">
        <v>17</v>
      </c>
      <c r="J117" s="50">
        <v>26776723</v>
      </c>
      <c r="K117" s="43" t="s">
        <v>660</v>
      </c>
      <c r="L117" s="58" t="s">
        <v>662</v>
      </c>
      <c r="M117" s="61">
        <v>319900</v>
      </c>
      <c r="N117" s="64">
        <v>0.9</v>
      </c>
      <c r="O117" s="36">
        <f t="shared" si="1"/>
        <v>47985</v>
      </c>
      <c r="P117" s="25" t="s">
        <v>0</v>
      </c>
    </row>
    <row r="118" spans="1:16" x14ac:dyDescent="0.3">
      <c r="A118" s="25" t="s">
        <v>3215</v>
      </c>
      <c r="B118" s="26">
        <v>46108</v>
      </c>
      <c r="C118" s="26">
        <v>46113</v>
      </c>
      <c r="D118" s="25">
        <v>3319</v>
      </c>
      <c r="E118" s="25">
        <v>327</v>
      </c>
      <c r="F118" s="25">
        <v>2</v>
      </c>
      <c r="G118" s="48">
        <v>2</v>
      </c>
      <c r="H118" s="48">
        <v>81433</v>
      </c>
      <c r="I118" s="48" t="s">
        <v>17</v>
      </c>
      <c r="J118" s="50">
        <v>26776732</v>
      </c>
      <c r="K118" s="43" t="s">
        <v>660</v>
      </c>
      <c r="L118" s="58" t="s">
        <v>663</v>
      </c>
      <c r="M118" s="61">
        <v>319900</v>
      </c>
      <c r="N118" s="64">
        <v>0.9</v>
      </c>
      <c r="O118" s="36">
        <f t="shared" si="1"/>
        <v>47985</v>
      </c>
      <c r="P118" s="25" t="s">
        <v>0</v>
      </c>
    </row>
    <row r="119" spans="1:16" x14ac:dyDescent="0.3">
      <c r="A119" s="25" t="s">
        <v>3215</v>
      </c>
      <c r="B119" s="26">
        <v>46108</v>
      </c>
      <c r="C119" s="26">
        <v>46113</v>
      </c>
      <c r="D119" s="25">
        <v>3319</v>
      </c>
      <c r="E119" s="25">
        <v>327</v>
      </c>
      <c r="F119" s="25">
        <v>2</v>
      </c>
      <c r="G119" s="48">
        <v>2</v>
      </c>
      <c r="H119" s="48">
        <v>81433</v>
      </c>
      <c r="I119" s="48" t="s">
        <v>17</v>
      </c>
      <c r="J119" s="50">
        <v>26776741</v>
      </c>
      <c r="K119" s="43" t="s">
        <v>660</v>
      </c>
      <c r="L119" s="58" t="s">
        <v>664</v>
      </c>
      <c r="M119" s="61">
        <v>319900</v>
      </c>
      <c r="N119" s="64">
        <v>0.9</v>
      </c>
      <c r="O119" s="36">
        <f t="shared" si="1"/>
        <v>47985</v>
      </c>
      <c r="P119" s="25" t="s">
        <v>0</v>
      </c>
    </row>
    <row r="120" spans="1:16" x14ac:dyDescent="0.3">
      <c r="A120" s="25" t="s">
        <v>3215</v>
      </c>
      <c r="B120" s="26">
        <v>46108</v>
      </c>
      <c r="C120" s="26">
        <v>46113</v>
      </c>
      <c r="D120" s="25">
        <v>3319</v>
      </c>
      <c r="E120" s="25">
        <v>327</v>
      </c>
      <c r="F120" s="25">
        <v>2</v>
      </c>
      <c r="G120" s="48">
        <v>2</v>
      </c>
      <c r="H120" s="48">
        <v>81433</v>
      </c>
      <c r="I120" s="48" t="s">
        <v>17</v>
      </c>
      <c r="J120" s="50">
        <v>26776750</v>
      </c>
      <c r="K120" s="43" t="s">
        <v>660</v>
      </c>
      <c r="L120" s="58" t="s">
        <v>665</v>
      </c>
      <c r="M120" s="61">
        <v>319900</v>
      </c>
      <c r="N120" s="64">
        <v>0.9</v>
      </c>
      <c r="O120" s="36">
        <f t="shared" si="1"/>
        <v>47985</v>
      </c>
      <c r="P120" s="25" t="s">
        <v>0</v>
      </c>
    </row>
    <row r="121" spans="1:16" x14ac:dyDescent="0.3">
      <c r="A121" s="25" t="s">
        <v>3215</v>
      </c>
      <c r="B121" s="26">
        <v>46108</v>
      </c>
      <c r="C121" s="26">
        <v>46113</v>
      </c>
      <c r="D121" s="25">
        <v>3319</v>
      </c>
      <c r="E121" s="25">
        <v>327</v>
      </c>
      <c r="F121" s="25">
        <v>2</v>
      </c>
      <c r="G121" s="48">
        <v>1</v>
      </c>
      <c r="H121" s="48">
        <v>81433</v>
      </c>
      <c r="I121" s="48" t="s">
        <v>17</v>
      </c>
      <c r="J121" s="50">
        <v>25799755</v>
      </c>
      <c r="K121" s="43" t="s">
        <v>666</v>
      </c>
      <c r="L121" s="58" t="s">
        <v>667</v>
      </c>
      <c r="M121" s="61">
        <v>239900</v>
      </c>
      <c r="N121" s="64">
        <v>0.9</v>
      </c>
      <c r="O121" s="36">
        <f t="shared" si="1"/>
        <v>35985</v>
      </c>
      <c r="P121" s="25" t="s">
        <v>0</v>
      </c>
    </row>
    <row r="122" spans="1:16" x14ac:dyDescent="0.3">
      <c r="A122" s="25" t="s">
        <v>3215</v>
      </c>
      <c r="B122" s="26">
        <v>46108</v>
      </c>
      <c r="C122" s="26">
        <v>46113</v>
      </c>
      <c r="D122" s="25">
        <v>3319</v>
      </c>
      <c r="E122" s="25">
        <v>327</v>
      </c>
      <c r="F122" s="25">
        <v>2</v>
      </c>
      <c r="G122" s="48">
        <v>1</v>
      </c>
      <c r="H122" s="48">
        <v>81433</v>
      </c>
      <c r="I122" s="48" t="s">
        <v>17</v>
      </c>
      <c r="J122" s="50">
        <v>25799764</v>
      </c>
      <c r="K122" s="43" t="s">
        <v>666</v>
      </c>
      <c r="L122" s="58" t="s">
        <v>668</v>
      </c>
      <c r="M122" s="61">
        <v>239900</v>
      </c>
      <c r="N122" s="64">
        <v>0.9</v>
      </c>
      <c r="O122" s="36">
        <f t="shared" si="1"/>
        <v>35985</v>
      </c>
      <c r="P122" s="25" t="s">
        <v>0</v>
      </c>
    </row>
    <row r="123" spans="1:16" x14ac:dyDescent="0.3">
      <c r="A123" s="25" t="s">
        <v>3215</v>
      </c>
      <c r="B123" s="26">
        <v>46108</v>
      </c>
      <c r="C123" s="26">
        <v>46113</v>
      </c>
      <c r="D123" s="25">
        <v>3319</v>
      </c>
      <c r="E123" s="25">
        <v>327</v>
      </c>
      <c r="F123" s="25">
        <v>2</v>
      </c>
      <c r="G123" s="48">
        <v>1</v>
      </c>
      <c r="H123" s="48">
        <v>81433</v>
      </c>
      <c r="I123" s="48" t="s">
        <v>17</v>
      </c>
      <c r="J123" s="50">
        <v>25799773</v>
      </c>
      <c r="K123" s="43" t="s">
        <v>666</v>
      </c>
      <c r="L123" s="58" t="s">
        <v>669</v>
      </c>
      <c r="M123" s="61">
        <v>239900</v>
      </c>
      <c r="N123" s="64">
        <v>0.9</v>
      </c>
      <c r="O123" s="36">
        <f t="shared" si="1"/>
        <v>35985</v>
      </c>
      <c r="P123" s="25" t="s">
        <v>0</v>
      </c>
    </row>
    <row r="124" spans="1:16" x14ac:dyDescent="0.3">
      <c r="A124" s="25" t="s">
        <v>3215</v>
      </c>
      <c r="B124" s="26">
        <v>46108</v>
      </c>
      <c r="C124" s="26">
        <v>46113</v>
      </c>
      <c r="D124" s="25">
        <v>3319</v>
      </c>
      <c r="E124" s="25">
        <v>327</v>
      </c>
      <c r="F124" s="25">
        <v>2</v>
      </c>
      <c r="G124" s="48">
        <v>1</v>
      </c>
      <c r="H124" s="48">
        <v>81433</v>
      </c>
      <c r="I124" s="48" t="s">
        <v>17</v>
      </c>
      <c r="J124" s="50">
        <v>25799782</v>
      </c>
      <c r="K124" s="43" t="s">
        <v>666</v>
      </c>
      <c r="L124" s="58" t="s">
        <v>670</v>
      </c>
      <c r="M124" s="61">
        <v>239900</v>
      </c>
      <c r="N124" s="64">
        <v>0.9</v>
      </c>
      <c r="O124" s="36">
        <f t="shared" si="1"/>
        <v>35985</v>
      </c>
      <c r="P124" s="25" t="s">
        <v>0</v>
      </c>
    </row>
    <row r="125" spans="1:16" x14ac:dyDescent="0.3">
      <c r="A125" s="25" t="s">
        <v>3215</v>
      </c>
      <c r="B125" s="26">
        <v>46108</v>
      </c>
      <c r="C125" s="26">
        <v>46113</v>
      </c>
      <c r="D125" s="25">
        <v>3319</v>
      </c>
      <c r="E125" s="25">
        <v>327</v>
      </c>
      <c r="F125" s="25">
        <v>2</v>
      </c>
      <c r="G125" s="48">
        <v>1</v>
      </c>
      <c r="H125" s="48">
        <v>81433</v>
      </c>
      <c r="I125" s="48" t="s">
        <v>17</v>
      </c>
      <c r="J125" s="50">
        <v>25799791</v>
      </c>
      <c r="K125" s="43" t="s">
        <v>666</v>
      </c>
      <c r="L125" s="58" t="s">
        <v>671</v>
      </c>
      <c r="M125" s="61">
        <v>239900</v>
      </c>
      <c r="N125" s="64">
        <v>0.9</v>
      </c>
      <c r="O125" s="36">
        <f t="shared" si="1"/>
        <v>35985</v>
      </c>
      <c r="P125" s="25" t="s">
        <v>0</v>
      </c>
    </row>
    <row r="126" spans="1:16" x14ac:dyDescent="0.3">
      <c r="A126" s="25" t="s">
        <v>3215</v>
      </c>
      <c r="B126" s="26">
        <v>46108</v>
      </c>
      <c r="C126" s="26">
        <v>46113</v>
      </c>
      <c r="D126" s="25">
        <v>3319</v>
      </c>
      <c r="E126" s="25">
        <v>327</v>
      </c>
      <c r="F126" s="25">
        <v>2</v>
      </c>
      <c r="G126" s="48">
        <v>1</v>
      </c>
      <c r="H126" s="48">
        <v>81433</v>
      </c>
      <c r="I126" s="48" t="s">
        <v>17</v>
      </c>
      <c r="J126" s="50">
        <v>25799808</v>
      </c>
      <c r="K126" s="43" t="s">
        <v>672</v>
      </c>
      <c r="L126" s="58" t="s">
        <v>673</v>
      </c>
      <c r="M126" s="61">
        <v>239900</v>
      </c>
      <c r="N126" s="64">
        <v>0.9</v>
      </c>
      <c r="O126" s="36">
        <f t="shared" si="1"/>
        <v>35985</v>
      </c>
      <c r="P126" s="25" t="s">
        <v>0</v>
      </c>
    </row>
    <row r="127" spans="1:16" x14ac:dyDescent="0.3">
      <c r="A127" s="25" t="s">
        <v>3215</v>
      </c>
      <c r="B127" s="26">
        <v>46108</v>
      </c>
      <c r="C127" s="26">
        <v>46113</v>
      </c>
      <c r="D127" s="25">
        <v>3319</v>
      </c>
      <c r="E127" s="25">
        <v>327</v>
      </c>
      <c r="F127" s="25">
        <v>2</v>
      </c>
      <c r="G127" s="48">
        <v>1</v>
      </c>
      <c r="H127" s="48">
        <v>81433</v>
      </c>
      <c r="I127" s="48" t="s">
        <v>17</v>
      </c>
      <c r="J127" s="50">
        <v>25799826</v>
      </c>
      <c r="K127" s="43" t="s">
        <v>672</v>
      </c>
      <c r="L127" s="58" t="s">
        <v>674</v>
      </c>
      <c r="M127" s="61">
        <v>239900</v>
      </c>
      <c r="N127" s="64">
        <v>0.9</v>
      </c>
      <c r="O127" s="36">
        <f t="shared" si="1"/>
        <v>35985</v>
      </c>
      <c r="P127" s="25" t="s">
        <v>0</v>
      </c>
    </row>
    <row r="128" spans="1:16" x14ac:dyDescent="0.3">
      <c r="A128" s="25" t="s">
        <v>3215</v>
      </c>
      <c r="B128" s="26">
        <v>46108</v>
      </c>
      <c r="C128" s="26">
        <v>46113</v>
      </c>
      <c r="D128" s="25">
        <v>3319</v>
      </c>
      <c r="E128" s="25">
        <v>327</v>
      </c>
      <c r="F128" s="25">
        <v>2</v>
      </c>
      <c r="G128" s="48">
        <v>1</v>
      </c>
      <c r="H128" s="48">
        <v>81433</v>
      </c>
      <c r="I128" s="48" t="s">
        <v>17</v>
      </c>
      <c r="J128" s="50">
        <v>25799835</v>
      </c>
      <c r="K128" s="43" t="s">
        <v>672</v>
      </c>
      <c r="L128" s="58" t="s">
        <v>675</v>
      </c>
      <c r="M128" s="61">
        <v>239900</v>
      </c>
      <c r="N128" s="64">
        <v>0.9</v>
      </c>
      <c r="O128" s="36">
        <f t="shared" si="1"/>
        <v>35985</v>
      </c>
      <c r="P128" s="25" t="s">
        <v>0</v>
      </c>
    </row>
    <row r="129" spans="1:16" x14ac:dyDescent="0.3">
      <c r="A129" s="25" t="s">
        <v>3215</v>
      </c>
      <c r="B129" s="26">
        <v>46108</v>
      </c>
      <c r="C129" s="26">
        <v>46113</v>
      </c>
      <c r="D129" s="25">
        <v>3319</v>
      </c>
      <c r="E129" s="25">
        <v>327</v>
      </c>
      <c r="F129" s="25">
        <v>2</v>
      </c>
      <c r="G129" s="48">
        <v>1</v>
      </c>
      <c r="H129" s="48">
        <v>81433</v>
      </c>
      <c r="I129" s="48" t="s">
        <v>17</v>
      </c>
      <c r="J129" s="50">
        <v>25799844</v>
      </c>
      <c r="K129" s="43" t="s">
        <v>672</v>
      </c>
      <c r="L129" s="58" t="s">
        <v>676</v>
      </c>
      <c r="M129" s="61">
        <v>239900</v>
      </c>
      <c r="N129" s="64">
        <v>0.9</v>
      </c>
      <c r="O129" s="36">
        <f t="shared" si="1"/>
        <v>35985</v>
      </c>
      <c r="P129" s="25" t="s">
        <v>0</v>
      </c>
    </row>
    <row r="130" spans="1:16" x14ac:dyDescent="0.3">
      <c r="A130" s="25" t="s">
        <v>3215</v>
      </c>
      <c r="B130" s="26">
        <v>46108</v>
      </c>
      <c r="C130" s="26">
        <v>46113</v>
      </c>
      <c r="D130" s="25">
        <v>3319</v>
      </c>
      <c r="E130" s="25">
        <v>327</v>
      </c>
      <c r="F130" s="25">
        <v>2</v>
      </c>
      <c r="G130" s="48">
        <v>1</v>
      </c>
      <c r="H130" s="48">
        <v>81433</v>
      </c>
      <c r="I130" s="48" t="s">
        <v>17</v>
      </c>
      <c r="J130" s="50">
        <v>25799853</v>
      </c>
      <c r="K130" s="43" t="s">
        <v>677</v>
      </c>
      <c r="L130" s="58" t="s">
        <v>678</v>
      </c>
      <c r="M130" s="61">
        <v>239900</v>
      </c>
      <c r="N130" s="64">
        <v>0.9</v>
      </c>
      <c r="O130" s="36">
        <f t="shared" si="1"/>
        <v>35985</v>
      </c>
      <c r="P130" s="25" t="s">
        <v>0</v>
      </c>
    </row>
    <row r="131" spans="1:16" x14ac:dyDescent="0.3">
      <c r="A131" s="25" t="s">
        <v>3215</v>
      </c>
      <c r="B131" s="26">
        <v>46108</v>
      </c>
      <c r="C131" s="26">
        <v>46113</v>
      </c>
      <c r="D131" s="25">
        <v>3319</v>
      </c>
      <c r="E131" s="25">
        <v>327</v>
      </c>
      <c r="F131" s="25">
        <v>2</v>
      </c>
      <c r="G131" s="48">
        <v>1</v>
      </c>
      <c r="H131" s="48">
        <v>81433</v>
      </c>
      <c r="I131" s="48" t="s">
        <v>17</v>
      </c>
      <c r="J131" s="50">
        <v>25799862</v>
      </c>
      <c r="K131" s="43" t="s">
        <v>677</v>
      </c>
      <c r="L131" s="58" t="s">
        <v>679</v>
      </c>
      <c r="M131" s="61">
        <v>239900</v>
      </c>
      <c r="N131" s="64">
        <v>0.9</v>
      </c>
      <c r="O131" s="36">
        <f t="shared" ref="O131:O194" si="2">M131*15%</f>
        <v>35985</v>
      </c>
      <c r="P131" s="25" t="s">
        <v>0</v>
      </c>
    </row>
    <row r="132" spans="1:16" x14ac:dyDescent="0.3">
      <c r="A132" s="25" t="s">
        <v>3215</v>
      </c>
      <c r="B132" s="26">
        <v>46108</v>
      </c>
      <c r="C132" s="26">
        <v>46113</v>
      </c>
      <c r="D132" s="25">
        <v>3319</v>
      </c>
      <c r="E132" s="25">
        <v>327</v>
      </c>
      <c r="F132" s="25">
        <v>2</v>
      </c>
      <c r="G132" s="48">
        <v>1</v>
      </c>
      <c r="H132" s="48">
        <v>81433</v>
      </c>
      <c r="I132" s="48" t="s">
        <v>17</v>
      </c>
      <c r="J132" s="50">
        <v>25799871</v>
      </c>
      <c r="K132" s="43" t="s">
        <v>677</v>
      </c>
      <c r="L132" s="58" t="s">
        <v>680</v>
      </c>
      <c r="M132" s="61">
        <v>239900</v>
      </c>
      <c r="N132" s="64">
        <v>0.9</v>
      </c>
      <c r="O132" s="36">
        <f t="shared" si="2"/>
        <v>35985</v>
      </c>
      <c r="P132" s="25" t="s">
        <v>0</v>
      </c>
    </row>
    <row r="133" spans="1:16" x14ac:dyDescent="0.3">
      <c r="A133" s="25" t="s">
        <v>3215</v>
      </c>
      <c r="B133" s="26">
        <v>46108</v>
      </c>
      <c r="C133" s="26">
        <v>46113</v>
      </c>
      <c r="D133" s="25">
        <v>3319</v>
      </c>
      <c r="E133" s="25">
        <v>327</v>
      </c>
      <c r="F133" s="25">
        <v>2</v>
      </c>
      <c r="G133" s="48">
        <v>1</v>
      </c>
      <c r="H133" s="48">
        <v>81433</v>
      </c>
      <c r="I133" s="48" t="s">
        <v>17</v>
      </c>
      <c r="J133" s="50">
        <v>25799880</v>
      </c>
      <c r="K133" s="43" t="s">
        <v>677</v>
      </c>
      <c r="L133" s="58" t="s">
        <v>681</v>
      </c>
      <c r="M133" s="61">
        <v>239900</v>
      </c>
      <c r="N133" s="64">
        <v>0.9</v>
      </c>
      <c r="O133" s="36">
        <f t="shared" si="2"/>
        <v>35985</v>
      </c>
      <c r="P133" s="25" t="s">
        <v>0</v>
      </c>
    </row>
    <row r="134" spans="1:16" x14ac:dyDescent="0.3">
      <c r="A134" s="25" t="s">
        <v>3215</v>
      </c>
      <c r="B134" s="26">
        <v>46108</v>
      </c>
      <c r="C134" s="26">
        <v>46113</v>
      </c>
      <c r="D134" s="25">
        <v>3319</v>
      </c>
      <c r="E134" s="25">
        <v>327</v>
      </c>
      <c r="F134" s="25">
        <v>2</v>
      </c>
      <c r="G134" s="48">
        <v>1</v>
      </c>
      <c r="H134" s="48">
        <v>81433</v>
      </c>
      <c r="I134" s="48" t="s">
        <v>17</v>
      </c>
      <c r="J134" s="48">
        <v>25799899</v>
      </c>
      <c r="K134" s="43" t="s">
        <v>677</v>
      </c>
      <c r="L134" s="58" t="s">
        <v>682</v>
      </c>
      <c r="M134" s="61">
        <v>239900</v>
      </c>
      <c r="N134" s="64">
        <v>0.9</v>
      </c>
      <c r="O134" s="36">
        <f t="shared" si="2"/>
        <v>35985</v>
      </c>
      <c r="P134" s="25" t="s">
        <v>0</v>
      </c>
    </row>
    <row r="135" spans="1:16" x14ac:dyDescent="0.3">
      <c r="A135" s="25" t="s">
        <v>3215</v>
      </c>
      <c r="B135" s="26">
        <v>46108</v>
      </c>
      <c r="C135" s="26">
        <v>46113</v>
      </c>
      <c r="D135" s="25">
        <v>3319</v>
      </c>
      <c r="E135" s="25">
        <v>327</v>
      </c>
      <c r="F135" s="25">
        <v>2</v>
      </c>
      <c r="G135" s="48">
        <v>1</v>
      </c>
      <c r="H135" s="48">
        <v>81433</v>
      </c>
      <c r="I135" s="48" t="s">
        <v>17</v>
      </c>
      <c r="J135" s="48">
        <v>28701200</v>
      </c>
      <c r="K135" s="43" t="s">
        <v>683</v>
      </c>
      <c r="L135" s="58" t="s">
        <v>684</v>
      </c>
      <c r="M135" s="61">
        <v>199900</v>
      </c>
      <c r="N135" s="64">
        <v>0.9</v>
      </c>
      <c r="O135" s="36">
        <f t="shared" si="2"/>
        <v>29985</v>
      </c>
      <c r="P135" s="25" t="s">
        <v>0</v>
      </c>
    </row>
    <row r="136" spans="1:16" x14ac:dyDescent="0.3">
      <c r="A136" s="25" t="s">
        <v>3215</v>
      </c>
      <c r="B136" s="26">
        <v>46108</v>
      </c>
      <c r="C136" s="26">
        <v>46113</v>
      </c>
      <c r="D136" s="25">
        <v>3319</v>
      </c>
      <c r="E136" s="25">
        <v>327</v>
      </c>
      <c r="F136" s="25">
        <v>2</v>
      </c>
      <c r="G136" s="48">
        <v>1</v>
      </c>
      <c r="H136" s="48">
        <v>81433</v>
      </c>
      <c r="I136" s="48" t="s">
        <v>17</v>
      </c>
      <c r="J136" s="48">
        <v>28701219</v>
      </c>
      <c r="K136" s="43" t="s">
        <v>683</v>
      </c>
      <c r="L136" s="58" t="s">
        <v>685</v>
      </c>
      <c r="M136" s="61">
        <v>199900</v>
      </c>
      <c r="N136" s="64">
        <v>0.9</v>
      </c>
      <c r="O136" s="36">
        <f t="shared" si="2"/>
        <v>29985</v>
      </c>
      <c r="P136" s="25" t="s">
        <v>0</v>
      </c>
    </row>
    <row r="137" spans="1:16" x14ac:dyDescent="0.3">
      <c r="A137" s="25" t="s">
        <v>3215</v>
      </c>
      <c r="B137" s="26">
        <v>46108</v>
      </c>
      <c r="C137" s="26">
        <v>46113</v>
      </c>
      <c r="D137" s="25">
        <v>3319</v>
      </c>
      <c r="E137" s="25">
        <v>327</v>
      </c>
      <c r="F137" s="25">
        <v>2</v>
      </c>
      <c r="G137" s="48">
        <v>1</v>
      </c>
      <c r="H137" s="48">
        <v>81433</v>
      </c>
      <c r="I137" s="48" t="s">
        <v>17</v>
      </c>
      <c r="J137" s="48">
        <v>28701228</v>
      </c>
      <c r="K137" s="43" t="s">
        <v>683</v>
      </c>
      <c r="L137" s="58" t="s">
        <v>686</v>
      </c>
      <c r="M137" s="61">
        <v>199900</v>
      </c>
      <c r="N137" s="64">
        <v>0.9</v>
      </c>
      <c r="O137" s="36">
        <f t="shared" si="2"/>
        <v>29985</v>
      </c>
      <c r="P137" s="25" t="s">
        <v>0</v>
      </c>
    </row>
    <row r="138" spans="1:16" x14ac:dyDescent="0.3">
      <c r="A138" s="25" t="s">
        <v>3215</v>
      </c>
      <c r="B138" s="26">
        <v>46108</v>
      </c>
      <c r="C138" s="26">
        <v>46113</v>
      </c>
      <c r="D138" s="25">
        <v>3319</v>
      </c>
      <c r="E138" s="25">
        <v>327</v>
      </c>
      <c r="F138" s="25">
        <v>2</v>
      </c>
      <c r="G138" s="48">
        <v>1</v>
      </c>
      <c r="H138" s="48">
        <v>81433</v>
      </c>
      <c r="I138" s="48" t="s">
        <v>17</v>
      </c>
      <c r="J138" s="48">
        <v>28701237</v>
      </c>
      <c r="K138" s="43" t="s">
        <v>683</v>
      </c>
      <c r="L138" s="58" t="s">
        <v>687</v>
      </c>
      <c r="M138" s="61">
        <v>199900</v>
      </c>
      <c r="N138" s="64">
        <v>0.9</v>
      </c>
      <c r="O138" s="36">
        <f t="shared" si="2"/>
        <v>29985</v>
      </c>
      <c r="P138" s="25" t="s">
        <v>0</v>
      </c>
    </row>
    <row r="139" spans="1:16" x14ac:dyDescent="0.3">
      <c r="A139" s="25" t="s">
        <v>3215</v>
      </c>
      <c r="B139" s="26">
        <v>46108</v>
      </c>
      <c r="C139" s="26">
        <v>46113</v>
      </c>
      <c r="D139" s="25">
        <v>3319</v>
      </c>
      <c r="E139" s="25">
        <v>327</v>
      </c>
      <c r="F139" s="25">
        <v>2</v>
      </c>
      <c r="G139" s="48">
        <v>1</v>
      </c>
      <c r="H139" s="48">
        <v>81433</v>
      </c>
      <c r="I139" s="48" t="s">
        <v>17</v>
      </c>
      <c r="J139" s="48">
        <v>28701246</v>
      </c>
      <c r="K139" s="43" t="s">
        <v>683</v>
      </c>
      <c r="L139" s="58" t="s">
        <v>688</v>
      </c>
      <c r="M139" s="61">
        <v>199900</v>
      </c>
      <c r="N139" s="64">
        <v>0.9</v>
      </c>
      <c r="O139" s="36">
        <f t="shared" si="2"/>
        <v>29985</v>
      </c>
      <c r="P139" s="25" t="s">
        <v>0</v>
      </c>
    </row>
    <row r="140" spans="1:16" x14ac:dyDescent="0.3">
      <c r="A140" s="25" t="s">
        <v>3215</v>
      </c>
      <c r="B140" s="26">
        <v>46108</v>
      </c>
      <c r="C140" s="26">
        <v>46113</v>
      </c>
      <c r="D140" s="25">
        <v>3319</v>
      </c>
      <c r="E140" s="25">
        <v>327</v>
      </c>
      <c r="F140" s="25">
        <v>2</v>
      </c>
      <c r="G140" s="48">
        <v>1</v>
      </c>
      <c r="H140" s="48">
        <v>81433</v>
      </c>
      <c r="I140" s="48" t="s">
        <v>17</v>
      </c>
      <c r="J140" s="48">
        <v>26734509</v>
      </c>
      <c r="K140" s="43" t="s">
        <v>689</v>
      </c>
      <c r="L140" s="58" t="s">
        <v>690</v>
      </c>
      <c r="M140" s="61">
        <v>199900</v>
      </c>
      <c r="N140" s="64">
        <v>0.9</v>
      </c>
      <c r="O140" s="36">
        <f t="shared" si="2"/>
        <v>29985</v>
      </c>
      <c r="P140" s="25" t="s">
        <v>0</v>
      </c>
    </row>
    <row r="141" spans="1:16" x14ac:dyDescent="0.3">
      <c r="A141" s="25" t="s">
        <v>3215</v>
      </c>
      <c r="B141" s="26">
        <v>46108</v>
      </c>
      <c r="C141" s="26">
        <v>46113</v>
      </c>
      <c r="D141" s="25">
        <v>3319</v>
      </c>
      <c r="E141" s="25">
        <v>327</v>
      </c>
      <c r="F141" s="25">
        <v>2</v>
      </c>
      <c r="G141" s="48">
        <v>1</v>
      </c>
      <c r="H141" s="48">
        <v>81433</v>
      </c>
      <c r="I141" s="48" t="s">
        <v>17</v>
      </c>
      <c r="J141" s="48">
        <v>26734518</v>
      </c>
      <c r="K141" s="43" t="s">
        <v>689</v>
      </c>
      <c r="L141" s="58" t="s">
        <v>691</v>
      </c>
      <c r="M141" s="61">
        <v>199900</v>
      </c>
      <c r="N141" s="64">
        <v>0.9</v>
      </c>
      <c r="O141" s="36">
        <f t="shared" si="2"/>
        <v>29985</v>
      </c>
      <c r="P141" s="25" t="s">
        <v>0</v>
      </c>
    </row>
    <row r="142" spans="1:16" x14ac:dyDescent="0.3">
      <c r="A142" s="25" t="s">
        <v>3215</v>
      </c>
      <c r="B142" s="26">
        <v>46108</v>
      </c>
      <c r="C142" s="26">
        <v>46113</v>
      </c>
      <c r="D142" s="25">
        <v>3319</v>
      </c>
      <c r="E142" s="25">
        <v>327</v>
      </c>
      <c r="F142" s="25">
        <v>2</v>
      </c>
      <c r="G142" s="48">
        <v>1</v>
      </c>
      <c r="H142" s="48">
        <v>81433</v>
      </c>
      <c r="I142" s="48" t="s">
        <v>17</v>
      </c>
      <c r="J142" s="48">
        <v>26734527</v>
      </c>
      <c r="K142" s="43" t="s">
        <v>689</v>
      </c>
      <c r="L142" s="58" t="s">
        <v>692</v>
      </c>
      <c r="M142" s="61">
        <v>199900</v>
      </c>
      <c r="N142" s="64">
        <v>0.9</v>
      </c>
      <c r="O142" s="36">
        <f t="shared" si="2"/>
        <v>29985</v>
      </c>
      <c r="P142" s="25" t="s">
        <v>0</v>
      </c>
    </row>
    <row r="143" spans="1:16" x14ac:dyDescent="0.3">
      <c r="A143" s="25" t="s">
        <v>3215</v>
      </c>
      <c r="B143" s="26">
        <v>46108</v>
      </c>
      <c r="C143" s="26">
        <v>46113</v>
      </c>
      <c r="D143" s="25">
        <v>3319</v>
      </c>
      <c r="E143" s="25">
        <v>327</v>
      </c>
      <c r="F143" s="25">
        <v>2</v>
      </c>
      <c r="G143" s="48">
        <v>1</v>
      </c>
      <c r="H143" s="48">
        <v>81433</v>
      </c>
      <c r="I143" s="48" t="s">
        <v>17</v>
      </c>
      <c r="J143" s="48">
        <v>26734536</v>
      </c>
      <c r="K143" s="43" t="s">
        <v>689</v>
      </c>
      <c r="L143" s="58" t="s">
        <v>693</v>
      </c>
      <c r="M143" s="61">
        <v>199900</v>
      </c>
      <c r="N143" s="64">
        <v>0.9</v>
      </c>
      <c r="O143" s="36">
        <f t="shared" si="2"/>
        <v>29985</v>
      </c>
      <c r="P143" s="25" t="s">
        <v>0</v>
      </c>
    </row>
    <row r="144" spans="1:16" x14ac:dyDescent="0.3">
      <c r="A144" s="25" t="s">
        <v>3215</v>
      </c>
      <c r="B144" s="26">
        <v>46108</v>
      </c>
      <c r="C144" s="26">
        <v>46113</v>
      </c>
      <c r="D144" s="25">
        <v>3319</v>
      </c>
      <c r="E144" s="25">
        <v>327</v>
      </c>
      <c r="F144" s="25">
        <v>2</v>
      </c>
      <c r="G144" s="48">
        <v>1</v>
      </c>
      <c r="H144" s="48">
        <v>81433</v>
      </c>
      <c r="I144" s="48" t="s">
        <v>17</v>
      </c>
      <c r="J144" s="48">
        <v>26734545</v>
      </c>
      <c r="K144" s="43" t="s">
        <v>689</v>
      </c>
      <c r="L144" s="58" t="s">
        <v>694</v>
      </c>
      <c r="M144" s="61">
        <v>199900</v>
      </c>
      <c r="N144" s="64">
        <v>0.9</v>
      </c>
      <c r="O144" s="36">
        <f t="shared" si="2"/>
        <v>29985</v>
      </c>
      <c r="P144" s="25" t="s">
        <v>0</v>
      </c>
    </row>
    <row r="145" spans="1:16" x14ac:dyDescent="0.3">
      <c r="A145" s="25" t="s">
        <v>3215</v>
      </c>
      <c r="B145" s="26">
        <v>46108</v>
      </c>
      <c r="C145" s="26">
        <v>46113</v>
      </c>
      <c r="D145" s="25">
        <v>3319</v>
      </c>
      <c r="E145" s="25">
        <v>327</v>
      </c>
      <c r="F145" s="25">
        <v>2</v>
      </c>
      <c r="G145" s="48">
        <v>1</v>
      </c>
      <c r="H145" s="48">
        <v>81433</v>
      </c>
      <c r="I145" s="48" t="s">
        <v>17</v>
      </c>
      <c r="J145" s="48">
        <v>26775760</v>
      </c>
      <c r="K145" s="43" t="s">
        <v>695</v>
      </c>
      <c r="L145" s="58" t="s">
        <v>696</v>
      </c>
      <c r="M145" s="61">
        <v>259900</v>
      </c>
      <c r="N145" s="64">
        <v>0.9</v>
      </c>
      <c r="O145" s="36">
        <f t="shared" si="2"/>
        <v>38985</v>
      </c>
      <c r="P145" s="25" t="s">
        <v>0</v>
      </c>
    </row>
    <row r="146" spans="1:16" x14ac:dyDescent="0.3">
      <c r="A146" s="25" t="s">
        <v>3215</v>
      </c>
      <c r="B146" s="26">
        <v>46108</v>
      </c>
      <c r="C146" s="26">
        <v>46113</v>
      </c>
      <c r="D146" s="25">
        <v>3319</v>
      </c>
      <c r="E146" s="25">
        <v>327</v>
      </c>
      <c r="F146" s="25">
        <v>2</v>
      </c>
      <c r="G146" s="48">
        <v>1</v>
      </c>
      <c r="H146" s="48">
        <v>81433</v>
      </c>
      <c r="I146" s="48" t="s">
        <v>17</v>
      </c>
      <c r="J146" s="48">
        <v>26775779</v>
      </c>
      <c r="K146" s="43" t="s">
        <v>695</v>
      </c>
      <c r="L146" s="58" t="s">
        <v>697</v>
      </c>
      <c r="M146" s="61">
        <v>259900</v>
      </c>
      <c r="N146" s="64">
        <v>0.9</v>
      </c>
      <c r="O146" s="36">
        <f t="shared" si="2"/>
        <v>38985</v>
      </c>
      <c r="P146" s="25" t="s">
        <v>0</v>
      </c>
    </row>
    <row r="147" spans="1:16" x14ac:dyDescent="0.3">
      <c r="A147" s="25" t="s">
        <v>3215</v>
      </c>
      <c r="B147" s="26">
        <v>46108</v>
      </c>
      <c r="C147" s="26">
        <v>46113</v>
      </c>
      <c r="D147" s="25">
        <v>3319</v>
      </c>
      <c r="E147" s="25">
        <v>327</v>
      </c>
      <c r="F147" s="25">
        <v>2</v>
      </c>
      <c r="G147" s="48">
        <v>1</v>
      </c>
      <c r="H147" s="48">
        <v>81433</v>
      </c>
      <c r="I147" s="48" t="s">
        <v>17</v>
      </c>
      <c r="J147" s="48">
        <v>26775788</v>
      </c>
      <c r="K147" s="43" t="s">
        <v>695</v>
      </c>
      <c r="L147" s="58" t="s">
        <v>698</v>
      </c>
      <c r="M147" s="61">
        <v>259900</v>
      </c>
      <c r="N147" s="64">
        <v>0.9</v>
      </c>
      <c r="O147" s="36">
        <f t="shared" si="2"/>
        <v>38985</v>
      </c>
      <c r="P147" s="25" t="s">
        <v>0</v>
      </c>
    </row>
    <row r="148" spans="1:16" x14ac:dyDescent="0.3">
      <c r="A148" s="25" t="s">
        <v>3215</v>
      </c>
      <c r="B148" s="26">
        <v>46108</v>
      </c>
      <c r="C148" s="26">
        <v>46113</v>
      </c>
      <c r="D148" s="25">
        <v>3319</v>
      </c>
      <c r="E148" s="25">
        <v>327</v>
      </c>
      <c r="F148" s="25">
        <v>2</v>
      </c>
      <c r="G148" s="48">
        <v>1</v>
      </c>
      <c r="H148" s="48">
        <v>81433</v>
      </c>
      <c r="I148" s="48" t="s">
        <v>17</v>
      </c>
      <c r="J148" s="48">
        <v>26775797</v>
      </c>
      <c r="K148" s="43" t="s">
        <v>695</v>
      </c>
      <c r="L148" s="58" t="s">
        <v>699</v>
      </c>
      <c r="M148" s="61">
        <v>259900</v>
      </c>
      <c r="N148" s="64">
        <v>0.9</v>
      </c>
      <c r="O148" s="36">
        <f t="shared" si="2"/>
        <v>38985</v>
      </c>
      <c r="P148" s="25" t="s">
        <v>0</v>
      </c>
    </row>
    <row r="149" spans="1:16" x14ac:dyDescent="0.3">
      <c r="A149" s="25" t="s">
        <v>3215</v>
      </c>
      <c r="B149" s="26">
        <v>46108</v>
      </c>
      <c r="C149" s="26">
        <v>46113</v>
      </c>
      <c r="D149" s="25">
        <v>3319</v>
      </c>
      <c r="E149" s="25">
        <v>327</v>
      </c>
      <c r="F149" s="25">
        <v>2</v>
      </c>
      <c r="G149" s="48">
        <v>1</v>
      </c>
      <c r="H149" s="48">
        <v>81433</v>
      </c>
      <c r="I149" s="48" t="s">
        <v>17</v>
      </c>
      <c r="J149" s="48">
        <v>26775804</v>
      </c>
      <c r="K149" s="43" t="s">
        <v>695</v>
      </c>
      <c r="L149" s="58" t="s">
        <v>700</v>
      </c>
      <c r="M149" s="61">
        <v>259900</v>
      </c>
      <c r="N149" s="64">
        <v>0.9</v>
      </c>
      <c r="O149" s="36">
        <f t="shared" si="2"/>
        <v>38985</v>
      </c>
      <c r="P149" s="25" t="s">
        <v>0</v>
      </c>
    </row>
    <row r="150" spans="1:16" x14ac:dyDescent="0.3">
      <c r="A150" s="25" t="s">
        <v>3215</v>
      </c>
      <c r="B150" s="26">
        <v>46108</v>
      </c>
      <c r="C150" s="26">
        <v>46113</v>
      </c>
      <c r="D150" s="25">
        <v>3319</v>
      </c>
      <c r="E150" s="25">
        <v>327</v>
      </c>
      <c r="F150" s="25">
        <v>2</v>
      </c>
      <c r="G150" s="48">
        <v>1</v>
      </c>
      <c r="H150" s="48">
        <v>81433</v>
      </c>
      <c r="I150" s="48" t="s">
        <v>17</v>
      </c>
      <c r="J150" s="48">
        <v>26775813</v>
      </c>
      <c r="K150" s="43" t="s">
        <v>695</v>
      </c>
      <c r="L150" s="58" t="s">
        <v>701</v>
      </c>
      <c r="M150" s="61">
        <v>259900</v>
      </c>
      <c r="N150" s="64">
        <v>0.9</v>
      </c>
      <c r="O150" s="36">
        <f t="shared" si="2"/>
        <v>38985</v>
      </c>
      <c r="P150" s="25" t="s">
        <v>0</v>
      </c>
    </row>
    <row r="151" spans="1:16" x14ac:dyDescent="0.3">
      <c r="A151" s="25" t="s">
        <v>3215</v>
      </c>
      <c r="B151" s="26">
        <v>46108</v>
      </c>
      <c r="C151" s="26">
        <v>46113</v>
      </c>
      <c r="D151" s="25">
        <v>3319</v>
      </c>
      <c r="E151" s="25">
        <v>327</v>
      </c>
      <c r="F151" s="25">
        <v>2</v>
      </c>
      <c r="G151" s="48">
        <v>1</v>
      </c>
      <c r="H151" s="48">
        <v>81433</v>
      </c>
      <c r="I151" s="48" t="s">
        <v>17</v>
      </c>
      <c r="J151" s="48">
        <v>26775822</v>
      </c>
      <c r="K151" s="43" t="s">
        <v>695</v>
      </c>
      <c r="L151" s="58" t="s">
        <v>702</v>
      </c>
      <c r="M151" s="61">
        <v>259900</v>
      </c>
      <c r="N151" s="64">
        <v>0.9</v>
      </c>
      <c r="O151" s="36">
        <f t="shared" si="2"/>
        <v>38985</v>
      </c>
      <c r="P151" s="25" t="s">
        <v>0</v>
      </c>
    </row>
    <row r="152" spans="1:16" x14ac:dyDescent="0.3">
      <c r="A152" s="25" t="s">
        <v>3215</v>
      </c>
      <c r="B152" s="26">
        <v>46108</v>
      </c>
      <c r="C152" s="26">
        <v>46113</v>
      </c>
      <c r="D152" s="25">
        <v>3319</v>
      </c>
      <c r="E152" s="25">
        <v>327</v>
      </c>
      <c r="F152" s="25">
        <v>2</v>
      </c>
      <c r="G152" s="48">
        <v>1</v>
      </c>
      <c r="H152" s="48">
        <v>81433</v>
      </c>
      <c r="I152" s="48" t="s">
        <v>17</v>
      </c>
      <c r="J152" s="48">
        <v>26775831</v>
      </c>
      <c r="K152" s="43" t="s">
        <v>695</v>
      </c>
      <c r="L152" s="58" t="s">
        <v>703</v>
      </c>
      <c r="M152" s="61">
        <v>259900</v>
      </c>
      <c r="N152" s="64">
        <v>0.9</v>
      </c>
      <c r="O152" s="36">
        <f t="shared" si="2"/>
        <v>38985</v>
      </c>
      <c r="P152" s="25" t="s">
        <v>0</v>
      </c>
    </row>
    <row r="153" spans="1:16" x14ac:dyDescent="0.3">
      <c r="A153" s="25" t="s">
        <v>3215</v>
      </c>
      <c r="B153" s="26">
        <v>46108</v>
      </c>
      <c r="C153" s="26">
        <v>46113</v>
      </c>
      <c r="D153" s="25">
        <v>3319</v>
      </c>
      <c r="E153" s="25">
        <v>327</v>
      </c>
      <c r="F153" s="25">
        <v>2</v>
      </c>
      <c r="G153" s="48">
        <v>1</v>
      </c>
      <c r="H153" s="48">
        <v>81433</v>
      </c>
      <c r="I153" s="48" t="s">
        <v>17</v>
      </c>
      <c r="J153" s="48">
        <v>26775840</v>
      </c>
      <c r="K153" s="43" t="s">
        <v>695</v>
      </c>
      <c r="L153" s="58" t="s">
        <v>704</v>
      </c>
      <c r="M153" s="61">
        <v>259900</v>
      </c>
      <c r="N153" s="64">
        <v>0.9</v>
      </c>
      <c r="O153" s="36">
        <f t="shared" si="2"/>
        <v>38985</v>
      </c>
      <c r="P153" s="25" t="s">
        <v>0</v>
      </c>
    </row>
    <row r="154" spans="1:16" x14ac:dyDescent="0.3">
      <c r="A154" s="25" t="s">
        <v>3215</v>
      </c>
      <c r="B154" s="26">
        <v>46108</v>
      </c>
      <c r="C154" s="26">
        <v>46113</v>
      </c>
      <c r="D154" s="25">
        <v>3319</v>
      </c>
      <c r="E154" s="25">
        <v>327</v>
      </c>
      <c r="F154" s="25">
        <v>2</v>
      </c>
      <c r="G154" s="48">
        <v>1</v>
      </c>
      <c r="H154" s="48">
        <v>81433</v>
      </c>
      <c r="I154" s="48" t="s">
        <v>17</v>
      </c>
      <c r="J154" s="48">
        <v>26775859</v>
      </c>
      <c r="K154" s="43" t="s">
        <v>695</v>
      </c>
      <c r="L154" s="58" t="s">
        <v>705</v>
      </c>
      <c r="M154" s="61">
        <v>259900</v>
      </c>
      <c r="N154" s="64">
        <v>0.9</v>
      </c>
      <c r="O154" s="36">
        <f t="shared" si="2"/>
        <v>38985</v>
      </c>
      <c r="P154" s="25" t="s">
        <v>0</v>
      </c>
    </row>
    <row r="155" spans="1:16" x14ac:dyDescent="0.3">
      <c r="A155" s="25" t="s">
        <v>3215</v>
      </c>
      <c r="B155" s="26">
        <v>46108</v>
      </c>
      <c r="C155" s="26">
        <v>46113</v>
      </c>
      <c r="D155" s="25">
        <v>3319</v>
      </c>
      <c r="E155" s="25">
        <v>327</v>
      </c>
      <c r="F155" s="25">
        <v>2</v>
      </c>
      <c r="G155" s="48">
        <v>1</v>
      </c>
      <c r="H155" s="48">
        <v>81433</v>
      </c>
      <c r="I155" s="48" t="s">
        <v>17</v>
      </c>
      <c r="J155" s="48">
        <v>27042844</v>
      </c>
      <c r="K155" s="43" t="s">
        <v>706</v>
      </c>
      <c r="L155" s="58" t="s">
        <v>707</v>
      </c>
      <c r="M155" s="61">
        <v>239900</v>
      </c>
      <c r="N155" s="64">
        <v>0.9</v>
      </c>
      <c r="O155" s="36">
        <f t="shared" si="2"/>
        <v>35985</v>
      </c>
      <c r="P155" s="25" t="s">
        <v>0</v>
      </c>
    </row>
    <row r="156" spans="1:16" x14ac:dyDescent="0.3">
      <c r="A156" s="25" t="s">
        <v>3215</v>
      </c>
      <c r="B156" s="26">
        <v>46108</v>
      </c>
      <c r="C156" s="26">
        <v>46113</v>
      </c>
      <c r="D156" s="25">
        <v>3319</v>
      </c>
      <c r="E156" s="25">
        <v>327</v>
      </c>
      <c r="F156" s="25">
        <v>2</v>
      </c>
      <c r="G156" s="48">
        <v>1</v>
      </c>
      <c r="H156" s="48">
        <v>81433</v>
      </c>
      <c r="I156" s="48" t="s">
        <v>17</v>
      </c>
      <c r="J156" s="48">
        <v>27042853</v>
      </c>
      <c r="K156" s="43" t="s">
        <v>706</v>
      </c>
      <c r="L156" s="58" t="s">
        <v>708</v>
      </c>
      <c r="M156" s="61">
        <v>239900</v>
      </c>
      <c r="N156" s="64">
        <v>0.9</v>
      </c>
      <c r="O156" s="36">
        <f t="shared" si="2"/>
        <v>35985</v>
      </c>
      <c r="P156" s="25" t="s">
        <v>0</v>
      </c>
    </row>
    <row r="157" spans="1:16" x14ac:dyDescent="0.3">
      <c r="A157" s="25" t="s">
        <v>3215</v>
      </c>
      <c r="B157" s="26">
        <v>46108</v>
      </c>
      <c r="C157" s="26">
        <v>46113</v>
      </c>
      <c r="D157" s="25">
        <v>3319</v>
      </c>
      <c r="E157" s="25">
        <v>327</v>
      </c>
      <c r="F157" s="25">
        <v>2</v>
      </c>
      <c r="G157" s="48">
        <v>1</v>
      </c>
      <c r="H157" s="48">
        <v>81433</v>
      </c>
      <c r="I157" s="48" t="s">
        <v>17</v>
      </c>
      <c r="J157" s="48">
        <v>27042862</v>
      </c>
      <c r="K157" s="43" t="s">
        <v>706</v>
      </c>
      <c r="L157" s="58" t="s">
        <v>709</v>
      </c>
      <c r="M157" s="61">
        <v>239900</v>
      </c>
      <c r="N157" s="64">
        <v>0.9</v>
      </c>
      <c r="O157" s="36">
        <f t="shared" si="2"/>
        <v>35985</v>
      </c>
      <c r="P157" s="25" t="s">
        <v>0</v>
      </c>
    </row>
    <row r="158" spans="1:16" x14ac:dyDescent="0.3">
      <c r="A158" s="25" t="s">
        <v>3215</v>
      </c>
      <c r="B158" s="26">
        <v>46108</v>
      </c>
      <c r="C158" s="26">
        <v>46113</v>
      </c>
      <c r="D158" s="25">
        <v>3319</v>
      </c>
      <c r="E158" s="25">
        <v>327</v>
      </c>
      <c r="F158" s="25">
        <v>2</v>
      </c>
      <c r="G158" s="48">
        <v>1</v>
      </c>
      <c r="H158" s="48">
        <v>81433</v>
      </c>
      <c r="I158" s="28" t="s">
        <v>17</v>
      </c>
      <c r="J158" s="48">
        <v>27042871</v>
      </c>
      <c r="K158" s="43" t="s">
        <v>706</v>
      </c>
      <c r="L158" s="58" t="s">
        <v>710</v>
      </c>
      <c r="M158" s="61">
        <v>239900</v>
      </c>
      <c r="N158" s="64">
        <v>0.9</v>
      </c>
      <c r="O158" s="36">
        <f t="shared" si="2"/>
        <v>35985</v>
      </c>
      <c r="P158" s="25" t="s">
        <v>0</v>
      </c>
    </row>
    <row r="159" spans="1:16" x14ac:dyDescent="0.3">
      <c r="A159" s="25" t="s">
        <v>3215</v>
      </c>
      <c r="B159" s="26">
        <v>46108</v>
      </c>
      <c r="C159" s="26">
        <v>46113</v>
      </c>
      <c r="D159" s="25">
        <v>3319</v>
      </c>
      <c r="E159" s="25">
        <v>327</v>
      </c>
      <c r="F159" s="25">
        <v>2</v>
      </c>
      <c r="G159" s="48">
        <v>1</v>
      </c>
      <c r="H159" s="48">
        <v>81433</v>
      </c>
      <c r="I159" s="28" t="s">
        <v>17</v>
      </c>
      <c r="J159" s="48">
        <v>27042880</v>
      </c>
      <c r="K159" s="43" t="s">
        <v>706</v>
      </c>
      <c r="L159" s="58" t="s">
        <v>711</v>
      </c>
      <c r="M159" s="61">
        <v>239900</v>
      </c>
      <c r="N159" s="64">
        <v>0.9</v>
      </c>
      <c r="O159" s="36">
        <f t="shared" si="2"/>
        <v>35985</v>
      </c>
      <c r="P159" s="25" t="s">
        <v>0</v>
      </c>
    </row>
    <row r="160" spans="1:16" x14ac:dyDescent="0.3">
      <c r="A160" s="25" t="s">
        <v>3215</v>
      </c>
      <c r="B160" s="26">
        <v>46108</v>
      </c>
      <c r="C160" s="26">
        <v>46113</v>
      </c>
      <c r="D160" s="25">
        <v>3319</v>
      </c>
      <c r="E160" s="25">
        <v>327</v>
      </c>
      <c r="F160" s="25">
        <v>2</v>
      </c>
      <c r="G160" s="48">
        <v>1</v>
      </c>
      <c r="H160" s="48">
        <v>81433</v>
      </c>
      <c r="I160" s="28" t="s">
        <v>17</v>
      </c>
      <c r="J160" s="48">
        <v>27042899</v>
      </c>
      <c r="K160" s="43" t="s">
        <v>706</v>
      </c>
      <c r="L160" s="58" t="s">
        <v>712</v>
      </c>
      <c r="M160" s="61">
        <v>239900</v>
      </c>
      <c r="N160" s="64">
        <v>0.9</v>
      </c>
      <c r="O160" s="36">
        <f t="shared" si="2"/>
        <v>35985</v>
      </c>
      <c r="P160" s="25" t="s">
        <v>0</v>
      </c>
    </row>
    <row r="161" spans="1:16" x14ac:dyDescent="0.3">
      <c r="A161" s="25" t="s">
        <v>3215</v>
      </c>
      <c r="B161" s="26">
        <v>46108</v>
      </c>
      <c r="C161" s="26">
        <v>46113</v>
      </c>
      <c r="D161" s="25">
        <v>3319</v>
      </c>
      <c r="E161" s="25">
        <v>327</v>
      </c>
      <c r="F161" s="25">
        <v>2</v>
      </c>
      <c r="G161" s="48">
        <v>1</v>
      </c>
      <c r="H161" s="48">
        <v>81433</v>
      </c>
      <c r="I161" s="28" t="s">
        <v>17</v>
      </c>
      <c r="J161" s="48">
        <v>27042906</v>
      </c>
      <c r="K161" s="43" t="s">
        <v>706</v>
      </c>
      <c r="L161" s="58" t="s">
        <v>713</v>
      </c>
      <c r="M161" s="61">
        <v>239900</v>
      </c>
      <c r="N161" s="64">
        <v>0.9</v>
      </c>
      <c r="O161" s="36">
        <f t="shared" si="2"/>
        <v>35985</v>
      </c>
      <c r="P161" s="25" t="s">
        <v>0</v>
      </c>
    </row>
    <row r="162" spans="1:16" x14ac:dyDescent="0.3">
      <c r="A162" s="25" t="s">
        <v>3215</v>
      </c>
      <c r="B162" s="26">
        <v>46108</v>
      </c>
      <c r="C162" s="26">
        <v>46113</v>
      </c>
      <c r="D162" s="25">
        <v>3319</v>
      </c>
      <c r="E162" s="25">
        <v>327</v>
      </c>
      <c r="F162" s="25">
        <v>2</v>
      </c>
      <c r="G162" s="48">
        <v>1</v>
      </c>
      <c r="H162" s="48">
        <v>81433</v>
      </c>
      <c r="I162" s="28" t="s">
        <v>17</v>
      </c>
      <c r="J162" s="48">
        <v>27042915</v>
      </c>
      <c r="K162" s="43" t="s">
        <v>706</v>
      </c>
      <c r="L162" s="58" t="s">
        <v>714</v>
      </c>
      <c r="M162" s="61">
        <v>239900</v>
      </c>
      <c r="N162" s="64">
        <v>0.9</v>
      </c>
      <c r="O162" s="36">
        <f t="shared" si="2"/>
        <v>35985</v>
      </c>
      <c r="P162" s="25" t="s">
        <v>0</v>
      </c>
    </row>
    <row r="163" spans="1:16" x14ac:dyDescent="0.3">
      <c r="A163" s="25" t="s">
        <v>3215</v>
      </c>
      <c r="B163" s="26">
        <v>46108</v>
      </c>
      <c r="C163" s="26">
        <v>46113</v>
      </c>
      <c r="D163" s="25">
        <v>3319</v>
      </c>
      <c r="E163" s="25">
        <v>327</v>
      </c>
      <c r="F163" s="25">
        <v>2</v>
      </c>
      <c r="G163" s="48">
        <v>1</v>
      </c>
      <c r="H163" s="48">
        <v>81433</v>
      </c>
      <c r="I163" s="48" t="s">
        <v>17</v>
      </c>
      <c r="J163" s="48">
        <v>27042924</v>
      </c>
      <c r="K163" s="43" t="s">
        <v>706</v>
      </c>
      <c r="L163" s="58" t="s">
        <v>715</v>
      </c>
      <c r="M163" s="61">
        <v>239900</v>
      </c>
      <c r="N163" s="64">
        <v>0.9</v>
      </c>
      <c r="O163" s="36">
        <f t="shared" si="2"/>
        <v>35985</v>
      </c>
      <c r="P163" s="25" t="s">
        <v>0</v>
      </c>
    </row>
    <row r="164" spans="1:16" x14ac:dyDescent="0.3">
      <c r="A164" s="25" t="s">
        <v>3215</v>
      </c>
      <c r="B164" s="26">
        <v>46108</v>
      </c>
      <c r="C164" s="26">
        <v>46113</v>
      </c>
      <c r="D164" s="25">
        <v>3319</v>
      </c>
      <c r="E164" s="25">
        <v>327</v>
      </c>
      <c r="F164" s="25">
        <v>2</v>
      </c>
      <c r="G164" s="48">
        <v>1</v>
      </c>
      <c r="H164" s="48">
        <v>81433</v>
      </c>
      <c r="I164" s="48" t="s">
        <v>17</v>
      </c>
      <c r="J164" s="48">
        <v>27042933</v>
      </c>
      <c r="K164" s="43" t="s">
        <v>706</v>
      </c>
      <c r="L164" s="58" t="s">
        <v>716</v>
      </c>
      <c r="M164" s="61">
        <v>239900</v>
      </c>
      <c r="N164" s="64">
        <v>0.9</v>
      </c>
      <c r="O164" s="36">
        <f t="shared" si="2"/>
        <v>35985</v>
      </c>
      <c r="P164" s="25" t="s">
        <v>0</v>
      </c>
    </row>
    <row r="165" spans="1:16" x14ac:dyDescent="0.3">
      <c r="A165" s="25" t="s">
        <v>3215</v>
      </c>
      <c r="B165" s="26">
        <v>46108</v>
      </c>
      <c r="C165" s="26">
        <v>46113</v>
      </c>
      <c r="D165" s="25">
        <v>3319</v>
      </c>
      <c r="E165" s="25">
        <v>327</v>
      </c>
      <c r="F165" s="25">
        <v>2</v>
      </c>
      <c r="G165" s="48">
        <v>1</v>
      </c>
      <c r="H165" s="48">
        <v>81433</v>
      </c>
      <c r="I165" s="48" t="s">
        <v>17</v>
      </c>
      <c r="J165" s="48">
        <v>28070937</v>
      </c>
      <c r="K165" s="43" t="s">
        <v>717</v>
      </c>
      <c r="L165" s="58" t="s">
        <v>718</v>
      </c>
      <c r="M165" s="61">
        <v>199900</v>
      </c>
      <c r="N165" s="64">
        <v>0.9</v>
      </c>
      <c r="O165" s="36">
        <f t="shared" si="2"/>
        <v>29985</v>
      </c>
      <c r="P165" s="25" t="s">
        <v>0</v>
      </c>
    </row>
    <row r="166" spans="1:16" x14ac:dyDescent="0.3">
      <c r="A166" s="25" t="s">
        <v>3215</v>
      </c>
      <c r="B166" s="26">
        <v>46108</v>
      </c>
      <c r="C166" s="26">
        <v>46113</v>
      </c>
      <c r="D166" s="25">
        <v>3319</v>
      </c>
      <c r="E166" s="25">
        <v>327</v>
      </c>
      <c r="F166" s="25">
        <v>2</v>
      </c>
      <c r="G166" s="48">
        <v>1</v>
      </c>
      <c r="H166" s="48">
        <v>81433</v>
      </c>
      <c r="I166" s="48" t="s">
        <v>17</v>
      </c>
      <c r="J166" s="48">
        <v>28070946</v>
      </c>
      <c r="K166" s="43" t="s">
        <v>717</v>
      </c>
      <c r="L166" s="58" t="s">
        <v>719</v>
      </c>
      <c r="M166" s="61">
        <v>199900</v>
      </c>
      <c r="N166" s="64">
        <v>0.9</v>
      </c>
      <c r="O166" s="36">
        <f t="shared" si="2"/>
        <v>29985</v>
      </c>
      <c r="P166" s="25" t="s">
        <v>0</v>
      </c>
    </row>
    <row r="167" spans="1:16" x14ac:dyDescent="0.3">
      <c r="A167" s="25" t="s">
        <v>3215</v>
      </c>
      <c r="B167" s="26">
        <v>46108</v>
      </c>
      <c r="C167" s="26">
        <v>46113</v>
      </c>
      <c r="D167" s="25">
        <v>3319</v>
      </c>
      <c r="E167" s="25">
        <v>327</v>
      </c>
      <c r="F167" s="25">
        <v>2</v>
      </c>
      <c r="G167" s="48">
        <v>1</v>
      </c>
      <c r="H167" s="48">
        <v>81433</v>
      </c>
      <c r="I167" s="48" t="s">
        <v>17</v>
      </c>
      <c r="J167" s="48">
        <v>28070955</v>
      </c>
      <c r="K167" s="43" t="s">
        <v>717</v>
      </c>
      <c r="L167" s="58" t="s">
        <v>720</v>
      </c>
      <c r="M167" s="61">
        <v>199900</v>
      </c>
      <c r="N167" s="64">
        <v>0.9</v>
      </c>
      <c r="O167" s="36">
        <f t="shared" si="2"/>
        <v>29985</v>
      </c>
      <c r="P167" s="25" t="s">
        <v>0</v>
      </c>
    </row>
    <row r="168" spans="1:16" x14ac:dyDescent="0.3">
      <c r="A168" s="25" t="s">
        <v>3215</v>
      </c>
      <c r="B168" s="26">
        <v>46108</v>
      </c>
      <c r="C168" s="26">
        <v>46113</v>
      </c>
      <c r="D168" s="25">
        <v>3319</v>
      </c>
      <c r="E168" s="25">
        <v>327</v>
      </c>
      <c r="F168" s="25">
        <v>2</v>
      </c>
      <c r="G168" s="48">
        <v>1</v>
      </c>
      <c r="H168" s="48">
        <v>81433</v>
      </c>
      <c r="I168" s="48" t="s">
        <v>17</v>
      </c>
      <c r="J168" s="48">
        <v>28070964</v>
      </c>
      <c r="K168" s="43" t="s">
        <v>717</v>
      </c>
      <c r="L168" s="58" t="s">
        <v>721</v>
      </c>
      <c r="M168" s="61">
        <v>199900</v>
      </c>
      <c r="N168" s="64">
        <v>0.9</v>
      </c>
      <c r="O168" s="36">
        <f t="shared" si="2"/>
        <v>29985</v>
      </c>
      <c r="P168" s="25" t="s">
        <v>0</v>
      </c>
    </row>
    <row r="169" spans="1:16" x14ac:dyDescent="0.3">
      <c r="A169" s="25" t="s">
        <v>3215</v>
      </c>
      <c r="B169" s="26">
        <v>46108</v>
      </c>
      <c r="C169" s="26">
        <v>46113</v>
      </c>
      <c r="D169" s="25">
        <v>3319</v>
      </c>
      <c r="E169" s="25">
        <v>327</v>
      </c>
      <c r="F169" s="25">
        <v>2</v>
      </c>
      <c r="G169" s="48">
        <v>1</v>
      </c>
      <c r="H169" s="48">
        <v>81433</v>
      </c>
      <c r="I169" s="48" t="s">
        <v>17</v>
      </c>
      <c r="J169" s="48">
        <v>28070973</v>
      </c>
      <c r="K169" s="43" t="s">
        <v>717</v>
      </c>
      <c r="L169" s="58" t="s">
        <v>722</v>
      </c>
      <c r="M169" s="61">
        <v>199900</v>
      </c>
      <c r="N169" s="64">
        <v>0.9</v>
      </c>
      <c r="O169" s="36">
        <f t="shared" si="2"/>
        <v>29985</v>
      </c>
      <c r="P169" s="25" t="s">
        <v>0</v>
      </c>
    </row>
    <row r="170" spans="1:16" x14ac:dyDescent="0.3">
      <c r="A170" s="25" t="s">
        <v>3215</v>
      </c>
      <c r="B170" s="26">
        <v>46108</v>
      </c>
      <c r="C170" s="26">
        <v>46113</v>
      </c>
      <c r="D170" s="25">
        <v>3319</v>
      </c>
      <c r="E170" s="25">
        <v>327</v>
      </c>
      <c r="F170" s="25">
        <v>2</v>
      </c>
      <c r="G170" s="48">
        <v>1</v>
      </c>
      <c r="H170" s="48">
        <v>81433</v>
      </c>
      <c r="I170" s="48" t="s">
        <v>17</v>
      </c>
      <c r="J170" s="48">
        <v>28070982</v>
      </c>
      <c r="K170" s="43" t="s">
        <v>717</v>
      </c>
      <c r="L170" s="58" t="s">
        <v>723</v>
      </c>
      <c r="M170" s="61">
        <v>199900</v>
      </c>
      <c r="N170" s="64">
        <v>0.9</v>
      </c>
      <c r="O170" s="36">
        <f t="shared" si="2"/>
        <v>29985</v>
      </c>
      <c r="P170" s="25" t="s">
        <v>0</v>
      </c>
    </row>
    <row r="171" spans="1:16" x14ac:dyDescent="0.3">
      <c r="A171" s="25" t="s">
        <v>3215</v>
      </c>
      <c r="B171" s="26">
        <v>46108</v>
      </c>
      <c r="C171" s="26">
        <v>46113</v>
      </c>
      <c r="D171" s="25">
        <v>3319</v>
      </c>
      <c r="E171" s="25">
        <v>327</v>
      </c>
      <c r="F171" s="25">
        <v>2</v>
      </c>
      <c r="G171" s="48">
        <v>1</v>
      </c>
      <c r="H171" s="48">
        <v>81433</v>
      </c>
      <c r="I171" s="48" t="s">
        <v>17</v>
      </c>
      <c r="J171" s="48">
        <v>28070991</v>
      </c>
      <c r="K171" s="43" t="s">
        <v>717</v>
      </c>
      <c r="L171" s="58" t="s">
        <v>724</v>
      </c>
      <c r="M171" s="61">
        <v>199900</v>
      </c>
      <c r="N171" s="64">
        <v>0.9</v>
      </c>
      <c r="O171" s="36">
        <f t="shared" si="2"/>
        <v>29985</v>
      </c>
      <c r="P171" s="25" t="s">
        <v>0</v>
      </c>
    </row>
    <row r="172" spans="1:16" x14ac:dyDescent="0.3">
      <c r="A172" s="25" t="s">
        <v>3215</v>
      </c>
      <c r="B172" s="26">
        <v>46108</v>
      </c>
      <c r="C172" s="26">
        <v>46113</v>
      </c>
      <c r="D172" s="25">
        <v>3319</v>
      </c>
      <c r="E172" s="25">
        <v>327</v>
      </c>
      <c r="F172" s="25">
        <v>2</v>
      </c>
      <c r="G172" s="48">
        <v>1</v>
      </c>
      <c r="H172" s="48">
        <v>81433</v>
      </c>
      <c r="I172" s="48" t="s">
        <v>17</v>
      </c>
      <c r="J172" s="48">
        <v>28071007</v>
      </c>
      <c r="K172" s="43" t="s">
        <v>717</v>
      </c>
      <c r="L172" s="58" t="s">
        <v>725</v>
      </c>
      <c r="M172" s="61">
        <v>199900</v>
      </c>
      <c r="N172" s="64">
        <v>0.9</v>
      </c>
      <c r="O172" s="36">
        <f t="shared" si="2"/>
        <v>29985</v>
      </c>
      <c r="P172" s="25" t="s">
        <v>0</v>
      </c>
    </row>
    <row r="173" spans="1:16" x14ac:dyDescent="0.3">
      <c r="A173" s="25" t="s">
        <v>3215</v>
      </c>
      <c r="B173" s="26">
        <v>46108</v>
      </c>
      <c r="C173" s="26">
        <v>46113</v>
      </c>
      <c r="D173" s="25">
        <v>3319</v>
      </c>
      <c r="E173" s="25">
        <v>327</v>
      </c>
      <c r="F173" s="25">
        <v>2</v>
      </c>
      <c r="G173" s="48">
        <v>1</v>
      </c>
      <c r="H173" s="28">
        <v>81433</v>
      </c>
      <c r="I173" s="28" t="s">
        <v>17</v>
      </c>
      <c r="J173" s="28">
        <v>28071016</v>
      </c>
      <c r="K173" t="s">
        <v>717</v>
      </c>
      <c r="L173" s="6" t="s">
        <v>726</v>
      </c>
      <c r="M173" s="62">
        <v>199900</v>
      </c>
      <c r="N173" s="64">
        <v>0.9</v>
      </c>
      <c r="O173" s="36">
        <f t="shared" si="2"/>
        <v>29985</v>
      </c>
      <c r="P173" s="25" t="s">
        <v>0</v>
      </c>
    </row>
    <row r="174" spans="1:16" x14ac:dyDescent="0.3">
      <c r="A174" s="25" t="s">
        <v>3215</v>
      </c>
      <c r="B174" s="26">
        <v>46108</v>
      </c>
      <c r="C174" s="26">
        <v>46113</v>
      </c>
      <c r="D174" s="25">
        <v>3319</v>
      </c>
      <c r="E174" s="25">
        <v>327</v>
      </c>
      <c r="F174" s="25">
        <v>2</v>
      </c>
      <c r="G174" s="48">
        <v>1</v>
      </c>
      <c r="H174" s="28">
        <v>81433</v>
      </c>
      <c r="I174" s="28" t="s">
        <v>17</v>
      </c>
      <c r="J174" s="28">
        <v>28071025</v>
      </c>
      <c r="K174" t="s">
        <v>717</v>
      </c>
      <c r="L174" s="6" t="s">
        <v>727</v>
      </c>
      <c r="M174" s="62">
        <v>199900</v>
      </c>
      <c r="N174" s="64">
        <v>0.9</v>
      </c>
      <c r="O174" s="36">
        <f t="shared" si="2"/>
        <v>29985</v>
      </c>
      <c r="P174" s="25" t="s">
        <v>0</v>
      </c>
    </row>
    <row r="175" spans="1:16" x14ac:dyDescent="0.3">
      <c r="A175" s="25" t="s">
        <v>3215</v>
      </c>
      <c r="B175" s="26">
        <v>46108</v>
      </c>
      <c r="C175" s="26">
        <v>46113</v>
      </c>
      <c r="D175" s="25">
        <v>3319</v>
      </c>
      <c r="E175" s="25">
        <v>327</v>
      </c>
      <c r="F175" s="25">
        <v>2</v>
      </c>
      <c r="G175" s="48">
        <v>1</v>
      </c>
      <c r="H175" s="28">
        <v>81433</v>
      </c>
      <c r="I175" s="28" t="s">
        <v>17</v>
      </c>
      <c r="J175" s="28">
        <v>28071258</v>
      </c>
      <c r="K175" t="s">
        <v>728</v>
      </c>
      <c r="L175" s="6" t="s">
        <v>729</v>
      </c>
      <c r="M175" s="62">
        <v>239900</v>
      </c>
      <c r="N175" s="64">
        <v>0.9</v>
      </c>
      <c r="O175" s="36">
        <f t="shared" si="2"/>
        <v>35985</v>
      </c>
      <c r="P175" s="25" t="s">
        <v>0</v>
      </c>
    </row>
    <row r="176" spans="1:16" x14ac:dyDescent="0.3">
      <c r="A176" s="25" t="s">
        <v>3215</v>
      </c>
      <c r="B176" s="26">
        <v>46108</v>
      </c>
      <c r="C176" s="26">
        <v>46113</v>
      </c>
      <c r="D176" s="25">
        <v>3319</v>
      </c>
      <c r="E176" s="25">
        <v>327</v>
      </c>
      <c r="F176" s="25">
        <v>2</v>
      </c>
      <c r="G176" s="48">
        <v>1</v>
      </c>
      <c r="H176" s="28">
        <v>81433</v>
      </c>
      <c r="I176" s="28" t="s">
        <v>17</v>
      </c>
      <c r="J176" s="28">
        <v>28071267</v>
      </c>
      <c r="K176" t="s">
        <v>728</v>
      </c>
      <c r="L176" s="6" t="s">
        <v>730</v>
      </c>
      <c r="M176" s="62">
        <v>239900</v>
      </c>
      <c r="N176" s="64">
        <v>0.9</v>
      </c>
      <c r="O176" s="36">
        <f t="shared" si="2"/>
        <v>35985</v>
      </c>
      <c r="P176" s="25" t="s">
        <v>0</v>
      </c>
    </row>
    <row r="177" spans="1:16" x14ac:dyDescent="0.3">
      <c r="A177" s="25" t="s">
        <v>3215</v>
      </c>
      <c r="B177" s="26">
        <v>46108</v>
      </c>
      <c r="C177" s="26">
        <v>46113</v>
      </c>
      <c r="D177" s="25">
        <v>3319</v>
      </c>
      <c r="E177" s="25">
        <v>327</v>
      </c>
      <c r="F177" s="25">
        <v>2</v>
      </c>
      <c r="G177" s="48">
        <v>1</v>
      </c>
      <c r="H177" s="28">
        <v>81433</v>
      </c>
      <c r="I177" s="28" t="s">
        <v>17</v>
      </c>
      <c r="J177" s="28">
        <v>28071276</v>
      </c>
      <c r="K177" t="s">
        <v>728</v>
      </c>
      <c r="L177" s="6" t="s">
        <v>731</v>
      </c>
      <c r="M177" s="62">
        <v>239900</v>
      </c>
      <c r="N177" s="64">
        <v>0.9</v>
      </c>
      <c r="O177" s="36">
        <f t="shared" si="2"/>
        <v>35985</v>
      </c>
      <c r="P177" s="25" t="s">
        <v>0</v>
      </c>
    </row>
    <row r="178" spans="1:16" x14ac:dyDescent="0.3">
      <c r="A178" s="25" t="s">
        <v>3215</v>
      </c>
      <c r="B178" s="26">
        <v>46108</v>
      </c>
      <c r="C178" s="26">
        <v>46113</v>
      </c>
      <c r="D178" s="25">
        <v>3319</v>
      </c>
      <c r="E178" s="25">
        <v>327</v>
      </c>
      <c r="F178" s="25">
        <v>2</v>
      </c>
      <c r="G178" s="48">
        <v>1</v>
      </c>
      <c r="H178" s="46">
        <v>81433</v>
      </c>
      <c r="I178" s="48" t="s">
        <v>17</v>
      </c>
      <c r="J178" s="46">
        <v>28071285</v>
      </c>
      <c r="K178" s="45" t="s">
        <v>728</v>
      </c>
      <c r="L178" s="45" t="s">
        <v>732</v>
      </c>
      <c r="M178" s="61">
        <v>239900</v>
      </c>
      <c r="N178" s="64">
        <v>0.9</v>
      </c>
      <c r="O178" s="36">
        <f t="shared" si="2"/>
        <v>35985</v>
      </c>
      <c r="P178" s="25" t="s">
        <v>0</v>
      </c>
    </row>
    <row r="179" spans="1:16" x14ac:dyDescent="0.3">
      <c r="A179" s="25" t="s">
        <v>3215</v>
      </c>
      <c r="B179" s="26">
        <v>46108</v>
      </c>
      <c r="C179" s="26">
        <v>46113</v>
      </c>
      <c r="D179" s="25">
        <v>3319</v>
      </c>
      <c r="E179" s="25">
        <v>327</v>
      </c>
      <c r="F179" s="25">
        <v>2</v>
      </c>
      <c r="G179" s="48">
        <v>1</v>
      </c>
      <c r="H179" s="46">
        <v>81433</v>
      </c>
      <c r="I179" s="48" t="s">
        <v>17</v>
      </c>
      <c r="J179" s="46">
        <v>28701559</v>
      </c>
      <c r="K179" s="45" t="s">
        <v>733</v>
      </c>
      <c r="L179" s="45" t="s">
        <v>734</v>
      </c>
      <c r="M179" s="61">
        <v>239900</v>
      </c>
      <c r="N179" s="64">
        <v>0.9</v>
      </c>
      <c r="O179" s="36">
        <f t="shared" si="2"/>
        <v>35985</v>
      </c>
      <c r="P179" s="25" t="s">
        <v>0</v>
      </c>
    </row>
    <row r="180" spans="1:16" x14ac:dyDescent="0.3">
      <c r="A180" s="25" t="s">
        <v>3215</v>
      </c>
      <c r="B180" s="26">
        <v>46108</v>
      </c>
      <c r="C180" s="26">
        <v>46113</v>
      </c>
      <c r="D180" s="25">
        <v>3319</v>
      </c>
      <c r="E180" s="25">
        <v>327</v>
      </c>
      <c r="F180" s="25">
        <v>2</v>
      </c>
      <c r="G180" s="48">
        <v>1</v>
      </c>
      <c r="H180" s="46">
        <v>81433</v>
      </c>
      <c r="I180" s="48" t="s">
        <v>17</v>
      </c>
      <c r="J180" s="46">
        <v>28701568</v>
      </c>
      <c r="K180" s="45" t="s">
        <v>733</v>
      </c>
      <c r="L180" s="45" t="s">
        <v>735</v>
      </c>
      <c r="M180" s="61">
        <v>239900</v>
      </c>
      <c r="N180" s="64">
        <v>0.9</v>
      </c>
      <c r="O180" s="36">
        <f t="shared" si="2"/>
        <v>35985</v>
      </c>
      <c r="P180" s="25" t="s">
        <v>0</v>
      </c>
    </row>
    <row r="181" spans="1:16" x14ac:dyDescent="0.3">
      <c r="A181" s="25" t="s">
        <v>3215</v>
      </c>
      <c r="B181" s="26">
        <v>46108</v>
      </c>
      <c r="C181" s="26">
        <v>46113</v>
      </c>
      <c r="D181" s="25">
        <v>3319</v>
      </c>
      <c r="E181" s="25">
        <v>327</v>
      </c>
      <c r="F181" s="25">
        <v>2</v>
      </c>
      <c r="G181" s="48">
        <v>1</v>
      </c>
      <c r="H181" s="46">
        <v>81433</v>
      </c>
      <c r="I181" s="48" t="s">
        <v>17</v>
      </c>
      <c r="J181" s="46">
        <v>28701577</v>
      </c>
      <c r="K181" s="45" t="s">
        <v>733</v>
      </c>
      <c r="L181" s="45" t="s">
        <v>736</v>
      </c>
      <c r="M181" s="61">
        <v>239900</v>
      </c>
      <c r="N181" s="64">
        <v>0.9</v>
      </c>
      <c r="O181" s="36">
        <f t="shared" si="2"/>
        <v>35985</v>
      </c>
      <c r="P181" s="25" t="s">
        <v>0</v>
      </c>
    </row>
    <row r="182" spans="1:16" x14ac:dyDescent="0.3">
      <c r="A182" s="25" t="s">
        <v>3215</v>
      </c>
      <c r="B182" s="26">
        <v>46108</v>
      </c>
      <c r="C182" s="26">
        <v>46113</v>
      </c>
      <c r="D182" s="25">
        <v>3319</v>
      </c>
      <c r="E182" s="25">
        <v>327</v>
      </c>
      <c r="F182" s="25">
        <v>2</v>
      </c>
      <c r="G182" s="48">
        <v>1</v>
      </c>
      <c r="H182" s="46">
        <v>81433</v>
      </c>
      <c r="I182" s="48" t="s">
        <v>17</v>
      </c>
      <c r="J182" s="46">
        <v>28701586</v>
      </c>
      <c r="K182" s="45" t="s">
        <v>733</v>
      </c>
      <c r="L182" s="45" t="s">
        <v>737</v>
      </c>
      <c r="M182" s="61">
        <v>239900</v>
      </c>
      <c r="N182" s="64">
        <v>0.9</v>
      </c>
      <c r="O182" s="36">
        <f t="shared" si="2"/>
        <v>35985</v>
      </c>
      <c r="P182" s="25" t="s">
        <v>0</v>
      </c>
    </row>
    <row r="183" spans="1:16" x14ac:dyDescent="0.3">
      <c r="A183" s="25" t="s">
        <v>3215</v>
      </c>
      <c r="B183" s="26">
        <v>46108</v>
      </c>
      <c r="C183" s="26">
        <v>46113</v>
      </c>
      <c r="D183" s="25">
        <v>3319</v>
      </c>
      <c r="E183" s="25">
        <v>327</v>
      </c>
      <c r="F183" s="25">
        <v>2</v>
      </c>
      <c r="G183" s="48">
        <v>1</v>
      </c>
      <c r="H183" s="46">
        <v>81433</v>
      </c>
      <c r="I183" s="48" t="s">
        <v>17</v>
      </c>
      <c r="J183" s="46">
        <v>28701595</v>
      </c>
      <c r="K183" s="45" t="s">
        <v>733</v>
      </c>
      <c r="L183" s="45" t="s">
        <v>738</v>
      </c>
      <c r="M183" s="61">
        <v>239900</v>
      </c>
      <c r="N183" s="64">
        <v>0.9</v>
      </c>
      <c r="O183" s="36">
        <f t="shared" si="2"/>
        <v>35985</v>
      </c>
      <c r="P183" s="25" t="s">
        <v>0</v>
      </c>
    </row>
    <row r="184" spans="1:16" x14ac:dyDescent="0.3">
      <c r="A184" s="25" t="s">
        <v>3215</v>
      </c>
      <c r="B184" s="26">
        <v>46108</v>
      </c>
      <c r="C184" s="26">
        <v>46113</v>
      </c>
      <c r="D184" s="25">
        <v>3319</v>
      </c>
      <c r="E184" s="25">
        <v>327</v>
      </c>
      <c r="F184" s="25">
        <v>2</v>
      </c>
      <c r="G184" s="48">
        <v>1</v>
      </c>
      <c r="H184" s="46">
        <v>81433</v>
      </c>
      <c r="I184" s="48" t="s">
        <v>17</v>
      </c>
      <c r="J184" s="46">
        <v>28701602</v>
      </c>
      <c r="K184" s="45" t="s">
        <v>733</v>
      </c>
      <c r="L184" s="45" t="s">
        <v>739</v>
      </c>
      <c r="M184" s="61">
        <v>239900</v>
      </c>
      <c r="N184" s="64">
        <v>0.9</v>
      </c>
      <c r="O184" s="36">
        <f t="shared" si="2"/>
        <v>35985</v>
      </c>
      <c r="P184" s="25" t="s">
        <v>0</v>
      </c>
    </row>
    <row r="185" spans="1:16" x14ac:dyDescent="0.3">
      <c r="A185" s="25" t="s">
        <v>3215</v>
      </c>
      <c r="B185" s="26">
        <v>46108</v>
      </c>
      <c r="C185" s="26">
        <v>46113</v>
      </c>
      <c r="D185" s="25">
        <v>3319</v>
      </c>
      <c r="E185" s="25">
        <v>327</v>
      </c>
      <c r="F185" s="25">
        <v>2</v>
      </c>
      <c r="G185" s="48">
        <v>1</v>
      </c>
      <c r="H185" s="46">
        <v>81433</v>
      </c>
      <c r="I185" s="48" t="s">
        <v>17</v>
      </c>
      <c r="J185" s="46">
        <v>28701611</v>
      </c>
      <c r="K185" s="45" t="s">
        <v>733</v>
      </c>
      <c r="L185" s="45" t="s">
        <v>740</v>
      </c>
      <c r="M185" s="61">
        <v>239900</v>
      </c>
      <c r="N185" s="64">
        <v>0.9</v>
      </c>
      <c r="O185" s="36">
        <f t="shared" si="2"/>
        <v>35985</v>
      </c>
      <c r="P185" s="25" t="s">
        <v>0</v>
      </c>
    </row>
    <row r="186" spans="1:16" x14ac:dyDescent="0.3">
      <c r="A186" s="25" t="s">
        <v>3215</v>
      </c>
      <c r="B186" s="26">
        <v>46108</v>
      </c>
      <c r="C186" s="26">
        <v>46113</v>
      </c>
      <c r="D186" s="25">
        <v>3319</v>
      </c>
      <c r="E186" s="25">
        <v>327</v>
      </c>
      <c r="F186" s="25">
        <v>2</v>
      </c>
      <c r="G186" s="48">
        <v>1</v>
      </c>
      <c r="H186" s="46">
        <v>81433</v>
      </c>
      <c r="I186" s="48" t="s">
        <v>17</v>
      </c>
      <c r="J186" s="46">
        <v>28701620</v>
      </c>
      <c r="K186" s="45" t="s">
        <v>733</v>
      </c>
      <c r="L186" s="45" t="s">
        <v>741</v>
      </c>
      <c r="M186" s="61">
        <v>239900</v>
      </c>
      <c r="N186" s="64">
        <v>0.9</v>
      </c>
      <c r="O186" s="36">
        <f t="shared" si="2"/>
        <v>35985</v>
      </c>
      <c r="P186" s="25" t="s">
        <v>0</v>
      </c>
    </row>
    <row r="187" spans="1:16" x14ac:dyDescent="0.3">
      <c r="A187" s="25" t="s">
        <v>3215</v>
      </c>
      <c r="B187" s="26">
        <v>46108</v>
      </c>
      <c r="C187" s="26">
        <v>46113</v>
      </c>
      <c r="D187" s="25">
        <v>3319</v>
      </c>
      <c r="E187" s="25">
        <v>327</v>
      </c>
      <c r="F187" s="25">
        <v>2</v>
      </c>
      <c r="G187" s="48">
        <v>1</v>
      </c>
      <c r="H187" s="46">
        <v>81433</v>
      </c>
      <c r="I187" s="48" t="s">
        <v>17</v>
      </c>
      <c r="J187" s="46">
        <v>28701639</v>
      </c>
      <c r="K187" s="45" t="s">
        <v>733</v>
      </c>
      <c r="L187" s="45" t="s">
        <v>742</v>
      </c>
      <c r="M187" s="61">
        <v>239900</v>
      </c>
      <c r="N187" s="64">
        <v>0.9</v>
      </c>
      <c r="O187" s="36">
        <f t="shared" si="2"/>
        <v>35985</v>
      </c>
      <c r="P187" s="25" t="s">
        <v>0</v>
      </c>
    </row>
    <row r="188" spans="1:16" x14ac:dyDescent="0.3">
      <c r="A188" s="25" t="s">
        <v>3215</v>
      </c>
      <c r="B188" s="26">
        <v>46108</v>
      </c>
      <c r="C188" s="26">
        <v>46113</v>
      </c>
      <c r="D188" s="25">
        <v>3319</v>
      </c>
      <c r="E188" s="25">
        <v>327</v>
      </c>
      <c r="F188" s="25">
        <v>2</v>
      </c>
      <c r="G188" s="28">
        <v>1</v>
      </c>
      <c r="H188" s="28">
        <v>81433</v>
      </c>
      <c r="I188" s="28" t="s">
        <v>17</v>
      </c>
      <c r="J188" s="28">
        <v>28701648</v>
      </c>
      <c r="K188" t="s">
        <v>733</v>
      </c>
      <c r="L188" s="45" t="s">
        <v>743</v>
      </c>
      <c r="M188" s="62">
        <v>239900</v>
      </c>
      <c r="N188" s="64">
        <v>0.9</v>
      </c>
      <c r="O188" s="36">
        <f t="shared" si="2"/>
        <v>35985</v>
      </c>
      <c r="P188" s="25" t="s">
        <v>0</v>
      </c>
    </row>
    <row r="189" spans="1:16" x14ac:dyDescent="0.3">
      <c r="A189" s="25" t="s">
        <v>3215</v>
      </c>
      <c r="B189" s="26">
        <v>46108</v>
      </c>
      <c r="C189" s="26">
        <v>46113</v>
      </c>
      <c r="D189" s="25">
        <v>3319</v>
      </c>
      <c r="E189" s="25">
        <v>327</v>
      </c>
      <c r="F189" s="25">
        <v>2</v>
      </c>
      <c r="G189" s="28">
        <v>1</v>
      </c>
      <c r="H189" s="28">
        <v>81433</v>
      </c>
      <c r="I189" s="28" t="s">
        <v>17</v>
      </c>
      <c r="J189" s="28">
        <v>31702195</v>
      </c>
      <c r="K189" t="s">
        <v>744</v>
      </c>
      <c r="L189" s="6" t="s">
        <v>745</v>
      </c>
      <c r="M189" s="62">
        <v>199900</v>
      </c>
      <c r="N189" s="64">
        <v>0.9</v>
      </c>
      <c r="O189" s="36">
        <f t="shared" si="2"/>
        <v>29985</v>
      </c>
      <c r="P189" s="25" t="s">
        <v>0</v>
      </c>
    </row>
    <row r="190" spans="1:16" x14ac:dyDescent="0.3">
      <c r="A190" s="25" t="s">
        <v>3215</v>
      </c>
      <c r="B190" s="26">
        <v>46108</v>
      </c>
      <c r="C190" s="26">
        <v>46113</v>
      </c>
      <c r="D190" s="25">
        <v>3319</v>
      </c>
      <c r="E190" s="25">
        <v>327</v>
      </c>
      <c r="F190" s="25">
        <v>2</v>
      </c>
      <c r="G190" s="28">
        <v>1</v>
      </c>
      <c r="H190" s="28">
        <v>81433</v>
      </c>
      <c r="I190" s="28" t="s">
        <v>17</v>
      </c>
      <c r="J190" s="28">
        <v>31702202</v>
      </c>
      <c r="K190" t="s">
        <v>744</v>
      </c>
      <c r="L190" s="6" t="s">
        <v>746</v>
      </c>
      <c r="M190" s="62">
        <v>199900</v>
      </c>
      <c r="N190" s="64">
        <v>0.9</v>
      </c>
      <c r="O190" s="36">
        <f t="shared" si="2"/>
        <v>29985</v>
      </c>
      <c r="P190" s="25" t="s">
        <v>0</v>
      </c>
    </row>
    <row r="191" spans="1:16" x14ac:dyDescent="0.3">
      <c r="A191" s="25" t="s">
        <v>3215</v>
      </c>
      <c r="B191" s="26">
        <v>46108</v>
      </c>
      <c r="C191" s="26">
        <v>46113</v>
      </c>
      <c r="D191" s="25">
        <v>3319</v>
      </c>
      <c r="E191" s="25">
        <v>327</v>
      </c>
      <c r="F191" s="25">
        <v>2</v>
      </c>
      <c r="G191" s="28">
        <v>1</v>
      </c>
      <c r="H191" s="28">
        <v>81433</v>
      </c>
      <c r="I191" s="28" t="s">
        <v>17</v>
      </c>
      <c r="J191" s="28">
        <v>31702211</v>
      </c>
      <c r="K191" t="s">
        <v>744</v>
      </c>
      <c r="L191" s="6" t="s">
        <v>747</v>
      </c>
      <c r="M191" s="62">
        <v>199900</v>
      </c>
      <c r="N191" s="64">
        <v>0.9</v>
      </c>
      <c r="O191" s="36">
        <f t="shared" si="2"/>
        <v>29985</v>
      </c>
      <c r="P191" s="25" t="s">
        <v>0</v>
      </c>
    </row>
    <row r="192" spans="1:16" x14ac:dyDescent="0.3">
      <c r="A192" s="25" t="s">
        <v>3215</v>
      </c>
      <c r="B192" s="26">
        <v>46108</v>
      </c>
      <c r="C192" s="26">
        <v>46113</v>
      </c>
      <c r="D192" s="25">
        <v>3319</v>
      </c>
      <c r="E192" s="25">
        <v>327</v>
      </c>
      <c r="F192" s="25">
        <v>2</v>
      </c>
      <c r="G192" s="28">
        <v>1</v>
      </c>
      <c r="H192" s="28">
        <v>81433</v>
      </c>
      <c r="I192" s="28" t="s">
        <v>17</v>
      </c>
      <c r="J192" s="28">
        <v>31702220</v>
      </c>
      <c r="K192" t="s">
        <v>744</v>
      </c>
      <c r="L192" s="6" t="s">
        <v>748</v>
      </c>
      <c r="M192" s="62">
        <v>199900</v>
      </c>
      <c r="N192" s="64">
        <v>0.9</v>
      </c>
      <c r="O192" s="36">
        <f t="shared" si="2"/>
        <v>29985</v>
      </c>
      <c r="P192" s="25" t="s">
        <v>0</v>
      </c>
    </row>
    <row r="193" spans="1:16" x14ac:dyDescent="0.3">
      <c r="A193" s="25" t="s">
        <v>3215</v>
      </c>
      <c r="B193" s="26">
        <v>46108</v>
      </c>
      <c r="C193" s="26">
        <v>46113</v>
      </c>
      <c r="D193" s="25">
        <v>3319</v>
      </c>
      <c r="E193" s="25">
        <v>327</v>
      </c>
      <c r="F193" s="25">
        <v>2</v>
      </c>
      <c r="G193" s="28">
        <v>1</v>
      </c>
      <c r="H193" s="28">
        <v>81433</v>
      </c>
      <c r="I193" s="28" t="s">
        <v>17</v>
      </c>
      <c r="J193" s="28">
        <v>31702239</v>
      </c>
      <c r="K193" t="s">
        <v>744</v>
      </c>
      <c r="L193" s="6" t="s">
        <v>749</v>
      </c>
      <c r="M193" s="62">
        <v>199900</v>
      </c>
      <c r="N193" s="64">
        <v>0.9</v>
      </c>
      <c r="O193" s="36">
        <f t="shared" si="2"/>
        <v>29985</v>
      </c>
      <c r="P193" s="25" t="s">
        <v>0</v>
      </c>
    </row>
    <row r="194" spans="1:16" x14ac:dyDescent="0.3">
      <c r="A194" s="25" t="s">
        <v>3215</v>
      </c>
      <c r="B194" s="26">
        <v>46108</v>
      </c>
      <c r="C194" s="26">
        <v>46113</v>
      </c>
      <c r="D194" s="25">
        <v>3319</v>
      </c>
      <c r="E194" s="25">
        <v>327</v>
      </c>
      <c r="F194" s="25">
        <v>2</v>
      </c>
      <c r="G194" s="28">
        <v>1</v>
      </c>
      <c r="H194" s="28">
        <v>81433</v>
      </c>
      <c r="I194" s="28" t="s">
        <v>17</v>
      </c>
      <c r="J194" s="28">
        <v>31702248</v>
      </c>
      <c r="K194" t="s">
        <v>744</v>
      </c>
      <c r="L194" s="6" t="s">
        <v>750</v>
      </c>
      <c r="M194" s="62">
        <v>199900</v>
      </c>
      <c r="N194" s="64">
        <v>0.9</v>
      </c>
      <c r="O194" s="36">
        <f t="shared" si="2"/>
        <v>29985</v>
      </c>
      <c r="P194" s="25" t="s">
        <v>0</v>
      </c>
    </row>
    <row r="195" spans="1:16" x14ac:dyDescent="0.3">
      <c r="A195" s="25" t="s">
        <v>3215</v>
      </c>
      <c r="B195" s="26">
        <v>46108</v>
      </c>
      <c r="C195" s="26">
        <v>46113</v>
      </c>
      <c r="D195" s="25">
        <v>3319</v>
      </c>
      <c r="E195" s="25">
        <v>327</v>
      </c>
      <c r="F195" s="25">
        <v>2</v>
      </c>
      <c r="G195" s="28">
        <v>1</v>
      </c>
      <c r="H195" s="28">
        <v>81433</v>
      </c>
      <c r="I195" s="28" t="s">
        <v>17</v>
      </c>
      <c r="J195" s="28">
        <v>31702257</v>
      </c>
      <c r="K195" t="s">
        <v>744</v>
      </c>
      <c r="L195" s="6" t="s">
        <v>751</v>
      </c>
      <c r="M195" s="62">
        <v>199900</v>
      </c>
      <c r="N195" s="64">
        <v>0.9</v>
      </c>
      <c r="O195" s="36">
        <f t="shared" ref="O195:O258" si="3">M195*15%</f>
        <v>29985</v>
      </c>
      <c r="P195" s="25" t="s">
        <v>0</v>
      </c>
    </row>
    <row r="196" spans="1:16" x14ac:dyDescent="0.3">
      <c r="A196" s="25" t="s">
        <v>3215</v>
      </c>
      <c r="B196" s="26">
        <v>46108</v>
      </c>
      <c r="C196" s="26">
        <v>46113</v>
      </c>
      <c r="D196" s="25">
        <v>3319</v>
      </c>
      <c r="E196" s="25">
        <v>327</v>
      </c>
      <c r="F196" s="25">
        <v>2</v>
      </c>
      <c r="G196" s="28">
        <v>1</v>
      </c>
      <c r="H196" s="28">
        <v>81433</v>
      </c>
      <c r="I196" s="28" t="s">
        <v>17</v>
      </c>
      <c r="J196" s="28">
        <v>31702266</v>
      </c>
      <c r="K196" t="s">
        <v>744</v>
      </c>
      <c r="L196" s="6" t="s">
        <v>752</v>
      </c>
      <c r="M196" s="62">
        <v>199900</v>
      </c>
      <c r="N196" s="64">
        <v>0.9</v>
      </c>
      <c r="O196" s="36">
        <f t="shared" si="3"/>
        <v>29985</v>
      </c>
      <c r="P196" s="25" t="s">
        <v>0</v>
      </c>
    </row>
    <row r="197" spans="1:16" x14ac:dyDescent="0.3">
      <c r="A197" s="25" t="s">
        <v>3215</v>
      </c>
      <c r="B197" s="26">
        <v>46108</v>
      </c>
      <c r="C197" s="26">
        <v>46113</v>
      </c>
      <c r="D197" s="25">
        <v>3319</v>
      </c>
      <c r="E197" s="25">
        <v>327</v>
      </c>
      <c r="F197" s="25">
        <v>2</v>
      </c>
      <c r="G197" s="28">
        <v>1</v>
      </c>
      <c r="H197" s="28">
        <v>81433</v>
      </c>
      <c r="I197" s="28" t="s">
        <v>17</v>
      </c>
      <c r="J197" s="28">
        <v>31702275</v>
      </c>
      <c r="K197" t="s">
        <v>744</v>
      </c>
      <c r="L197" s="6" t="s">
        <v>753</v>
      </c>
      <c r="M197" s="62">
        <v>199900</v>
      </c>
      <c r="N197" s="64">
        <v>0.9</v>
      </c>
      <c r="O197" s="36">
        <f t="shared" si="3"/>
        <v>29985</v>
      </c>
      <c r="P197" s="25" t="s">
        <v>0</v>
      </c>
    </row>
    <row r="198" spans="1:16" x14ac:dyDescent="0.3">
      <c r="A198" s="25" t="s">
        <v>3215</v>
      </c>
      <c r="B198" s="26">
        <v>46108</v>
      </c>
      <c r="C198" s="26">
        <v>46113</v>
      </c>
      <c r="D198" s="25">
        <v>3319</v>
      </c>
      <c r="E198" s="25">
        <v>327</v>
      </c>
      <c r="F198" s="25">
        <v>2</v>
      </c>
      <c r="G198" s="28">
        <v>1</v>
      </c>
      <c r="H198" s="28">
        <v>81433</v>
      </c>
      <c r="I198" s="28" t="s">
        <v>17</v>
      </c>
      <c r="J198" s="28">
        <v>31702284</v>
      </c>
      <c r="K198" t="s">
        <v>744</v>
      </c>
      <c r="L198" s="6" t="s">
        <v>754</v>
      </c>
      <c r="M198" s="62">
        <v>199900</v>
      </c>
      <c r="N198" s="64">
        <v>0.9</v>
      </c>
      <c r="O198" s="36">
        <f t="shared" si="3"/>
        <v>29985</v>
      </c>
      <c r="P198" s="25" t="s">
        <v>0</v>
      </c>
    </row>
    <row r="199" spans="1:16" x14ac:dyDescent="0.3">
      <c r="A199" s="25" t="s">
        <v>3215</v>
      </c>
      <c r="B199" s="26">
        <v>46108</v>
      </c>
      <c r="C199" s="26">
        <v>46113</v>
      </c>
      <c r="D199" s="25">
        <v>3319</v>
      </c>
      <c r="E199" s="25">
        <v>327</v>
      </c>
      <c r="F199" s="25">
        <v>2</v>
      </c>
      <c r="G199" s="28">
        <v>1</v>
      </c>
      <c r="H199" s="28">
        <v>81433</v>
      </c>
      <c r="I199" s="28" t="s">
        <v>17</v>
      </c>
      <c r="J199" s="28">
        <v>31810318</v>
      </c>
      <c r="K199" t="s">
        <v>619</v>
      </c>
      <c r="L199" s="6" t="s">
        <v>755</v>
      </c>
      <c r="M199" s="62">
        <v>199900</v>
      </c>
      <c r="N199" s="64">
        <v>0.9</v>
      </c>
      <c r="O199" s="36">
        <f t="shared" si="3"/>
        <v>29985</v>
      </c>
      <c r="P199" s="25" t="s">
        <v>0</v>
      </c>
    </row>
    <row r="200" spans="1:16" x14ac:dyDescent="0.3">
      <c r="A200" s="25" t="s">
        <v>3215</v>
      </c>
      <c r="B200" s="26">
        <v>46108</v>
      </c>
      <c r="C200" s="26">
        <v>46113</v>
      </c>
      <c r="D200" s="25">
        <v>3319</v>
      </c>
      <c r="E200" s="25">
        <v>327</v>
      </c>
      <c r="F200" s="25">
        <v>2</v>
      </c>
      <c r="G200" s="28">
        <v>1</v>
      </c>
      <c r="H200" s="28">
        <v>81433</v>
      </c>
      <c r="I200" s="28" t="s">
        <v>17</v>
      </c>
      <c r="J200" s="28">
        <v>31810327</v>
      </c>
      <c r="K200" t="s">
        <v>619</v>
      </c>
      <c r="L200" s="6" t="s">
        <v>756</v>
      </c>
      <c r="M200" s="62">
        <v>199900</v>
      </c>
      <c r="N200" s="64">
        <v>0.9</v>
      </c>
      <c r="O200" s="36">
        <f t="shared" si="3"/>
        <v>29985</v>
      </c>
      <c r="P200" s="25" t="s">
        <v>0</v>
      </c>
    </row>
    <row r="201" spans="1:16" x14ac:dyDescent="0.3">
      <c r="A201" s="25" t="s">
        <v>3215</v>
      </c>
      <c r="B201" s="26">
        <v>46108</v>
      </c>
      <c r="C201" s="26">
        <v>46113</v>
      </c>
      <c r="D201" s="25">
        <v>3319</v>
      </c>
      <c r="E201" s="25">
        <v>327</v>
      </c>
      <c r="F201" s="25">
        <v>2</v>
      </c>
      <c r="G201" s="28">
        <v>1</v>
      </c>
      <c r="H201" s="28">
        <v>81433</v>
      </c>
      <c r="I201" s="28" t="s">
        <v>17</v>
      </c>
      <c r="J201" s="28">
        <v>31810336</v>
      </c>
      <c r="K201" t="s">
        <v>619</v>
      </c>
      <c r="L201" s="6" t="s">
        <v>757</v>
      </c>
      <c r="M201" s="62">
        <v>199900</v>
      </c>
      <c r="N201" s="64">
        <v>0.9</v>
      </c>
      <c r="O201" s="36">
        <f t="shared" si="3"/>
        <v>29985</v>
      </c>
      <c r="P201" s="25" t="s">
        <v>0</v>
      </c>
    </row>
    <row r="202" spans="1:16" x14ac:dyDescent="0.3">
      <c r="A202" s="25" t="s">
        <v>3215</v>
      </c>
      <c r="B202" s="26">
        <v>46108</v>
      </c>
      <c r="C202" s="26">
        <v>46113</v>
      </c>
      <c r="D202" s="25">
        <v>3319</v>
      </c>
      <c r="E202" s="25">
        <v>327</v>
      </c>
      <c r="F202" s="25">
        <v>2</v>
      </c>
      <c r="G202" s="28">
        <v>1</v>
      </c>
      <c r="H202" s="28">
        <v>81433</v>
      </c>
      <c r="I202" s="28" t="s">
        <v>17</v>
      </c>
      <c r="J202" s="28">
        <v>31810345</v>
      </c>
      <c r="K202" t="s">
        <v>619</v>
      </c>
      <c r="L202" s="6" t="s">
        <v>758</v>
      </c>
      <c r="M202" s="62">
        <v>199900</v>
      </c>
      <c r="N202" s="64">
        <v>0.9</v>
      </c>
      <c r="O202" s="36">
        <f t="shared" si="3"/>
        <v>29985</v>
      </c>
      <c r="P202" s="25" t="s">
        <v>0</v>
      </c>
    </row>
    <row r="203" spans="1:16" x14ac:dyDescent="0.3">
      <c r="A203" s="25" t="s">
        <v>3215</v>
      </c>
      <c r="B203" s="26">
        <v>46108</v>
      </c>
      <c r="C203" s="26">
        <v>46113</v>
      </c>
      <c r="D203" s="25">
        <v>3319</v>
      </c>
      <c r="E203" s="25">
        <v>327</v>
      </c>
      <c r="F203" s="25">
        <v>2</v>
      </c>
      <c r="G203" s="28">
        <v>1</v>
      </c>
      <c r="H203" s="28">
        <v>81433</v>
      </c>
      <c r="I203" s="28" t="s">
        <v>17</v>
      </c>
      <c r="J203" s="28">
        <v>31814047</v>
      </c>
      <c r="K203" t="s">
        <v>625</v>
      </c>
      <c r="L203" s="6" t="s">
        <v>759</v>
      </c>
      <c r="M203" s="62">
        <v>199900</v>
      </c>
      <c r="N203" s="64">
        <v>0.9</v>
      </c>
      <c r="O203" s="36">
        <f t="shared" si="3"/>
        <v>29985</v>
      </c>
      <c r="P203" s="25" t="s">
        <v>0</v>
      </c>
    </row>
    <row r="204" spans="1:16" x14ac:dyDescent="0.3">
      <c r="A204" s="25" t="s">
        <v>3215</v>
      </c>
      <c r="B204" s="26">
        <v>46108</v>
      </c>
      <c r="C204" s="26">
        <v>46113</v>
      </c>
      <c r="D204" s="25">
        <v>3319</v>
      </c>
      <c r="E204" s="25">
        <v>327</v>
      </c>
      <c r="F204" s="25">
        <v>2</v>
      </c>
      <c r="G204" s="28">
        <v>1</v>
      </c>
      <c r="H204" s="28">
        <v>81433</v>
      </c>
      <c r="I204" s="28" t="s">
        <v>17</v>
      </c>
      <c r="J204" s="28">
        <v>31814056</v>
      </c>
      <c r="K204" t="s">
        <v>625</v>
      </c>
      <c r="L204" s="6" t="s">
        <v>760</v>
      </c>
      <c r="M204" s="62">
        <v>199900</v>
      </c>
      <c r="N204" s="64">
        <v>0.9</v>
      </c>
      <c r="O204" s="36">
        <f t="shared" si="3"/>
        <v>29985</v>
      </c>
      <c r="P204" s="25" t="s">
        <v>0</v>
      </c>
    </row>
    <row r="205" spans="1:16" x14ac:dyDescent="0.3">
      <c r="A205" s="25" t="s">
        <v>3215</v>
      </c>
      <c r="B205" s="26">
        <v>46108</v>
      </c>
      <c r="C205" s="26">
        <v>46113</v>
      </c>
      <c r="D205" s="25">
        <v>3319</v>
      </c>
      <c r="E205" s="25">
        <v>327</v>
      </c>
      <c r="F205" s="25">
        <v>2</v>
      </c>
      <c r="G205" s="28">
        <v>1</v>
      </c>
      <c r="H205" s="28">
        <v>81433</v>
      </c>
      <c r="I205" s="28" t="s">
        <v>17</v>
      </c>
      <c r="J205" s="28">
        <v>31814065</v>
      </c>
      <c r="K205" t="s">
        <v>625</v>
      </c>
      <c r="L205" s="6" t="s">
        <v>761</v>
      </c>
      <c r="M205" s="62">
        <v>199900</v>
      </c>
      <c r="N205" s="64">
        <v>0.9</v>
      </c>
      <c r="O205" s="36">
        <f t="shared" si="3"/>
        <v>29985</v>
      </c>
      <c r="P205" s="25" t="s">
        <v>0</v>
      </c>
    </row>
    <row r="206" spans="1:16" x14ac:dyDescent="0.3">
      <c r="A206" s="25" t="s">
        <v>3215</v>
      </c>
      <c r="B206" s="26">
        <v>46108</v>
      </c>
      <c r="C206" s="26">
        <v>46113</v>
      </c>
      <c r="D206" s="25">
        <v>3319</v>
      </c>
      <c r="E206" s="25">
        <v>327</v>
      </c>
      <c r="F206" s="25">
        <v>2</v>
      </c>
      <c r="G206" s="28">
        <v>1</v>
      </c>
      <c r="H206" s="28">
        <v>81433</v>
      </c>
      <c r="I206" s="28" t="s">
        <v>17</v>
      </c>
      <c r="J206" s="28">
        <v>31814074</v>
      </c>
      <c r="K206" t="s">
        <v>625</v>
      </c>
      <c r="L206" s="6" t="s">
        <v>762</v>
      </c>
      <c r="M206" s="62">
        <v>199900</v>
      </c>
      <c r="N206" s="64">
        <v>0.9</v>
      </c>
      <c r="O206" s="36">
        <f t="shared" si="3"/>
        <v>29985</v>
      </c>
      <c r="P206" s="25" t="s">
        <v>0</v>
      </c>
    </row>
    <row r="207" spans="1:16" x14ac:dyDescent="0.3">
      <c r="A207" s="25" t="s">
        <v>3215</v>
      </c>
      <c r="B207" s="26">
        <v>46108</v>
      </c>
      <c r="C207" s="26">
        <v>46113</v>
      </c>
      <c r="D207" s="25">
        <v>3319</v>
      </c>
      <c r="E207" s="25">
        <v>327</v>
      </c>
      <c r="F207" s="25">
        <v>2</v>
      </c>
      <c r="G207" s="28">
        <v>1</v>
      </c>
      <c r="H207" s="28">
        <v>81433</v>
      </c>
      <c r="I207" s="28" t="s">
        <v>17</v>
      </c>
      <c r="J207" s="28">
        <v>31814083</v>
      </c>
      <c r="K207" t="s">
        <v>625</v>
      </c>
      <c r="L207" s="6" t="s">
        <v>763</v>
      </c>
      <c r="M207" s="62">
        <v>199900</v>
      </c>
      <c r="N207" s="64">
        <v>0.9</v>
      </c>
      <c r="O207" s="36">
        <f t="shared" si="3"/>
        <v>29985</v>
      </c>
      <c r="P207" s="25" t="s">
        <v>0</v>
      </c>
    </row>
    <row r="208" spans="1:16" x14ac:dyDescent="0.3">
      <c r="A208" s="25" t="s">
        <v>3215</v>
      </c>
      <c r="B208" s="26">
        <v>46108</v>
      </c>
      <c r="C208" s="26">
        <v>46113</v>
      </c>
      <c r="D208" s="25">
        <v>3319</v>
      </c>
      <c r="E208" s="25">
        <v>327</v>
      </c>
      <c r="F208" s="25">
        <v>2</v>
      </c>
      <c r="G208" s="28">
        <v>1</v>
      </c>
      <c r="H208" s="28">
        <v>81433</v>
      </c>
      <c r="I208" s="28" t="s">
        <v>17</v>
      </c>
      <c r="J208" s="28">
        <v>32067068</v>
      </c>
      <c r="K208" t="s">
        <v>764</v>
      </c>
      <c r="L208" s="6" t="s">
        <v>765</v>
      </c>
      <c r="M208" s="62">
        <v>239900</v>
      </c>
      <c r="N208" s="64">
        <v>0.9</v>
      </c>
      <c r="O208" s="36">
        <f t="shared" si="3"/>
        <v>35985</v>
      </c>
      <c r="P208" s="25" t="s">
        <v>0</v>
      </c>
    </row>
    <row r="209" spans="1:16" x14ac:dyDescent="0.3">
      <c r="A209" s="25" t="s">
        <v>3215</v>
      </c>
      <c r="B209" s="26">
        <v>46108</v>
      </c>
      <c r="C209" s="26">
        <v>46113</v>
      </c>
      <c r="D209" s="25">
        <v>3319</v>
      </c>
      <c r="E209" s="25">
        <v>327</v>
      </c>
      <c r="F209" s="25">
        <v>2</v>
      </c>
      <c r="G209" s="28">
        <v>1</v>
      </c>
      <c r="H209" s="28">
        <v>81433</v>
      </c>
      <c r="I209" s="28" t="s">
        <v>17</v>
      </c>
      <c r="J209" s="28">
        <v>32067077</v>
      </c>
      <c r="K209" t="s">
        <v>764</v>
      </c>
      <c r="L209" s="6" t="s">
        <v>766</v>
      </c>
      <c r="M209" s="62">
        <v>239900</v>
      </c>
      <c r="N209" s="64">
        <v>0.9</v>
      </c>
      <c r="O209" s="36">
        <f t="shared" si="3"/>
        <v>35985</v>
      </c>
      <c r="P209" s="25" t="s">
        <v>0</v>
      </c>
    </row>
    <row r="210" spans="1:16" x14ac:dyDescent="0.3">
      <c r="A210" s="25" t="s">
        <v>3215</v>
      </c>
      <c r="B210" s="26">
        <v>46108</v>
      </c>
      <c r="C210" s="26">
        <v>46113</v>
      </c>
      <c r="D210" s="25">
        <v>3319</v>
      </c>
      <c r="E210" s="25">
        <v>327</v>
      </c>
      <c r="F210" s="25">
        <v>2</v>
      </c>
      <c r="G210" s="28">
        <v>1</v>
      </c>
      <c r="H210" s="28">
        <v>81433</v>
      </c>
      <c r="I210" s="28" t="s">
        <v>17</v>
      </c>
      <c r="J210" s="28">
        <v>32067086</v>
      </c>
      <c r="K210" t="s">
        <v>764</v>
      </c>
      <c r="L210" s="6" t="s">
        <v>767</v>
      </c>
      <c r="M210" s="62">
        <v>239900</v>
      </c>
      <c r="N210" s="64">
        <v>0.9</v>
      </c>
      <c r="O210" s="36">
        <f t="shared" si="3"/>
        <v>35985</v>
      </c>
      <c r="P210" s="25" t="s">
        <v>0</v>
      </c>
    </row>
    <row r="211" spans="1:16" x14ac:dyDescent="0.3">
      <c r="A211" s="25" t="s">
        <v>3215</v>
      </c>
      <c r="B211" s="26">
        <v>46108</v>
      </c>
      <c r="C211" s="26">
        <v>46113</v>
      </c>
      <c r="D211" s="25">
        <v>3319</v>
      </c>
      <c r="E211" s="25">
        <v>327</v>
      </c>
      <c r="F211" s="25">
        <v>2</v>
      </c>
      <c r="G211" s="28">
        <v>1</v>
      </c>
      <c r="H211" s="28">
        <v>81433</v>
      </c>
      <c r="I211" s="28" t="s">
        <v>17</v>
      </c>
      <c r="J211" s="28">
        <v>32067095</v>
      </c>
      <c r="K211" t="s">
        <v>764</v>
      </c>
      <c r="L211" s="6" t="s">
        <v>768</v>
      </c>
      <c r="M211" s="62">
        <v>239900</v>
      </c>
      <c r="N211" s="64">
        <v>0.9</v>
      </c>
      <c r="O211" s="36">
        <f t="shared" si="3"/>
        <v>35985</v>
      </c>
      <c r="P211" s="25" t="s">
        <v>0</v>
      </c>
    </row>
    <row r="212" spans="1:16" x14ac:dyDescent="0.3">
      <c r="A212" s="25" t="s">
        <v>3215</v>
      </c>
      <c r="B212" s="26">
        <v>46108</v>
      </c>
      <c r="C212" s="26">
        <v>46113</v>
      </c>
      <c r="D212" s="25">
        <v>3319</v>
      </c>
      <c r="E212" s="25">
        <v>327</v>
      </c>
      <c r="F212" s="25">
        <v>2</v>
      </c>
      <c r="G212" s="28">
        <v>1</v>
      </c>
      <c r="H212" s="28">
        <v>81433</v>
      </c>
      <c r="I212" s="28" t="s">
        <v>17</v>
      </c>
      <c r="J212" s="28">
        <v>32067102</v>
      </c>
      <c r="K212" t="s">
        <v>764</v>
      </c>
      <c r="L212" s="6" t="s">
        <v>769</v>
      </c>
      <c r="M212" s="62">
        <v>239900</v>
      </c>
      <c r="N212" s="64">
        <v>0.9</v>
      </c>
      <c r="O212" s="36">
        <f t="shared" si="3"/>
        <v>35985</v>
      </c>
      <c r="P212" s="25" t="s">
        <v>0</v>
      </c>
    </row>
    <row r="213" spans="1:16" x14ac:dyDescent="0.3">
      <c r="A213" s="25" t="s">
        <v>3215</v>
      </c>
      <c r="B213" s="26">
        <v>46108</v>
      </c>
      <c r="C213" s="26">
        <v>46113</v>
      </c>
      <c r="D213" s="25">
        <v>3319</v>
      </c>
      <c r="E213" s="25">
        <v>327</v>
      </c>
      <c r="F213" s="25">
        <v>2</v>
      </c>
      <c r="G213" s="28">
        <v>1</v>
      </c>
      <c r="H213" s="28">
        <v>81433</v>
      </c>
      <c r="I213" s="28" t="s">
        <v>17</v>
      </c>
      <c r="J213" s="28">
        <v>32067111</v>
      </c>
      <c r="K213" t="s">
        <v>764</v>
      </c>
      <c r="L213" s="6" t="s">
        <v>770</v>
      </c>
      <c r="M213" s="62">
        <v>239900</v>
      </c>
      <c r="N213" s="64">
        <v>0.9</v>
      </c>
      <c r="O213" s="36">
        <f t="shared" si="3"/>
        <v>35985</v>
      </c>
      <c r="P213" s="25" t="s">
        <v>0</v>
      </c>
    </row>
    <row r="214" spans="1:16" x14ac:dyDescent="0.3">
      <c r="A214" s="25" t="s">
        <v>3215</v>
      </c>
      <c r="B214" s="26">
        <v>46108</v>
      </c>
      <c r="C214" s="26">
        <v>46113</v>
      </c>
      <c r="D214" s="25">
        <v>3319</v>
      </c>
      <c r="E214" s="25">
        <v>327</v>
      </c>
      <c r="F214" s="25">
        <v>2</v>
      </c>
      <c r="G214" s="28">
        <v>1</v>
      </c>
      <c r="H214" s="28">
        <v>81433</v>
      </c>
      <c r="I214" s="28" t="s">
        <v>17</v>
      </c>
      <c r="J214" s="28">
        <v>32067120</v>
      </c>
      <c r="K214" t="s">
        <v>764</v>
      </c>
      <c r="L214" s="6" t="s">
        <v>771</v>
      </c>
      <c r="M214" s="62">
        <v>239900</v>
      </c>
      <c r="N214" s="64">
        <v>0.9</v>
      </c>
      <c r="O214" s="36">
        <f t="shared" si="3"/>
        <v>35985</v>
      </c>
      <c r="P214" s="25" t="s">
        <v>0</v>
      </c>
    </row>
    <row r="215" spans="1:16" x14ac:dyDescent="0.3">
      <c r="A215" s="25" t="s">
        <v>3215</v>
      </c>
      <c r="B215" s="26">
        <v>46108</v>
      </c>
      <c r="C215" s="26">
        <v>46113</v>
      </c>
      <c r="D215" s="25">
        <v>3319</v>
      </c>
      <c r="E215" s="25">
        <v>327</v>
      </c>
      <c r="F215" s="25">
        <v>2</v>
      </c>
      <c r="G215" s="28">
        <v>1</v>
      </c>
      <c r="H215" s="28">
        <v>81433</v>
      </c>
      <c r="I215" s="28" t="s">
        <v>17</v>
      </c>
      <c r="J215" s="28">
        <v>32067139</v>
      </c>
      <c r="K215" t="s">
        <v>764</v>
      </c>
      <c r="L215" s="6" t="s">
        <v>772</v>
      </c>
      <c r="M215" s="62">
        <v>239900</v>
      </c>
      <c r="N215" s="64">
        <v>0.9</v>
      </c>
      <c r="O215" s="36">
        <f t="shared" si="3"/>
        <v>35985</v>
      </c>
      <c r="P215" s="25" t="s">
        <v>0</v>
      </c>
    </row>
    <row r="216" spans="1:16" x14ac:dyDescent="0.3">
      <c r="A216" s="25" t="s">
        <v>3215</v>
      </c>
      <c r="B216" s="26">
        <v>46108</v>
      </c>
      <c r="C216" s="26">
        <v>46113</v>
      </c>
      <c r="D216" s="25">
        <v>3319</v>
      </c>
      <c r="E216" s="25">
        <v>327</v>
      </c>
      <c r="F216" s="25">
        <v>2</v>
      </c>
      <c r="G216" s="28">
        <v>1</v>
      </c>
      <c r="H216" s="28">
        <v>81433</v>
      </c>
      <c r="I216" s="28" t="s">
        <v>17</v>
      </c>
      <c r="J216" s="28">
        <v>32067148</v>
      </c>
      <c r="K216" t="s">
        <v>764</v>
      </c>
      <c r="L216" s="6" t="s">
        <v>773</v>
      </c>
      <c r="M216" s="62">
        <v>239900</v>
      </c>
      <c r="N216" s="64">
        <v>0.9</v>
      </c>
      <c r="O216" s="36">
        <f t="shared" si="3"/>
        <v>35985</v>
      </c>
      <c r="P216" s="25" t="s">
        <v>0</v>
      </c>
    </row>
    <row r="217" spans="1:16" x14ac:dyDescent="0.3">
      <c r="A217" s="25" t="s">
        <v>3215</v>
      </c>
      <c r="B217" s="26">
        <v>46108</v>
      </c>
      <c r="C217" s="26">
        <v>46113</v>
      </c>
      <c r="D217" s="25">
        <v>3319</v>
      </c>
      <c r="E217" s="25">
        <v>327</v>
      </c>
      <c r="F217" s="25">
        <v>2</v>
      </c>
      <c r="G217" s="28">
        <v>1</v>
      </c>
      <c r="H217" s="28">
        <v>81433</v>
      </c>
      <c r="I217" s="28" t="s">
        <v>17</v>
      </c>
      <c r="J217" s="28">
        <v>32067157</v>
      </c>
      <c r="K217" t="s">
        <v>764</v>
      </c>
      <c r="L217" s="6" t="s">
        <v>774</v>
      </c>
      <c r="M217" s="62">
        <v>239900</v>
      </c>
      <c r="N217" s="64">
        <v>0.9</v>
      </c>
      <c r="O217" s="36">
        <f t="shared" si="3"/>
        <v>35985</v>
      </c>
      <c r="P217" s="25" t="s">
        <v>0</v>
      </c>
    </row>
    <row r="218" spans="1:16" x14ac:dyDescent="0.3">
      <c r="A218" s="25" t="s">
        <v>3215</v>
      </c>
      <c r="B218" s="26">
        <v>46108</v>
      </c>
      <c r="C218" s="26">
        <v>46113</v>
      </c>
      <c r="D218" s="25">
        <v>3319</v>
      </c>
      <c r="E218" s="25">
        <v>327</v>
      </c>
      <c r="F218" s="25">
        <v>2</v>
      </c>
      <c r="G218" s="28">
        <v>1</v>
      </c>
      <c r="H218" s="28">
        <v>81433</v>
      </c>
      <c r="I218" s="28" t="s">
        <v>17</v>
      </c>
      <c r="J218" s="28">
        <v>33261284</v>
      </c>
      <c r="K218" t="s">
        <v>775</v>
      </c>
      <c r="L218" s="6" t="s">
        <v>776</v>
      </c>
      <c r="M218" s="62">
        <v>239900</v>
      </c>
      <c r="N218" s="64">
        <v>0.9</v>
      </c>
      <c r="O218" s="36">
        <f t="shared" si="3"/>
        <v>35985</v>
      </c>
      <c r="P218" s="25" t="s">
        <v>0</v>
      </c>
    </row>
    <row r="219" spans="1:16" x14ac:dyDescent="0.3">
      <c r="A219" s="25" t="s">
        <v>3215</v>
      </c>
      <c r="B219" s="26">
        <v>46108</v>
      </c>
      <c r="C219" s="26">
        <v>46113</v>
      </c>
      <c r="D219" s="25">
        <v>3319</v>
      </c>
      <c r="E219" s="25">
        <v>327</v>
      </c>
      <c r="F219" s="25">
        <v>2</v>
      </c>
      <c r="G219" s="28">
        <v>1</v>
      </c>
      <c r="H219" s="28">
        <v>81433</v>
      </c>
      <c r="I219" s="28" t="s">
        <v>17</v>
      </c>
      <c r="J219" s="28">
        <v>33261293</v>
      </c>
      <c r="K219" t="s">
        <v>775</v>
      </c>
      <c r="L219" s="6" t="s">
        <v>777</v>
      </c>
      <c r="M219" s="62">
        <v>239900</v>
      </c>
      <c r="N219" s="64">
        <v>0.9</v>
      </c>
      <c r="O219" s="36">
        <f t="shared" si="3"/>
        <v>35985</v>
      </c>
      <c r="P219" s="25" t="s">
        <v>0</v>
      </c>
    </row>
    <row r="220" spans="1:16" x14ac:dyDescent="0.3">
      <c r="A220" s="25" t="s">
        <v>3215</v>
      </c>
      <c r="B220" s="26">
        <v>46108</v>
      </c>
      <c r="C220" s="26">
        <v>46113</v>
      </c>
      <c r="D220" s="25">
        <v>3319</v>
      </c>
      <c r="E220" s="25">
        <v>327</v>
      </c>
      <c r="F220" s="25">
        <v>2</v>
      </c>
      <c r="G220" s="28">
        <v>1</v>
      </c>
      <c r="H220" s="28">
        <v>81433</v>
      </c>
      <c r="I220" s="28" t="s">
        <v>17</v>
      </c>
      <c r="J220" s="28">
        <v>33261300</v>
      </c>
      <c r="K220" t="s">
        <v>775</v>
      </c>
      <c r="L220" s="6" t="s">
        <v>778</v>
      </c>
      <c r="M220" s="62">
        <v>239900</v>
      </c>
      <c r="N220" s="64">
        <v>0.9</v>
      </c>
      <c r="O220" s="36">
        <f t="shared" si="3"/>
        <v>35985</v>
      </c>
      <c r="P220" s="25" t="s">
        <v>0</v>
      </c>
    </row>
    <row r="221" spans="1:16" x14ac:dyDescent="0.3">
      <c r="A221" s="25" t="s">
        <v>3215</v>
      </c>
      <c r="B221" s="26">
        <v>46108</v>
      </c>
      <c r="C221" s="26">
        <v>46113</v>
      </c>
      <c r="D221" s="25">
        <v>3319</v>
      </c>
      <c r="E221" s="25">
        <v>327</v>
      </c>
      <c r="F221" s="25">
        <v>2</v>
      </c>
      <c r="G221" s="28">
        <v>1</v>
      </c>
      <c r="H221" s="28">
        <v>81433</v>
      </c>
      <c r="I221" s="28" t="s">
        <v>17</v>
      </c>
      <c r="J221" s="28">
        <v>33261319</v>
      </c>
      <c r="K221" t="s">
        <v>775</v>
      </c>
      <c r="L221" s="6" t="s">
        <v>779</v>
      </c>
      <c r="M221" s="62">
        <v>239900</v>
      </c>
      <c r="N221" s="64">
        <v>0.9</v>
      </c>
      <c r="O221" s="36">
        <f t="shared" si="3"/>
        <v>35985</v>
      </c>
      <c r="P221" s="25" t="s">
        <v>0</v>
      </c>
    </row>
    <row r="222" spans="1:16" x14ac:dyDescent="0.3">
      <c r="A222" s="25" t="s">
        <v>3215</v>
      </c>
      <c r="B222" s="26">
        <v>46108</v>
      </c>
      <c r="C222" s="26">
        <v>46113</v>
      </c>
      <c r="D222" s="25">
        <v>3319</v>
      </c>
      <c r="E222" s="25">
        <v>327</v>
      </c>
      <c r="F222" s="25">
        <v>2</v>
      </c>
      <c r="G222" s="28">
        <v>1</v>
      </c>
      <c r="H222" s="28">
        <v>81433</v>
      </c>
      <c r="I222" s="28" t="s">
        <v>17</v>
      </c>
      <c r="J222" s="28">
        <v>33261328</v>
      </c>
      <c r="K222" t="s">
        <v>775</v>
      </c>
      <c r="L222" s="6" t="s">
        <v>780</v>
      </c>
      <c r="M222" s="62">
        <v>239900</v>
      </c>
      <c r="N222" s="64">
        <v>0.9</v>
      </c>
      <c r="O222" s="36">
        <f t="shared" si="3"/>
        <v>35985</v>
      </c>
      <c r="P222" s="25" t="s">
        <v>0</v>
      </c>
    </row>
    <row r="223" spans="1:16" x14ac:dyDescent="0.3">
      <c r="A223" s="25" t="s">
        <v>3215</v>
      </c>
      <c r="B223" s="26">
        <v>46108</v>
      </c>
      <c r="C223" s="26">
        <v>46113</v>
      </c>
      <c r="D223" s="25">
        <v>3319</v>
      </c>
      <c r="E223" s="25">
        <v>327</v>
      </c>
      <c r="F223" s="25">
        <v>2</v>
      </c>
      <c r="G223" s="28">
        <v>1</v>
      </c>
      <c r="H223" s="28">
        <v>81433</v>
      </c>
      <c r="I223" s="28" t="s">
        <v>17</v>
      </c>
      <c r="J223" s="28">
        <v>33261346</v>
      </c>
      <c r="K223" t="s">
        <v>781</v>
      </c>
      <c r="L223" s="6" t="s">
        <v>782</v>
      </c>
      <c r="M223" s="62">
        <v>199900</v>
      </c>
      <c r="N223" s="64">
        <v>0.9</v>
      </c>
      <c r="O223" s="36">
        <f t="shared" si="3"/>
        <v>29985</v>
      </c>
      <c r="P223" s="25" t="s">
        <v>0</v>
      </c>
    </row>
    <row r="224" spans="1:16" x14ac:dyDescent="0.3">
      <c r="A224" s="25" t="s">
        <v>3215</v>
      </c>
      <c r="B224" s="26">
        <v>46108</v>
      </c>
      <c r="C224" s="26">
        <v>46113</v>
      </c>
      <c r="D224" s="25">
        <v>3319</v>
      </c>
      <c r="E224" s="25">
        <v>327</v>
      </c>
      <c r="F224" s="25">
        <v>2</v>
      </c>
      <c r="G224" s="28">
        <v>1</v>
      </c>
      <c r="H224" s="28">
        <v>81433</v>
      </c>
      <c r="I224" s="28" t="s">
        <v>17</v>
      </c>
      <c r="J224" s="28">
        <v>33261355</v>
      </c>
      <c r="K224" t="s">
        <v>781</v>
      </c>
      <c r="L224" s="6" t="s">
        <v>783</v>
      </c>
      <c r="M224" s="62">
        <v>199900</v>
      </c>
      <c r="N224" s="64">
        <v>0.9</v>
      </c>
      <c r="O224" s="36">
        <f t="shared" si="3"/>
        <v>29985</v>
      </c>
      <c r="P224" s="25" t="s">
        <v>0</v>
      </c>
    </row>
    <row r="225" spans="1:16" x14ac:dyDescent="0.3">
      <c r="A225" s="25" t="s">
        <v>3215</v>
      </c>
      <c r="B225" s="26">
        <v>46108</v>
      </c>
      <c r="C225" s="26">
        <v>46113</v>
      </c>
      <c r="D225" s="25">
        <v>3319</v>
      </c>
      <c r="E225" s="25">
        <v>327</v>
      </c>
      <c r="F225" s="25">
        <v>2</v>
      </c>
      <c r="G225" s="28">
        <v>1</v>
      </c>
      <c r="H225" s="28">
        <v>81433</v>
      </c>
      <c r="I225" s="28" t="s">
        <v>17</v>
      </c>
      <c r="J225" s="28">
        <v>33261364</v>
      </c>
      <c r="K225" t="s">
        <v>781</v>
      </c>
      <c r="L225" s="6" t="s">
        <v>784</v>
      </c>
      <c r="M225" s="62">
        <v>199900</v>
      </c>
      <c r="N225" s="64">
        <v>0.9</v>
      </c>
      <c r="O225" s="36">
        <f t="shared" si="3"/>
        <v>29985</v>
      </c>
      <c r="P225" s="25" t="s">
        <v>0</v>
      </c>
    </row>
    <row r="226" spans="1:16" x14ac:dyDescent="0.3">
      <c r="A226" s="25" t="s">
        <v>3215</v>
      </c>
      <c r="B226" s="26">
        <v>46108</v>
      </c>
      <c r="C226" s="26">
        <v>46113</v>
      </c>
      <c r="D226" s="25">
        <v>3319</v>
      </c>
      <c r="E226" s="25">
        <v>327</v>
      </c>
      <c r="F226" s="25">
        <v>2</v>
      </c>
      <c r="G226" s="28">
        <v>1</v>
      </c>
      <c r="H226" s="28">
        <v>81433</v>
      </c>
      <c r="I226" s="28" t="s">
        <v>17</v>
      </c>
      <c r="J226" s="28">
        <v>33261373</v>
      </c>
      <c r="K226" t="s">
        <v>781</v>
      </c>
      <c r="L226" s="6" t="s">
        <v>785</v>
      </c>
      <c r="M226" s="62">
        <v>199900</v>
      </c>
      <c r="N226" s="64">
        <v>0.9</v>
      </c>
      <c r="O226" s="36">
        <f t="shared" si="3"/>
        <v>29985</v>
      </c>
      <c r="P226" s="25" t="s">
        <v>0</v>
      </c>
    </row>
    <row r="227" spans="1:16" x14ac:dyDescent="0.3">
      <c r="A227" s="25" t="s">
        <v>3215</v>
      </c>
      <c r="B227" s="26">
        <v>46108</v>
      </c>
      <c r="C227" s="26">
        <v>46113</v>
      </c>
      <c r="D227" s="25">
        <v>3319</v>
      </c>
      <c r="E227" s="25">
        <v>327</v>
      </c>
      <c r="F227" s="25">
        <v>2</v>
      </c>
      <c r="G227" s="28">
        <v>1</v>
      </c>
      <c r="H227" s="28">
        <v>81433</v>
      </c>
      <c r="I227" s="28" t="s">
        <v>17</v>
      </c>
      <c r="J227" s="28">
        <v>33261382</v>
      </c>
      <c r="K227" t="s">
        <v>781</v>
      </c>
      <c r="L227" s="6" t="s">
        <v>786</v>
      </c>
      <c r="M227" s="62">
        <v>199900</v>
      </c>
      <c r="N227" s="64">
        <v>0.9</v>
      </c>
      <c r="O227" s="36">
        <f t="shared" si="3"/>
        <v>29985</v>
      </c>
      <c r="P227" s="25" t="s">
        <v>0</v>
      </c>
    </row>
    <row r="228" spans="1:16" x14ac:dyDescent="0.3">
      <c r="A228" s="25" t="s">
        <v>3215</v>
      </c>
      <c r="B228" s="26">
        <v>46108</v>
      </c>
      <c r="C228" s="26">
        <v>46113</v>
      </c>
      <c r="D228" s="25">
        <v>3319</v>
      </c>
      <c r="E228" s="25">
        <v>327</v>
      </c>
      <c r="F228" s="25">
        <v>2</v>
      </c>
      <c r="G228" s="28">
        <v>1</v>
      </c>
      <c r="H228" s="28">
        <v>81433</v>
      </c>
      <c r="I228" s="28" t="s">
        <v>17</v>
      </c>
      <c r="J228" s="28">
        <v>33261391</v>
      </c>
      <c r="K228" t="s">
        <v>781</v>
      </c>
      <c r="L228" s="6" t="s">
        <v>787</v>
      </c>
      <c r="M228" s="62">
        <v>199900</v>
      </c>
      <c r="N228" s="64">
        <v>0.9</v>
      </c>
      <c r="O228" s="36">
        <f t="shared" si="3"/>
        <v>29985</v>
      </c>
      <c r="P228" s="25" t="s">
        <v>0</v>
      </c>
    </row>
    <row r="229" spans="1:16" x14ac:dyDescent="0.3">
      <c r="A229" s="25" t="s">
        <v>3215</v>
      </c>
      <c r="B229" s="26">
        <v>46108</v>
      </c>
      <c r="C229" s="26">
        <v>46113</v>
      </c>
      <c r="D229" s="25">
        <v>3319</v>
      </c>
      <c r="E229" s="25">
        <v>327</v>
      </c>
      <c r="F229" s="25">
        <v>2</v>
      </c>
      <c r="G229" s="28">
        <v>1</v>
      </c>
      <c r="H229" s="28">
        <v>81433</v>
      </c>
      <c r="I229" s="28" t="s">
        <v>17</v>
      </c>
      <c r="J229" s="28">
        <v>33261408</v>
      </c>
      <c r="K229" t="s">
        <v>781</v>
      </c>
      <c r="L229" s="6" t="s">
        <v>788</v>
      </c>
      <c r="M229" s="62">
        <v>199900</v>
      </c>
      <c r="N229" s="64">
        <v>0.9</v>
      </c>
      <c r="O229" s="36">
        <f t="shared" si="3"/>
        <v>29985</v>
      </c>
      <c r="P229" s="25" t="s">
        <v>0</v>
      </c>
    </row>
    <row r="230" spans="1:16" x14ac:dyDescent="0.3">
      <c r="A230" s="25" t="s">
        <v>3215</v>
      </c>
      <c r="B230" s="26">
        <v>46108</v>
      </c>
      <c r="C230" s="26">
        <v>46113</v>
      </c>
      <c r="D230" s="25">
        <v>3319</v>
      </c>
      <c r="E230" s="25">
        <v>327</v>
      </c>
      <c r="F230" s="25">
        <v>2</v>
      </c>
      <c r="G230" s="28">
        <v>1</v>
      </c>
      <c r="H230" s="28">
        <v>81433</v>
      </c>
      <c r="I230" s="28" t="s">
        <v>17</v>
      </c>
      <c r="J230" s="28">
        <v>33261417</v>
      </c>
      <c r="K230" t="s">
        <v>781</v>
      </c>
      <c r="L230" s="6" t="s">
        <v>789</v>
      </c>
      <c r="M230" s="62">
        <v>199900</v>
      </c>
      <c r="N230" s="64">
        <v>0.9</v>
      </c>
      <c r="O230" s="36">
        <f t="shared" si="3"/>
        <v>29985</v>
      </c>
      <c r="P230" s="25" t="s">
        <v>0</v>
      </c>
    </row>
    <row r="231" spans="1:16" x14ac:dyDescent="0.3">
      <c r="A231" s="25" t="s">
        <v>3215</v>
      </c>
      <c r="B231" s="26">
        <v>46108</v>
      </c>
      <c r="C231" s="26">
        <v>46113</v>
      </c>
      <c r="D231" s="25">
        <v>3319</v>
      </c>
      <c r="E231" s="25">
        <v>327</v>
      </c>
      <c r="F231" s="25">
        <v>2</v>
      </c>
      <c r="G231" s="28">
        <v>1</v>
      </c>
      <c r="H231" s="28">
        <v>81433</v>
      </c>
      <c r="I231" s="28" t="s">
        <v>17</v>
      </c>
      <c r="J231" s="28">
        <v>33261426</v>
      </c>
      <c r="K231" t="s">
        <v>781</v>
      </c>
      <c r="L231" s="6" t="s">
        <v>790</v>
      </c>
      <c r="M231" s="62">
        <v>199900</v>
      </c>
      <c r="N231" s="64">
        <v>0.9</v>
      </c>
      <c r="O231" s="36">
        <f t="shared" si="3"/>
        <v>29985</v>
      </c>
      <c r="P231" s="25" t="s">
        <v>0</v>
      </c>
    </row>
    <row r="232" spans="1:16" x14ac:dyDescent="0.3">
      <c r="A232" s="25" t="s">
        <v>3215</v>
      </c>
      <c r="B232" s="26">
        <v>46108</v>
      </c>
      <c r="C232" s="26">
        <v>46113</v>
      </c>
      <c r="D232" s="25">
        <v>3319</v>
      </c>
      <c r="E232" s="25">
        <v>327</v>
      </c>
      <c r="F232" s="25">
        <v>2</v>
      </c>
      <c r="G232" s="28">
        <v>1</v>
      </c>
      <c r="H232" s="28">
        <v>81433</v>
      </c>
      <c r="I232" s="28" t="s">
        <v>17</v>
      </c>
      <c r="J232" s="28">
        <v>33261435</v>
      </c>
      <c r="K232" t="s">
        <v>781</v>
      </c>
      <c r="L232" s="6" t="s">
        <v>791</v>
      </c>
      <c r="M232" s="62">
        <v>199900</v>
      </c>
      <c r="N232" s="64">
        <v>0.9</v>
      </c>
      <c r="O232" s="36">
        <f t="shared" si="3"/>
        <v>29985</v>
      </c>
      <c r="P232" s="25" t="s">
        <v>0</v>
      </c>
    </row>
    <row r="233" spans="1:16" x14ac:dyDescent="0.3">
      <c r="A233" s="25" t="s">
        <v>3215</v>
      </c>
      <c r="B233" s="26">
        <v>46108</v>
      </c>
      <c r="C233" s="26">
        <v>46113</v>
      </c>
      <c r="D233" s="25">
        <v>3319</v>
      </c>
      <c r="E233" s="25">
        <v>327</v>
      </c>
      <c r="F233" s="25">
        <v>2</v>
      </c>
      <c r="G233" s="28">
        <v>1</v>
      </c>
      <c r="H233" s="28">
        <v>81433</v>
      </c>
      <c r="I233" s="28" t="s">
        <v>17</v>
      </c>
      <c r="J233" s="28">
        <v>33442918</v>
      </c>
      <c r="K233" t="s">
        <v>792</v>
      </c>
      <c r="L233" s="6" t="s">
        <v>793</v>
      </c>
      <c r="M233" s="62">
        <v>199900</v>
      </c>
      <c r="N233" s="64">
        <v>0.9</v>
      </c>
      <c r="O233" s="36">
        <f t="shared" si="3"/>
        <v>29985</v>
      </c>
      <c r="P233" s="25" t="s">
        <v>0</v>
      </c>
    </row>
    <row r="234" spans="1:16" x14ac:dyDescent="0.3">
      <c r="A234" s="25" t="s">
        <v>3215</v>
      </c>
      <c r="B234" s="26">
        <v>46108</v>
      </c>
      <c r="C234" s="26">
        <v>46113</v>
      </c>
      <c r="D234" s="25">
        <v>3319</v>
      </c>
      <c r="E234" s="25">
        <v>327</v>
      </c>
      <c r="F234" s="25">
        <v>2</v>
      </c>
      <c r="G234" s="28">
        <v>1</v>
      </c>
      <c r="H234" s="28">
        <v>81433</v>
      </c>
      <c r="I234" s="28" t="s">
        <v>17</v>
      </c>
      <c r="J234" s="28">
        <v>33442927</v>
      </c>
      <c r="K234" t="s">
        <v>792</v>
      </c>
      <c r="L234" s="6" t="s">
        <v>794</v>
      </c>
      <c r="M234" s="62">
        <v>199900</v>
      </c>
      <c r="N234" s="64">
        <v>0.9</v>
      </c>
      <c r="O234" s="36">
        <f t="shared" si="3"/>
        <v>29985</v>
      </c>
      <c r="P234" s="25" t="s">
        <v>0</v>
      </c>
    </row>
    <row r="235" spans="1:16" x14ac:dyDescent="0.3">
      <c r="A235" s="25" t="s">
        <v>3215</v>
      </c>
      <c r="B235" s="26">
        <v>46108</v>
      </c>
      <c r="C235" s="26">
        <v>46113</v>
      </c>
      <c r="D235" s="25">
        <v>3319</v>
      </c>
      <c r="E235" s="25">
        <v>327</v>
      </c>
      <c r="F235" s="25">
        <v>2</v>
      </c>
      <c r="G235" s="28">
        <v>1</v>
      </c>
      <c r="H235" s="28">
        <v>81433</v>
      </c>
      <c r="I235" s="28" t="s">
        <v>17</v>
      </c>
      <c r="J235" s="28">
        <v>33442936</v>
      </c>
      <c r="K235" t="s">
        <v>792</v>
      </c>
      <c r="L235" s="6" t="s">
        <v>795</v>
      </c>
      <c r="M235" s="62">
        <v>199900</v>
      </c>
      <c r="N235" s="64">
        <v>0.9</v>
      </c>
      <c r="O235" s="36">
        <f t="shared" si="3"/>
        <v>29985</v>
      </c>
      <c r="P235" s="25" t="s">
        <v>0</v>
      </c>
    </row>
    <row r="236" spans="1:16" x14ac:dyDescent="0.3">
      <c r="A236" s="25" t="s">
        <v>3215</v>
      </c>
      <c r="B236" s="26">
        <v>46108</v>
      </c>
      <c r="C236" s="26">
        <v>46113</v>
      </c>
      <c r="D236" s="25">
        <v>3319</v>
      </c>
      <c r="E236" s="25">
        <v>327</v>
      </c>
      <c r="F236" s="25">
        <v>2</v>
      </c>
      <c r="G236" s="28">
        <v>1</v>
      </c>
      <c r="H236" s="28">
        <v>81433</v>
      </c>
      <c r="I236" s="28" t="s">
        <v>17</v>
      </c>
      <c r="J236" s="28">
        <v>33442945</v>
      </c>
      <c r="K236" t="s">
        <v>792</v>
      </c>
      <c r="L236" s="6" t="s">
        <v>796</v>
      </c>
      <c r="M236" s="62">
        <v>199900</v>
      </c>
      <c r="N236" s="64">
        <v>0.9</v>
      </c>
      <c r="O236" s="36">
        <f t="shared" si="3"/>
        <v>29985</v>
      </c>
      <c r="P236" s="25" t="s">
        <v>0</v>
      </c>
    </row>
    <row r="237" spans="1:16" x14ac:dyDescent="0.3">
      <c r="A237" s="25" t="s">
        <v>3215</v>
      </c>
      <c r="B237" s="26">
        <v>46108</v>
      </c>
      <c r="C237" s="26">
        <v>46113</v>
      </c>
      <c r="D237" s="25">
        <v>3319</v>
      </c>
      <c r="E237" s="25">
        <v>327</v>
      </c>
      <c r="F237" s="25">
        <v>2</v>
      </c>
      <c r="G237" s="28">
        <v>1</v>
      </c>
      <c r="H237" s="28">
        <v>81433</v>
      </c>
      <c r="I237" s="28" t="s">
        <v>17</v>
      </c>
      <c r="J237" s="28">
        <v>33442954</v>
      </c>
      <c r="K237" t="s">
        <v>792</v>
      </c>
      <c r="L237" s="6" t="s">
        <v>797</v>
      </c>
      <c r="M237" s="62">
        <v>199900</v>
      </c>
      <c r="N237" s="64">
        <v>0.9</v>
      </c>
      <c r="O237" s="36">
        <f t="shared" si="3"/>
        <v>29985</v>
      </c>
      <c r="P237" s="25" t="s">
        <v>0</v>
      </c>
    </row>
    <row r="238" spans="1:16" x14ac:dyDescent="0.3">
      <c r="A238" s="25" t="s">
        <v>3215</v>
      </c>
      <c r="B238" s="26">
        <v>46108</v>
      </c>
      <c r="C238" s="26">
        <v>46113</v>
      </c>
      <c r="D238" s="25">
        <v>3319</v>
      </c>
      <c r="E238" s="25">
        <v>327</v>
      </c>
      <c r="F238" s="25">
        <v>2</v>
      </c>
      <c r="G238" s="28">
        <v>1</v>
      </c>
      <c r="H238" s="28">
        <v>81433</v>
      </c>
      <c r="I238" s="28" t="s">
        <v>17</v>
      </c>
      <c r="J238" s="28">
        <v>33446254</v>
      </c>
      <c r="K238" t="s">
        <v>775</v>
      </c>
      <c r="L238" s="6" t="s">
        <v>798</v>
      </c>
      <c r="M238" s="62">
        <v>239900</v>
      </c>
      <c r="N238" s="64">
        <v>0.9</v>
      </c>
      <c r="O238" s="36">
        <f t="shared" si="3"/>
        <v>35985</v>
      </c>
      <c r="P238" s="25" t="s">
        <v>0</v>
      </c>
    </row>
    <row r="239" spans="1:16" x14ac:dyDescent="0.3">
      <c r="A239" s="25" t="s">
        <v>3215</v>
      </c>
      <c r="B239" s="26">
        <v>46108</v>
      </c>
      <c r="C239" s="26">
        <v>46113</v>
      </c>
      <c r="D239" s="25">
        <v>3319</v>
      </c>
      <c r="E239" s="25">
        <v>327</v>
      </c>
      <c r="F239" s="25">
        <v>2</v>
      </c>
      <c r="G239" s="28">
        <v>1</v>
      </c>
      <c r="H239" s="28">
        <v>81433</v>
      </c>
      <c r="I239" s="28" t="s">
        <v>17</v>
      </c>
      <c r="J239" s="28">
        <v>33446263</v>
      </c>
      <c r="K239" t="s">
        <v>775</v>
      </c>
      <c r="L239" s="6" t="s">
        <v>799</v>
      </c>
      <c r="M239" s="62">
        <v>239900</v>
      </c>
      <c r="N239" s="64">
        <v>0.9</v>
      </c>
      <c r="O239" s="36">
        <f t="shared" si="3"/>
        <v>35985</v>
      </c>
      <c r="P239" s="25" t="s">
        <v>0</v>
      </c>
    </row>
    <row r="240" spans="1:16" x14ac:dyDescent="0.3">
      <c r="A240" s="25" t="s">
        <v>3215</v>
      </c>
      <c r="B240" s="26">
        <v>46108</v>
      </c>
      <c r="C240" s="26">
        <v>46113</v>
      </c>
      <c r="D240" s="25">
        <v>3319</v>
      </c>
      <c r="E240" s="25">
        <v>327</v>
      </c>
      <c r="F240" s="25">
        <v>2</v>
      </c>
      <c r="G240" s="28">
        <v>1</v>
      </c>
      <c r="H240" s="28">
        <v>81433</v>
      </c>
      <c r="I240" s="28" t="s">
        <v>17</v>
      </c>
      <c r="J240" s="28">
        <v>33446272</v>
      </c>
      <c r="K240" t="s">
        <v>775</v>
      </c>
      <c r="L240" s="6" t="s">
        <v>800</v>
      </c>
      <c r="M240" s="62">
        <v>239900</v>
      </c>
      <c r="N240" s="64">
        <v>0.9</v>
      </c>
      <c r="O240" s="36">
        <f t="shared" si="3"/>
        <v>35985</v>
      </c>
      <c r="P240" s="25" t="s">
        <v>0</v>
      </c>
    </row>
    <row r="241" spans="1:16" x14ac:dyDescent="0.3">
      <c r="A241" s="25" t="s">
        <v>3215</v>
      </c>
      <c r="B241" s="26">
        <v>46108</v>
      </c>
      <c r="C241" s="26">
        <v>46113</v>
      </c>
      <c r="D241" s="25">
        <v>3319</v>
      </c>
      <c r="E241" s="25">
        <v>327</v>
      </c>
      <c r="F241" s="25">
        <v>2</v>
      </c>
      <c r="G241" s="28">
        <v>1</v>
      </c>
      <c r="H241" s="28">
        <v>81433</v>
      </c>
      <c r="I241" s="28" t="s">
        <v>17</v>
      </c>
      <c r="J241" s="28">
        <v>33446281</v>
      </c>
      <c r="K241" t="s">
        <v>775</v>
      </c>
      <c r="L241" s="6" t="s">
        <v>801</v>
      </c>
      <c r="M241" s="62">
        <v>239900</v>
      </c>
      <c r="N241" s="64">
        <v>0.9</v>
      </c>
      <c r="O241" s="36">
        <f t="shared" si="3"/>
        <v>35985</v>
      </c>
      <c r="P241" s="25" t="s">
        <v>0</v>
      </c>
    </row>
    <row r="242" spans="1:16" x14ac:dyDescent="0.3">
      <c r="A242" s="25" t="s">
        <v>3215</v>
      </c>
      <c r="B242" s="26">
        <v>46108</v>
      </c>
      <c r="C242" s="26">
        <v>46113</v>
      </c>
      <c r="D242" s="25">
        <v>3319</v>
      </c>
      <c r="E242" s="25">
        <v>327</v>
      </c>
      <c r="F242" s="25">
        <v>2</v>
      </c>
      <c r="G242" s="28">
        <v>1</v>
      </c>
      <c r="H242" s="28">
        <v>81433</v>
      </c>
      <c r="I242" s="28" t="s">
        <v>17</v>
      </c>
      <c r="J242" s="28">
        <v>33446290</v>
      </c>
      <c r="K242" t="s">
        <v>775</v>
      </c>
      <c r="L242" s="6" t="s">
        <v>802</v>
      </c>
      <c r="M242" s="62">
        <v>239900</v>
      </c>
      <c r="N242" s="64">
        <v>0.9</v>
      </c>
      <c r="O242" s="36">
        <f t="shared" si="3"/>
        <v>35985</v>
      </c>
      <c r="P242" s="25" t="s">
        <v>0</v>
      </c>
    </row>
    <row r="243" spans="1:16" x14ac:dyDescent="0.3">
      <c r="A243" s="25" t="s">
        <v>3215</v>
      </c>
      <c r="B243" s="26">
        <v>46108</v>
      </c>
      <c r="C243" s="26">
        <v>46113</v>
      </c>
      <c r="D243" s="25">
        <v>3319</v>
      </c>
      <c r="E243" s="25">
        <v>327</v>
      </c>
      <c r="F243" s="25">
        <v>2</v>
      </c>
      <c r="G243" s="28">
        <v>1</v>
      </c>
      <c r="H243" s="28">
        <v>81433</v>
      </c>
      <c r="I243" s="28" t="s">
        <v>17</v>
      </c>
      <c r="J243" s="28">
        <v>33446307</v>
      </c>
      <c r="K243" t="s">
        <v>775</v>
      </c>
      <c r="L243" s="6" t="s">
        <v>803</v>
      </c>
      <c r="M243" s="62">
        <v>239900</v>
      </c>
      <c r="N243" s="64">
        <v>0.9</v>
      </c>
      <c r="O243" s="36">
        <f t="shared" si="3"/>
        <v>35985</v>
      </c>
      <c r="P243" s="25" t="s">
        <v>0</v>
      </c>
    </row>
    <row r="244" spans="1:16" x14ac:dyDescent="0.3">
      <c r="A244" s="25" t="s">
        <v>3215</v>
      </c>
      <c r="B244" s="26">
        <v>46108</v>
      </c>
      <c r="C244" s="26">
        <v>46113</v>
      </c>
      <c r="D244" s="25">
        <v>3319</v>
      </c>
      <c r="E244" s="25">
        <v>327</v>
      </c>
      <c r="F244" s="25">
        <v>2</v>
      </c>
      <c r="G244" s="28">
        <v>1</v>
      </c>
      <c r="H244" s="28">
        <v>81433</v>
      </c>
      <c r="I244" s="28" t="s">
        <v>17</v>
      </c>
      <c r="J244" s="28">
        <v>33446316</v>
      </c>
      <c r="K244" t="s">
        <v>775</v>
      </c>
      <c r="L244" s="6" t="s">
        <v>804</v>
      </c>
      <c r="M244" s="62">
        <v>239900</v>
      </c>
      <c r="N244" s="64">
        <v>0.9</v>
      </c>
      <c r="O244" s="36">
        <f t="shared" si="3"/>
        <v>35985</v>
      </c>
      <c r="P244" s="25" t="s">
        <v>0</v>
      </c>
    </row>
    <row r="245" spans="1:16" x14ac:dyDescent="0.3">
      <c r="A245" s="25" t="s">
        <v>3215</v>
      </c>
      <c r="B245" s="26">
        <v>46108</v>
      </c>
      <c r="C245" s="26">
        <v>46113</v>
      </c>
      <c r="D245" s="25">
        <v>3319</v>
      </c>
      <c r="E245" s="25">
        <v>327</v>
      </c>
      <c r="F245" s="25">
        <v>2</v>
      </c>
      <c r="G245" s="28">
        <v>1</v>
      </c>
      <c r="H245" s="28">
        <v>81433</v>
      </c>
      <c r="I245" s="28" t="s">
        <v>17</v>
      </c>
      <c r="J245" s="28">
        <v>33446325</v>
      </c>
      <c r="K245" t="s">
        <v>775</v>
      </c>
      <c r="L245" s="6" t="s">
        <v>805</v>
      </c>
      <c r="M245" s="62">
        <v>239900</v>
      </c>
      <c r="N245" s="64">
        <v>0.9</v>
      </c>
      <c r="O245" s="36">
        <f t="shared" si="3"/>
        <v>35985</v>
      </c>
      <c r="P245" s="25" t="s">
        <v>0</v>
      </c>
    </row>
    <row r="246" spans="1:16" x14ac:dyDescent="0.3">
      <c r="A246" s="25" t="s">
        <v>3215</v>
      </c>
      <c r="B246" s="26">
        <v>46108</v>
      </c>
      <c r="C246" s="26">
        <v>46113</v>
      </c>
      <c r="D246" s="25">
        <v>3319</v>
      </c>
      <c r="E246" s="25">
        <v>327</v>
      </c>
      <c r="F246" s="25">
        <v>2</v>
      </c>
      <c r="G246" s="28">
        <v>1</v>
      </c>
      <c r="H246" s="28">
        <v>81433</v>
      </c>
      <c r="I246" s="28" t="s">
        <v>17</v>
      </c>
      <c r="J246" s="28">
        <v>33446334</v>
      </c>
      <c r="K246" t="s">
        <v>775</v>
      </c>
      <c r="L246" s="6" t="s">
        <v>806</v>
      </c>
      <c r="M246" s="62">
        <v>239900</v>
      </c>
      <c r="N246" s="64">
        <v>0.9</v>
      </c>
      <c r="O246" s="36">
        <f t="shared" si="3"/>
        <v>35985</v>
      </c>
      <c r="P246" s="25" t="s">
        <v>0</v>
      </c>
    </row>
    <row r="247" spans="1:16" x14ac:dyDescent="0.3">
      <c r="A247" s="25" t="s">
        <v>3215</v>
      </c>
      <c r="B247" s="26">
        <v>46108</v>
      </c>
      <c r="C247" s="26">
        <v>46113</v>
      </c>
      <c r="D247" s="25">
        <v>3319</v>
      </c>
      <c r="E247" s="25">
        <v>327</v>
      </c>
      <c r="F247" s="25">
        <v>2</v>
      </c>
      <c r="G247" s="28">
        <v>1</v>
      </c>
      <c r="H247" s="28">
        <v>81433</v>
      </c>
      <c r="I247" s="28" t="s">
        <v>17</v>
      </c>
      <c r="J247" s="28">
        <v>33446343</v>
      </c>
      <c r="K247" t="s">
        <v>775</v>
      </c>
      <c r="L247" t="s">
        <v>807</v>
      </c>
      <c r="M247" s="39">
        <v>239900</v>
      </c>
      <c r="N247" s="64">
        <v>0.9</v>
      </c>
      <c r="O247" s="36">
        <f t="shared" si="3"/>
        <v>35985</v>
      </c>
      <c r="P247" s="25" t="s">
        <v>0</v>
      </c>
    </row>
    <row r="248" spans="1:16" x14ac:dyDescent="0.3">
      <c r="A248" s="25" t="s">
        <v>3215</v>
      </c>
      <c r="B248" s="26">
        <v>46108</v>
      </c>
      <c r="C248" s="26">
        <v>46113</v>
      </c>
      <c r="D248" s="25">
        <v>3319</v>
      </c>
      <c r="E248" s="25">
        <v>327</v>
      </c>
      <c r="F248" s="25">
        <v>2</v>
      </c>
      <c r="G248" s="28">
        <v>2</v>
      </c>
      <c r="H248" s="28">
        <v>81433</v>
      </c>
      <c r="I248" s="28" t="s">
        <v>17</v>
      </c>
      <c r="J248" s="28">
        <v>33439422</v>
      </c>
      <c r="K248" t="s">
        <v>808</v>
      </c>
      <c r="L248" t="s">
        <v>809</v>
      </c>
      <c r="M248" s="39">
        <v>299900</v>
      </c>
      <c r="N248" s="64">
        <v>0.9</v>
      </c>
      <c r="O248" s="36">
        <f t="shared" si="3"/>
        <v>44985</v>
      </c>
      <c r="P248" s="25" t="s">
        <v>0</v>
      </c>
    </row>
    <row r="249" spans="1:16" x14ac:dyDescent="0.3">
      <c r="A249" s="25" t="s">
        <v>3215</v>
      </c>
      <c r="B249" s="26">
        <v>46108</v>
      </c>
      <c r="C249" s="26">
        <v>46113</v>
      </c>
      <c r="D249" s="25">
        <v>3319</v>
      </c>
      <c r="E249" s="25">
        <v>327</v>
      </c>
      <c r="F249" s="25">
        <v>2</v>
      </c>
      <c r="G249" s="28">
        <v>2</v>
      </c>
      <c r="H249" s="28">
        <v>81433</v>
      </c>
      <c r="I249" s="28" t="s">
        <v>17</v>
      </c>
      <c r="J249" s="28">
        <v>33439431</v>
      </c>
      <c r="K249" t="s">
        <v>808</v>
      </c>
      <c r="L249" t="s">
        <v>810</v>
      </c>
      <c r="M249" s="39">
        <v>299900</v>
      </c>
      <c r="N249" s="64">
        <v>0.9</v>
      </c>
      <c r="O249" s="36">
        <f t="shared" si="3"/>
        <v>44985</v>
      </c>
      <c r="P249" s="25" t="s">
        <v>0</v>
      </c>
    </row>
    <row r="250" spans="1:16" x14ac:dyDescent="0.3">
      <c r="A250" s="25" t="s">
        <v>3215</v>
      </c>
      <c r="B250" s="26">
        <v>46108</v>
      </c>
      <c r="C250" s="26">
        <v>46113</v>
      </c>
      <c r="D250" s="25">
        <v>3319</v>
      </c>
      <c r="E250" s="25">
        <v>327</v>
      </c>
      <c r="F250" s="25">
        <v>2</v>
      </c>
      <c r="G250" s="28">
        <v>2</v>
      </c>
      <c r="H250" s="28">
        <v>81433</v>
      </c>
      <c r="I250" s="28" t="s">
        <v>17</v>
      </c>
      <c r="J250" s="28">
        <v>33439440</v>
      </c>
      <c r="K250" t="s">
        <v>808</v>
      </c>
      <c r="L250" t="s">
        <v>811</v>
      </c>
      <c r="M250" s="39">
        <v>299900</v>
      </c>
      <c r="N250" s="64">
        <v>0.9</v>
      </c>
      <c r="O250" s="36">
        <f t="shared" si="3"/>
        <v>44985</v>
      </c>
      <c r="P250" s="25" t="s">
        <v>0</v>
      </c>
    </row>
    <row r="251" spans="1:16" x14ac:dyDescent="0.3">
      <c r="A251" s="25" t="s">
        <v>3215</v>
      </c>
      <c r="B251" s="26">
        <v>46108</v>
      </c>
      <c r="C251" s="26">
        <v>46113</v>
      </c>
      <c r="D251" s="25">
        <v>3319</v>
      </c>
      <c r="E251" s="25">
        <v>327</v>
      </c>
      <c r="F251" s="25">
        <v>2</v>
      </c>
      <c r="G251" s="28">
        <v>2</v>
      </c>
      <c r="H251" s="28">
        <v>81433</v>
      </c>
      <c r="I251" s="28" t="s">
        <v>17</v>
      </c>
      <c r="J251" s="28">
        <v>33439459</v>
      </c>
      <c r="K251" t="s">
        <v>808</v>
      </c>
      <c r="L251" t="s">
        <v>812</v>
      </c>
      <c r="M251" s="39">
        <v>299900</v>
      </c>
      <c r="N251" s="64">
        <v>0.9</v>
      </c>
      <c r="O251" s="36">
        <f t="shared" si="3"/>
        <v>44985</v>
      </c>
      <c r="P251" s="25" t="s">
        <v>0</v>
      </c>
    </row>
    <row r="252" spans="1:16" x14ac:dyDescent="0.3">
      <c r="A252" s="25" t="s">
        <v>3215</v>
      </c>
      <c r="B252" s="26">
        <v>46108</v>
      </c>
      <c r="C252" s="26">
        <v>46113</v>
      </c>
      <c r="D252" s="25">
        <v>3319</v>
      </c>
      <c r="E252" s="25">
        <v>327</v>
      </c>
      <c r="F252" s="25">
        <v>2</v>
      </c>
      <c r="G252" s="28">
        <v>2</v>
      </c>
      <c r="H252" s="28">
        <v>81433</v>
      </c>
      <c r="I252" s="28" t="s">
        <v>17</v>
      </c>
      <c r="J252" s="28">
        <v>33439468</v>
      </c>
      <c r="K252" t="s">
        <v>808</v>
      </c>
      <c r="L252" t="s">
        <v>813</v>
      </c>
      <c r="M252" s="39">
        <v>299900</v>
      </c>
      <c r="N252" s="64">
        <v>0.9</v>
      </c>
      <c r="O252" s="36">
        <f t="shared" si="3"/>
        <v>44985</v>
      </c>
      <c r="P252" s="25" t="s">
        <v>0</v>
      </c>
    </row>
    <row r="253" spans="1:16" x14ac:dyDescent="0.3">
      <c r="A253" s="25" t="s">
        <v>3215</v>
      </c>
      <c r="B253" s="26">
        <v>46108</v>
      </c>
      <c r="C253" s="26">
        <v>46113</v>
      </c>
      <c r="D253" s="25">
        <v>3319</v>
      </c>
      <c r="E253" s="25">
        <v>327</v>
      </c>
      <c r="F253" s="25">
        <v>2</v>
      </c>
      <c r="G253" s="28">
        <v>2</v>
      </c>
      <c r="H253" s="28">
        <v>81433</v>
      </c>
      <c r="I253" s="28" t="s">
        <v>17</v>
      </c>
      <c r="J253" s="28">
        <v>38095884</v>
      </c>
      <c r="K253" t="s">
        <v>808</v>
      </c>
      <c r="L253" t="s">
        <v>814</v>
      </c>
      <c r="M253" s="39">
        <v>299900</v>
      </c>
      <c r="N253" s="64">
        <v>0.9</v>
      </c>
      <c r="O253" s="36">
        <f t="shared" si="3"/>
        <v>44985</v>
      </c>
      <c r="P253" s="25" t="s">
        <v>0</v>
      </c>
    </row>
    <row r="254" spans="1:16" x14ac:dyDescent="0.3">
      <c r="A254" s="25" t="s">
        <v>3215</v>
      </c>
      <c r="B254" s="26">
        <v>46108</v>
      </c>
      <c r="C254" s="26">
        <v>46113</v>
      </c>
      <c r="D254" s="25">
        <v>3319</v>
      </c>
      <c r="E254" s="25">
        <v>327</v>
      </c>
      <c r="F254" s="25">
        <v>2</v>
      </c>
      <c r="G254" s="28">
        <v>2</v>
      </c>
      <c r="H254" s="28">
        <v>81433</v>
      </c>
      <c r="I254" s="28" t="s">
        <v>17</v>
      </c>
      <c r="J254" s="28">
        <v>38095893</v>
      </c>
      <c r="K254" t="s">
        <v>808</v>
      </c>
      <c r="L254" t="s">
        <v>815</v>
      </c>
      <c r="M254" s="39">
        <v>299900</v>
      </c>
      <c r="N254" s="64">
        <v>0.9</v>
      </c>
      <c r="O254" s="36">
        <f t="shared" si="3"/>
        <v>44985</v>
      </c>
      <c r="P254" s="25" t="s">
        <v>0</v>
      </c>
    </row>
    <row r="255" spans="1:16" x14ac:dyDescent="0.3">
      <c r="A255" s="25" t="s">
        <v>3215</v>
      </c>
      <c r="B255" s="26">
        <v>46108</v>
      </c>
      <c r="C255" s="26">
        <v>46113</v>
      </c>
      <c r="D255" s="25">
        <v>3319</v>
      </c>
      <c r="E255" s="25">
        <v>327</v>
      </c>
      <c r="F255" s="25">
        <v>2</v>
      </c>
      <c r="G255" s="28">
        <v>2</v>
      </c>
      <c r="H255" s="28">
        <v>81433</v>
      </c>
      <c r="I255" s="28" t="s">
        <v>17</v>
      </c>
      <c r="J255" s="28">
        <v>38095900</v>
      </c>
      <c r="K255" t="s">
        <v>808</v>
      </c>
      <c r="L255" t="s">
        <v>816</v>
      </c>
      <c r="M255" s="39">
        <v>299900</v>
      </c>
      <c r="N255" s="64">
        <v>0.9</v>
      </c>
      <c r="O255" s="36">
        <f t="shared" si="3"/>
        <v>44985</v>
      </c>
      <c r="P255" s="25" t="s">
        <v>0</v>
      </c>
    </row>
    <row r="256" spans="1:16" x14ac:dyDescent="0.3">
      <c r="A256" s="25" t="s">
        <v>3215</v>
      </c>
      <c r="B256" s="26">
        <v>46108</v>
      </c>
      <c r="C256" s="26">
        <v>46113</v>
      </c>
      <c r="D256" s="25">
        <v>3319</v>
      </c>
      <c r="E256" s="25">
        <v>327</v>
      </c>
      <c r="F256" s="25">
        <v>2</v>
      </c>
      <c r="G256" s="28">
        <v>2</v>
      </c>
      <c r="H256" s="28">
        <v>81433</v>
      </c>
      <c r="I256" s="28" t="s">
        <v>17</v>
      </c>
      <c r="J256" s="28">
        <v>38095919</v>
      </c>
      <c r="K256" t="s">
        <v>808</v>
      </c>
      <c r="L256" t="s">
        <v>817</v>
      </c>
      <c r="M256" s="39">
        <v>299900</v>
      </c>
      <c r="N256" s="64">
        <v>0.9</v>
      </c>
      <c r="O256" s="36">
        <f t="shared" si="3"/>
        <v>44985</v>
      </c>
      <c r="P256" s="25" t="s">
        <v>0</v>
      </c>
    </row>
    <row r="257" spans="1:16" x14ac:dyDescent="0.3">
      <c r="A257" s="25" t="s">
        <v>3215</v>
      </c>
      <c r="B257" s="26">
        <v>46108</v>
      </c>
      <c r="C257" s="26">
        <v>46113</v>
      </c>
      <c r="D257" s="25">
        <v>3319</v>
      </c>
      <c r="E257" s="25">
        <v>327</v>
      </c>
      <c r="F257" s="25">
        <v>2</v>
      </c>
      <c r="G257" s="28">
        <v>2</v>
      </c>
      <c r="H257" s="28">
        <v>81433</v>
      </c>
      <c r="I257" s="28" t="s">
        <v>17</v>
      </c>
      <c r="J257" s="28">
        <v>38095928</v>
      </c>
      <c r="K257" t="s">
        <v>808</v>
      </c>
      <c r="L257" t="s">
        <v>818</v>
      </c>
      <c r="M257" s="39">
        <v>299900</v>
      </c>
      <c r="N257" s="64">
        <v>0.9</v>
      </c>
      <c r="O257" s="36">
        <f t="shared" si="3"/>
        <v>44985</v>
      </c>
      <c r="P257" s="25" t="s">
        <v>0</v>
      </c>
    </row>
    <row r="258" spans="1:16" x14ac:dyDescent="0.3">
      <c r="A258" s="25" t="s">
        <v>3215</v>
      </c>
      <c r="B258" s="26">
        <v>46108</v>
      </c>
      <c r="C258" s="26">
        <v>46113</v>
      </c>
      <c r="D258" s="25">
        <v>3319</v>
      </c>
      <c r="E258" s="25">
        <v>327</v>
      </c>
      <c r="F258" s="25">
        <v>2</v>
      </c>
      <c r="G258" s="28">
        <v>2</v>
      </c>
      <c r="H258" s="28">
        <v>70056</v>
      </c>
      <c r="I258" s="28" t="s">
        <v>17</v>
      </c>
      <c r="J258" s="28">
        <v>33438361</v>
      </c>
      <c r="K258" t="s">
        <v>819</v>
      </c>
      <c r="L258" t="s">
        <v>820</v>
      </c>
      <c r="M258" s="39">
        <v>379900</v>
      </c>
      <c r="N258" s="64">
        <v>0.9</v>
      </c>
      <c r="O258" s="36">
        <f t="shared" si="3"/>
        <v>56985</v>
      </c>
      <c r="P258" s="25" t="s">
        <v>0</v>
      </c>
    </row>
    <row r="259" spans="1:16" x14ac:dyDescent="0.3">
      <c r="A259" s="25" t="s">
        <v>3215</v>
      </c>
      <c r="B259" s="26">
        <v>46108</v>
      </c>
      <c r="C259" s="26">
        <v>46113</v>
      </c>
      <c r="D259" s="25">
        <v>3319</v>
      </c>
      <c r="E259" s="25">
        <v>327</v>
      </c>
      <c r="F259" s="25">
        <v>2</v>
      </c>
      <c r="G259" s="28">
        <v>2</v>
      </c>
      <c r="H259" s="28">
        <v>70056</v>
      </c>
      <c r="I259" s="28" t="s">
        <v>17</v>
      </c>
      <c r="J259" s="28">
        <v>33438370</v>
      </c>
      <c r="K259" t="s">
        <v>819</v>
      </c>
      <c r="L259" t="s">
        <v>821</v>
      </c>
      <c r="M259" s="39">
        <v>379900</v>
      </c>
      <c r="N259" s="64">
        <v>0.9</v>
      </c>
      <c r="O259" s="36">
        <f t="shared" ref="O259:O287" si="4">M259*15%</f>
        <v>56985</v>
      </c>
      <c r="P259" s="25" t="s">
        <v>0</v>
      </c>
    </row>
    <row r="260" spans="1:16" x14ac:dyDescent="0.3">
      <c r="A260" s="25" t="s">
        <v>3215</v>
      </c>
      <c r="B260" s="26">
        <v>46108</v>
      </c>
      <c r="C260" s="26">
        <v>46113</v>
      </c>
      <c r="D260" s="25">
        <v>3319</v>
      </c>
      <c r="E260" s="25">
        <v>327</v>
      </c>
      <c r="F260" s="25">
        <v>2</v>
      </c>
      <c r="G260" s="28">
        <v>2</v>
      </c>
      <c r="H260" s="28">
        <v>70056</v>
      </c>
      <c r="I260" s="28" t="s">
        <v>17</v>
      </c>
      <c r="J260" s="28">
        <v>33438389</v>
      </c>
      <c r="K260" t="s">
        <v>819</v>
      </c>
      <c r="L260" t="s">
        <v>822</v>
      </c>
      <c r="M260" s="39">
        <v>379900</v>
      </c>
      <c r="N260" s="64">
        <v>0.9</v>
      </c>
      <c r="O260" s="36">
        <f t="shared" si="4"/>
        <v>56985</v>
      </c>
      <c r="P260" s="25" t="s">
        <v>0</v>
      </c>
    </row>
    <row r="261" spans="1:16" x14ac:dyDescent="0.3">
      <c r="A261" s="25" t="s">
        <v>3215</v>
      </c>
      <c r="B261" s="26">
        <v>46108</v>
      </c>
      <c r="C261" s="26">
        <v>46113</v>
      </c>
      <c r="D261" s="25">
        <v>3319</v>
      </c>
      <c r="E261" s="25">
        <v>327</v>
      </c>
      <c r="F261" s="25">
        <v>2</v>
      </c>
      <c r="G261" s="28">
        <v>2</v>
      </c>
      <c r="H261" s="28">
        <v>70056</v>
      </c>
      <c r="I261" s="28" t="s">
        <v>17</v>
      </c>
      <c r="J261" s="28">
        <v>33438398</v>
      </c>
      <c r="K261" t="s">
        <v>819</v>
      </c>
      <c r="L261" t="s">
        <v>823</v>
      </c>
      <c r="M261" s="39">
        <v>379900</v>
      </c>
      <c r="N261" s="64">
        <v>0.9</v>
      </c>
      <c r="O261" s="36">
        <f t="shared" si="4"/>
        <v>56985</v>
      </c>
      <c r="P261" s="25" t="s">
        <v>0</v>
      </c>
    </row>
    <row r="262" spans="1:16" x14ac:dyDescent="0.3">
      <c r="A262" s="25" t="s">
        <v>3215</v>
      </c>
      <c r="B262" s="26">
        <v>46108</v>
      </c>
      <c r="C262" s="26">
        <v>46113</v>
      </c>
      <c r="D262" s="25">
        <v>3319</v>
      </c>
      <c r="E262" s="25">
        <v>327</v>
      </c>
      <c r="F262" s="25">
        <v>2</v>
      </c>
      <c r="G262" s="28">
        <v>2</v>
      </c>
      <c r="H262" s="28">
        <v>70056</v>
      </c>
      <c r="I262" s="28" t="s">
        <v>17</v>
      </c>
      <c r="J262" s="28">
        <v>33438405</v>
      </c>
      <c r="K262" t="s">
        <v>819</v>
      </c>
      <c r="L262" t="s">
        <v>824</v>
      </c>
      <c r="M262" s="39">
        <v>379900</v>
      </c>
      <c r="N262" s="64">
        <v>0.9</v>
      </c>
      <c r="O262" s="36">
        <f t="shared" si="4"/>
        <v>56985</v>
      </c>
      <c r="P262" s="25" t="s">
        <v>0</v>
      </c>
    </row>
    <row r="263" spans="1:16" x14ac:dyDescent="0.3">
      <c r="A263" s="25" t="s">
        <v>3215</v>
      </c>
      <c r="B263" s="26">
        <v>46108</v>
      </c>
      <c r="C263" s="26">
        <v>46113</v>
      </c>
      <c r="D263" s="25">
        <v>3319</v>
      </c>
      <c r="E263" s="25">
        <v>327</v>
      </c>
      <c r="F263" s="25">
        <v>2</v>
      </c>
      <c r="G263" s="28">
        <v>2</v>
      </c>
      <c r="H263" s="28">
        <v>70056</v>
      </c>
      <c r="I263" s="28" t="s">
        <v>17</v>
      </c>
      <c r="J263" s="28">
        <v>33438469</v>
      </c>
      <c r="K263" t="s">
        <v>825</v>
      </c>
      <c r="L263" t="s">
        <v>826</v>
      </c>
      <c r="M263" s="39">
        <v>399900</v>
      </c>
      <c r="N263" s="64">
        <v>0.9</v>
      </c>
      <c r="O263" s="36">
        <f t="shared" si="4"/>
        <v>59985</v>
      </c>
      <c r="P263" s="25" t="s">
        <v>0</v>
      </c>
    </row>
    <row r="264" spans="1:16" x14ac:dyDescent="0.3">
      <c r="A264" s="25" t="s">
        <v>3215</v>
      </c>
      <c r="B264" s="26">
        <v>46108</v>
      </c>
      <c r="C264" s="26">
        <v>46113</v>
      </c>
      <c r="D264" s="25">
        <v>3319</v>
      </c>
      <c r="E264" s="25">
        <v>327</v>
      </c>
      <c r="F264" s="25">
        <v>2</v>
      </c>
      <c r="G264" s="28">
        <v>2</v>
      </c>
      <c r="H264" s="28">
        <v>70056</v>
      </c>
      <c r="I264" s="28" t="s">
        <v>17</v>
      </c>
      <c r="J264" s="28">
        <v>33438478</v>
      </c>
      <c r="K264" t="s">
        <v>825</v>
      </c>
      <c r="L264" t="s">
        <v>827</v>
      </c>
      <c r="M264" s="39">
        <v>399900</v>
      </c>
      <c r="N264" s="64">
        <v>0.9</v>
      </c>
      <c r="O264" s="36">
        <f t="shared" si="4"/>
        <v>59985</v>
      </c>
      <c r="P264" s="25" t="s">
        <v>0</v>
      </c>
    </row>
    <row r="265" spans="1:16" x14ac:dyDescent="0.3">
      <c r="A265" s="25" t="s">
        <v>3215</v>
      </c>
      <c r="B265" s="26">
        <v>46108</v>
      </c>
      <c r="C265" s="26">
        <v>46113</v>
      </c>
      <c r="D265" s="25">
        <v>3319</v>
      </c>
      <c r="E265" s="25">
        <v>327</v>
      </c>
      <c r="F265" s="25">
        <v>2</v>
      </c>
      <c r="G265" s="28">
        <v>2</v>
      </c>
      <c r="H265" s="28">
        <v>70056</v>
      </c>
      <c r="I265" s="28" t="s">
        <v>17</v>
      </c>
      <c r="J265" s="28">
        <v>33438487</v>
      </c>
      <c r="K265" t="s">
        <v>825</v>
      </c>
      <c r="L265" t="s">
        <v>828</v>
      </c>
      <c r="M265" s="39">
        <v>399900</v>
      </c>
      <c r="N265" s="64">
        <v>0.9</v>
      </c>
      <c r="O265" s="36">
        <f t="shared" si="4"/>
        <v>59985</v>
      </c>
      <c r="P265" s="25" t="s">
        <v>0</v>
      </c>
    </row>
    <row r="266" spans="1:16" x14ac:dyDescent="0.3">
      <c r="A266" s="25" t="s">
        <v>3215</v>
      </c>
      <c r="B266" s="26">
        <v>46108</v>
      </c>
      <c r="C266" s="26">
        <v>46113</v>
      </c>
      <c r="D266" s="25">
        <v>3319</v>
      </c>
      <c r="E266" s="25">
        <v>327</v>
      </c>
      <c r="F266" s="25">
        <v>2</v>
      </c>
      <c r="G266" s="28">
        <v>2</v>
      </c>
      <c r="H266" s="28">
        <v>70056</v>
      </c>
      <c r="I266" s="28" t="s">
        <v>17</v>
      </c>
      <c r="J266" s="28">
        <v>33438496</v>
      </c>
      <c r="K266" t="s">
        <v>825</v>
      </c>
      <c r="L266" t="s">
        <v>829</v>
      </c>
      <c r="M266" s="39">
        <v>399900</v>
      </c>
      <c r="N266" s="64">
        <v>0.9</v>
      </c>
      <c r="O266" s="36">
        <f t="shared" si="4"/>
        <v>59985</v>
      </c>
      <c r="P266" s="25" t="s">
        <v>0</v>
      </c>
    </row>
    <row r="267" spans="1:16" x14ac:dyDescent="0.3">
      <c r="A267" s="25" t="s">
        <v>3215</v>
      </c>
      <c r="B267" s="26">
        <v>46108</v>
      </c>
      <c r="C267" s="26">
        <v>46113</v>
      </c>
      <c r="D267" s="25">
        <v>3319</v>
      </c>
      <c r="E267" s="25">
        <v>327</v>
      </c>
      <c r="F267" s="25">
        <v>2</v>
      </c>
      <c r="G267" s="28">
        <v>2</v>
      </c>
      <c r="H267" s="28">
        <v>70056</v>
      </c>
      <c r="I267" s="28" t="s">
        <v>17</v>
      </c>
      <c r="J267" s="28">
        <v>33438503</v>
      </c>
      <c r="K267" t="s">
        <v>825</v>
      </c>
      <c r="L267" t="s">
        <v>830</v>
      </c>
      <c r="M267" s="39">
        <v>399900</v>
      </c>
      <c r="N267" s="64">
        <v>0.9</v>
      </c>
      <c r="O267" s="36">
        <f t="shared" si="4"/>
        <v>59985</v>
      </c>
      <c r="P267" s="25" t="s">
        <v>0</v>
      </c>
    </row>
    <row r="268" spans="1:16" x14ac:dyDescent="0.3">
      <c r="A268" s="25" t="s">
        <v>3215</v>
      </c>
      <c r="B268" s="26">
        <v>46108</v>
      </c>
      <c r="C268" s="26">
        <v>46113</v>
      </c>
      <c r="D268" s="25">
        <v>3319</v>
      </c>
      <c r="E268" s="25">
        <v>327</v>
      </c>
      <c r="F268" s="25">
        <v>2</v>
      </c>
      <c r="G268" s="28">
        <v>1</v>
      </c>
      <c r="H268" s="28">
        <v>81433</v>
      </c>
      <c r="I268" s="28" t="s">
        <v>17</v>
      </c>
      <c r="J268" s="28">
        <v>25799817</v>
      </c>
      <c r="K268" t="s">
        <v>672</v>
      </c>
      <c r="L268" t="s">
        <v>831</v>
      </c>
      <c r="M268" s="39">
        <v>239900</v>
      </c>
      <c r="N268" s="64">
        <v>0.9</v>
      </c>
      <c r="O268" s="36">
        <f t="shared" si="4"/>
        <v>35985</v>
      </c>
      <c r="P268" s="25" t="s">
        <v>0</v>
      </c>
    </row>
    <row r="269" spans="1:16" x14ac:dyDescent="0.3">
      <c r="A269" s="25" t="s">
        <v>3215</v>
      </c>
      <c r="B269" s="26">
        <v>46108</v>
      </c>
      <c r="C269" s="26">
        <v>46113</v>
      </c>
      <c r="D269" s="25">
        <v>3319</v>
      </c>
      <c r="E269" s="25">
        <v>327</v>
      </c>
      <c r="F269" s="25">
        <v>2</v>
      </c>
      <c r="G269" s="28">
        <v>1</v>
      </c>
      <c r="H269" s="28">
        <v>81433</v>
      </c>
      <c r="I269" s="28" t="s">
        <v>17</v>
      </c>
      <c r="J269" s="28">
        <v>26174641</v>
      </c>
      <c r="K269" t="s">
        <v>832</v>
      </c>
      <c r="L269" t="s">
        <v>833</v>
      </c>
      <c r="M269" s="39">
        <v>259900</v>
      </c>
      <c r="N269" s="64">
        <v>0.9</v>
      </c>
      <c r="O269" s="36">
        <f t="shared" si="4"/>
        <v>38985</v>
      </c>
      <c r="P269" s="25" t="s">
        <v>0</v>
      </c>
    </row>
    <row r="270" spans="1:16" x14ac:dyDescent="0.3">
      <c r="A270" s="25" t="s">
        <v>3215</v>
      </c>
      <c r="B270" s="26">
        <v>46108</v>
      </c>
      <c r="C270" s="26">
        <v>46113</v>
      </c>
      <c r="D270" s="25">
        <v>3319</v>
      </c>
      <c r="E270" s="25">
        <v>327</v>
      </c>
      <c r="F270" s="25">
        <v>2</v>
      </c>
      <c r="G270" s="28">
        <v>1</v>
      </c>
      <c r="H270" s="28">
        <v>81433</v>
      </c>
      <c r="I270" s="28" t="s">
        <v>17</v>
      </c>
      <c r="J270" s="28">
        <v>26174650</v>
      </c>
      <c r="K270" t="s">
        <v>832</v>
      </c>
      <c r="L270" t="s">
        <v>834</v>
      </c>
      <c r="M270" s="39">
        <v>259900</v>
      </c>
      <c r="N270" s="64">
        <v>0.9</v>
      </c>
      <c r="O270" s="36">
        <f t="shared" si="4"/>
        <v>38985</v>
      </c>
      <c r="P270" s="25" t="s">
        <v>0</v>
      </c>
    </row>
    <row r="271" spans="1:16" x14ac:dyDescent="0.3">
      <c r="A271" s="25" t="s">
        <v>3215</v>
      </c>
      <c r="B271" s="26">
        <v>46108</v>
      </c>
      <c r="C271" s="26">
        <v>46113</v>
      </c>
      <c r="D271" s="25">
        <v>3319</v>
      </c>
      <c r="E271" s="25">
        <v>327</v>
      </c>
      <c r="F271" s="25">
        <v>2</v>
      </c>
      <c r="G271" s="28">
        <v>1</v>
      </c>
      <c r="H271" s="28">
        <v>81433</v>
      </c>
      <c r="I271" s="28" t="s">
        <v>17</v>
      </c>
      <c r="J271" s="28">
        <v>26174687</v>
      </c>
      <c r="K271" t="s">
        <v>832</v>
      </c>
      <c r="L271" t="s">
        <v>835</v>
      </c>
      <c r="M271" s="39">
        <v>259900</v>
      </c>
      <c r="N271" s="64">
        <v>0.9</v>
      </c>
      <c r="O271" s="36">
        <f t="shared" si="4"/>
        <v>38985</v>
      </c>
      <c r="P271" s="25" t="s">
        <v>0</v>
      </c>
    </row>
    <row r="272" spans="1:16" x14ac:dyDescent="0.3">
      <c r="A272" s="25" t="s">
        <v>3215</v>
      </c>
      <c r="B272" s="26">
        <v>46108</v>
      </c>
      <c r="C272" s="26">
        <v>46113</v>
      </c>
      <c r="D272" s="25">
        <v>3319</v>
      </c>
      <c r="E272" s="25">
        <v>327</v>
      </c>
      <c r="F272" s="25">
        <v>2</v>
      </c>
      <c r="G272" s="28">
        <v>1</v>
      </c>
      <c r="H272" s="28">
        <v>81433</v>
      </c>
      <c r="I272" s="28" t="s">
        <v>17</v>
      </c>
      <c r="J272" s="28">
        <v>26174703</v>
      </c>
      <c r="K272" t="s">
        <v>836</v>
      </c>
      <c r="L272" t="s">
        <v>837</v>
      </c>
      <c r="M272" s="39">
        <v>259900</v>
      </c>
      <c r="N272" s="64">
        <v>0.9</v>
      </c>
      <c r="O272" s="36">
        <f t="shared" si="4"/>
        <v>38985</v>
      </c>
      <c r="P272" s="25" t="s">
        <v>0</v>
      </c>
    </row>
    <row r="273" spans="1:16" x14ac:dyDescent="0.3">
      <c r="A273" s="25" t="s">
        <v>3215</v>
      </c>
      <c r="B273" s="26">
        <v>46108</v>
      </c>
      <c r="C273" s="26">
        <v>46113</v>
      </c>
      <c r="D273" s="25">
        <v>3319</v>
      </c>
      <c r="E273" s="25">
        <v>327</v>
      </c>
      <c r="F273" s="25">
        <v>2</v>
      </c>
      <c r="G273" s="28">
        <v>1</v>
      </c>
      <c r="H273" s="28">
        <v>81433</v>
      </c>
      <c r="I273" s="28" t="s">
        <v>17</v>
      </c>
      <c r="J273" s="28">
        <v>26174730</v>
      </c>
      <c r="K273" t="s">
        <v>836</v>
      </c>
      <c r="L273" t="s">
        <v>838</v>
      </c>
      <c r="M273" s="39">
        <v>259900</v>
      </c>
      <c r="N273" s="64">
        <v>0.9</v>
      </c>
      <c r="O273" s="36">
        <f t="shared" si="4"/>
        <v>38985</v>
      </c>
      <c r="P273" s="25" t="s">
        <v>0</v>
      </c>
    </row>
    <row r="274" spans="1:16" x14ac:dyDescent="0.3">
      <c r="A274" s="25" t="s">
        <v>3215</v>
      </c>
      <c r="B274" s="26">
        <v>46108</v>
      </c>
      <c r="C274" s="26">
        <v>46113</v>
      </c>
      <c r="D274" s="25">
        <v>3319</v>
      </c>
      <c r="E274" s="25">
        <v>327</v>
      </c>
      <c r="F274" s="25">
        <v>2</v>
      </c>
      <c r="G274" s="28">
        <v>1</v>
      </c>
      <c r="H274" s="28">
        <v>81433</v>
      </c>
      <c r="I274" s="28" t="s">
        <v>17</v>
      </c>
      <c r="J274" s="28">
        <v>25160890</v>
      </c>
      <c r="K274" t="s">
        <v>839</v>
      </c>
      <c r="L274" t="s">
        <v>840</v>
      </c>
      <c r="M274" s="39">
        <v>239900</v>
      </c>
      <c r="N274" s="64">
        <v>0.9</v>
      </c>
      <c r="O274" s="36">
        <f t="shared" si="4"/>
        <v>35985</v>
      </c>
      <c r="P274" s="25" t="s">
        <v>0</v>
      </c>
    </row>
    <row r="275" spans="1:16" x14ac:dyDescent="0.3">
      <c r="A275" s="25" t="s">
        <v>3215</v>
      </c>
      <c r="B275" s="26">
        <v>46108</v>
      </c>
      <c r="C275" s="26">
        <v>46113</v>
      </c>
      <c r="D275" s="25">
        <v>3319</v>
      </c>
      <c r="E275" s="25">
        <v>327</v>
      </c>
      <c r="F275" s="25">
        <v>2</v>
      </c>
      <c r="G275" s="28">
        <v>1</v>
      </c>
      <c r="H275" s="28">
        <v>81433</v>
      </c>
      <c r="I275" s="28" t="s">
        <v>17</v>
      </c>
      <c r="J275" s="28">
        <v>25160925</v>
      </c>
      <c r="K275" t="s">
        <v>839</v>
      </c>
      <c r="L275" t="s">
        <v>841</v>
      </c>
      <c r="M275" s="39">
        <v>239900</v>
      </c>
      <c r="N275" s="64">
        <v>0.9</v>
      </c>
      <c r="O275" s="36">
        <f t="shared" si="4"/>
        <v>35985</v>
      </c>
      <c r="P275" s="25" t="s">
        <v>0</v>
      </c>
    </row>
    <row r="276" spans="1:16" x14ac:dyDescent="0.3">
      <c r="A276" s="25" t="s">
        <v>3215</v>
      </c>
      <c r="B276" s="26">
        <v>46108</v>
      </c>
      <c r="C276" s="26">
        <v>46113</v>
      </c>
      <c r="D276" s="25">
        <v>3319</v>
      </c>
      <c r="E276" s="25">
        <v>327</v>
      </c>
      <c r="F276" s="25">
        <v>2</v>
      </c>
      <c r="G276" s="28">
        <v>1</v>
      </c>
      <c r="H276" s="28">
        <v>81433</v>
      </c>
      <c r="I276" s="28" t="s">
        <v>17</v>
      </c>
      <c r="J276" s="28">
        <v>25160934</v>
      </c>
      <c r="K276" t="s">
        <v>839</v>
      </c>
      <c r="L276" t="s">
        <v>842</v>
      </c>
      <c r="M276" s="39">
        <v>239900</v>
      </c>
      <c r="N276" s="64">
        <v>0.9</v>
      </c>
      <c r="O276" s="36">
        <f t="shared" si="4"/>
        <v>35985</v>
      </c>
      <c r="P276" s="25" t="s">
        <v>0</v>
      </c>
    </row>
    <row r="277" spans="1:16" x14ac:dyDescent="0.3">
      <c r="A277" s="25" t="s">
        <v>3215</v>
      </c>
      <c r="B277" s="26">
        <v>46108</v>
      </c>
      <c r="C277" s="26">
        <v>46113</v>
      </c>
      <c r="D277" s="25">
        <v>3319</v>
      </c>
      <c r="E277" s="25">
        <v>327</v>
      </c>
      <c r="F277" s="25">
        <v>2</v>
      </c>
      <c r="G277" s="28">
        <v>1</v>
      </c>
      <c r="H277" s="28">
        <v>81433</v>
      </c>
      <c r="I277" s="28" t="s">
        <v>17</v>
      </c>
      <c r="J277" s="28">
        <v>26268013</v>
      </c>
      <c r="K277" t="s">
        <v>843</v>
      </c>
      <c r="L277" t="s">
        <v>844</v>
      </c>
      <c r="M277" s="39">
        <v>239900</v>
      </c>
      <c r="N277" s="64">
        <v>0.9</v>
      </c>
      <c r="O277" s="36">
        <f t="shared" si="4"/>
        <v>35985</v>
      </c>
      <c r="P277" s="25" t="s">
        <v>0</v>
      </c>
    </row>
    <row r="278" spans="1:16" x14ac:dyDescent="0.3">
      <c r="A278" s="25" t="s">
        <v>3215</v>
      </c>
      <c r="B278" s="26">
        <v>46108</v>
      </c>
      <c r="C278" s="26">
        <v>46113</v>
      </c>
      <c r="D278" s="25">
        <v>3319</v>
      </c>
      <c r="E278" s="25">
        <v>327</v>
      </c>
      <c r="F278" s="25">
        <v>2</v>
      </c>
      <c r="G278" s="28">
        <v>1</v>
      </c>
      <c r="H278" s="28">
        <v>81433</v>
      </c>
      <c r="I278" s="28" t="s">
        <v>17</v>
      </c>
      <c r="J278" s="28">
        <v>26268022</v>
      </c>
      <c r="K278" t="s">
        <v>843</v>
      </c>
      <c r="L278" t="s">
        <v>845</v>
      </c>
      <c r="M278" s="39">
        <v>239900</v>
      </c>
      <c r="N278" s="64">
        <v>0.9</v>
      </c>
      <c r="O278" s="36">
        <f t="shared" si="4"/>
        <v>35985</v>
      </c>
      <c r="P278" s="25" t="s">
        <v>0</v>
      </c>
    </row>
    <row r="279" spans="1:16" x14ac:dyDescent="0.3">
      <c r="A279" s="25" t="s">
        <v>3215</v>
      </c>
      <c r="B279" s="26">
        <v>46108</v>
      </c>
      <c r="C279" s="26">
        <v>46113</v>
      </c>
      <c r="D279" s="25">
        <v>3319</v>
      </c>
      <c r="E279" s="25">
        <v>327</v>
      </c>
      <c r="F279" s="25">
        <v>2</v>
      </c>
      <c r="G279" s="28">
        <v>1</v>
      </c>
      <c r="H279" s="28">
        <v>81433</v>
      </c>
      <c r="I279" s="28" t="s">
        <v>17</v>
      </c>
      <c r="J279" s="28">
        <v>26268040</v>
      </c>
      <c r="K279" t="s">
        <v>843</v>
      </c>
      <c r="L279" t="s">
        <v>846</v>
      </c>
      <c r="M279" s="39">
        <v>239900</v>
      </c>
      <c r="N279" s="64">
        <v>0.9</v>
      </c>
      <c r="O279" s="36">
        <f t="shared" si="4"/>
        <v>35985</v>
      </c>
      <c r="P279" s="25" t="s">
        <v>0</v>
      </c>
    </row>
    <row r="280" spans="1:16" x14ac:dyDescent="0.3">
      <c r="A280" s="25" t="s">
        <v>3215</v>
      </c>
      <c r="B280" s="26">
        <v>46108</v>
      </c>
      <c r="C280" s="26">
        <v>46113</v>
      </c>
      <c r="D280" s="25">
        <v>3319</v>
      </c>
      <c r="E280" s="25">
        <v>327</v>
      </c>
      <c r="F280" s="25">
        <v>2</v>
      </c>
      <c r="G280" s="28">
        <v>1</v>
      </c>
      <c r="H280" s="28">
        <v>81433</v>
      </c>
      <c r="I280" s="28" t="s">
        <v>17</v>
      </c>
      <c r="J280" s="28">
        <v>26268059</v>
      </c>
      <c r="K280" t="s">
        <v>843</v>
      </c>
      <c r="L280" t="s">
        <v>847</v>
      </c>
      <c r="M280" s="39">
        <v>239900</v>
      </c>
      <c r="N280" s="64">
        <v>0.9</v>
      </c>
      <c r="O280" s="36">
        <f t="shared" si="4"/>
        <v>35985</v>
      </c>
      <c r="P280" s="25" t="s">
        <v>0</v>
      </c>
    </row>
    <row r="281" spans="1:16" x14ac:dyDescent="0.3">
      <c r="A281" s="25" t="s">
        <v>3215</v>
      </c>
      <c r="B281" s="26">
        <v>46108</v>
      </c>
      <c r="C281" s="26">
        <v>46113</v>
      </c>
      <c r="D281" s="25">
        <v>3319</v>
      </c>
      <c r="E281" s="25">
        <v>327</v>
      </c>
      <c r="F281" s="25">
        <v>2</v>
      </c>
      <c r="G281" s="28">
        <v>1</v>
      </c>
      <c r="H281" s="28">
        <v>81433</v>
      </c>
      <c r="I281" s="28" t="s">
        <v>17</v>
      </c>
      <c r="J281" s="28">
        <v>28071294</v>
      </c>
      <c r="K281" t="s">
        <v>728</v>
      </c>
      <c r="L281" t="s">
        <v>848</v>
      </c>
      <c r="M281" s="39">
        <v>239900</v>
      </c>
      <c r="N281" s="64">
        <v>0.9</v>
      </c>
      <c r="O281" s="36">
        <f t="shared" si="4"/>
        <v>35985</v>
      </c>
      <c r="P281" s="25" t="s">
        <v>0</v>
      </c>
    </row>
    <row r="282" spans="1:16" x14ac:dyDescent="0.3">
      <c r="A282" s="25" t="s">
        <v>3215</v>
      </c>
      <c r="B282" s="26">
        <v>46108</v>
      </c>
      <c r="C282" s="26">
        <v>46113</v>
      </c>
      <c r="D282" s="25">
        <v>3319</v>
      </c>
      <c r="E282" s="25">
        <v>327</v>
      </c>
      <c r="F282" s="25">
        <v>2</v>
      </c>
      <c r="G282" s="28">
        <v>1</v>
      </c>
      <c r="H282" s="28">
        <v>81433</v>
      </c>
      <c r="I282" s="28" t="s">
        <v>17</v>
      </c>
      <c r="J282" s="28">
        <v>31810354</v>
      </c>
      <c r="K282" t="s">
        <v>619</v>
      </c>
      <c r="L282" t="s">
        <v>848</v>
      </c>
      <c r="M282" s="39">
        <v>199900</v>
      </c>
      <c r="N282" s="64">
        <v>0.9</v>
      </c>
      <c r="O282" s="36">
        <f t="shared" si="4"/>
        <v>29985</v>
      </c>
      <c r="P282" s="25" t="s">
        <v>0</v>
      </c>
    </row>
    <row r="283" spans="1:16" x14ac:dyDescent="0.3">
      <c r="A283" s="25" t="s">
        <v>3215</v>
      </c>
      <c r="B283" s="26">
        <v>46108</v>
      </c>
      <c r="C283" s="26">
        <v>46113</v>
      </c>
      <c r="D283" s="25">
        <v>3319</v>
      </c>
      <c r="E283" s="25">
        <v>327</v>
      </c>
      <c r="F283" s="25">
        <v>2</v>
      </c>
      <c r="G283" s="28">
        <v>2</v>
      </c>
      <c r="H283" s="28">
        <v>81433</v>
      </c>
      <c r="I283" s="28" t="s">
        <v>17</v>
      </c>
      <c r="J283" s="28">
        <v>27865054</v>
      </c>
      <c r="K283" t="s">
        <v>849</v>
      </c>
      <c r="L283" t="s">
        <v>850</v>
      </c>
      <c r="M283" s="39">
        <v>319900</v>
      </c>
      <c r="N283" s="64">
        <v>0.9</v>
      </c>
      <c r="O283" s="36">
        <f t="shared" si="4"/>
        <v>47985</v>
      </c>
      <c r="P283" s="25" t="s">
        <v>0</v>
      </c>
    </row>
    <row r="284" spans="1:16" x14ac:dyDescent="0.3">
      <c r="A284" s="25" t="s">
        <v>3215</v>
      </c>
      <c r="B284" s="26">
        <v>46108</v>
      </c>
      <c r="C284" s="26">
        <v>46113</v>
      </c>
      <c r="D284" s="25">
        <v>3319</v>
      </c>
      <c r="E284" s="25">
        <v>327</v>
      </c>
      <c r="F284" s="25">
        <v>2</v>
      </c>
      <c r="G284" s="28">
        <v>2</v>
      </c>
      <c r="H284" s="28">
        <v>81433</v>
      </c>
      <c r="I284" s="28" t="s">
        <v>17</v>
      </c>
      <c r="J284" s="28">
        <v>27865063</v>
      </c>
      <c r="K284" t="s">
        <v>849</v>
      </c>
      <c r="L284" t="s">
        <v>851</v>
      </c>
      <c r="M284" s="39">
        <v>319900</v>
      </c>
      <c r="N284" s="64">
        <v>0.9</v>
      </c>
      <c r="O284" s="36">
        <f t="shared" si="4"/>
        <v>47985</v>
      </c>
      <c r="P284" s="25" t="s">
        <v>0</v>
      </c>
    </row>
    <row r="285" spans="1:16" x14ac:dyDescent="0.3">
      <c r="A285" s="25" t="s">
        <v>3215</v>
      </c>
      <c r="B285" s="26">
        <v>46108</v>
      </c>
      <c r="C285" s="26">
        <v>46113</v>
      </c>
      <c r="D285" s="25">
        <v>3319</v>
      </c>
      <c r="E285" s="25">
        <v>327</v>
      </c>
      <c r="F285" s="25">
        <v>2</v>
      </c>
      <c r="G285" s="28">
        <v>2</v>
      </c>
      <c r="H285" s="28">
        <v>81433</v>
      </c>
      <c r="I285" s="28" t="s">
        <v>17</v>
      </c>
      <c r="J285" s="28">
        <v>27865027</v>
      </c>
      <c r="K285" t="s">
        <v>849</v>
      </c>
      <c r="L285" t="s">
        <v>852</v>
      </c>
      <c r="M285" s="39">
        <v>319900</v>
      </c>
      <c r="N285" s="64">
        <v>0.9</v>
      </c>
      <c r="O285" s="36">
        <f t="shared" si="4"/>
        <v>47985</v>
      </c>
      <c r="P285" s="25" t="s">
        <v>0</v>
      </c>
    </row>
    <row r="286" spans="1:16" x14ac:dyDescent="0.3">
      <c r="A286" s="25" t="s">
        <v>3215</v>
      </c>
      <c r="B286" s="26">
        <v>46108</v>
      </c>
      <c r="C286" s="26">
        <v>46113</v>
      </c>
      <c r="D286" s="25">
        <v>3319</v>
      </c>
      <c r="E286" s="25">
        <v>327</v>
      </c>
      <c r="F286" s="25">
        <v>2</v>
      </c>
      <c r="G286" s="28">
        <v>2</v>
      </c>
      <c r="H286" s="28">
        <v>81433</v>
      </c>
      <c r="I286" s="28" t="s">
        <v>17</v>
      </c>
      <c r="J286" s="28">
        <v>27865081</v>
      </c>
      <c r="K286" t="s">
        <v>849</v>
      </c>
      <c r="L286" t="s">
        <v>853</v>
      </c>
      <c r="M286" s="39">
        <v>319900</v>
      </c>
      <c r="N286" s="64">
        <v>0.9</v>
      </c>
      <c r="O286" s="36">
        <f t="shared" si="4"/>
        <v>47985</v>
      </c>
      <c r="P286" s="25" t="s">
        <v>0</v>
      </c>
    </row>
    <row r="287" spans="1:16" x14ac:dyDescent="0.3">
      <c r="A287" s="25" t="s">
        <v>3215</v>
      </c>
      <c r="B287" s="26">
        <v>46108</v>
      </c>
      <c r="C287" s="26">
        <v>46113</v>
      </c>
      <c r="D287" s="25">
        <v>3319</v>
      </c>
      <c r="E287" s="25">
        <v>327</v>
      </c>
      <c r="F287" s="25">
        <v>2</v>
      </c>
      <c r="G287" s="28">
        <v>2</v>
      </c>
      <c r="H287" s="28">
        <v>81433</v>
      </c>
      <c r="I287" s="28" t="s">
        <v>17</v>
      </c>
      <c r="J287" s="28">
        <v>27865090</v>
      </c>
      <c r="K287" t="s">
        <v>849</v>
      </c>
      <c r="L287" t="s">
        <v>854</v>
      </c>
      <c r="M287" s="39">
        <v>319900</v>
      </c>
      <c r="N287" s="64">
        <v>0.9</v>
      </c>
      <c r="O287" s="36">
        <f t="shared" si="4"/>
        <v>47985</v>
      </c>
      <c r="P287" s="25" t="s">
        <v>0</v>
      </c>
    </row>
    <row r="288" spans="1:16" x14ac:dyDescent="0.3">
      <c r="A288" s="25" t="s">
        <v>3215</v>
      </c>
      <c r="B288" s="26">
        <v>46108</v>
      </c>
      <c r="C288" s="26">
        <v>46113</v>
      </c>
      <c r="D288" s="25">
        <v>3319</v>
      </c>
      <c r="E288" s="25">
        <v>327</v>
      </c>
      <c r="F288" s="25">
        <v>2</v>
      </c>
      <c r="G288" s="16">
        <v>1</v>
      </c>
      <c r="H288" s="16">
        <v>80700</v>
      </c>
      <c r="I288" s="16" t="s">
        <v>17</v>
      </c>
      <c r="J288" s="60">
        <v>41136681</v>
      </c>
      <c r="K288" s="13" t="s">
        <v>1609</v>
      </c>
      <c r="L288" s="16" t="s">
        <v>2833</v>
      </c>
      <c r="M288" s="63">
        <v>159900</v>
      </c>
      <c r="N288" s="64">
        <v>0.9</v>
      </c>
      <c r="O288" s="36">
        <f t="shared" ref="O288:O291" si="5">M288*15%</f>
        <v>23985</v>
      </c>
      <c r="P288" s="25" t="s">
        <v>0</v>
      </c>
    </row>
    <row r="289" spans="1:16" x14ac:dyDescent="0.3">
      <c r="A289" s="25" t="s">
        <v>3215</v>
      </c>
      <c r="B289" s="26">
        <v>46108</v>
      </c>
      <c r="C289" s="26">
        <v>46113</v>
      </c>
      <c r="D289" s="25">
        <v>3319</v>
      </c>
      <c r="E289" s="25">
        <v>327</v>
      </c>
      <c r="F289" s="25">
        <v>2</v>
      </c>
      <c r="G289" s="16">
        <v>1</v>
      </c>
      <c r="H289" s="16">
        <v>80700</v>
      </c>
      <c r="I289" s="16" t="s">
        <v>17</v>
      </c>
      <c r="J289" s="60">
        <v>41136690</v>
      </c>
      <c r="K289" s="13" t="s">
        <v>1609</v>
      </c>
      <c r="L289" s="16" t="s">
        <v>2834</v>
      </c>
      <c r="M289" s="63">
        <v>159900</v>
      </c>
      <c r="N289" s="64">
        <v>0.9</v>
      </c>
      <c r="O289" s="36">
        <f t="shared" si="5"/>
        <v>23985</v>
      </c>
      <c r="P289" s="25" t="s">
        <v>0</v>
      </c>
    </row>
    <row r="290" spans="1:16" x14ac:dyDescent="0.3">
      <c r="A290" s="25" t="s">
        <v>3215</v>
      </c>
      <c r="B290" s="26">
        <v>46108</v>
      </c>
      <c r="C290" s="26">
        <v>46113</v>
      </c>
      <c r="D290" s="25">
        <v>3319</v>
      </c>
      <c r="E290" s="25">
        <v>327</v>
      </c>
      <c r="F290" s="25">
        <v>2</v>
      </c>
      <c r="G290" s="16">
        <v>1</v>
      </c>
      <c r="H290" s="16">
        <v>80700</v>
      </c>
      <c r="I290" s="16" t="s">
        <v>17</v>
      </c>
      <c r="J290" s="60">
        <v>41136707</v>
      </c>
      <c r="K290" s="13" t="s">
        <v>1609</v>
      </c>
      <c r="L290" s="16" t="s">
        <v>2835</v>
      </c>
      <c r="M290" s="63">
        <v>159900</v>
      </c>
      <c r="N290" s="64">
        <v>0.9</v>
      </c>
      <c r="O290" s="36">
        <f t="shared" si="5"/>
        <v>23985</v>
      </c>
      <c r="P290" s="25" t="s">
        <v>0</v>
      </c>
    </row>
    <row r="291" spans="1:16" x14ac:dyDescent="0.3">
      <c r="A291" s="25" t="s">
        <v>3215</v>
      </c>
      <c r="B291" s="26">
        <v>46108</v>
      </c>
      <c r="C291" s="26">
        <v>46113</v>
      </c>
      <c r="D291" s="25">
        <v>3319</v>
      </c>
      <c r="E291" s="25">
        <v>327</v>
      </c>
      <c r="F291" s="25">
        <v>2</v>
      </c>
      <c r="G291" s="16">
        <v>1</v>
      </c>
      <c r="H291" s="16">
        <v>80700</v>
      </c>
      <c r="I291" s="16" t="s">
        <v>17</v>
      </c>
      <c r="J291" s="60">
        <v>41136716</v>
      </c>
      <c r="K291" s="13" t="s">
        <v>1609</v>
      </c>
      <c r="L291" s="16" t="s">
        <v>2836</v>
      </c>
      <c r="M291" s="63">
        <v>159900</v>
      </c>
      <c r="N291" s="64">
        <v>0.9</v>
      </c>
      <c r="O291" s="36">
        <f t="shared" si="5"/>
        <v>23985</v>
      </c>
      <c r="P291" s="25" t="s">
        <v>0</v>
      </c>
    </row>
  </sheetData>
  <autoFilter ref="A1:P287" xr:uid="{00000000-0009-0000-0000-000002000000}"/>
  <phoneticPr fontId="14" type="noConversion"/>
  <conditionalFormatting sqref="J1">
    <cfRule type="duplicateValues" dxfId="388" priority="3"/>
    <cfRule type="duplicateValues" dxfId="387" priority="4"/>
    <cfRule type="duplicateValues" dxfId="386" priority="5"/>
    <cfRule type="duplicateValues" dxfId="385" priority="6"/>
  </conditionalFormatting>
  <conditionalFormatting sqref="J1:J1048576">
    <cfRule type="duplicateValues" dxfId="384" priority="1"/>
    <cfRule type="duplicateValues" dxfId="383" priority="2"/>
  </conditionalFormatting>
  <conditionalFormatting sqref="J2:J16">
    <cfRule type="duplicateValues" dxfId="382" priority="35"/>
    <cfRule type="duplicateValues" dxfId="381" priority="47"/>
  </conditionalFormatting>
  <conditionalFormatting sqref="J2:J197">
    <cfRule type="duplicateValues" dxfId="380" priority="49"/>
  </conditionalFormatting>
  <conditionalFormatting sqref="J2:J287">
    <cfRule type="duplicateValues" dxfId="379" priority="48"/>
  </conditionalFormatting>
  <conditionalFormatting sqref="J17:J23">
    <cfRule type="duplicateValues" dxfId="378" priority="46"/>
  </conditionalFormatting>
  <conditionalFormatting sqref="J24:J26">
    <cfRule type="duplicateValues" dxfId="377" priority="45"/>
  </conditionalFormatting>
  <conditionalFormatting sqref="J27:J33">
    <cfRule type="duplicateValues" dxfId="376" priority="44"/>
  </conditionalFormatting>
  <conditionalFormatting sqref="J32:J33">
    <cfRule type="duplicateValues" dxfId="375" priority="34"/>
  </conditionalFormatting>
  <conditionalFormatting sqref="J34:J37">
    <cfRule type="duplicateValues" dxfId="374" priority="37"/>
  </conditionalFormatting>
  <conditionalFormatting sqref="J34:J39">
    <cfRule type="duplicateValues" dxfId="373" priority="38"/>
  </conditionalFormatting>
  <conditionalFormatting sqref="J38:J39">
    <cfRule type="duplicateValues" dxfId="372" priority="36"/>
  </conditionalFormatting>
  <conditionalFormatting sqref="J40:J41">
    <cfRule type="duplicateValues" dxfId="371" priority="43"/>
  </conditionalFormatting>
  <conditionalFormatting sqref="J42">
    <cfRule type="duplicateValues" dxfId="370" priority="42"/>
  </conditionalFormatting>
  <conditionalFormatting sqref="J43:J44">
    <cfRule type="duplicateValues" dxfId="369" priority="41"/>
  </conditionalFormatting>
  <conditionalFormatting sqref="J45:J46">
    <cfRule type="duplicateValues" dxfId="368" priority="33"/>
  </conditionalFormatting>
  <conditionalFormatting sqref="J47:J54">
    <cfRule type="duplicateValues" dxfId="367" priority="40"/>
  </conditionalFormatting>
  <conditionalFormatting sqref="J55:J59">
    <cfRule type="duplicateValues" dxfId="366" priority="39"/>
  </conditionalFormatting>
  <conditionalFormatting sqref="J90:J92">
    <cfRule type="duplicateValues" dxfId="365" priority="32"/>
  </conditionalFormatting>
  <conditionalFormatting sqref="J93:J96">
    <cfRule type="duplicateValues" dxfId="364" priority="31"/>
  </conditionalFormatting>
  <conditionalFormatting sqref="J97:J98">
    <cfRule type="duplicateValues" dxfId="363" priority="30"/>
  </conditionalFormatting>
  <conditionalFormatting sqref="J99:J100">
    <cfRule type="duplicateValues" dxfId="362" priority="29"/>
  </conditionalFormatting>
  <conditionalFormatting sqref="J101:J105">
    <cfRule type="duplicateValues" dxfId="361" priority="27"/>
    <cfRule type="duplicateValues" dxfId="360" priority="28"/>
  </conditionalFormatting>
  <conditionalFormatting sqref="J106">
    <cfRule type="duplicateValues" dxfId="359" priority="26"/>
  </conditionalFormatting>
  <conditionalFormatting sqref="J107:J114">
    <cfRule type="duplicateValues" dxfId="358" priority="25"/>
  </conditionalFormatting>
  <conditionalFormatting sqref="J115">
    <cfRule type="duplicateValues" dxfId="357" priority="24"/>
  </conditionalFormatting>
  <conditionalFormatting sqref="J116:J117">
    <cfRule type="duplicateValues" dxfId="356" priority="23"/>
  </conditionalFormatting>
  <conditionalFormatting sqref="J118:J123">
    <cfRule type="duplicateValues" dxfId="355" priority="22"/>
  </conditionalFormatting>
  <conditionalFormatting sqref="J124:J132">
    <cfRule type="duplicateValues" dxfId="354" priority="21"/>
  </conditionalFormatting>
  <conditionalFormatting sqref="J133:J137">
    <cfRule type="duplicateValues" dxfId="353" priority="20"/>
  </conditionalFormatting>
  <conditionalFormatting sqref="J138:J142">
    <cfRule type="duplicateValues" dxfId="352" priority="19"/>
  </conditionalFormatting>
  <conditionalFormatting sqref="J143:J147">
    <cfRule type="duplicateValues" dxfId="351" priority="18"/>
  </conditionalFormatting>
  <conditionalFormatting sqref="J148:J157">
    <cfRule type="duplicateValues" dxfId="350" priority="17"/>
  </conditionalFormatting>
  <conditionalFormatting sqref="J158:J162">
    <cfRule type="duplicateValues" dxfId="349" priority="15"/>
  </conditionalFormatting>
  <conditionalFormatting sqref="J163:J172">
    <cfRule type="duplicateValues" dxfId="348" priority="11"/>
    <cfRule type="duplicateValues" dxfId="347" priority="16"/>
  </conditionalFormatting>
  <conditionalFormatting sqref="J173:J177">
    <cfRule type="duplicateValues" dxfId="346" priority="12"/>
    <cfRule type="duplicateValues" dxfId="345" priority="13"/>
    <cfRule type="duplicateValues" dxfId="344" priority="14"/>
  </conditionalFormatting>
  <conditionalFormatting sqref="J178:J187">
    <cfRule type="duplicateValues" dxfId="343" priority="7"/>
  </conditionalFormatting>
  <conditionalFormatting sqref="J188:J197">
    <cfRule type="duplicateValues" dxfId="342" priority="8"/>
    <cfRule type="duplicateValues" dxfId="341" priority="9"/>
    <cfRule type="duplicateValues" dxfId="340" priority="10"/>
  </conditionalFormatting>
  <conditionalFormatting sqref="J198:J287">
    <cfRule type="duplicateValues" dxfId="339" priority="50"/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79"/>
  <sheetViews>
    <sheetView zoomScale="90" zoomScaleNormal="90" workbookViewId="0">
      <selection activeCell="H23" sqref="H23"/>
    </sheetView>
  </sheetViews>
  <sheetFormatPr defaultColWidth="19.44140625" defaultRowHeight="15" x14ac:dyDescent="0.25"/>
  <cols>
    <col min="1" max="1" width="20.6640625" style="47" customWidth="1"/>
    <col min="2" max="3" width="11.6640625" style="47" customWidth="1"/>
    <col min="4" max="6" width="8.6640625" style="47" customWidth="1"/>
    <col min="7" max="7" width="8.6640625" style="23" customWidth="1"/>
    <col min="8" max="9" width="11.6640625" style="23" customWidth="1"/>
    <col min="10" max="10" width="11.6640625" style="52" customWidth="1"/>
    <col min="11" max="11" width="11.6640625" style="21" customWidth="1"/>
    <col min="12" max="12" width="67.5546875" style="23" customWidth="1"/>
    <col min="13" max="13" width="15.88671875" style="56" customWidth="1"/>
    <col min="14" max="14" width="8.6640625" style="23" customWidth="1"/>
    <col min="15" max="15" width="15.88671875" style="56" customWidth="1"/>
    <col min="16" max="16" width="15.88671875" style="47" customWidth="1"/>
    <col min="17" max="16384" width="19.44140625" style="20"/>
  </cols>
  <sheetData>
    <row r="1" spans="1:16" ht="30" customHeight="1" x14ac:dyDescent="0.25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1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ht="15.6" x14ac:dyDescent="0.3">
      <c r="A2" s="25" t="s">
        <v>3214</v>
      </c>
      <c r="B2" s="26">
        <v>46108</v>
      </c>
      <c r="C2" s="26">
        <v>46113</v>
      </c>
      <c r="D2" s="25">
        <v>3319</v>
      </c>
      <c r="E2" s="25">
        <v>327</v>
      </c>
      <c r="F2" s="25">
        <v>2</v>
      </c>
      <c r="G2" s="48">
        <v>1</v>
      </c>
      <c r="H2" s="46">
        <v>81433</v>
      </c>
      <c r="I2" s="48" t="s">
        <v>17</v>
      </c>
      <c r="J2" s="49">
        <v>28701399</v>
      </c>
      <c r="K2" s="45" t="s">
        <v>590</v>
      </c>
      <c r="L2" s="45" t="s">
        <v>855</v>
      </c>
      <c r="M2" s="54">
        <v>299900</v>
      </c>
      <c r="N2" s="57">
        <v>0.9</v>
      </c>
      <c r="O2" s="36">
        <f>M2*10%</f>
        <v>29990</v>
      </c>
      <c r="P2" s="28" t="s">
        <v>0</v>
      </c>
    </row>
    <row r="3" spans="1:16" ht="15.6" x14ac:dyDescent="0.3">
      <c r="A3" s="25" t="s">
        <v>3214</v>
      </c>
      <c r="B3" s="26">
        <v>46108</v>
      </c>
      <c r="C3" s="26">
        <v>46113</v>
      </c>
      <c r="D3" s="25">
        <v>3319</v>
      </c>
      <c r="E3" s="25">
        <v>327</v>
      </c>
      <c r="F3" s="25">
        <v>2</v>
      </c>
      <c r="G3" s="48">
        <v>1</v>
      </c>
      <c r="H3" s="46">
        <v>81433</v>
      </c>
      <c r="I3" s="48" t="s">
        <v>17</v>
      </c>
      <c r="J3" s="49">
        <v>28701353</v>
      </c>
      <c r="K3" s="45" t="s">
        <v>590</v>
      </c>
      <c r="L3" s="45" t="s">
        <v>856</v>
      </c>
      <c r="M3" s="54">
        <v>299900</v>
      </c>
      <c r="N3" s="57">
        <v>0.9</v>
      </c>
      <c r="O3" s="36">
        <f t="shared" ref="O3:O66" si="0">M3*10%</f>
        <v>29990</v>
      </c>
      <c r="P3" s="28" t="s">
        <v>0</v>
      </c>
    </row>
    <row r="4" spans="1:16" ht="15.6" x14ac:dyDescent="0.3">
      <c r="A4" s="25" t="s">
        <v>3214</v>
      </c>
      <c r="B4" s="26">
        <v>46108</v>
      </c>
      <c r="C4" s="26">
        <v>46113</v>
      </c>
      <c r="D4" s="25">
        <v>3319</v>
      </c>
      <c r="E4" s="25">
        <v>327</v>
      </c>
      <c r="F4" s="25">
        <v>2</v>
      </c>
      <c r="G4" s="48">
        <v>1</v>
      </c>
      <c r="H4" s="46">
        <v>81433</v>
      </c>
      <c r="I4" s="48" t="s">
        <v>17</v>
      </c>
      <c r="J4" s="49">
        <v>28701380</v>
      </c>
      <c r="K4" s="45" t="s">
        <v>590</v>
      </c>
      <c r="L4" s="45" t="s">
        <v>857</v>
      </c>
      <c r="M4" s="54">
        <v>299900</v>
      </c>
      <c r="N4" s="57">
        <v>0.9</v>
      </c>
      <c r="O4" s="36">
        <f t="shared" si="0"/>
        <v>29990</v>
      </c>
      <c r="P4" s="28" t="s">
        <v>0</v>
      </c>
    </row>
    <row r="5" spans="1:16" ht="15.6" x14ac:dyDescent="0.3">
      <c r="A5" s="25" t="s">
        <v>3214</v>
      </c>
      <c r="B5" s="26">
        <v>46108</v>
      </c>
      <c r="C5" s="26">
        <v>46113</v>
      </c>
      <c r="D5" s="25">
        <v>3319</v>
      </c>
      <c r="E5" s="25">
        <v>327</v>
      </c>
      <c r="F5" s="25">
        <v>2</v>
      </c>
      <c r="G5" s="48">
        <v>1</v>
      </c>
      <c r="H5" s="46">
        <v>81433</v>
      </c>
      <c r="I5" s="48" t="s">
        <v>17</v>
      </c>
      <c r="J5" s="49">
        <v>28701362</v>
      </c>
      <c r="K5" s="45" t="s">
        <v>590</v>
      </c>
      <c r="L5" s="45" t="s">
        <v>858</v>
      </c>
      <c r="M5" s="54">
        <v>299900</v>
      </c>
      <c r="N5" s="57">
        <v>0.9</v>
      </c>
      <c r="O5" s="36">
        <f t="shared" si="0"/>
        <v>29990</v>
      </c>
      <c r="P5" s="28" t="s">
        <v>0</v>
      </c>
    </row>
    <row r="6" spans="1:16" ht="15.6" x14ac:dyDescent="0.3">
      <c r="A6" s="25" t="s">
        <v>3214</v>
      </c>
      <c r="B6" s="26">
        <v>46108</v>
      </c>
      <c r="C6" s="26">
        <v>46113</v>
      </c>
      <c r="D6" s="25">
        <v>3319</v>
      </c>
      <c r="E6" s="25">
        <v>327</v>
      </c>
      <c r="F6" s="25">
        <v>2</v>
      </c>
      <c r="G6" s="48">
        <v>1</v>
      </c>
      <c r="H6" s="46">
        <v>81433</v>
      </c>
      <c r="I6" s="48" t="s">
        <v>17</v>
      </c>
      <c r="J6" s="49">
        <v>28701371</v>
      </c>
      <c r="K6" s="45" t="s">
        <v>590</v>
      </c>
      <c r="L6" s="45" t="s">
        <v>859</v>
      </c>
      <c r="M6" s="54">
        <v>299900</v>
      </c>
      <c r="N6" s="57">
        <v>0.9</v>
      </c>
      <c r="O6" s="36">
        <f t="shared" si="0"/>
        <v>29990</v>
      </c>
      <c r="P6" s="28" t="s">
        <v>0</v>
      </c>
    </row>
    <row r="7" spans="1:16" ht="15.6" x14ac:dyDescent="0.3">
      <c r="A7" s="25" t="s">
        <v>3214</v>
      </c>
      <c r="B7" s="26">
        <v>46108</v>
      </c>
      <c r="C7" s="26">
        <v>46113</v>
      </c>
      <c r="D7" s="25">
        <v>3319</v>
      </c>
      <c r="E7" s="25">
        <v>327</v>
      </c>
      <c r="F7" s="25">
        <v>2</v>
      </c>
      <c r="G7" s="48">
        <v>1</v>
      </c>
      <c r="H7" s="46">
        <v>81433</v>
      </c>
      <c r="I7" s="48" t="s">
        <v>17</v>
      </c>
      <c r="J7" s="49">
        <v>28701326</v>
      </c>
      <c r="K7" s="45" t="s">
        <v>683</v>
      </c>
      <c r="L7" s="45" t="s">
        <v>860</v>
      </c>
      <c r="M7" s="54">
        <v>199900</v>
      </c>
      <c r="N7" s="57">
        <v>0.9</v>
      </c>
      <c r="O7" s="36">
        <f t="shared" si="0"/>
        <v>19990</v>
      </c>
      <c r="P7" s="28" t="s">
        <v>0</v>
      </c>
    </row>
    <row r="8" spans="1:16" ht="15.6" x14ac:dyDescent="0.3">
      <c r="A8" s="25" t="s">
        <v>3214</v>
      </c>
      <c r="B8" s="26">
        <v>46108</v>
      </c>
      <c r="C8" s="26">
        <v>46113</v>
      </c>
      <c r="D8" s="25">
        <v>3319</v>
      </c>
      <c r="E8" s="25">
        <v>327</v>
      </c>
      <c r="F8" s="25">
        <v>2</v>
      </c>
      <c r="G8" s="48">
        <v>1</v>
      </c>
      <c r="H8" s="46">
        <v>81433</v>
      </c>
      <c r="I8" s="48" t="s">
        <v>17</v>
      </c>
      <c r="J8" s="49">
        <v>28701264</v>
      </c>
      <c r="K8" s="45" t="s">
        <v>683</v>
      </c>
      <c r="L8" s="45" t="s">
        <v>861</v>
      </c>
      <c r="M8" s="54">
        <v>199900</v>
      </c>
      <c r="N8" s="57">
        <v>0.9</v>
      </c>
      <c r="O8" s="36">
        <f t="shared" si="0"/>
        <v>19990</v>
      </c>
      <c r="P8" s="28" t="s">
        <v>0</v>
      </c>
    </row>
    <row r="9" spans="1:16" ht="15.6" x14ac:dyDescent="0.3">
      <c r="A9" s="25" t="s">
        <v>3214</v>
      </c>
      <c r="B9" s="26">
        <v>46108</v>
      </c>
      <c r="C9" s="26">
        <v>46113</v>
      </c>
      <c r="D9" s="25">
        <v>3319</v>
      </c>
      <c r="E9" s="25">
        <v>327</v>
      </c>
      <c r="F9" s="25">
        <v>2</v>
      </c>
      <c r="G9" s="48">
        <v>1</v>
      </c>
      <c r="H9" s="46">
        <v>81433</v>
      </c>
      <c r="I9" s="48" t="s">
        <v>17</v>
      </c>
      <c r="J9" s="49">
        <v>28701291</v>
      </c>
      <c r="K9" s="45" t="s">
        <v>683</v>
      </c>
      <c r="L9" s="45" t="s">
        <v>862</v>
      </c>
      <c r="M9" s="54">
        <v>199900</v>
      </c>
      <c r="N9" s="57">
        <v>0.9</v>
      </c>
      <c r="O9" s="36">
        <f t="shared" si="0"/>
        <v>19990</v>
      </c>
      <c r="P9" s="28" t="s">
        <v>0</v>
      </c>
    </row>
    <row r="10" spans="1:16" ht="15.6" x14ac:dyDescent="0.3">
      <c r="A10" s="25" t="s">
        <v>3214</v>
      </c>
      <c r="B10" s="26">
        <v>46108</v>
      </c>
      <c r="C10" s="26">
        <v>46113</v>
      </c>
      <c r="D10" s="25">
        <v>3319</v>
      </c>
      <c r="E10" s="25">
        <v>327</v>
      </c>
      <c r="F10" s="25">
        <v>2</v>
      </c>
      <c r="G10" s="48">
        <v>1</v>
      </c>
      <c r="H10" s="46">
        <v>81433</v>
      </c>
      <c r="I10" s="48" t="s">
        <v>17</v>
      </c>
      <c r="J10" s="49">
        <v>28701335</v>
      </c>
      <c r="K10" s="45" t="s">
        <v>683</v>
      </c>
      <c r="L10" s="45" t="s">
        <v>863</v>
      </c>
      <c r="M10" s="54">
        <v>199900</v>
      </c>
      <c r="N10" s="57">
        <v>0.9</v>
      </c>
      <c r="O10" s="36">
        <f t="shared" si="0"/>
        <v>19990</v>
      </c>
      <c r="P10" s="28" t="s">
        <v>0</v>
      </c>
    </row>
    <row r="11" spans="1:16" ht="15.6" x14ac:dyDescent="0.3">
      <c r="A11" s="25" t="s">
        <v>3214</v>
      </c>
      <c r="B11" s="26">
        <v>46108</v>
      </c>
      <c r="C11" s="26">
        <v>46113</v>
      </c>
      <c r="D11" s="25">
        <v>3319</v>
      </c>
      <c r="E11" s="25">
        <v>327</v>
      </c>
      <c r="F11" s="25">
        <v>2</v>
      </c>
      <c r="G11" s="48">
        <v>1</v>
      </c>
      <c r="H11" s="46">
        <v>81433</v>
      </c>
      <c r="I11" s="48" t="s">
        <v>17</v>
      </c>
      <c r="J11" s="49">
        <v>28701344</v>
      </c>
      <c r="K11" s="45" t="s">
        <v>683</v>
      </c>
      <c r="L11" s="45" t="s">
        <v>864</v>
      </c>
      <c r="M11" s="54">
        <v>199900</v>
      </c>
      <c r="N11" s="57">
        <v>0.9</v>
      </c>
      <c r="O11" s="36">
        <f t="shared" si="0"/>
        <v>19990</v>
      </c>
      <c r="P11" s="28" t="s">
        <v>0</v>
      </c>
    </row>
    <row r="12" spans="1:16" ht="15.6" x14ac:dyDescent="0.3">
      <c r="A12" s="25" t="s">
        <v>3214</v>
      </c>
      <c r="B12" s="26">
        <v>46108</v>
      </c>
      <c r="C12" s="26">
        <v>46113</v>
      </c>
      <c r="D12" s="25">
        <v>3319</v>
      </c>
      <c r="E12" s="25">
        <v>327</v>
      </c>
      <c r="F12" s="25">
        <v>2</v>
      </c>
      <c r="G12" s="48">
        <v>1</v>
      </c>
      <c r="H12" s="46">
        <v>81433</v>
      </c>
      <c r="I12" s="48" t="s">
        <v>17</v>
      </c>
      <c r="J12" s="49">
        <v>28701317</v>
      </c>
      <c r="K12" s="45" t="s">
        <v>683</v>
      </c>
      <c r="L12" s="45" t="s">
        <v>865</v>
      </c>
      <c r="M12" s="54">
        <v>199900</v>
      </c>
      <c r="N12" s="57">
        <v>0.9</v>
      </c>
      <c r="O12" s="36">
        <f t="shared" si="0"/>
        <v>19990</v>
      </c>
      <c r="P12" s="28" t="s">
        <v>0</v>
      </c>
    </row>
    <row r="13" spans="1:16" ht="15.6" x14ac:dyDescent="0.3">
      <c r="A13" s="25" t="s">
        <v>3214</v>
      </c>
      <c r="B13" s="26">
        <v>46108</v>
      </c>
      <c r="C13" s="26">
        <v>46113</v>
      </c>
      <c r="D13" s="25">
        <v>3319</v>
      </c>
      <c r="E13" s="25">
        <v>327</v>
      </c>
      <c r="F13" s="25">
        <v>2</v>
      </c>
      <c r="G13" s="48">
        <v>1</v>
      </c>
      <c r="H13" s="46">
        <v>81433</v>
      </c>
      <c r="I13" s="48" t="s">
        <v>17</v>
      </c>
      <c r="J13" s="49">
        <v>28701273</v>
      </c>
      <c r="K13" s="45" t="s">
        <v>683</v>
      </c>
      <c r="L13" s="45" t="s">
        <v>866</v>
      </c>
      <c r="M13" s="54">
        <v>199900</v>
      </c>
      <c r="N13" s="57">
        <v>0.9</v>
      </c>
      <c r="O13" s="36">
        <f t="shared" si="0"/>
        <v>19990</v>
      </c>
      <c r="P13" s="28" t="s">
        <v>0</v>
      </c>
    </row>
    <row r="14" spans="1:16" ht="15.6" x14ac:dyDescent="0.3">
      <c r="A14" s="25" t="s">
        <v>3214</v>
      </c>
      <c r="B14" s="26">
        <v>46108</v>
      </c>
      <c r="C14" s="26">
        <v>46113</v>
      </c>
      <c r="D14" s="25">
        <v>3319</v>
      </c>
      <c r="E14" s="25">
        <v>327</v>
      </c>
      <c r="F14" s="25">
        <v>2</v>
      </c>
      <c r="G14" s="48">
        <v>1</v>
      </c>
      <c r="H14" s="46">
        <v>81433</v>
      </c>
      <c r="I14" s="48" t="s">
        <v>17</v>
      </c>
      <c r="J14" s="49">
        <v>28701255</v>
      </c>
      <c r="K14" s="45" t="s">
        <v>683</v>
      </c>
      <c r="L14" s="45" t="s">
        <v>867</v>
      </c>
      <c r="M14" s="54">
        <v>199900</v>
      </c>
      <c r="N14" s="57">
        <v>0.9</v>
      </c>
      <c r="O14" s="36">
        <f t="shared" si="0"/>
        <v>19990</v>
      </c>
      <c r="P14" s="28" t="s">
        <v>0</v>
      </c>
    </row>
    <row r="15" spans="1:16" ht="15.6" x14ac:dyDescent="0.3">
      <c r="A15" s="25" t="s">
        <v>3214</v>
      </c>
      <c r="B15" s="26">
        <v>46108</v>
      </c>
      <c r="C15" s="26">
        <v>46113</v>
      </c>
      <c r="D15" s="25">
        <v>3319</v>
      </c>
      <c r="E15" s="25">
        <v>327</v>
      </c>
      <c r="F15" s="25">
        <v>2</v>
      </c>
      <c r="G15" s="48">
        <v>1</v>
      </c>
      <c r="H15" s="46">
        <v>81433</v>
      </c>
      <c r="I15" s="48" t="s">
        <v>17</v>
      </c>
      <c r="J15" s="49">
        <v>28701308</v>
      </c>
      <c r="K15" s="45" t="s">
        <v>683</v>
      </c>
      <c r="L15" s="45" t="s">
        <v>868</v>
      </c>
      <c r="M15" s="54">
        <v>199900</v>
      </c>
      <c r="N15" s="57">
        <v>0.9</v>
      </c>
      <c r="O15" s="36">
        <f t="shared" si="0"/>
        <v>19990</v>
      </c>
      <c r="P15" s="28" t="s">
        <v>0</v>
      </c>
    </row>
    <row r="16" spans="1:16" ht="15.6" x14ac:dyDescent="0.3">
      <c r="A16" s="25" t="s">
        <v>3214</v>
      </c>
      <c r="B16" s="26">
        <v>46108</v>
      </c>
      <c r="C16" s="26">
        <v>46113</v>
      </c>
      <c r="D16" s="25">
        <v>3319</v>
      </c>
      <c r="E16" s="25">
        <v>327</v>
      </c>
      <c r="F16" s="25">
        <v>2</v>
      </c>
      <c r="G16" s="48">
        <v>1</v>
      </c>
      <c r="H16" s="46">
        <v>81433</v>
      </c>
      <c r="I16" s="48" t="s">
        <v>17</v>
      </c>
      <c r="J16" s="49">
        <v>28701282</v>
      </c>
      <c r="K16" s="45" t="s">
        <v>683</v>
      </c>
      <c r="L16" s="45" t="s">
        <v>869</v>
      </c>
      <c r="M16" s="54">
        <v>199900</v>
      </c>
      <c r="N16" s="57">
        <v>0.9</v>
      </c>
      <c r="O16" s="36">
        <f t="shared" si="0"/>
        <v>19990</v>
      </c>
      <c r="P16" s="28" t="s">
        <v>0</v>
      </c>
    </row>
    <row r="17" spans="1:16" ht="15.6" x14ac:dyDescent="0.3">
      <c r="A17" s="25" t="s">
        <v>3214</v>
      </c>
      <c r="B17" s="26">
        <v>46108</v>
      </c>
      <c r="C17" s="26">
        <v>46113</v>
      </c>
      <c r="D17" s="25">
        <v>3319</v>
      </c>
      <c r="E17" s="25">
        <v>327</v>
      </c>
      <c r="F17" s="25">
        <v>2</v>
      </c>
      <c r="G17" s="48">
        <v>1</v>
      </c>
      <c r="H17" s="48">
        <v>81433</v>
      </c>
      <c r="I17" s="48" t="s">
        <v>17</v>
      </c>
      <c r="J17" s="50">
        <v>66651523</v>
      </c>
      <c r="K17" s="53" t="s">
        <v>870</v>
      </c>
      <c r="L17" s="43" t="s">
        <v>871</v>
      </c>
      <c r="M17" s="54">
        <v>239900</v>
      </c>
      <c r="N17" s="57">
        <v>0.9</v>
      </c>
      <c r="O17" s="36">
        <f t="shared" si="0"/>
        <v>23990</v>
      </c>
      <c r="P17" s="28" t="s">
        <v>0</v>
      </c>
    </row>
    <row r="18" spans="1:16" ht="15.6" x14ac:dyDescent="0.3">
      <c r="A18" s="25" t="s">
        <v>3214</v>
      </c>
      <c r="B18" s="26">
        <v>46108</v>
      </c>
      <c r="C18" s="26">
        <v>46113</v>
      </c>
      <c r="D18" s="25">
        <v>3319</v>
      </c>
      <c r="E18" s="25">
        <v>327</v>
      </c>
      <c r="F18" s="25">
        <v>2</v>
      </c>
      <c r="G18" s="48">
        <v>1</v>
      </c>
      <c r="H18" s="48">
        <v>81433</v>
      </c>
      <c r="I18" s="48" t="s">
        <v>17</v>
      </c>
      <c r="J18" s="50">
        <v>66651505</v>
      </c>
      <c r="K18" s="53" t="s">
        <v>870</v>
      </c>
      <c r="L18" s="43" t="s">
        <v>872</v>
      </c>
      <c r="M18" s="54">
        <v>239900</v>
      </c>
      <c r="N18" s="57">
        <v>0.9</v>
      </c>
      <c r="O18" s="36">
        <f t="shared" si="0"/>
        <v>23990</v>
      </c>
      <c r="P18" s="28" t="s">
        <v>0</v>
      </c>
    </row>
    <row r="19" spans="1:16" ht="15.6" x14ac:dyDescent="0.3">
      <c r="A19" s="25" t="s">
        <v>3214</v>
      </c>
      <c r="B19" s="26">
        <v>46108</v>
      </c>
      <c r="C19" s="26">
        <v>46113</v>
      </c>
      <c r="D19" s="25">
        <v>3319</v>
      </c>
      <c r="E19" s="25">
        <v>327</v>
      </c>
      <c r="F19" s="25">
        <v>2</v>
      </c>
      <c r="G19" s="48">
        <v>1</v>
      </c>
      <c r="H19" s="48">
        <v>81433</v>
      </c>
      <c r="I19" s="48" t="s">
        <v>17</v>
      </c>
      <c r="J19" s="50">
        <v>66651569</v>
      </c>
      <c r="K19" s="53" t="s">
        <v>870</v>
      </c>
      <c r="L19" s="43" t="s">
        <v>873</v>
      </c>
      <c r="M19" s="54">
        <v>239900</v>
      </c>
      <c r="N19" s="57">
        <v>0.9</v>
      </c>
      <c r="O19" s="36">
        <f t="shared" si="0"/>
        <v>23990</v>
      </c>
      <c r="P19" s="28" t="s">
        <v>0</v>
      </c>
    </row>
    <row r="20" spans="1:16" ht="15.6" x14ac:dyDescent="0.3">
      <c r="A20" s="25" t="s">
        <v>3214</v>
      </c>
      <c r="B20" s="26">
        <v>46108</v>
      </c>
      <c r="C20" s="26">
        <v>46113</v>
      </c>
      <c r="D20" s="25">
        <v>3319</v>
      </c>
      <c r="E20" s="25">
        <v>327</v>
      </c>
      <c r="F20" s="25">
        <v>2</v>
      </c>
      <c r="G20" s="48">
        <v>1</v>
      </c>
      <c r="H20" s="48">
        <v>81433</v>
      </c>
      <c r="I20" s="48" t="s">
        <v>17</v>
      </c>
      <c r="J20" s="50">
        <v>66651498</v>
      </c>
      <c r="K20" s="53" t="s">
        <v>870</v>
      </c>
      <c r="L20" s="43" t="s">
        <v>874</v>
      </c>
      <c r="M20" s="54">
        <v>239900</v>
      </c>
      <c r="N20" s="57">
        <v>0.9</v>
      </c>
      <c r="O20" s="36">
        <f t="shared" si="0"/>
        <v>23990</v>
      </c>
      <c r="P20" s="28" t="s">
        <v>0</v>
      </c>
    </row>
    <row r="21" spans="1:16" ht="15.6" x14ac:dyDescent="0.3">
      <c r="A21" s="25" t="s">
        <v>3214</v>
      </c>
      <c r="B21" s="26">
        <v>46108</v>
      </c>
      <c r="C21" s="26">
        <v>46113</v>
      </c>
      <c r="D21" s="25">
        <v>3319</v>
      </c>
      <c r="E21" s="25">
        <v>327</v>
      </c>
      <c r="F21" s="25">
        <v>2</v>
      </c>
      <c r="G21" s="48">
        <v>1</v>
      </c>
      <c r="H21" s="48">
        <v>81433</v>
      </c>
      <c r="I21" s="48" t="s">
        <v>17</v>
      </c>
      <c r="J21" s="50">
        <v>66651578</v>
      </c>
      <c r="K21" s="53" t="s">
        <v>870</v>
      </c>
      <c r="L21" s="43" t="s">
        <v>875</v>
      </c>
      <c r="M21" s="54">
        <v>239900</v>
      </c>
      <c r="N21" s="57">
        <v>0.9</v>
      </c>
      <c r="O21" s="36">
        <f t="shared" si="0"/>
        <v>23990</v>
      </c>
      <c r="P21" s="28" t="s">
        <v>0</v>
      </c>
    </row>
    <row r="22" spans="1:16" ht="15.6" x14ac:dyDescent="0.3">
      <c r="A22" s="25" t="s">
        <v>3214</v>
      </c>
      <c r="B22" s="26">
        <v>46108</v>
      </c>
      <c r="C22" s="26">
        <v>46113</v>
      </c>
      <c r="D22" s="25">
        <v>3319</v>
      </c>
      <c r="E22" s="25">
        <v>327</v>
      </c>
      <c r="F22" s="25">
        <v>2</v>
      </c>
      <c r="G22" s="48">
        <v>1</v>
      </c>
      <c r="H22" s="48">
        <v>81433</v>
      </c>
      <c r="I22" s="48" t="s">
        <v>17</v>
      </c>
      <c r="J22" s="50">
        <v>66651514</v>
      </c>
      <c r="K22" s="53" t="s">
        <v>870</v>
      </c>
      <c r="L22" s="43" t="s">
        <v>876</v>
      </c>
      <c r="M22" s="54">
        <v>239900</v>
      </c>
      <c r="N22" s="57">
        <v>0.9</v>
      </c>
      <c r="O22" s="36">
        <f t="shared" si="0"/>
        <v>23990</v>
      </c>
      <c r="P22" s="28" t="s">
        <v>0</v>
      </c>
    </row>
    <row r="23" spans="1:16" ht="15.6" x14ac:dyDescent="0.3">
      <c r="A23" s="25" t="s">
        <v>3214</v>
      </c>
      <c r="B23" s="26">
        <v>46108</v>
      </c>
      <c r="C23" s="26">
        <v>46113</v>
      </c>
      <c r="D23" s="25">
        <v>3319</v>
      </c>
      <c r="E23" s="25">
        <v>327</v>
      </c>
      <c r="F23" s="25">
        <v>2</v>
      </c>
      <c r="G23" s="48">
        <v>1</v>
      </c>
      <c r="H23" s="48">
        <v>81433</v>
      </c>
      <c r="I23" s="48" t="s">
        <v>17</v>
      </c>
      <c r="J23" s="50">
        <v>66651587</v>
      </c>
      <c r="K23" s="53" t="s">
        <v>870</v>
      </c>
      <c r="L23" s="43" t="s">
        <v>877</v>
      </c>
      <c r="M23" s="54">
        <v>239900</v>
      </c>
      <c r="N23" s="57">
        <v>0.9</v>
      </c>
      <c r="O23" s="36">
        <f t="shared" si="0"/>
        <v>23990</v>
      </c>
      <c r="P23" s="28" t="s">
        <v>0</v>
      </c>
    </row>
    <row r="24" spans="1:16" ht="15.6" x14ac:dyDescent="0.3">
      <c r="A24" s="25" t="s">
        <v>3214</v>
      </c>
      <c r="B24" s="26">
        <v>46108</v>
      </c>
      <c r="C24" s="26">
        <v>46113</v>
      </c>
      <c r="D24" s="25">
        <v>3319</v>
      </c>
      <c r="E24" s="25">
        <v>327</v>
      </c>
      <c r="F24" s="25">
        <v>2</v>
      </c>
      <c r="G24" s="48">
        <v>1</v>
      </c>
      <c r="H24" s="48">
        <v>81433</v>
      </c>
      <c r="I24" s="48" t="s">
        <v>17</v>
      </c>
      <c r="J24" s="50">
        <v>66651532</v>
      </c>
      <c r="K24" s="53" t="s">
        <v>870</v>
      </c>
      <c r="L24" s="43" t="s">
        <v>878</v>
      </c>
      <c r="M24" s="54">
        <v>239900</v>
      </c>
      <c r="N24" s="57">
        <v>0.9</v>
      </c>
      <c r="O24" s="36">
        <f t="shared" si="0"/>
        <v>23990</v>
      </c>
      <c r="P24" s="28" t="s">
        <v>0</v>
      </c>
    </row>
    <row r="25" spans="1:16" ht="15.6" x14ac:dyDescent="0.3">
      <c r="A25" s="25" t="s">
        <v>3214</v>
      </c>
      <c r="B25" s="26">
        <v>46108</v>
      </c>
      <c r="C25" s="26">
        <v>46113</v>
      </c>
      <c r="D25" s="25">
        <v>3319</v>
      </c>
      <c r="E25" s="25">
        <v>327</v>
      </c>
      <c r="F25" s="25">
        <v>2</v>
      </c>
      <c r="G25" s="48">
        <v>1</v>
      </c>
      <c r="H25" s="48">
        <v>81433</v>
      </c>
      <c r="I25" s="48" t="s">
        <v>17</v>
      </c>
      <c r="J25" s="50">
        <v>66651541</v>
      </c>
      <c r="K25" s="53" t="s">
        <v>870</v>
      </c>
      <c r="L25" s="43" t="s">
        <v>879</v>
      </c>
      <c r="M25" s="54">
        <v>239900</v>
      </c>
      <c r="N25" s="57">
        <v>0.9</v>
      </c>
      <c r="O25" s="36">
        <f t="shared" si="0"/>
        <v>23990</v>
      </c>
      <c r="P25" s="28" t="s">
        <v>0</v>
      </c>
    </row>
    <row r="26" spans="1:16" ht="15.6" x14ac:dyDescent="0.3">
      <c r="A26" s="25" t="s">
        <v>3214</v>
      </c>
      <c r="B26" s="26">
        <v>46108</v>
      </c>
      <c r="C26" s="26">
        <v>46113</v>
      </c>
      <c r="D26" s="25">
        <v>3319</v>
      </c>
      <c r="E26" s="25">
        <v>327</v>
      </c>
      <c r="F26" s="25">
        <v>2</v>
      </c>
      <c r="G26" s="48">
        <v>1</v>
      </c>
      <c r="H26" s="48">
        <v>81433</v>
      </c>
      <c r="I26" s="48" t="s">
        <v>17</v>
      </c>
      <c r="J26" s="50">
        <v>66651550</v>
      </c>
      <c r="K26" s="53" t="s">
        <v>870</v>
      </c>
      <c r="L26" s="43" t="s">
        <v>880</v>
      </c>
      <c r="M26" s="54">
        <v>239900</v>
      </c>
      <c r="N26" s="57">
        <v>0.9</v>
      </c>
      <c r="O26" s="36">
        <f t="shared" si="0"/>
        <v>23990</v>
      </c>
      <c r="P26" s="28" t="s">
        <v>0</v>
      </c>
    </row>
    <row r="27" spans="1:16" ht="15.6" x14ac:dyDescent="0.3">
      <c r="A27" s="25" t="s">
        <v>3214</v>
      </c>
      <c r="B27" s="26">
        <v>46108</v>
      </c>
      <c r="C27" s="26">
        <v>46113</v>
      </c>
      <c r="D27" s="25">
        <v>3319</v>
      </c>
      <c r="E27" s="25">
        <v>327</v>
      </c>
      <c r="F27" s="25">
        <v>2</v>
      </c>
      <c r="G27" s="48">
        <v>1</v>
      </c>
      <c r="H27" s="48">
        <v>81433</v>
      </c>
      <c r="I27" s="48" t="s">
        <v>17</v>
      </c>
      <c r="J27" s="50">
        <v>66657778</v>
      </c>
      <c r="K27" s="53" t="s">
        <v>881</v>
      </c>
      <c r="L27" s="43" t="s">
        <v>882</v>
      </c>
      <c r="M27" s="54">
        <v>299900</v>
      </c>
      <c r="N27" s="57">
        <v>0.9</v>
      </c>
      <c r="O27" s="36">
        <f t="shared" si="0"/>
        <v>29990</v>
      </c>
      <c r="P27" s="28" t="s">
        <v>0</v>
      </c>
    </row>
    <row r="28" spans="1:16" ht="15.6" x14ac:dyDescent="0.3">
      <c r="A28" s="25" t="s">
        <v>3214</v>
      </c>
      <c r="B28" s="26">
        <v>46108</v>
      </c>
      <c r="C28" s="26">
        <v>46113</v>
      </c>
      <c r="D28" s="25">
        <v>3319</v>
      </c>
      <c r="E28" s="25">
        <v>327</v>
      </c>
      <c r="F28" s="25">
        <v>2</v>
      </c>
      <c r="G28" s="48">
        <v>1</v>
      </c>
      <c r="H28" s="48">
        <v>81433</v>
      </c>
      <c r="I28" s="48" t="s">
        <v>17</v>
      </c>
      <c r="J28" s="50">
        <v>66657741</v>
      </c>
      <c r="K28" s="53" t="s">
        <v>881</v>
      </c>
      <c r="L28" s="43" t="s">
        <v>883</v>
      </c>
      <c r="M28" s="54">
        <v>299900</v>
      </c>
      <c r="N28" s="57">
        <v>0.9</v>
      </c>
      <c r="O28" s="36">
        <f t="shared" si="0"/>
        <v>29990</v>
      </c>
      <c r="P28" s="28" t="s">
        <v>0</v>
      </c>
    </row>
    <row r="29" spans="1:16" ht="15.6" x14ac:dyDescent="0.3">
      <c r="A29" s="25" t="s">
        <v>3214</v>
      </c>
      <c r="B29" s="26">
        <v>46108</v>
      </c>
      <c r="C29" s="26">
        <v>46113</v>
      </c>
      <c r="D29" s="25">
        <v>3319</v>
      </c>
      <c r="E29" s="25">
        <v>327</v>
      </c>
      <c r="F29" s="25">
        <v>2</v>
      </c>
      <c r="G29" s="48">
        <v>1</v>
      </c>
      <c r="H29" s="48">
        <v>81433</v>
      </c>
      <c r="I29" s="48" t="s">
        <v>17</v>
      </c>
      <c r="J29" s="50">
        <v>66657723</v>
      </c>
      <c r="K29" s="53" t="s">
        <v>881</v>
      </c>
      <c r="L29" s="43" t="s">
        <v>884</v>
      </c>
      <c r="M29" s="54">
        <v>299900</v>
      </c>
      <c r="N29" s="57">
        <v>0.9</v>
      </c>
      <c r="O29" s="36">
        <f t="shared" si="0"/>
        <v>29990</v>
      </c>
      <c r="P29" s="28" t="s">
        <v>0</v>
      </c>
    </row>
    <row r="30" spans="1:16" ht="15.6" x14ac:dyDescent="0.3">
      <c r="A30" s="25" t="s">
        <v>3214</v>
      </c>
      <c r="B30" s="26">
        <v>46108</v>
      </c>
      <c r="C30" s="26">
        <v>46113</v>
      </c>
      <c r="D30" s="25">
        <v>3319</v>
      </c>
      <c r="E30" s="25">
        <v>327</v>
      </c>
      <c r="F30" s="25">
        <v>2</v>
      </c>
      <c r="G30" s="48">
        <v>1</v>
      </c>
      <c r="H30" s="48">
        <v>81433</v>
      </c>
      <c r="I30" s="48" t="s">
        <v>17</v>
      </c>
      <c r="J30" s="50">
        <v>66657732</v>
      </c>
      <c r="K30" s="53" t="s">
        <v>881</v>
      </c>
      <c r="L30" s="43" t="s">
        <v>885</v>
      </c>
      <c r="M30" s="54">
        <v>299900</v>
      </c>
      <c r="N30" s="57">
        <v>0.9</v>
      </c>
      <c r="O30" s="36">
        <f t="shared" si="0"/>
        <v>29990</v>
      </c>
      <c r="P30" s="28" t="s">
        <v>0</v>
      </c>
    </row>
    <row r="31" spans="1:16" ht="15.6" x14ac:dyDescent="0.3">
      <c r="A31" s="25" t="s">
        <v>3214</v>
      </c>
      <c r="B31" s="26">
        <v>46108</v>
      </c>
      <c r="C31" s="26">
        <v>46113</v>
      </c>
      <c r="D31" s="25">
        <v>3319</v>
      </c>
      <c r="E31" s="25">
        <v>327</v>
      </c>
      <c r="F31" s="25">
        <v>2</v>
      </c>
      <c r="G31" s="48">
        <v>1</v>
      </c>
      <c r="H31" s="48">
        <v>81433</v>
      </c>
      <c r="I31" s="48" t="s">
        <v>17</v>
      </c>
      <c r="J31" s="50">
        <v>66657803</v>
      </c>
      <c r="K31" s="53" t="s">
        <v>881</v>
      </c>
      <c r="L31" s="43" t="s">
        <v>886</v>
      </c>
      <c r="M31" s="54">
        <v>299900</v>
      </c>
      <c r="N31" s="57">
        <v>0.9</v>
      </c>
      <c r="O31" s="36">
        <f t="shared" si="0"/>
        <v>29990</v>
      </c>
      <c r="P31" s="28" t="s">
        <v>0</v>
      </c>
    </row>
    <row r="32" spans="1:16" ht="15.6" x14ac:dyDescent="0.3">
      <c r="A32" s="25" t="s">
        <v>3214</v>
      </c>
      <c r="B32" s="26">
        <v>46108</v>
      </c>
      <c r="C32" s="26">
        <v>46113</v>
      </c>
      <c r="D32" s="25">
        <v>3319</v>
      </c>
      <c r="E32" s="25">
        <v>327</v>
      </c>
      <c r="F32" s="25">
        <v>2</v>
      </c>
      <c r="G32" s="48">
        <v>1</v>
      </c>
      <c r="H32" s="48">
        <v>81433</v>
      </c>
      <c r="I32" s="48" t="s">
        <v>17</v>
      </c>
      <c r="J32" s="50">
        <v>66657750</v>
      </c>
      <c r="K32" s="53" t="s">
        <v>881</v>
      </c>
      <c r="L32" s="43" t="s">
        <v>887</v>
      </c>
      <c r="M32" s="54">
        <v>299900</v>
      </c>
      <c r="N32" s="57">
        <v>0.9</v>
      </c>
      <c r="O32" s="36">
        <f t="shared" si="0"/>
        <v>29990</v>
      </c>
      <c r="P32" s="28" t="s">
        <v>0</v>
      </c>
    </row>
    <row r="33" spans="1:16" ht="15.6" x14ac:dyDescent="0.3">
      <c r="A33" s="25" t="s">
        <v>3214</v>
      </c>
      <c r="B33" s="26">
        <v>46108</v>
      </c>
      <c r="C33" s="26">
        <v>46113</v>
      </c>
      <c r="D33" s="25">
        <v>3319</v>
      </c>
      <c r="E33" s="25">
        <v>327</v>
      </c>
      <c r="F33" s="25">
        <v>2</v>
      </c>
      <c r="G33" s="48">
        <v>1</v>
      </c>
      <c r="H33" s="48">
        <v>81433</v>
      </c>
      <c r="I33" s="48" t="s">
        <v>17</v>
      </c>
      <c r="J33" s="50">
        <v>66657796</v>
      </c>
      <c r="K33" s="53" t="s">
        <v>881</v>
      </c>
      <c r="L33" s="43" t="s">
        <v>888</v>
      </c>
      <c r="M33" s="54">
        <v>299900</v>
      </c>
      <c r="N33" s="57">
        <v>0.9</v>
      </c>
      <c r="O33" s="36">
        <f t="shared" si="0"/>
        <v>29990</v>
      </c>
      <c r="P33" s="28" t="s">
        <v>0</v>
      </c>
    </row>
    <row r="34" spans="1:16" s="22" customFormat="1" ht="15.6" x14ac:dyDescent="0.3">
      <c r="A34" s="25" t="s">
        <v>3214</v>
      </c>
      <c r="B34" s="26">
        <v>46108</v>
      </c>
      <c r="C34" s="26">
        <v>46113</v>
      </c>
      <c r="D34" s="25">
        <v>3319</v>
      </c>
      <c r="E34" s="25">
        <v>327</v>
      </c>
      <c r="F34" s="25">
        <v>2</v>
      </c>
      <c r="G34" s="48">
        <v>1</v>
      </c>
      <c r="H34" s="48">
        <v>81433</v>
      </c>
      <c r="I34" s="48" t="s">
        <v>17</v>
      </c>
      <c r="J34" s="50">
        <v>66657787</v>
      </c>
      <c r="K34" s="53" t="s">
        <v>881</v>
      </c>
      <c r="L34" s="43" t="s">
        <v>889</v>
      </c>
      <c r="M34" s="54">
        <v>299900</v>
      </c>
      <c r="N34" s="57">
        <v>0.9</v>
      </c>
      <c r="O34" s="36">
        <f t="shared" si="0"/>
        <v>29990</v>
      </c>
      <c r="P34" s="28" t="s">
        <v>0</v>
      </c>
    </row>
    <row r="35" spans="1:16" s="22" customFormat="1" ht="15.6" x14ac:dyDescent="0.3">
      <c r="A35" s="25" t="s">
        <v>3214</v>
      </c>
      <c r="B35" s="26">
        <v>46108</v>
      </c>
      <c r="C35" s="26">
        <v>46113</v>
      </c>
      <c r="D35" s="25">
        <v>3319</v>
      </c>
      <c r="E35" s="25">
        <v>327</v>
      </c>
      <c r="F35" s="25">
        <v>2</v>
      </c>
      <c r="G35" s="48">
        <v>1</v>
      </c>
      <c r="H35" s="48">
        <v>81433</v>
      </c>
      <c r="I35" s="48" t="s">
        <v>17</v>
      </c>
      <c r="J35" s="50">
        <v>33442883</v>
      </c>
      <c r="K35" s="53" t="s">
        <v>792</v>
      </c>
      <c r="L35" s="43" t="s">
        <v>890</v>
      </c>
      <c r="M35" s="54">
        <v>199900</v>
      </c>
      <c r="N35" s="57">
        <v>0.9</v>
      </c>
      <c r="O35" s="36">
        <f t="shared" si="0"/>
        <v>19990</v>
      </c>
      <c r="P35" s="28" t="s">
        <v>0</v>
      </c>
    </row>
    <row r="36" spans="1:16" s="22" customFormat="1" ht="15.6" x14ac:dyDescent="0.3">
      <c r="A36" s="25" t="s">
        <v>3214</v>
      </c>
      <c r="B36" s="26">
        <v>46108</v>
      </c>
      <c r="C36" s="26">
        <v>46113</v>
      </c>
      <c r="D36" s="25">
        <v>3319</v>
      </c>
      <c r="E36" s="25">
        <v>327</v>
      </c>
      <c r="F36" s="25">
        <v>2</v>
      </c>
      <c r="G36" s="48">
        <v>1</v>
      </c>
      <c r="H36" s="48">
        <v>81433</v>
      </c>
      <c r="I36" s="48" t="s">
        <v>17</v>
      </c>
      <c r="J36" s="50">
        <v>33442909</v>
      </c>
      <c r="K36" s="53" t="s">
        <v>792</v>
      </c>
      <c r="L36" s="43" t="s">
        <v>891</v>
      </c>
      <c r="M36" s="54">
        <v>199900</v>
      </c>
      <c r="N36" s="57">
        <v>0.9</v>
      </c>
      <c r="O36" s="36">
        <f t="shared" si="0"/>
        <v>19990</v>
      </c>
      <c r="P36" s="28" t="s">
        <v>0</v>
      </c>
    </row>
    <row r="37" spans="1:16" s="22" customFormat="1" ht="15.6" x14ac:dyDescent="0.3">
      <c r="A37" s="25" t="s">
        <v>3214</v>
      </c>
      <c r="B37" s="26">
        <v>46108</v>
      </c>
      <c r="C37" s="26">
        <v>46113</v>
      </c>
      <c r="D37" s="25">
        <v>3319</v>
      </c>
      <c r="E37" s="25">
        <v>327</v>
      </c>
      <c r="F37" s="25">
        <v>2</v>
      </c>
      <c r="G37" s="48">
        <v>1</v>
      </c>
      <c r="H37" s="48">
        <v>81433</v>
      </c>
      <c r="I37" s="48" t="s">
        <v>17</v>
      </c>
      <c r="J37" s="50">
        <v>33442874</v>
      </c>
      <c r="K37" s="53" t="s">
        <v>792</v>
      </c>
      <c r="L37" s="43" t="s">
        <v>892</v>
      </c>
      <c r="M37" s="54">
        <v>199900</v>
      </c>
      <c r="N37" s="57">
        <v>0.9</v>
      </c>
      <c r="O37" s="36">
        <f t="shared" si="0"/>
        <v>19990</v>
      </c>
      <c r="P37" s="28" t="s">
        <v>0</v>
      </c>
    </row>
    <row r="38" spans="1:16" s="22" customFormat="1" ht="15.6" x14ac:dyDescent="0.3">
      <c r="A38" s="25" t="s">
        <v>3214</v>
      </c>
      <c r="B38" s="26">
        <v>46108</v>
      </c>
      <c r="C38" s="26">
        <v>46113</v>
      </c>
      <c r="D38" s="25">
        <v>3319</v>
      </c>
      <c r="E38" s="25">
        <v>327</v>
      </c>
      <c r="F38" s="25">
        <v>2</v>
      </c>
      <c r="G38" s="48">
        <v>1</v>
      </c>
      <c r="H38" s="48">
        <v>81433</v>
      </c>
      <c r="I38" s="48" t="s">
        <v>17</v>
      </c>
      <c r="J38" s="50">
        <v>33442865</v>
      </c>
      <c r="K38" s="53" t="s">
        <v>792</v>
      </c>
      <c r="L38" s="43" t="s">
        <v>893</v>
      </c>
      <c r="M38" s="54">
        <v>199900</v>
      </c>
      <c r="N38" s="57">
        <v>0.9</v>
      </c>
      <c r="O38" s="36">
        <f t="shared" si="0"/>
        <v>19990</v>
      </c>
      <c r="P38" s="28" t="s">
        <v>0</v>
      </c>
    </row>
    <row r="39" spans="1:16" s="22" customFormat="1" ht="15.6" x14ac:dyDescent="0.3">
      <c r="A39" s="25" t="s">
        <v>3214</v>
      </c>
      <c r="B39" s="26">
        <v>46108</v>
      </c>
      <c r="C39" s="26">
        <v>46113</v>
      </c>
      <c r="D39" s="25">
        <v>3319</v>
      </c>
      <c r="E39" s="25">
        <v>327</v>
      </c>
      <c r="F39" s="25">
        <v>2</v>
      </c>
      <c r="G39" s="48">
        <v>1</v>
      </c>
      <c r="H39" s="48">
        <v>81433</v>
      </c>
      <c r="I39" s="48" t="s">
        <v>17</v>
      </c>
      <c r="J39" s="50">
        <v>33442892</v>
      </c>
      <c r="K39" s="53" t="s">
        <v>792</v>
      </c>
      <c r="L39" s="43" t="s">
        <v>894</v>
      </c>
      <c r="M39" s="54">
        <v>199900</v>
      </c>
      <c r="N39" s="57">
        <v>0.9</v>
      </c>
      <c r="O39" s="36">
        <f t="shared" si="0"/>
        <v>19990</v>
      </c>
      <c r="P39" s="28" t="s">
        <v>0</v>
      </c>
    </row>
    <row r="40" spans="1:16" ht="15.6" x14ac:dyDescent="0.3">
      <c r="A40" s="25" t="s">
        <v>3214</v>
      </c>
      <c r="B40" s="26">
        <v>46108</v>
      </c>
      <c r="C40" s="26">
        <v>46113</v>
      </c>
      <c r="D40" s="25">
        <v>3319</v>
      </c>
      <c r="E40" s="25">
        <v>327</v>
      </c>
      <c r="F40" s="25">
        <v>2</v>
      </c>
      <c r="G40" s="48">
        <v>1</v>
      </c>
      <c r="H40" s="48">
        <v>70044</v>
      </c>
      <c r="I40" s="48" t="s">
        <v>17</v>
      </c>
      <c r="J40" s="50">
        <v>70802398</v>
      </c>
      <c r="K40" s="53" t="s">
        <v>895</v>
      </c>
      <c r="L40" s="43" t="s">
        <v>896</v>
      </c>
      <c r="M40" s="54">
        <v>199900</v>
      </c>
      <c r="N40" s="57">
        <v>0.9</v>
      </c>
      <c r="O40" s="36">
        <f t="shared" si="0"/>
        <v>19990</v>
      </c>
      <c r="P40" s="28" t="s">
        <v>0</v>
      </c>
    </row>
    <row r="41" spans="1:16" ht="15.6" x14ac:dyDescent="0.3">
      <c r="A41" s="25" t="s">
        <v>3214</v>
      </c>
      <c r="B41" s="26">
        <v>46108</v>
      </c>
      <c r="C41" s="26">
        <v>46113</v>
      </c>
      <c r="D41" s="25">
        <v>3319</v>
      </c>
      <c r="E41" s="25">
        <v>327</v>
      </c>
      <c r="F41" s="25">
        <v>2</v>
      </c>
      <c r="G41" s="48">
        <v>1</v>
      </c>
      <c r="H41" s="48">
        <v>70044</v>
      </c>
      <c r="I41" s="48" t="s">
        <v>17</v>
      </c>
      <c r="J41" s="50">
        <v>70802432</v>
      </c>
      <c r="K41" s="53" t="s">
        <v>895</v>
      </c>
      <c r="L41" s="43" t="s">
        <v>897</v>
      </c>
      <c r="M41" s="54">
        <v>199900</v>
      </c>
      <c r="N41" s="57">
        <v>0.9</v>
      </c>
      <c r="O41" s="36">
        <f t="shared" si="0"/>
        <v>19990</v>
      </c>
      <c r="P41" s="28" t="s">
        <v>0</v>
      </c>
    </row>
    <row r="42" spans="1:16" ht="15.6" x14ac:dyDescent="0.3">
      <c r="A42" s="25" t="s">
        <v>3214</v>
      </c>
      <c r="B42" s="26">
        <v>46108</v>
      </c>
      <c r="C42" s="26">
        <v>46113</v>
      </c>
      <c r="D42" s="25">
        <v>3319</v>
      </c>
      <c r="E42" s="25">
        <v>327</v>
      </c>
      <c r="F42" s="25">
        <v>2</v>
      </c>
      <c r="G42" s="48">
        <v>1</v>
      </c>
      <c r="H42" s="48">
        <v>70044</v>
      </c>
      <c r="I42" s="48" t="s">
        <v>17</v>
      </c>
      <c r="J42" s="50">
        <v>70802414</v>
      </c>
      <c r="K42" s="53" t="s">
        <v>895</v>
      </c>
      <c r="L42" s="43" t="s">
        <v>898</v>
      </c>
      <c r="M42" s="54">
        <v>199900</v>
      </c>
      <c r="N42" s="57">
        <v>0.9</v>
      </c>
      <c r="O42" s="36">
        <f t="shared" si="0"/>
        <v>19990</v>
      </c>
      <c r="P42" s="28" t="s">
        <v>0</v>
      </c>
    </row>
    <row r="43" spans="1:16" ht="15.6" x14ac:dyDescent="0.3">
      <c r="A43" s="25" t="s">
        <v>3214</v>
      </c>
      <c r="B43" s="26">
        <v>46108</v>
      </c>
      <c r="C43" s="26">
        <v>46113</v>
      </c>
      <c r="D43" s="25">
        <v>3319</v>
      </c>
      <c r="E43" s="25">
        <v>327</v>
      </c>
      <c r="F43" s="25">
        <v>2</v>
      </c>
      <c r="G43" s="48">
        <v>1</v>
      </c>
      <c r="H43" s="48">
        <v>70044</v>
      </c>
      <c r="I43" s="48" t="s">
        <v>17</v>
      </c>
      <c r="J43" s="50">
        <v>70802405</v>
      </c>
      <c r="K43" s="53" t="s">
        <v>895</v>
      </c>
      <c r="L43" s="43" t="s">
        <v>899</v>
      </c>
      <c r="M43" s="54">
        <v>199900</v>
      </c>
      <c r="N43" s="57">
        <v>0.9</v>
      </c>
      <c r="O43" s="36">
        <f t="shared" si="0"/>
        <v>19990</v>
      </c>
      <c r="P43" s="28" t="s">
        <v>0</v>
      </c>
    </row>
    <row r="44" spans="1:16" ht="15.6" x14ac:dyDescent="0.3">
      <c r="A44" s="25" t="s">
        <v>3214</v>
      </c>
      <c r="B44" s="26">
        <v>46108</v>
      </c>
      <c r="C44" s="26">
        <v>46113</v>
      </c>
      <c r="D44" s="25">
        <v>3319</v>
      </c>
      <c r="E44" s="25">
        <v>327</v>
      </c>
      <c r="F44" s="25">
        <v>2</v>
      </c>
      <c r="G44" s="48">
        <v>1</v>
      </c>
      <c r="H44" s="48">
        <v>70044</v>
      </c>
      <c r="I44" s="48" t="s">
        <v>17</v>
      </c>
      <c r="J44" s="50">
        <v>70802423</v>
      </c>
      <c r="K44" s="53" t="s">
        <v>895</v>
      </c>
      <c r="L44" s="43" t="s">
        <v>900</v>
      </c>
      <c r="M44" s="54">
        <v>199900</v>
      </c>
      <c r="N44" s="57">
        <v>0.9</v>
      </c>
      <c r="O44" s="36">
        <f t="shared" si="0"/>
        <v>19990</v>
      </c>
      <c r="P44" s="28" t="s">
        <v>0</v>
      </c>
    </row>
    <row r="45" spans="1:16" ht="15.6" x14ac:dyDescent="0.3">
      <c r="A45" s="25" t="s">
        <v>3214</v>
      </c>
      <c r="B45" s="26">
        <v>46108</v>
      </c>
      <c r="C45" s="26">
        <v>46113</v>
      </c>
      <c r="D45" s="25">
        <v>3319</v>
      </c>
      <c r="E45" s="25">
        <v>327</v>
      </c>
      <c r="F45" s="25">
        <v>2</v>
      </c>
      <c r="G45" s="48">
        <v>1</v>
      </c>
      <c r="H45" s="48">
        <v>81433</v>
      </c>
      <c r="I45" s="48" t="s">
        <v>17</v>
      </c>
      <c r="J45" s="50">
        <v>66657769</v>
      </c>
      <c r="K45" s="53" t="s">
        <v>881</v>
      </c>
      <c r="L45" s="43" t="s">
        <v>901</v>
      </c>
      <c r="M45" s="54">
        <v>299900</v>
      </c>
      <c r="N45" s="57">
        <v>0.9</v>
      </c>
      <c r="O45" s="36">
        <f t="shared" si="0"/>
        <v>29990</v>
      </c>
      <c r="P45" s="28" t="s">
        <v>0</v>
      </c>
    </row>
    <row r="46" spans="1:16" ht="15.6" x14ac:dyDescent="0.3">
      <c r="A46" s="25" t="s">
        <v>3214</v>
      </c>
      <c r="B46" s="26">
        <v>46108</v>
      </c>
      <c r="C46" s="26">
        <v>46113</v>
      </c>
      <c r="D46" s="25">
        <v>3319</v>
      </c>
      <c r="E46" s="25">
        <v>327</v>
      </c>
      <c r="F46" s="25">
        <v>2</v>
      </c>
      <c r="G46" s="48">
        <v>1</v>
      </c>
      <c r="H46" s="48">
        <v>81433</v>
      </c>
      <c r="I46" s="48" t="s">
        <v>17</v>
      </c>
      <c r="J46" s="50">
        <v>66657812</v>
      </c>
      <c r="K46" s="53" t="s">
        <v>881</v>
      </c>
      <c r="L46" s="43" t="s">
        <v>902</v>
      </c>
      <c r="M46" s="54">
        <v>299900</v>
      </c>
      <c r="N46" s="57">
        <v>0.9</v>
      </c>
      <c r="O46" s="36">
        <f t="shared" si="0"/>
        <v>29990</v>
      </c>
      <c r="P46" s="28" t="s">
        <v>0</v>
      </c>
    </row>
    <row r="47" spans="1:16" ht="15.6" x14ac:dyDescent="0.3">
      <c r="A47" s="25" t="s">
        <v>3214</v>
      </c>
      <c r="B47" s="26">
        <v>46108</v>
      </c>
      <c r="C47" s="26">
        <v>46113</v>
      </c>
      <c r="D47" s="25">
        <v>3319</v>
      </c>
      <c r="E47" s="25">
        <v>327</v>
      </c>
      <c r="F47" s="25">
        <v>2</v>
      </c>
      <c r="G47" s="48">
        <v>1</v>
      </c>
      <c r="H47" s="48">
        <v>80700</v>
      </c>
      <c r="I47" s="48" t="s">
        <v>17</v>
      </c>
      <c r="J47" s="50">
        <v>67292580</v>
      </c>
      <c r="K47" s="53" t="s">
        <v>903</v>
      </c>
      <c r="L47" s="43" t="s">
        <v>904</v>
      </c>
      <c r="M47" s="54">
        <v>139900</v>
      </c>
      <c r="N47" s="57">
        <v>0.9</v>
      </c>
      <c r="O47" s="36">
        <f t="shared" si="0"/>
        <v>13990</v>
      </c>
      <c r="P47" s="28" t="s">
        <v>0</v>
      </c>
    </row>
    <row r="48" spans="1:16" ht="15.6" x14ac:dyDescent="0.3">
      <c r="A48" s="25" t="s">
        <v>3214</v>
      </c>
      <c r="B48" s="26">
        <v>46108</v>
      </c>
      <c r="C48" s="26">
        <v>46113</v>
      </c>
      <c r="D48" s="25">
        <v>3319</v>
      </c>
      <c r="E48" s="25">
        <v>327</v>
      </c>
      <c r="F48" s="25">
        <v>2</v>
      </c>
      <c r="G48" s="48">
        <v>1</v>
      </c>
      <c r="H48" s="48">
        <v>80700</v>
      </c>
      <c r="I48" s="48" t="s">
        <v>17</v>
      </c>
      <c r="J48" s="50">
        <v>67292599</v>
      </c>
      <c r="K48" s="53" t="s">
        <v>903</v>
      </c>
      <c r="L48" s="43" t="s">
        <v>905</v>
      </c>
      <c r="M48" s="54">
        <v>139900</v>
      </c>
      <c r="N48" s="57">
        <v>0.9</v>
      </c>
      <c r="O48" s="36">
        <f t="shared" si="0"/>
        <v>13990</v>
      </c>
      <c r="P48" s="28" t="s">
        <v>0</v>
      </c>
    </row>
    <row r="49" spans="1:16" ht="15.6" x14ac:dyDescent="0.3">
      <c r="A49" s="25" t="s">
        <v>3214</v>
      </c>
      <c r="B49" s="26">
        <v>46108</v>
      </c>
      <c r="C49" s="26">
        <v>46113</v>
      </c>
      <c r="D49" s="25">
        <v>3319</v>
      </c>
      <c r="E49" s="25">
        <v>327</v>
      </c>
      <c r="F49" s="25">
        <v>2</v>
      </c>
      <c r="G49" s="48">
        <v>1</v>
      </c>
      <c r="H49" s="48">
        <v>80700</v>
      </c>
      <c r="I49" s="48" t="s">
        <v>17</v>
      </c>
      <c r="J49" s="50">
        <v>67292615</v>
      </c>
      <c r="K49" s="53" t="s">
        <v>903</v>
      </c>
      <c r="L49" s="43" t="s">
        <v>906</v>
      </c>
      <c r="M49" s="54">
        <v>139900</v>
      </c>
      <c r="N49" s="57">
        <v>0.9</v>
      </c>
      <c r="O49" s="36">
        <f t="shared" si="0"/>
        <v>13990</v>
      </c>
      <c r="P49" s="28" t="s">
        <v>0</v>
      </c>
    </row>
    <row r="50" spans="1:16" ht="15.6" x14ac:dyDescent="0.3">
      <c r="A50" s="25" t="s">
        <v>3214</v>
      </c>
      <c r="B50" s="26">
        <v>46108</v>
      </c>
      <c r="C50" s="26">
        <v>46113</v>
      </c>
      <c r="D50" s="25">
        <v>3319</v>
      </c>
      <c r="E50" s="25">
        <v>327</v>
      </c>
      <c r="F50" s="25">
        <v>2</v>
      </c>
      <c r="G50" s="48">
        <v>1</v>
      </c>
      <c r="H50" s="48">
        <v>80700</v>
      </c>
      <c r="I50" s="48" t="s">
        <v>17</v>
      </c>
      <c r="J50" s="50">
        <v>67292606</v>
      </c>
      <c r="K50" s="53" t="s">
        <v>903</v>
      </c>
      <c r="L50" s="43" t="s">
        <v>907</v>
      </c>
      <c r="M50" s="54">
        <v>139900</v>
      </c>
      <c r="N50" s="57">
        <v>0.9</v>
      </c>
      <c r="O50" s="36">
        <f t="shared" si="0"/>
        <v>13990</v>
      </c>
      <c r="P50" s="28" t="s">
        <v>0</v>
      </c>
    </row>
    <row r="51" spans="1:16" ht="15.6" x14ac:dyDescent="0.3">
      <c r="A51" s="25" t="s">
        <v>3214</v>
      </c>
      <c r="B51" s="26">
        <v>46108</v>
      </c>
      <c r="C51" s="26">
        <v>46113</v>
      </c>
      <c r="D51" s="25">
        <v>3319</v>
      </c>
      <c r="E51" s="25">
        <v>327</v>
      </c>
      <c r="F51" s="25">
        <v>2</v>
      </c>
      <c r="G51" s="48">
        <v>1</v>
      </c>
      <c r="H51" s="48">
        <v>80700</v>
      </c>
      <c r="I51" s="48" t="s">
        <v>17</v>
      </c>
      <c r="J51" s="50">
        <v>67292571</v>
      </c>
      <c r="K51" s="53" t="s">
        <v>903</v>
      </c>
      <c r="L51" s="43" t="s">
        <v>908</v>
      </c>
      <c r="M51" s="54">
        <v>139900</v>
      </c>
      <c r="N51" s="57">
        <v>0.9</v>
      </c>
      <c r="O51" s="36">
        <f t="shared" si="0"/>
        <v>13990</v>
      </c>
      <c r="P51" s="28" t="s">
        <v>0</v>
      </c>
    </row>
    <row r="52" spans="1:16" ht="15.6" x14ac:dyDescent="0.3">
      <c r="A52" s="25" t="s">
        <v>3214</v>
      </c>
      <c r="B52" s="26">
        <v>46108</v>
      </c>
      <c r="C52" s="26">
        <v>46113</v>
      </c>
      <c r="D52" s="25">
        <v>3319</v>
      </c>
      <c r="E52" s="25">
        <v>327</v>
      </c>
      <c r="F52" s="25">
        <v>2</v>
      </c>
      <c r="G52" s="48">
        <v>1</v>
      </c>
      <c r="H52" s="48">
        <v>80700</v>
      </c>
      <c r="I52" s="48" t="s">
        <v>17</v>
      </c>
      <c r="J52" s="50">
        <v>67292624</v>
      </c>
      <c r="K52" s="53" t="s">
        <v>903</v>
      </c>
      <c r="L52" s="43" t="s">
        <v>909</v>
      </c>
      <c r="M52" s="54">
        <v>139900</v>
      </c>
      <c r="N52" s="57">
        <v>0.9</v>
      </c>
      <c r="O52" s="36">
        <f t="shared" si="0"/>
        <v>13990</v>
      </c>
      <c r="P52" s="28" t="s">
        <v>0</v>
      </c>
    </row>
    <row r="53" spans="1:16" ht="15.6" x14ac:dyDescent="0.3">
      <c r="A53" s="25" t="s">
        <v>3214</v>
      </c>
      <c r="B53" s="26">
        <v>46108</v>
      </c>
      <c r="C53" s="26">
        <v>46113</v>
      </c>
      <c r="D53" s="25">
        <v>3319</v>
      </c>
      <c r="E53" s="25">
        <v>327</v>
      </c>
      <c r="F53" s="25">
        <v>2</v>
      </c>
      <c r="G53" s="48">
        <v>1</v>
      </c>
      <c r="H53" s="48">
        <v>80700</v>
      </c>
      <c r="I53" s="48" t="s">
        <v>17</v>
      </c>
      <c r="J53" s="50">
        <v>67292633</v>
      </c>
      <c r="K53" s="53" t="s">
        <v>903</v>
      </c>
      <c r="L53" s="43" t="s">
        <v>910</v>
      </c>
      <c r="M53" s="54">
        <v>139900</v>
      </c>
      <c r="N53" s="57">
        <v>0.9</v>
      </c>
      <c r="O53" s="36">
        <f t="shared" si="0"/>
        <v>13990</v>
      </c>
      <c r="P53" s="28" t="s">
        <v>0</v>
      </c>
    </row>
    <row r="54" spans="1:16" ht="15.6" x14ac:dyDescent="0.3">
      <c r="A54" s="25" t="s">
        <v>3214</v>
      </c>
      <c r="B54" s="26">
        <v>46108</v>
      </c>
      <c r="C54" s="26">
        <v>46113</v>
      </c>
      <c r="D54" s="25">
        <v>3319</v>
      </c>
      <c r="E54" s="25">
        <v>327</v>
      </c>
      <c r="F54" s="25">
        <v>2</v>
      </c>
      <c r="G54" s="48">
        <v>1</v>
      </c>
      <c r="H54" s="48">
        <v>80700</v>
      </c>
      <c r="I54" s="48" t="s">
        <v>17</v>
      </c>
      <c r="J54" s="50">
        <v>67292642</v>
      </c>
      <c r="K54" s="53" t="s">
        <v>903</v>
      </c>
      <c r="L54" s="43" t="s">
        <v>911</v>
      </c>
      <c r="M54" s="54">
        <v>139900</v>
      </c>
      <c r="N54" s="57">
        <v>0.9</v>
      </c>
      <c r="O54" s="36">
        <f t="shared" si="0"/>
        <v>13990</v>
      </c>
      <c r="P54" s="28" t="s">
        <v>0</v>
      </c>
    </row>
    <row r="55" spans="1:16" ht="15.6" x14ac:dyDescent="0.3">
      <c r="A55" s="25" t="s">
        <v>3214</v>
      </c>
      <c r="B55" s="26">
        <v>46108</v>
      </c>
      <c r="C55" s="26">
        <v>46113</v>
      </c>
      <c r="D55" s="25">
        <v>3319</v>
      </c>
      <c r="E55" s="25">
        <v>327</v>
      </c>
      <c r="F55" s="25">
        <v>2</v>
      </c>
      <c r="G55" s="48">
        <v>1</v>
      </c>
      <c r="H55" s="48">
        <v>70044</v>
      </c>
      <c r="I55" s="28" t="s">
        <v>17</v>
      </c>
      <c r="J55" s="50">
        <v>70802530</v>
      </c>
      <c r="K55" s="53" t="s">
        <v>912</v>
      </c>
      <c r="L55" s="43" t="s">
        <v>913</v>
      </c>
      <c r="M55" s="54">
        <v>239900</v>
      </c>
      <c r="N55" s="57">
        <v>0.9</v>
      </c>
      <c r="O55" s="36">
        <f t="shared" si="0"/>
        <v>23990</v>
      </c>
      <c r="P55" s="28" t="s">
        <v>0</v>
      </c>
    </row>
    <row r="56" spans="1:16" ht="15.6" x14ac:dyDescent="0.3">
      <c r="A56" s="25" t="s">
        <v>3214</v>
      </c>
      <c r="B56" s="26">
        <v>46108</v>
      </c>
      <c r="C56" s="26">
        <v>46113</v>
      </c>
      <c r="D56" s="25">
        <v>3319</v>
      </c>
      <c r="E56" s="25">
        <v>327</v>
      </c>
      <c r="F56" s="25">
        <v>2</v>
      </c>
      <c r="G56" s="48">
        <v>1</v>
      </c>
      <c r="H56" s="48">
        <v>70044</v>
      </c>
      <c r="I56" s="28" t="s">
        <v>17</v>
      </c>
      <c r="J56" s="50">
        <v>70802549</v>
      </c>
      <c r="K56" s="53" t="s">
        <v>912</v>
      </c>
      <c r="L56" s="43" t="s">
        <v>914</v>
      </c>
      <c r="M56" s="54">
        <v>239900</v>
      </c>
      <c r="N56" s="57">
        <v>0.9</v>
      </c>
      <c r="O56" s="36">
        <f t="shared" si="0"/>
        <v>23990</v>
      </c>
      <c r="P56" s="28" t="s">
        <v>0</v>
      </c>
    </row>
    <row r="57" spans="1:16" ht="15.6" x14ac:dyDescent="0.3">
      <c r="A57" s="25" t="s">
        <v>3214</v>
      </c>
      <c r="B57" s="26">
        <v>46108</v>
      </c>
      <c r="C57" s="26">
        <v>46113</v>
      </c>
      <c r="D57" s="25">
        <v>3319</v>
      </c>
      <c r="E57" s="25">
        <v>327</v>
      </c>
      <c r="F57" s="25">
        <v>2</v>
      </c>
      <c r="G57" s="48">
        <v>1</v>
      </c>
      <c r="H57" s="48">
        <v>70044</v>
      </c>
      <c r="I57" s="28" t="s">
        <v>17</v>
      </c>
      <c r="J57" s="50">
        <v>70802558</v>
      </c>
      <c r="K57" s="53" t="s">
        <v>912</v>
      </c>
      <c r="L57" s="43" t="s">
        <v>915</v>
      </c>
      <c r="M57" s="54">
        <v>239900</v>
      </c>
      <c r="N57" s="57">
        <v>0.9</v>
      </c>
      <c r="O57" s="36">
        <f t="shared" si="0"/>
        <v>23990</v>
      </c>
      <c r="P57" s="28" t="s">
        <v>0</v>
      </c>
    </row>
    <row r="58" spans="1:16" ht="15.6" x14ac:dyDescent="0.3">
      <c r="A58" s="25" t="s">
        <v>3214</v>
      </c>
      <c r="B58" s="26">
        <v>46108</v>
      </c>
      <c r="C58" s="26">
        <v>46113</v>
      </c>
      <c r="D58" s="25">
        <v>3319</v>
      </c>
      <c r="E58" s="25">
        <v>327</v>
      </c>
      <c r="F58" s="25">
        <v>2</v>
      </c>
      <c r="G58" s="48">
        <v>1</v>
      </c>
      <c r="H58" s="48">
        <v>70044</v>
      </c>
      <c r="I58" s="28" t="s">
        <v>17</v>
      </c>
      <c r="J58" s="50">
        <v>70802567</v>
      </c>
      <c r="K58" s="53" t="s">
        <v>912</v>
      </c>
      <c r="L58" s="43" t="s">
        <v>916</v>
      </c>
      <c r="M58" s="54">
        <v>239900</v>
      </c>
      <c r="N58" s="57">
        <v>0.9</v>
      </c>
      <c r="O58" s="36">
        <f t="shared" si="0"/>
        <v>23990</v>
      </c>
      <c r="P58" s="28" t="s">
        <v>0</v>
      </c>
    </row>
    <row r="59" spans="1:16" ht="15.6" x14ac:dyDescent="0.3">
      <c r="A59" s="25" t="s">
        <v>3214</v>
      </c>
      <c r="B59" s="26">
        <v>46108</v>
      </c>
      <c r="C59" s="26">
        <v>46113</v>
      </c>
      <c r="D59" s="25">
        <v>3319</v>
      </c>
      <c r="E59" s="25">
        <v>327</v>
      </c>
      <c r="F59" s="25">
        <v>2</v>
      </c>
      <c r="G59" s="48">
        <v>1</v>
      </c>
      <c r="H59" s="48">
        <v>70044</v>
      </c>
      <c r="I59" s="28" t="s">
        <v>17</v>
      </c>
      <c r="J59" s="50">
        <v>70802576</v>
      </c>
      <c r="K59" s="53" t="s">
        <v>912</v>
      </c>
      <c r="L59" s="43" t="s">
        <v>917</v>
      </c>
      <c r="M59" s="54">
        <v>239900</v>
      </c>
      <c r="N59" s="57">
        <v>0.9</v>
      </c>
      <c r="O59" s="36">
        <f t="shared" si="0"/>
        <v>23990</v>
      </c>
      <c r="P59" s="28" t="s">
        <v>0</v>
      </c>
    </row>
    <row r="60" spans="1:16" ht="15.6" x14ac:dyDescent="0.3">
      <c r="A60" s="25" t="s">
        <v>3214</v>
      </c>
      <c r="B60" s="26">
        <v>46108</v>
      </c>
      <c r="C60" s="26">
        <v>46113</v>
      </c>
      <c r="D60" s="25">
        <v>3319</v>
      </c>
      <c r="E60" s="25">
        <v>327</v>
      </c>
      <c r="F60" s="25">
        <v>2</v>
      </c>
      <c r="G60" s="28">
        <v>1</v>
      </c>
      <c r="H60" s="28">
        <v>81433</v>
      </c>
      <c r="I60" s="28" t="s">
        <v>17</v>
      </c>
      <c r="J60" s="51">
        <v>67293883</v>
      </c>
      <c r="K60" s="38" t="s">
        <v>918</v>
      </c>
      <c r="L60" t="s">
        <v>919</v>
      </c>
      <c r="M60" s="37">
        <v>219900</v>
      </c>
      <c r="N60" s="57">
        <v>0.9</v>
      </c>
      <c r="O60" s="36">
        <f t="shared" si="0"/>
        <v>21990</v>
      </c>
      <c r="P60" s="28" t="s">
        <v>0</v>
      </c>
    </row>
    <row r="61" spans="1:16" ht="15.6" x14ac:dyDescent="0.3">
      <c r="A61" s="25" t="s">
        <v>3214</v>
      </c>
      <c r="B61" s="26">
        <v>46108</v>
      </c>
      <c r="C61" s="26">
        <v>46113</v>
      </c>
      <c r="D61" s="25">
        <v>3319</v>
      </c>
      <c r="E61" s="25">
        <v>327</v>
      </c>
      <c r="F61" s="25">
        <v>2</v>
      </c>
      <c r="G61" s="28">
        <v>1</v>
      </c>
      <c r="H61" s="28">
        <v>81433</v>
      </c>
      <c r="I61" s="28" t="s">
        <v>17</v>
      </c>
      <c r="J61" s="51">
        <v>67293918</v>
      </c>
      <c r="K61" s="38" t="s">
        <v>918</v>
      </c>
      <c r="L61" t="s">
        <v>920</v>
      </c>
      <c r="M61" s="37">
        <v>219900</v>
      </c>
      <c r="N61" s="57">
        <v>0.9</v>
      </c>
      <c r="O61" s="36">
        <f t="shared" si="0"/>
        <v>21990</v>
      </c>
      <c r="P61" s="28" t="s">
        <v>0</v>
      </c>
    </row>
    <row r="62" spans="1:16" ht="15.6" x14ac:dyDescent="0.3">
      <c r="A62" s="25" t="s">
        <v>3214</v>
      </c>
      <c r="B62" s="26">
        <v>46108</v>
      </c>
      <c r="C62" s="26">
        <v>46113</v>
      </c>
      <c r="D62" s="25">
        <v>3319</v>
      </c>
      <c r="E62" s="25">
        <v>327</v>
      </c>
      <c r="F62" s="25">
        <v>2</v>
      </c>
      <c r="G62" s="28">
        <v>1</v>
      </c>
      <c r="H62" s="28">
        <v>81433</v>
      </c>
      <c r="I62" s="28" t="s">
        <v>17</v>
      </c>
      <c r="J62" s="51">
        <v>67293927</v>
      </c>
      <c r="K62" s="38" t="s">
        <v>918</v>
      </c>
      <c r="L62" t="s">
        <v>921</v>
      </c>
      <c r="M62" s="37">
        <v>219900</v>
      </c>
      <c r="N62" s="57">
        <v>0.9</v>
      </c>
      <c r="O62" s="36">
        <f t="shared" si="0"/>
        <v>21990</v>
      </c>
      <c r="P62" s="28" t="s">
        <v>0</v>
      </c>
    </row>
    <row r="63" spans="1:16" ht="15.6" x14ac:dyDescent="0.3">
      <c r="A63" s="25" t="s">
        <v>3214</v>
      </c>
      <c r="B63" s="26">
        <v>46108</v>
      </c>
      <c r="C63" s="26">
        <v>46113</v>
      </c>
      <c r="D63" s="25">
        <v>3319</v>
      </c>
      <c r="E63" s="25">
        <v>327</v>
      </c>
      <c r="F63" s="25">
        <v>2</v>
      </c>
      <c r="G63" s="28">
        <v>1</v>
      </c>
      <c r="H63" s="28">
        <v>81433</v>
      </c>
      <c r="I63" s="28" t="s">
        <v>17</v>
      </c>
      <c r="J63" s="51">
        <v>67293936</v>
      </c>
      <c r="K63" s="38" t="s">
        <v>918</v>
      </c>
      <c r="L63" t="s">
        <v>922</v>
      </c>
      <c r="M63" s="37">
        <v>219900</v>
      </c>
      <c r="N63" s="57">
        <v>0.9</v>
      </c>
      <c r="O63" s="36">
        <f t="shared" si="0"/>
        <v>21990</v>
      </c>
      <c r="P63" s="28" t="s">
        <v>0</v>
      </c>
    </row>
    <row r="64" spans="1:16" ht="15.6" x14ac:dyDescent="0.3">
      <c r="A64" s="25" t="s">
        <v>3214</v>
      </c>
      <c r="B64" s="26">
        <v>46108</v>
      </c>
      <c r="C64" s="26">
        <v>46113</v>
      </c>
      <c r="D64" s="25">
        <v>3319</v>
      </c>
      <c r="E64" s="25">
        <v>327</v>
      </c>
      <c r="F64" s="25">
        <v>2</v>
      </c>
      <c r="G64" s="28">
        <v>1</v>
      </c>
      <c r="H64" s="28">
        <v>81433</v>
      </c>
      <c r="I64" s="28" t="s">
        <v>17</v>
      </c>
      <c r="J64" s="51">
        <v>67293954</v>
      </c>
      <c r="K64" s="38" t="s">
        <v>918</v>
      </c>
      <c r="L64" t="s">
        <v>923</v>
      </c>
      <c r="M64" s="37">
        <v>219900</v>
      </c>
      <c r="N64" s="57">
        <v>0.9</v>
      </c>
      <c r="O64" s="36">
        <f t="shared" si="0"/>
        <v>21990</v>
      </c>
      <c r="P64" s="28" t="s">
        <v>0</v>
      </c>
    </row>
    <row r="65" spans="1:16" ht="15.6" x14ac:dyDescent="0.3">
      <c r="A65" s="25" t="s">
        <v>3214</v>
      </c>
      <c r="B65" s="26">
        <v>46108</v>
      </c>
      <c r="C65" s="26">
        <v>46113</v>
      </c>
      <c r="D65" s="25">
        <v>3319</v>
      </c>
      <c r="E65" s="25">
        <v>327</v>
      </c>
      <c r="F65" s="25">
        <v>2</v>
      </c>
      <c r="G65" s="28">
        <v>1</v>
      </c>
      <c r="H65" s="28">
        <v>81433</v>
      </c>
      <c r="I65" s="28" t="s">
        <v>17</v>
      </c>
      <c r="J65" s="51">
        <v>67293865</v>
      </c>
      <c r="K65" s="38" t="s">
        <v>918</v>
      </c>
      <c r="L65" t="s">
        <v>924</v>
      </c>
      <c r="M65" s="37">
        <v>219900</v>
      </c>
      <c r="N65" s="57">
        <v>0.9</v>
      </c>
      <c r="O65" s="36">
        <f t="shared" si="0"/>
        <v>21990</v>
      </c>
      <c r="P65" s="28" t="s">
        <v>0</v>
      </c>
    </row>
    <row r="66" spans="1:16" ht="15.6" x14ac:dyDescent="0.3">
      <c r="A66" s="25" t="s">
        <v>3214</v>
      </c>
      <c r="B66" s="26">
        <v>46108</v>
      </c>
      <c r="C66" s="26">
        <v>46113</v>
      </c>
      <c r="D66" s="25">
        <v>3319</v>
      </c>
      <c r="E66" s="25">
        <v>327</v>
      </c>
      <c r="F66" s="25">
        <v>2</v>
      </c>
      <c r="G66" s="28">
        <v>1</v>
      </c>
      <c r="H66" s="28">
        <v>81433</v>
      </c>
      <c r="I66" s="28" t="s">
        <v>17</v>
      </c>
      <c r="J66" s="51">
        <v>67293945</v>
      </c>
      <c r="K66" s="38" t="s">
        <v>918</v>
      </c>
      <c r="L66" t="s">
        <v>925</v>
      </c>
      <c r="M66" s="37">
        <v>219900</v>
      </c>
      <c r="N66" s="57">
        <v>0.9</v>
      </c>
      <c r="O66" s="36">
        <f t="shared" si="0"/>
        <v>21990</v>
      </c>
      <c r="P66" s="28" t="s">
        <v>0</v>
      </c>
    </row>
    <row r="67" spans="1:16" ht="15.6" x14ac:dyDescent="0.3">
      <c r="A67" s="25" t="s">
        <v>3214</v>
      </c>
      <c r="B67" s="26">
        <v>46108</v>
      </c>
      <c r="C67" s="26">
        <v>46113</v>
      </c>
      <c r="D67" s="25">
        <v>3319</v>
      </c>
      <c r="E67" s="25">
        <v>327</v>
      </c>
      <c r="F67" s="25">
        <v>2</v>
      </c>
      <c r="G67" s="28">
        <v>1</v>
      </c>
      <c r="H67" s="28">
        <v>81433</v>
      </c>
      <c r="I67" s="28" t="s">
        <v>17</v>
      </c>
      <c r="J67" s="51">
        <v>67293874</v>
      </c>
      <c r="K67" s="38" t="s">
        <v>918</v>
      </c>
      <c r="L67" t="s">
        <v>926</v>
      </c>
      <c r="M67" s="37">
        <v>219900</v>
      </c>
      <c r="N67" s="57">
        <v>0.9</v>
      </c>
      <c r="O67" s="36">
        <f t="shared" ref="O67:O130" si="1">M67*10%</f>
        <v>21990</v>
      </c>
      <c r="P67" s="28" t="s">
        <v>0</v>
      </c>
    </row>
    <row r="68" spans="1:16" ht="15.6" x14ac:dyDescent="0.3">
      <c r="A68" s="25" t="s">
        <v>3214</v>
      </c>
      <c r="B68" s="26">
        <v>46108</v>
      </c>
      <c r="C68" s="26">
        <v>46113</v>
      </c>
      <c r="D68" s="25">
        <v>3319</v>
      </c>
      <c r="E68" s="25">
        <v>327</v>
      </c>
      <c r="F68" s="25">
        <v>2</v>
      </c>
      <c r="G68" s="28">
        <v>1</v>
      </c>
      <c r="H68" s="28">
        <v>81433</v>
      </c>
      <c r="I68" s="28" t="s">
        <v>17</v>
      </c>
      <c r="J68" s="51">
        <v>67293892</v>
      </c>
      <c r="K68" s="38" t="s">
        <v>918</v>
      </c>
      <c r="L68" t="s">
        <v>927</v>
      </c>
      <c r="M68" s="37">
        <v>219900</v>
      </c>
      <c r="N68" s="57">
        <v>0.9</v>
      </c>
      <c r="O68" s="36">
        <f t="shared" si="1"/>
        <v>21990</v>
      </c>
      <c r="P68" s="28" t="s">
        <v>0</v>
      </c>
    </row>
    <row r="69" spans="1:16" ht="15.6" x14ac:dyDescent="0.3">
      <c r="A69" s="25" t="s">
        <v>3214</v>
      </c>
      <c r="B69" s="26">
        <v>46108</v>
      </c>
      <c r="C69" s="26">
        <v>46113</v>
      </c>
      <c r="D69" s="25">
        <v>3319</v>
      </c>
      <c r="E69" s="25">
        <v>327</v>
      </c>
      <c r="F69" s="25">
        <v>2</v>
      </c>
      <c r="G69" s="28">
        <v>1</v>
      </c>
      <c r="H69" s="28">
        <v>81433</v>
      </c>
      <c r="I69" s="28" t="s">
        <v>17</v>
      </c>
      <c r="J69" s="51">
        <v>67293909</v>
      </c>
      <c r="K69" s="38" t="s">
        <v>918</v>
      </c>
      <c r="L69" t="s">
        <v>928</v>
      </c>
      <c r="M69" s="37">
        <v>219900</v>
      </c>
      <c r="N69" s="57">
        <v>0.9</v>
      </c>
      <c r="O69" s="36">
        <f t="shared" si="1"/>
        <v>21990</v>
      </c>
      <c r="P69" s="28" t="s">
        <v>0</v>
      </c>
    </row>
    <row r="70" spans="1:16" ht="15.6" x14ac:dyDescent="0.3">
      <c r="A70" s="25" t="s">
        <v>3214</v>
      </c>
      <c r="B70" s="26">
        <v>46108</v>
      </c>
      <c r="C70" s="26">
        <v>46113</v>
      </c>
      <c r="D70" s="25">
        <v>3319</v>
      </c>
      <c r="E70" s="25">
        <v>327</v>
      </c>
      <c r="F70" s="25">
        <v>2</v>
      </c>
      <c r="G70" s="28">
        <v>1</v>
      </c>
      <c r="H70" s="28">
        <v>81433</v>
      </c>
      <c r="I70" s="28" t="s">
        <v>17</v>
      </c>
      <c r="J70" s="51">
        <v>66161651</v>
      </c>
      <c r="K70" s="38" t="s">
        <v>929</v>
      </c>
      <c r="L70" t="s">
        <v>930</v>
      </c>
      <c r="M70" s="37">
        <v>219900</v>
      </c>
      <c r="N70" s="57">
        <v>0.9</v>
      </c>
      <c r="O70" s="36">
        <f t="shared" si="1"/>
        <v>21990</v>
      </c>
      <c r="P70" s="28" t="s">
        <v>0</v>
      </c>
    </row>
    <row r="71" spans="1:16" ht="15.6" x14ac:dyDescent="0.3">
      <c r="A71" s="25" t="s">
        <v>3214</v>
      </c>
      <c r="B71" s="26">
        <v>46108</v>
      </c>
      <c r="C71" s="26">
        <v>46113</v>
      </c>
      <c r="D71" s="25">
        <v>3319</v>
      </c>
      <c r="E71" s="25">
        <v>327</v>
      </c>
      <c r="F71" s="25">
        <v>2</v>
      </c>
      <c r="G71" s="28">
        <v>1</v>
      </c>
      <c r="H71" s="28">
        <v>81433</v>
      </c>
      <c r="I71" s="28" t="s">
        <v>17</v>
      </c>
      <c r="J71" s="51">
        <v>66161688</v>
      </c>
      <c r="K71" s="38" t="s">
        <v>929</v>
      </c>
      <c r="L71" t="s">
        <v>931</v>
      </c>
      <c r="M71" s="37">
        <v>219900</v>
      </c>
      <c r="N71" s="57">
        <v>0.9</v>
      </c>
      <c r="O71" s="36">
        <f t="shared" si="1"/>
        <v>21990</v>
      </c>
      <c r="P71" s="28" t="s">
        <v>0</v>
      </c>
    </row>
    <row r="72" spans="1:16" ht="15.6" x14ac:dyDescent="0.3">
      <c r="A72" s="25" t="s">
        <v>3214</v>
      </c>
      <c r="B72" s="26">
        <v>46108</v>
      </c>
      <c r="C72" s="26">
        <v>46113</v>
      </c>
      <c r="D72" s="25">
        <v>3319</v>
      </c>
      <c r="E72" s="25">
        <v>327</v>
      </c>
      <c r="F72" s="25">
        <v>2</v>
      </c>
      <c r="G72" s="28">
        <v>1</v>
      </c>
      <c r="H72" s="28">
        <v>81433</v>
      </c>
      <c r="I72" s="28" t="s">
        <v>17</v>
      </c>
      <c r="J72" s="51">
        <v>66161660</v>
      </c>
      <c r="K72" s="38" t="s">
        <v>929</v>
      </c>
      <c r="L72" t="s">
        <v>932</v>
      </c>
      <c r="M72" s="37">
        <v>219900</v>
      </c>
      <c r="N72" s="57">
        <v>0.9</v>
      </c>
      <c r="O72" s="36">
        <f t="shared" si="1"/>
        <v>21990</v>
      </c>
      <c r="P72" s="28" t="s">
        <v>0</v>
      </c>
    </row>
    <row r="73" spans="1:16" ht="15.6" x14ac:dyDescent="0.3">
      <c r="A73" s="25" t="s">
        <v>3214</v>
      </c>
      <c r="B73" s="26">
        <v>46108</v>
      </c>
      <c r="C73" s="26">
        <v>46113</v>
      </c>
      <c r="D73" s="25">
        <v>3319</v>
      </c>
      <c r="E73" s="25">
        <v>327</v>
      </c>
      <c r="F73" s="25">
        <v>2</v>
      </c>
      <c r="G73" s="28">
        <v>1</v>
      </c>
      <c r="H73" s="28">
        <v>81433</v>
      </c>
      <c r="I73" s="28" t="s">
        <v>17</v>
      </c>
      <c r="J73" s="51">
        <v>66161697</v>
      </c>
      <c r="K73" s="38" t="s">
        <v>929</v>
      </c>
      <c r="L73" t="s">
        <v>933</v>
      </c>
      <c r="M73" s="37">
        <v>219900</v>
      </c>
      <c r="N73" s="57">
        <v>0.9</v>
      </c>
      <c r="O73" s="36">
        <f t="shared" si="1"/>
        <v>21990</v>
      </c>
      <c r="P73" s="28" t="s">
        <v>0</v>
      </c>
    </row>
    <row r="74" spans="1:16" ht="15.6" x14ac:dyDescent="0.3">
      <c r="A74" s="25" t="s">
        <v>3214</v>
      </c>
      <c r="B74" s="26">
        <v>46108</v>
      </c>
      <c r="C74" s="26">
        <v>46113</v>
      </c>
      <c r="D74" s="25">
        <v>3319</v>
      </c>
      <c r="E74" s="25">
        <v>327</v>
      </c>
      <c r="F74" s="25">
        <v>2</v>
      </c>
      <c r="G74" s="28">
        <v>1</v>
      </c>
      <c r="H74" s="28">
        <v>81433</v>
      </c>
      <c r="I74" s="28" t="s">
        <v>17</v>
      </c>
      <c r="J74" s="51">
        <v>66161704</v>
      </c>
      <c r="K74" s="38" t="s">
        <v>929</v>
      </c>
      <c r="L74" t="s">
        <v>934</v>
      </c>
      <c r="M74" s="37">
        <v>219900</v>
      </c>
      <c r="N74" s="57">
        <v>0.9</v>
      </c>
      <c r="O74" s="36">
        <f t="shared" si="1"/>
        <v>21990</v>
      </c>
      <c r="P74" s="28" t="s">
        <v>0</v>
      </c>
    </row>
    <row r="75" spans="1:16" ht="15.6" x14ac:dyDescent="0.3">
      <c r="A75" s="25" t="s">
        <v>3214</v>
      </c>
      <c r="B75" s="26">
        <v>46108</v>
      </c>
      <c r="C75" s="26">
        <v>46113</v>
      </c>
      <c r="D75" s="25">
        <v>3319</v>
      </c>
      <c r="E75" s="25">
        <v>327</v>
      </c>
      <c r="F75" s="25">
        <v>2</v>
      </c>
      <c r="G75" s="28">
        <v>1</v>
      </c>
      <c r="H75" s="28">
        <v>81433</v>
      </c>
      <c r="I75" s="28" t="s">
        <v>17</v>
      </c>
      <c r="J75" s="51">
        <v>66161722</v>
      </c>
      <c r="K75" s="38" t="s">
        <v>929</v>
      </c>
      <c r="L75" t="s">
        <v>935</v>
      </c>
      <c r="M75" s="37">
        <v>219900</v>
      </c>
      <c r="N75" s="57">
        <v>0.9</v>
      </c>
      <c r="O75" s="36">
        <f t="shared" si="1"/>
        <v>21990</v>
      </c>
      <c r="P75" s="28" t="s">
        <v>0</v>
      </c>
    </row>
    <row r="76" spans="1:16" ht="15.6" x14ac:dyDescent="0.3">
      <c r="A76" s="25" t="s">
        <v>3214</v>
      </c>
      <c r="B76" s="26">
        <v>46108</v>
      </c>
      <c r="C76" s="26">
        <v>46113</v>
      </c>
      <c r="D76" s="25">
        <v>3319</v>
      </c>
      <c r="E76" s="25">
        <v>327</v>
      </c>
      <c r="F76" s="25">
        <v>2</v>
      </c>
      <c r="G76" s="28">
        <v>1</v>
      </c>
      <c r="H76" s="28">
        <v>81433</v>
      </c>
      <c r="I76" s="28" t="s">
        <v>17</v>
      </c>
      <c r="J76" s="51">
        <v>66161731</v>
      </c>
      <c r="K76" s="38" t="s">
        <v>929</v>
      </c>
      <c r="L76" t="s">
        <v>936</v>
      </c>
      <c r="M76" s="37">
        <v>219900</v>
      </c>
      <c r="N76" s="57">
        <v>0.9</v>
      </c>
      <c r="O76" s="36">
        <f t="shared" si="1"/>
        <v>21990</v>
      </c>
      <c r="P76" s="28" t="s">
        <v>0</v>
      </c>
    </row>
    <row r="77" spans="1:16" ht="15.6" x14ac:dyDescent="0.3">
      <c r="A77" s="25" t="s">
        <v>3214</v>
      </c>
      <c r="B77" s="26">
        <v>46108</v>
      </c>
      <c r="C77" s="26">
        <v>46113</v>
      </c>
      <c r="D77" s="25">
        <v>3319</v>
      </c>
      <c r="E77" s="25">
        <v>327</v>
      </c>
      <c r="F77" s="25">
        <v>2</v>
      </c>
      <c r="G77" s="28">
        <v>1</v>
      </c>
      <c r="H77" s="28">
        <v>81433</v>
      </c>
      <c r="I77" s="28" t="s">
        <v>17</v>
      </c>
      <c r="J77" s="51">
        <v>66161679</v>
      </c>
      <c r="K77" s="38" t="s">
        <v>929</v>
      </c>
      <c r="L77" t="s">
        <v>937</v>
      </c>
      <c r="M77" s="37">
        <v>219900</v>
      </c>
      <c r="N77" s="57">
        <v>0.9</v>
      </c>
      <c r="O77" s="36">
        <f t="shared" si="1"/>
        <v>21990</v>
      </c>
      <c r="P77" s="28" t="s">
        <v>0</v>
      </c>
    </row>
    <row r="78" spans="1:16" ht="15.6" x14ac:dyDescent="0.3">
      <c r="A78" s="25" t="s">
        <v>3214</v>
      </c>
      <c r="B78" s="26">
        <v>46108</v>
      </c>
      <c r="C78" s="26">
        <v>46113</v>
      </c>
      <c r="D78" s="25">
        <v>3319</v>
      </c>
      <c r="E78" s="25">
        <v>327</v>
      </c>
      <c r="F78" s="25">
        <v>2</v>
      </c>
      <c r="G78" s="28">
        <v>1</v>
      </c>
      <c r="H78" s="28">
        <v>81433</v>
      </c>
      <c r="I78" s="28" t="s">
        <v>17</v>
      </c>
      <c r="J78" s="51">
        <v>66161713</v>
      </c>
      <c r="K78" s="38" t="s">
        <v>929</v>
      </c>
      <c r="L78" t="s">
        <v>938</v>
      </c>
      <c r="M78" s="37">
        <v>219900</v>
      </c>
      <c r="N78" s="57">
        <v>0.9</v>
      </c>
      <c r="O78" s="36">
        <f t="shared" si="1"/>
        <v>21990</v>
      </c>
      <c r="P78" s="28" t="s">
        <v>0</v>
      </c>
    </row>
    <row r="79" spans="1:16" ht="15.6" x14ac:dyDescent="0.3">
      <c r="A79" s="25" t="s">
        <v>3214</v>
      </c>
      <c r="B79" s="26">
        <v>46108</v>
      </c>
      <c r="C79" s="26">
        <v>46113</v>
      </c>
      <c r="D79" s="25">
        <v>3319</v>
      </c>
      <c r="E79" s="25">
        <v>327</v>
      </c>
      <c r="F79" s="25">
        <v>2</v>
      </c>
      <c r="G79" s="28">
        <v>1</v>
      </c>
      <c r="H79" s="28">
        <v>81433</v>
      </c>
      <c r="I79" s="28" t="s">
        <v>17</v>
      </c>
      <c r="J79" s="51">
        <v>66161740</v>
      </c>
      <c r="K79" s="38" t="s">
        <v>929</v>
      </c>
      <c r="L79" t="s">
        <v>939</v>
      </c>
      <c r="M79" s="37">
        <v>219900</v>
      </c>
      <c r="N79" s="57">
        <v>0.9</v>
      </c>
      <c r="O79" s="36">
        <f t="shared" si="1"/>
        <v>21990</v>
      </c>
      <c r="P79" s="28" t="s">
        <v>0</v>
      </c>
    </row>
    <row r="80" spans="1:16" ht="15.6" x14ac:dyDescent="0.3">
      <c r="A80" s="25" t="s">
        <v>3214</v>
      </c>
      <c r="B80" s="26">
        <v>46108</v>
      </c>
      <c r="C80" s="26">
        <v>46113</v>
      </c>
      <c r="D80" s="25">
        <v>3319</v>
      </c>
      <c r="E80" s="25">
        <v>327</v>
      </c>
      <c r="F80" s="25">
        <v>2</v>
      </c>
      <c r="G80" s="28">
        <v>1</v>
      </c>
      <c r="H80" s="28">
        <v>81433</v>
      </c>
      <c r="I80" s="28" t="s">
        <v>17</v>
      </c>
      <c r="J80" s="51">
        <v>66158727</v>
      </c>
      <c r="K80" s="38" t="s">
        <v>940</v>
      </c>
      <c r="L80" t="s">
        <v>941</v>
      </c>
      <c r="M80" s="37">
        <v>219900</v>
      </c>
      <c r="N80" s="57">
        <v>0.9</v>
      </c>
      <c r="O80" s="36">
        <f t="shared" si="1"/>
        <v>21990</v>
      </c>
      <c r="P80" s="28" t="s">
        <v>0</v>
      </c>
    </row>
    <row r="81" spans="1:16" ht="15.6" x14ac:dyDescent="0.3">
      <c r="A81" s="25" t="s">
        <v>3214</v>
      </c>
      <c r="B81" s="26">
        <v>46108</v>
      </c>
      <c r="C81" s="26">
        <v>46113</v>
      </c>
      <c r="D81" s="25">
        <v>3319</v>
      </c>
      <c r="E81" s="25">
        <v>327</v>
      </c>
      <c r="F81" s="25">
        <v>2</v>
      </c>
      <c r="G81" s="28">
        <v>1</v>
      </c>
      <c r="H81" s="28">
        <v>81433</v>
      </c>
      <c r="I81" s="28" t="s">
        <v>17</v>
      </c>
      <c r="J81" s="51">
        <v>66158709</v>
      </c>
      <c r="K81" s="38" t="s">
        <v>940</v>
      </c>
      <c r="L81" t="s">
        <v>942</v>
      </c>
      <c r="M81" s="37">
        <v>219900</v>
      </c>
      <c r="N81" s="57">
        <v>0.9</v>
      </c>
      <c r="O81" s="36">
        <f t="shared" si="1"/>
        <v>21990</v>
      </c>
      <c r="P81" s="28" t="s">
        <v>0</v>
      </c>
    </row>
    <row r="82" spans="1:16" ht="15.6" x14ac:dyDescent="0.3">
      <c r="A82" s="25" t="s">
        <v>3214</v>
      </c>
      <c r="B82" s="26">
        <v>46108</v>
      </c>
      <c r="C82" s="26">
        <v>46113</v>
      </c>
      <c r="D82" s="25">
        <v>3319</v>
      </c>
      <c r="E82" s="25">
        <v>327</v>
      </c>
      <c r="F82" s="25">
        <v>2</v>
      </c>
      <c r="G82" s="28">
        <v>1</v>
      </c>
      <c r="H82" s="28">
        <v>81433</v>
      </c>
      <c r="I82" s="28" t="s">
        <v>17</v>
      </c>
      <c r="J82" s="51">
        <v>66158674</v>
      </c>
      <c r="K82" s="38" t="s">
        <v>940</v>
      </c>
      <c r="L82" t="s">
        <v>943</v>
      </c>
      <c r="M82" s="37">
        <v>219900</v>
      </c>
      <c r="N82" s="57">
        <v>0.9</v>
      </c>
      <c r="O82" s="36">
        <f t="shared" si="1"/>
        <v>21990</v>
      </c>
      <c r="P82" s="28" t="s">
        <v>0</v>
      </c>
    </row>
    <row r="83" spans="1:16" ht="15.6" x14ac:dyDescent="0.3">
      <c r="A83" s="25" t="s">
        <v>3214</v>
      </c>
      <c r="B83" s="26">
        <v>46108</v>
      </c>
      <c r="C83" s="26">
        <v>46113</v>
      </c>
      <c r="D83" s="25">
        <v>3319</v>
      </c>
      <c r="E83" s="25">
        <v>327</v>
      </c>
      <c r="F83" s="25">
        <v>2</v>
      </c>
      <c r="G83" s="28">
        <v>1</v>
      </c>
      <c r="H83" s="28">
        <v>81433</v>
      </c>
      <c r="I83" s="28" t="s">
        <v>17</v>
      </c>
      <c r="J83" s="51">
        <v>66158718</v>
      </c>
      <c r="K83" s="38" t="s">
        <v>940</v>
      </c>
      <c r="L83" t="s">
        <v>944</v>
      </c>
      <c r="M83" s="37">
        <v>219900</v>
      </c>
      <c r="N83" s="57">
        <v>0.9</v>
      </c>
      <c r="O83" s="36">
        <f t="shared" si="1"/>
        <v>21990</v>
      </c>
      <c r="P83" s="28" t="s">
        <v>0</v>
      </c>
    </row>
    <row r="84" spans="1:16" ht="15.6" x14ac:dyDescent="0.3">
      <c r="A84" s="25" t="s">
        <v>3214</v>
      </c>
      <c r="B84" s="26">
        <v>46108</v>
      </c>
      <c r="C84" s="26">
        <v>46113</v>
      </c>
      <c r="D84" s="25">
        <v>3319</v>
      </c>
      <c r="E84" s="25">
        <v>327</v>
      </c>
      <c r="F84" s="25">
        <v>2</v>
      </c>
      <c r="G84" s="28">
        <v>1</v>
      </c>
      <c r="H84" s="28">
        <v>81433</v>
      </c>
      <c r="I84" s="28" t="s">
        <v>17</v>
      </c>
      <c r="J84" s="51">
        <v>66158665</v>
      </c>
      <c r="K84" s="38" t="s">
        <v>940</v>
      </c>
      <c r="L84" t="s">
        <v>945</v>
      </c>
      <c r="M84" s="37">
        <v>219900</v>
      </c>
      <c r="N84" s="57">
        <v>0.9</v>
      </c>
      <c r="O84" s="36">
        <f t="shared" si="1"/>
        <v>21990</v>
      </c>
      <c r="P84" s="28" t="s">
        <v>0</v>
      </c>
    </row>
    <row r="85" spans="1:16" ht="15.6" x14ac:dyDescent="0.3">
      <c r="A85" s="25" t="s">
        <v>3214</v>
      </c>
      <c r="B85" s="26">
        <v>46108</v>
      </c>
      <c r="C85" s="26">
        <v>46113</v>
      </c>
      <c r="D85" s="25">
        <v>3319</v>
      </c>
      <c r="E85" s="25">
        <v>327</v>
      </c>
      <c r="F85" s="25">
        <v>2</v>
      </c>
      <c r="G85" s="28">
        <v>1</v>
      </c>
      <c r="H85" s="28">
        <v>81433</v>
      </c>
      <c r="I85" s="28" t="s">
        <v>17</v>
      </c>
      <c r="J85" s="51">
        <v>66158692</v>
      </c>
      <c r="K85" s="38" t="s">
        <v>940</v>
      </c>
      <c r="L85" t="s">
        <v>946</v>
      </c>
      <c r="M85" s="37">
        <v>219900</v>
      </c>
      <c r="N85" s="57">
        <v>0.9</v>
      </c>
      <c r="O85" s="36">
        <f t="shared" si="1"/>
        <v>21990</v>
      </c>
      <c r="P85" s="28" t="s">
        <v>0</v>
      </c>
    </row>
    <row r="86" spans="1:16" ht="15.6" x14ac:dyDescent="0.3">
      <c r="A86" s="25" t="s">
        <v>3214</v>
      </c>
      <c r="B86" s="26">
        <v>46108</v>
      </c>
      <c r="C86" s="26">
        <v>46113</v>
      </c>
      <c r="D86" s="25">
        <v>3319</v>
      </c>
      <c r="E86" s="25">
        <v>327</v>
      </c>
      <c r="F86" s="25">
        <v>2</v>
      </c>
      <c r="G86" s="28">
        <v>1</v>
      </c>
      <c r="H86" s="28">
        <v>81433</v>
      </c>
      <c r="I86" s="28" t="s">
        <v>17</v>
      </c>
      <c r="J86" s="51">
        <v>66158736</v>
      </c>
      <c r="K86" s="38" t="s">
        <v>940</v>
      </c>
      <c r="L86" t="s">
        <v>947</v>
      </c>
      <c r="M86" s="37">
        <v>219900</v>
      </c>
      <c r="N86" s="57">
        <v>0.9</v>
      </c>
      <c r="O86" s="36">
        <f t="shared" si="1"/>
        <v>21990</v>
      </c>
      <c r="P86" s="28" t="s">
        <v>0</v>
      </c>
    </row>
    <row r="87" spans="1:16" ht="15.6" x14ac:dyDescent="0.3">
      <c r="A87" s="25" t="s">
        <v>3214</v>
      </c>
      <c r="B87" s="26">
        <v>46108</v>
      </c>
      <c r="C87" s="26">
        <v>46113</v>
      </c>
      <c r="D87" s="25">
        <v>3319</v>
      </c>
      <c r="E87" s="25">
        <v>327</v>
      </c>
      <c r="F87" s="25">
        <v>2</v>
      </c>
      <c r="G87" s="28">
        <v>1</v>
      </c>
      <c r="H87" s="28">
        <v>81433</v>
      </c>
      <c r="I87" s="28" t="s">
        <v>17</v>
      </c>
      <c r="J87" s="51">
        <v>66158745</v>
      </c>
      <c r="K87" s="38" t="s">
        <v>940</v>
      </c>
      <c r="L87" t="s">
        <v>948</v>
      </c>
      <c r="M87" s="37">
        <v>219900</v>
      </c>
      <c r="N87" s="57">
        <v>0.9</v>
      </c>
      <c r="O87" s="36">
        <f t="shared" si="1"/>
        <v>21990</v>
      </c>
      <c r="P87" s="28" t="s">
        <v>0</v>
      </c>
    </row>
    <row r="88" spans="1:16" ht="15.6" x14ac:dyDescent="0.3">
      <c r="A88" s="25" t="s">
        <v>3214</v>
      </c>
      <c r="B88" s="26">
        <v>46108</v>
      </c>
      <c r="C88" s="26">
        <v>46113</v>
      </c>
      <c r="D88" s="25">
        <v>3319</v>
      </c>
      <c r="E88" s="25">
        <v>327</v>
      </c>
      <c r="F88" s="25">
        <v>2</v>
      </c>
      <c r="G88" s="28">
        <v>1</v>
      </c>
      <c r="H88" s="28">
        <v>81433</v>
      </c>
      <c r="I88" s="28" t="s">
        <v>17</v>
      </c>
      <c r="J88" s="51">
        <v>66158656</v>
      </c>
      <c r="K88" s="38" t="s">
        <v>940</v>
      </c>
      <c r="L88" t="s">
        <v>949</v>
      </c>
      <c r="M88" s="37">
        <v>219900</v>
      </c>
      <c r="N88" s="57">
        <v>0.9</v>
      </c>
      <c r="O88" s="36">
        <f t="shared" si="1"/>
        <v>21990</v>
      </c>
      <c r="P88" s="28" t="s">
        <v>0</v>
      </c>
    </row>
    <row r="89" spans="1:16" ht="15.6" x14ac:dyDescent="0.3">
      <c r="A89" s="25" t="s">
        <v>3214</v>
      </c>
      <c r="B89" s="26">
        <v>46108</v>
      </c>
      <c r="C89" s="26">
        <v>46113</v>
      </c>
      <c r="D89" s="25">
        <v>3319</v>
      </c>
      <c r="E89" s="25">
        <v>327</v>
      </c>
      <c r="F89" s="25">
        <v>2</v>
      </c>
      <c r="G89" s="28">
        <v>1</v>
      </c>
      <c r="H89" s="28">
        <v>81433</v>
      </c>
      <c r="I89" s="28" t="s">
        <v>17</v>
      </c>
      <c r="J89" s="51">
        <v>66158683</v>
      </c>
      <c r="K89" s="38" t="s">
        <v>940</v>
      </c>
      <c r="L89" t="s">
        <v>950</v>
      </c>
      <c r="M89" s="37">
        <v>219900</v>
      </c>
      <c r="N89" s="57">
        <v>0.9</v>
      </c>
      <c r="O89" s="36">
        <f t="shared" si="1"/>
        <v>21990</v>
      </c>
      <c r="P89" s="28" t="s">
        <v>0</v>
      </c>
    </row>
    <row r="90" spans="1:16" ht="15.6" x14ac:dyDescent="0.3">
      <c r="A90" s="25" t="s">
        <v>3214</v>
      </c>
      <c r="B90" s="26">
        <v>46108</v>
      </c>
      <c r="C90" s="26">
        <v>46113</v>
      </c>
      <c r="D90" s="25">
        <v>3319</v>
      </c>
      <c r="E90" s="25">
        <v>327</v>
      </c>
      <c r="F90" s="25">
        <v>2</v>
      </c>
      <c r="G90" s="48">
        <v>1</v>
      </c>
      <c r="H90" s="48">
        <v>81433</v>
      </c>
      <c r="I90" s="48" t="s">
        <v>17</v>
      </c>
      <c r="J90" s="50">
        <v>67293990</v>
      </c>
      <c r="K90" s="53" t="s">
        <v>951</v>
      </c>
      <c r="L90" s="43" t="s">
        <v>952</v>
      </c>
      <c r="M90" s="54">
        <v>219900</v>
      </c>
      <c r="N90" s="57">
        <v>0.9</v>
      </c>
      <c r="O90" s="36">
        <f t="shared" si="1"/>
        <v>21990</v>
      </c>
      <c r="P90" s="28" t="s">
        <v>0</v>
      </c>
    </row>
    <row r="91" spans="1:16" ht="15.6" x14ac:dyDescent="0.3">
      <c r="A91" s="25" t="s">
        <v>3214</v>
      </c>
      <c r="B91" s="26">
        <v>46108</v>
      </c>
      <c r="C91" s="26">
        <v>46113</v>
      </c>
      <c r="D91" s="25">
        <v>3319</v>
      </c>
      <c r="E91" s="25">
        <v>327</v>
      </c>
      <c r="F91" s="25">
        <v>2</v>
      </c>
      <c r="G91" s="48">
        <v>1</v>
      </c>
      <c r="H91" s="48">
        <v>81433</v>
      </c>
      <c r="I91" s="48" t="s">
        <v>17</v>
      </c>
      <c r="J91" s="50">
        <v>67293981</v>
      </c>
      <c r="K91" s="53" t="s">
        <v>951</v>
      </c>
      <c r="L91" s="43" t="s">
        <v>953</v>
      </c>
      <c r="M91" s="54">
        <v>219900</v>
      </c>
      <c r="N91" s="57">
        <v>0.9</v>
      </c>
      <c r="O91" s="36">
        <f t="shared" si="1"/>
        <v>21990</v>
      </c>
      <c r="P91" s="28" t="s">
        <v>0</v>
      </c>
    </row>
    <row r="92" spans="1:16" ht="15.6" x14ac:dyDescent="0.3">
      <c r="A92" s="25" t="s">
        <v>3214</v>
      </c>
      <c r="B92" s="26">
        <v>46108</v>
      </c>
      <c r="C92" s="26">
        <v>46113</v>
      </c>
      <c r="D92" s="25">
        <v>3319</v>
      </c>
      <c r="E92" s="25">
        <v>327</v>
      </c>
      <c r="F92" s="25">
        <v>2</v>
      </c>
      <c r="G92" s="48">
        <v>1</v>
      </c>
      <c r="H92" s="48">
        <v>81433</v>
      </c>
      <c r="I92" s="48" t="s">
        <v>17</v>
      </c>
      <c r="J92" s="50">
        <v>67294015</v>
      </c>
      <c r="K92" s="53" t="s">
        <v>951</v>
      </c>
      <c r="L92" s="43" t="s">
        <v>954</v>
      </c>
      <c r="M92" s="54">
        <v>219900</v>
      </c>
      <c r="N92" s="57">
        <v>0.9</v>
      </c>
      <c r="O92" s="36">
        <f t="shared" si="1"/>
        <v>21990</v>
      </c>
      <c r="P92" s="28" t="s">
        <v>0</v>
      </c>
    </row>
    <row r="93" spans="1:16" ht="15.6" x14ac:dyDescent="0.3">
      <c r="A93" s="25" t="s">
        <v>3214</v>
      </c>
      <c r="B93" s="26">
        <v>46108</v>
      </c>
      <c r="C93" s="26">
        <v>46113</v>
      </c>
      <c r="D93" s="25">
        <v>3319</v>
      </c>
      <c r="E93" s="25">
        <v>327</v>
      </c>
      <c r="F93" s="25">
        <v>2</v>
      </c>
      <c r="G93" s="48">
        <v>1</v>
      </c>
      <c r="H93" s="48">
        <v>81433</v>
      </c>
      <c r="I93" s="48" t="s">
        <v>17</v>
      </c>
      <c r="J93" s="50">
        <v>67293203</v>
      </c>
      <c r="K93" s="53" t="s">
        <v>955</v>
      </c>
      <c r="L93" s="43" t="s">
        <v>956</v>
      </c>
      <c r="M93" s="54">
        <v>219900</v>
      </c>
      <c r="N93" s="57">
        <v>0.9</v>
      </c>
      <c r="O93" s="36">
        <f t="shared" si="1"/>
        <v>21990</v>
      </c>
      <c r="P93" s="28" t="s">
        <v>0</v>
      </c>
    </row>
    <row r="94" spans="1:16" ht="15.6" x14ac:dyDescent="0.3">
      <c r="A94" s="25" t="s">
        <v>3214</v>
      </c>
      <c r="B94" s="26">
        <v>46108</v>
      </c>
      <c r="C94" s="26">
        <v>46113</v>
      </c>
      <c r="D94" s="25">
        <v>3319</v>
      </c>
      <c r="E94" s="25">
        <v>327</v>
      </c>
      <c r="F94" s="25">
        <v>2</v>
      </c>
      <c r="G94" s="48">
        <v>1</v>
      </c>
      <c r="H94" s="48">
        <v>81433</v>
      </c>
      <c r="I94" s="48" t="s">
        <v>17</v>
      </c>
      <c r="J94" s="50">
        <v>67293972</v>
      </c>
      <c r="K94" s="53" t="s">
        <v>951</v>
      </c>
      <c r="L94" s="43" t="s">
        <v>957</v>
      </c>
      <c r="M94" s="54">
        <v>219900</v>
      </c>
      <c r="N94" s="57">
        <v>0.9</v>
      </c>
      <c r="O94" s="36">
        <f t="shared" si="1"/>
        <v>21990</v>
      </c>
      <c r="P94" s="28" t="s">
        <v>0</v>
      </c>
    </row>
    <row r="95" spans="1:16" ht="15.6" x14ac:dyDescent="0.3">
      <c r="A95" s="25" t="s">
        <v>3214</v>
      </c>
      <c r="B95" s="26">
        <v>46108</v>
      </c>
      <c r="C95" s="26">
        <v>46113</v>
      </c>
      <c r="D95" s="25">
        <v>3319</v>
      </c>
      <c r="E95" s="25">
        <v>327</v>
      </c>
      <c r="F95" s="25">
        <v>2</v>
      </c>
      <c r="G95" s="48">
        <v>1</v>
      </c>
      <c r="H95" s="48">
        <v>81433</v>
      </c>
      <c r="I95" s="48" t="s">
        <v>17</v>
      </c>
      <c r="J95" s="50">
        <v>67294051</v>
      </c>
      <c r="K95" s="53" t="s">
        <v>951</v>
      </c>
      <c r="L95" s="43" t="s">
        <v>958</v>
      </c>
      <c r="M95" s="54">
        <v>219900</v>
      </c>
      <c r="N95" s="57">
        <v>0.9</v>
      </c>
      <c r="O95" s="36">
        <f t="shared" si="1"/>
        <v>21990</v>
      </c>
      <c r="P95" s="28" t="s">
        <v>0</v>
      </c>
    </row>
    <row r="96" spans="1:16" ht="15.6" x14ac:dyDescent="0.3">
      <c r="A96" s="25" t="s">
        <v>3214</v>
      </c>
      <c r="B96" s="26">
        <v>46108</v>
      </c>
      <c r="C96" s="26">
        <v>46113</v>
      </c>
      <c r="D96" s="25">
        <v>3319</v>
      </c>
      <c r="E96" s="25">
        <v>327</v>
      </c>
      <c r="F96" s="25">
        <v>2</v>
      </c>
      <c r="G96" s="48">
        <v>1</v>
      </c>
      <c r="H96" s="48">
        <v>81433</v>
      </c>
      <c r="I96" s="48" t="s">
        <v>17</v>
      </c>
      <c r="J96" s="50">
        <v>67294033</v>
      </c>
      <c r="K96" s="53" t="s">
        <v>951</v>
      </c>
      <c r="L96" s="43" t="s">
        <v>959</v>
      </c>
      <c r="M96" s="54">
        <v>219900</v>
      </c>
      <c r="N96" s="57">
        <v>0.9</v>
      </c>
      <c r="O96" s="36">
        <f t="shared" si="1"/>
        <v>21990</v>
      </c>
      <c r="P96" s="28" t="s">
        <v>0</v>
      </c>
    </row>
    <row r="97" spans="1:16" ht="15.6" x14ac:dyDescent="0.3">
      <c r="A97" s="25" t="s">
        <v>3214</v>
      </c>
      <c r="B97" s="26">
        <v>46108</v>
      </c>
      <c r="C97" s="26">
        <v>46113</v>
      </c>
      <c r="D97" s="25">
        <v>3319</v>
      </c>
      <c r="E97" s="25">
        <v>327</v>
      </c>
      <c r="F97" s="25">
        <v>2</v>
      </c>
      <c r="G97" s="48">
        <v>1</v>
      </c>
      <c r="H97" s="48">
        <v>81433</v>
      </c>
      <c r="I97" s="48" t="s">
        <v>17</v>
      </c>
      <c r="J97" s="50">
        <v>67293963</v>
      </c>
      <c r="K97" s="53" t="s">
        <v>951</v>
      </c>
      <c r="L97" s="43" t="s">
        <v>960</v>
      </c>
      <c r="M97" s="54">
        <v>219900</v>
      </c>
      <c r="N97" s="57">
        <v>0.9</v>
      </c>
      <c r="O97" s="36">
        <f t="shared" si="1"/>
        <v>21990</v>
      </c>
      <c r="P97" s="28" t="s">
        <v>0</v>
      </c>
    </row>
    <row r="98" spans="1:16" ht="15.6" x14ac:dyDescent="0.3">
      <c r="A98" s="25" t="s">
        <v>3214</v>
      </c>
      <c r="B98" s="26">
        <v>46108</v>
      </c>
      <c r="C98" s="26">
        <v>46113</v>
      </c>
      <c r="D98" s="25">
        <v>3319</v>
      </c>
      <c r="E98" s="25">
        <v>327</v>
      </c>
      <c r="F98" s="25">
        <v>2</v>
      </c>
      <c r="G98" s="48">
        <v>1</v>
      </c>
      <c r="H98" s="48">
        <v>81433</v>
      </c>
      <c r="I98" s="48" t="s">
        <v>17</v>
      </c>
      <c r="J98" s="50">
        <v>67294006</v>
      </c>
      <c r="K98" s="53" t="s">
        <v>951</v>
      </c>
      <c r="L98" s="43" t="s">
        <v>961</v>
      </c>
      <c r="M98" s="54">
        <v>219900</v>
      </c>
      <c r="N98" s="57">
        <v>0.9</v>
      </c>
      <c r="O98" s="36">
        <f t="shared" si="1"/>
        <v>21990</v>
      </c>
      <c r="P98" s="28" t="s">
        <v>0</v>
      </c>
    </row>
    <row r="99" spans="1:16" ht="15.6" x14ac:dyDescent="0.3">
      <c r="A99" s="25" t="s">
        <v>3214</v>
      </c>
      <c r="B99" s="26">
        <v>46108</v>
      </c>
      <c r="C99" s="26">
        <v>46113</v>
      </c>
      <c r="D99" s="25">
        <v>3319</v>
      </c>
      <c r="E99" s="25">
        <v>327</v>
      </c>
      <c r="F99" s="25">
        <v>2</v>
      </c>
      <c r="G99" s="48">
        <v>1</v>
      </c>
      <c r="H99" s="48">
        <v>81433</v>
      </c>
      <c r="I99" s="48" t="s">
        <v>17</v>
      </c>
      <c r="J99" s="50">
        <v>67294024</v>
      </c>
      <c r="K99" s="53" t="s">
        <v>951</v>
      </c>
      <c r="L99" s="43" t="s">
        <v>962</v>
      </c>
      <c r="M99" s="54">
        <v>219900</v>
      </c>
      <c r="N99" s="57">
        <v>0.9</v>
      </c>
      <c r="O99" s="36">
        <f t="shared" si="1"/>
        <v>21990</v>
      </c>
      <c r="P99" s="28" t="s">
        <v>0</v>
      </c>
    </row>
    <row r="100" spans="1:16" ht="15.6" x14ac:dyDescent="0.3">
      <c r="A100" s="25" t="s">
        <v>3214</v>
      </c>
      <c r="B100" s="26">
        <v>46108</v>
      </c>
      <c r="C100" s="26">
        <v>46113</v>
      </c>
      <c r="D100" s="25">
        <v>3319</v>
      </c>
      <c r="E100" s="25">
        <v>327</v>
      </c>
      <c r="F100" s="25">
        <v>2</v>
      </c>
      <c r="G100" s="48">
        <v>1</v>
      </c>
      <c r="H100" s="48">
        <v>81433</v>
      </c>
      <c r="I100" s="48" t="s">
        <v>17</v>
      </c>
      <c r="J100" s="50">
        <v>67294042</v>
      </c>
      <c r="K100" s="53" t="s">
        <v>951</v>
      </c>
      <c r="L100" s="43" t="s">
        <v>963</v>
      </c>
      <c r="M100" s="54">
        <v>219900</v>
      </c>
      <c r="N100" s="57">
        <v>0.9</v>
      </c>
      <c r="O100" s="36">
        <f t="shared" si="1"/>
        <v>21990</v>
      </c>
      <c r="P100" s="28" t="s">
        <v>0</v>
      </c>
    </row>
    <row r="101" spans="1:16" ht="15.6" x14ac:dyDescent="0.3">
      <c r="A101" s="25" t="s">
        <v>3214</v>
      </c>
      <c r="B101" s="26">
        <v>46108</v>
      </c>
      <c r="C101" s="26">
        <v>46113</v>
      </c>
      <c r="D101" s="25">
        <v>3319</v>
      </c>
      <c r="E101" s="25">
        <v>327</v>
      </c>
      <c r="F101" s="25">
        <v>2</v>
      </c>
      <c r="G101" s="48">
        <v>1</v>
      </c>
      <c r="H101" s="48">
        <v>81433</v>
      </c>
      <c r="I101" s="48" t="s">
        <v>17</v>
      </c>
      <c r="J101" s="50">
        <v>58917930</v>
      </c>
      <c r="K101" s="53" t="s">
        <v>964</v>
      </c>
      <c r="L101" s="43" t="s">
        <v>965</v>
      </c>
      <c r="M101" s="54">
        <v>219900</v>
      </c>
      <c r="N101" s="57">
        <v>0.9</v>
      </c>
      <c r="O101" s="36">
        <f t="shared" si="1"/>
        <v>21990</v>
      </c>
      <c r="P101" s="28" t="s">
        <v>0</v>
      </c>
    </row>
    <row r="102" spans="1:16" ht="15.6" x14ac:dyDescent="0.3">
      <c r="A102" s="25" t="s">
        <v>3214</v>
      </c>
      <c r="B102" s="26">
        <v>46108</v>
      </c>
      <c r="C102" s="26">
        <v>46113</v>
      </c>
      <c r="D102" s="25">
        <v>3319</v>
      </c>
      <c r="E102" s="25">
        <v>327</v>
      </c>
      <c r="F102" s="25">
        <v>2</v>
      </c>
      <c r="G102" s="48">
        <v>1</v>
      </c>
      <c r="H102" s="48">
        <v>81433</v>
      </c>
      <c r="I102" s="48" t="s">
        <v>17</v>
      </c>
      <c r="J102" s="50">
        <v>58917967</v>
      </c>
      <c r="K102" s="53" t="s">
        <v>964</v>
      </c>
      <c r="L102" s="43" t="s">
        <v>966</v>
      </c>
      <c r="M102" s="54">
        <v>219900</v>
      </c>
      <c r="N102" s="57">
        <v>0.9</v>
      </c>
      <c r="O102" s="36">
        <f t="shared" si="1"/>
        <v>21990</v>
      </c>
      <c r="P102" s="28" t="s">
        <v>0</v>
      </c>
    </row>
    <row r="103" spans="1:16" ht="15.6" x14ac:dyDescent="0.3">
      <c r="A103" s="25" t="s">
        <v>3214</v>
      </c>
      <c r="B103" s="26">
        <v>46108</v>
      </c>
      <c r="C103" s="26">
        <v>46113</v>
      </c>
      <c r="D103" s="25">
        <v>3319</v>
      </c>
      <c r="E103" s="25">
        <v>327</v>
      </c>
      <c r="F103" s="25">
        <v>2</v>
      </c>
      <c r="G103" s="48">
        <v>1</v>
      </c>
      <c r="H103" s="48">
        <v>81433</v>
      </c>
      <c r="I103" s="48" t="s">
        <v>17</v>
      </c>
      <c r="J103" s="50">
        <v>58917976</v>
      </c>
      <c r="K103" s="53" t="s">
        <v>964</v>
      </c>
      <c r="L103" s="43" t="s">
        <v>967</v>
      </c>
      <c r="M103" s="54">
        <v>219900</v>
      </c>
      <c r="N103" s="57">
        <v>0.9</v>
      </c>
      <c r="O103" s="36">
        <f t="shared" si="1"/>
        <v>21990</v>
      </c>
      <c r="P103" s="28" t="s">
        <v>0</v>
      </c>
    </row>
    <row r="104" spans="1:16" ht="15.6" x14ac:dyDescent="0.3">
      <c r="A104" s="25" t="s">
        <v>3214</v>
      </c>
      <c r="B104" s="26">
        <v>46108</v>
      </c>
      <c r="C104" s="26">
        <v>46113</v>
      </c>
      <c r="D104" s="25">
        <v>3319</v>
      </c>
      <c r="E104" s="25">
        <v>327</v>
      </c>
      <c r="F104" s="25">
        <v>2</v>
      </c>
      <c r="G104" s="48">
        <v>1</v>
      </c>
      <c r="H104" s="48">
        <v>81433</v>
      </c>
      <c r="I104" s="48" t="s">
        <v>17</v>
      </c>
      <c r="J104" s="50">
        <v>58917949</v>
      </c>
      <c r="K104" s="53" t="s">
        <v>964</v>
      </c>
      <c r="L104" s="43" t="s">
        <v>968</v>
      </c>
      <c r="M104" s="54">
        <v>219900</v>
      </c>
      <c r="N104" s="57">
        <v>0.9</v>
      </c>
      <c r="O104" s="36">
        <f t="shared" si="1"/>
        <v>21990</v>
      </c>
      <c r="P104" s="28" t="s">
        <v>0</v>
      </c>
    </row>
    <row r="105" spans="1:16" ht="15.6" x14ac:dyDescent="0.3">
      <c r="A105" s="25" t="s">
        <v>3214</v>
      </c>
      <c r="B105" s="26">
        <v>46108</v>
      </c>
      <c r="C105" s="26">
        <v>46113</v>
      </c>
      <c r="D105" s="25">
        <v>3319</v>
      </c>
      <c r="E105" s="25">
        <v>327</v>
      </c>
      <c r="F105" s="25">
        <v>2</v>
      </c>
      <c r="G105" s="48">
        <v>1</v>
      </c>
      <c r="H105" s="48">
        <v>81433</v>
      </c>
      <c r="I105" s="48" t="s">
        <v>17</v>
      </c>
      <c r="J105" s="50">
        <v>58917958</v>
      </c>
      <c r="K105" s="53" t="s">
        <v>964</v>
      </c>
      <c r="L105" s="43" t="s">
        <v>969</v>
      </c>
      <c r="M105" s="54">
        <v>219900</v>
      </c>
      <c r="N105" s="57">
        <v>0.9</v>
      </c>
      <c r="O105" s="36">
        <f t="shared" si="1"/>
        <v>21990</v>
      </c>
      <c r="P105" s="28" t="s">
        <v>0</v>
      </c>
    </row>
    <row r="106" spans="1:16" ht="15.6" x14ac:dyDescent="0.3">
      <c r="A106" s="25" t="s">
        <v>3214</v>
      </c>
      <c r="B106" s="26">
        <v>46108</v>
      </c>
      <c r="C106" s="26">
        <v>46113</v>
      </c>
      <c r="D106" s="25">
        <v>3319</v>
      </c>
      <c r="E106" s="25">
        <v>327</v>
      </c>
      <c r="F106" s="25">
        <v>2</v>
      </c>
      <c r="G106" s="48">
        <v>1</v>
      </c>
      <c r="H106" s="48">
        <v>81433</v>
      </c>
      <c r="I106" s="48" t="s">
        <v>17</v>
      </c>
      <c r="J106" s="50">
        <v>66162749</v>
      </c>
      <c r="K106" s="53" t="s">
        <v>970</v>
      </c>
      <c r="L106" s="43" t="s">
        <v>971</v>
      </c>
      <c r="M106" s="54">
        <v>219900</v>
      </c>
      <c r="N106" s="57">
        <v>0.9</v>
      </c>
      <c r="O106" s="36">
        <f t="shared" si="1"/>
        <v>21990</v>
      </c>
      <c r="P106" s="28" t="s">
        <v>0</v>
      </c>
    </row>
    <row r="107" spans="1:16" ht="15.6" x14ac:dyDescent="0.3">
      <c r="A107" s="25" t="s">
        <v>3214</v>
      </c>
      <c r="B107" s="26">
        <v>46108</v>
      </c>
      <c r="C107" s="26">
        <v>46113</v>
      </c>
      <c r="D107" s="25">
        <v>3319</v>
      </c>
      <c r="E107" s="25">
        <v>327</v>
      </c>
      <c r="F107" s="25">
        <v>2</v>
      </c>
      <c r="G107" s="48">
        <v>1</v>
      </c>
      <c r="H107" s="48">
        <v>81433</v>
      </c>
      <c r="I107" s="48" t="s">
        <v>17</v>
      </c>
      <c r="J107" s="50">
        <v>66162687</v>
      </c>
      <c r="K107" s="53" t="s">
        <v>970</v>
      </c>
      <c r="L107" s="43" t="s">
        <v>972</v>
      </c>
      <c r="M107" s="54">
        <v>219900</v>
      </c>
      <c r="N107" s="57">
        <v>0.9</v>
      </c>
      <c r="O107" s="36">
        <f t="shared" si="1"/>
        <v>21990</v>
      </c>
      <c r="P107" s="28" t="s">
        <v>0</v>
      </c>
    </row>
    <row r="108" spans="1:16" ht="15.6" x14ac:dyDescent="0.3">
      <c r="A108" s="25" t="s">
        <v>3214</v>
      </c>
      <c r="B108" s="26">
        <v>46108</v>
      </c>
      <c r="C108" s="26">
        <v>46113</v>
      </c>
      <c r="D108" s="25">
        <v>3319</v>
      </c>
      <c r="E108" s="25">
        <v>327</v>
      </c>
      <c r="F108" s="25">
        <v>2</v>
      </c>
      <c r="G108" s="48">
        <v>1</v>
      </c>
      <c r="H108" s="48">
        <v>81433</v>
      </c>
      <c r="I108" s="48" t="s">
        <v>17</v>
      </c>
      <c r="J108" s="50">
        <v>66162696</v>
      </c>
      <c r="K108" s="53" t="s">
        <v>970</v>
      </c>
      <c r="L108" s="43" t="s">
        <v>973</v>
      </c>
      <c r="M108" s="54">
        <v>219900</v>
      </c>
      <c r="N108" s="57">
        <v>0.9</v>
      </c>
      <c r="O108" s="36">
        <f t="shared" si="1"/>
        <v>21990</v>
      </c>
      <c r="P108" s="28" t="s">
        <v>0</v>
      </c>
    </row>
    <row r="109" spans="1:16" ht="15.6" x14ac:dyDescent="0.3">
      <c r="A109" s="25" t="s">
        <v>3214</v>
      </c>
      <c r="B109" s="26">
        <v>46108</v>
      </c>
      <c r="C109" s="26">
        <v>46113</v>
      </c>
      <c r="D109" s="25">
        <v>3319</v>
      </c>
      <c r="E109" s="25">
        <v>327</v>
      </c>
      <c r="F109" s="25">
        <v>2</v>
      </c>
      <c r="G109" s="48">
        <v>1</v>
      </c>
      <c r="H109" s="48">
        <v>81433</v>
      </c>
      <c r="I109" s="48" t="s">
        <v>17</v>
      </c>
      <c r="J109" s="50">
        <v>66162721</v>
      </c>
      <c r="K109" s="53" t="s">
        <v>970</v>
      </c>
      <c r="L109" s="43" t="s">
        <v>974</v>
      </c>
      <c r="M109" s="54">
        <v>219900</v>
      </c>
      <c r="N109" s="57">
        <v>0.9</v>
      </c>
      <c r="O109" s="36">
        <f t="shared" si="1"/>
        <v>21990</v>
      </c>
      <c r="P109" s="28" t="s">
        <v>0</v>
      </c>
    </row>
    <row r="110" spans="1:16" ht="15.6" x14ac:dyDescent="0.3">
      <c r="A110" s="25" t="s">
        <v>3214</v>
      </c>
      <c r="B110" s="26">
        <v>46108</v>
      </c>
      <c r="C110" s="26">
        <v>46113</v>
      </c>
      <c r="D110" s="25">
        <v>3319</v>
      </c>
      <c r="E110" s="25">
        <v>327</v>
      </c>
      <c r="F110" s="25">
        <v>2</v>
      </c>
      <c r="G110" s="48">
        <v>1</v>
      </c>
      <c r="H110" s="48">
        <v>81433</v>
      </c>
      <c r="I110" s="48" t="s">
        <v>17</v>
      </c>
      <c r="J110" s="50">
        <v>66162730</v>
      </c>
      <c r="K110" s="53" t="s">
        <v>970</v>
      </c>
      <c r="L110" s="43" t="s">
        <v>975</v>
      </c>
      <c r="M110" s="54">
        <v>219900</v>
      </c>
      <c r="N110" s="57">
        <v>0.9</v>
      </c>
      <c r="O110" s="36">
        <f t="shared" si="1"/>
        <v>21990</v>
      </c>
      <c r="P110" s="28" t="s">
        <v>0</v>
      </c>
    </row>
    <row r="111" spans="1:16" ht="15.6" x14ac:dyDescent="0.3">
      <c r="A111" s="25" t="s">
        <v>3214</v>
      </c>
      <c r="B111" s="26">
        <v>46108</v>
      </c>
      <c r="C111" s="26">
        <v>46113</v>
      </c>
      <c r="D111" s="25">
        <v>3319</v>
      </c>
      <c r="E111" s="25">
        <v>327</v>
      </c>
      <c r="F111" s="25">
        <v>2</v>
      </c>
      <c r="G111" s="48">
        <v>1</v>
      </c>
      <c r="H111" s="48">
        <v>81433</v>
      </c>
      <c r="I111" s="48" t="s">
        <v>17</v>
      </c>
      <c r="J111" s="50">
        <v>66162758</v>
      </c>
      <c r="K111" s="53" t="s">
        <v>970</v>
      </c>
      <c r="L111" s="43" t="s">
        <v>976</v>
      </c>
      <c r="M111" s="54">
        <v>219900</v>
      </c>
      <c r="N111" s="57">
        <v>0.9</v>
      </c>
      <c r="O111" s="36">
        <f t="shared" si="1"/>
        <v>21990</v>
      </c>
      <c r="P111" s="28" t="s">
        <v>0</v>
      </c>
    </row>
    <row r="112" spans="1:16" ht="15.6" x14ac:dyDescent="0.3">
      <c r="A112" s="25" t="s">
        <v>3214</v>
      </c>
      <c r="B112" s="26">
        <v>46108</v>
      </c>
      <c r="C112" s="26">
        <v>46113</v>
      </c>
      <c r="D112" s="25">
        <v>3319</v>
      </c>
      <c r="E112" s="25">
        <v>327</v>
      </c>
      <c r="F112" s="25">
        <v>2</v>
      </c>
      <c r="G112" s="48">
        <v>1</v>
      </c>
      <c r="H112" s="48">
        <v>81433</v>
      </c>
      <c r="I112" s="48" t="s">
        <v>17</v>
      </c>
      <c r="J112" s="50">
        <v>66162669</v>
      </c>
      <c r="K112" s="53" t="s">
        <v>970</v>
      </c>
      <c r="L112" s="43" t="s">
        <v>977</v>
      </c>
      <c r="M112" s="54">
        <v>219900</v>
      </c>
      <c r="N112" s="57">
        <v>0.9</v>
      </c>
      <c r="O112" s="36">
        <f t="shared" si="1"/>
        <v>21990</v>
      </c>
      <c r="P112" s="28" t="s">
        <v>0</v>
      </c>
    </row>
    <row r="113" spans="1:16" ht="15.6" x14ac:dyDescent="0.3">
      <c r="A113" s="25" t="s">
        <v>3214</v>
      </c>
      <c r="B113" s="26">
        <v>46108</v>
      </c>
      <c r="C113" s="26">
        <v>46113</v>
      </c>
      <c r="D113" s="25">
        <v>3319</v>
      </c>
      <c r="E113" s="25">
        <v>327</v>
      </c>
      <c r="F113" s="25">
        <v>2</v>
      </c>
      <c r="G113" s="48">
        <v>1</v>
      </c>
      <c r="H113" s="48">
        <v>81433</v>
      </c>
      <c r="I113" s="48" t="s">
        <v>17</v>
      </c>
      <c r="J113" s="50">
        <v>66162678</v>
      </c>
      <c r="K113" s="53" t="s">
        <v>970</v>
      </c>
      <c r="L113" s="43" t="s">
        <v>978</v>
      </c>
      <c r="M113" s="54">
        <v>219900</v>
      </c>
      <c r="N113" s="57">
        <v>0.9</v>
      </c>
      <c r="O113" s="36">
        <f t="shared" si="1"/>
        <v>21990</v>
      </c>
      <c r="P113" s="28" t="s">
        <v>0</v>
      </c>
    </row>
    <row r="114" spans="1:16" ht="15.6" x14ac:dyDescent="0.3">
      <c r="A114" s="25" t="s">
        <v>3214</v>
      </c>
      <c r="B114" s="26">
        <v>46108</v>
      </c>
      <c r="C114" s="26">
        <v>46113</v>
      </c>
      <c r="D114" s="25">
        <v>3319</v>
      </c>
      <c r="E114" s="25">
        <v>327</v>
      </c>
      <c r="F114" s="25">
        <v>2</v>
      </c>
      <c r="G114" s="48">
        <v>1</v>
      </c>
      <c r="H114" s="48">
        <v>81433</v>
      </c>
      <c r="I114" s="48" t="s">
        <v>17</v>
      </c>
      <c r="J114" s="50">
        <v>66162703</v>
      </c>
      <c r="K114" s="53" t="s">
        <v>970</v>
      </c>
      <c r="L114" s="43" t="s">
        <v>979</v>
      </c>
      <c r="M114" s="54">
        <v>219900</v>
      </c>
      <c r="N114" s="57">
        <v>0.9</v>
      </c>
      <c r="O114" s="36">
        <f t="shared" si="1"/>
        <v>21990</v>
      </c>
      <c r="P114" s="28" t="s">
        <v>0</v>
      </c>
    </row>
    <row r="115" spans="1:16" ht="15.6" x14ac:dyDescent="0.3">
      <c r="A115" s="25" t="s">
        <v>3214</v>
      </c>
      <c r="B115" s="26">
        <v>46108</v>
      </c>
      <c r="C115" s="26">
        <v>46113</v>
      </c>
      <c r="D115" s="25">
        <v>3319</v>
      </c>
      <c r="E115" s="25">
        <v>327</v>
      </c>
      <c r="F115" s="25">
        <v>2</v>
      </c>
      <c r="G115" s="48">
        <v>1</v>
      </c>
      <c r="H115" s="48">
        <v>81433</v>
      </c>
      <c r="I115" s="48" t="s">
        <v>17</v>
      </c>
      <c r="J115" s="50">
        <v>66162712</v>
      </c>
      <c r="K115" s="53" t="s">
        <v>970</v>
      </c>
      <c r="L115" s="43" t="s">
        <v>980</v>
      </c>
      <c r="M115" s="54">
        <v>219900</v>
      </c>
      <c r="N115" s="57">
        <v>0.9</v>
      </c>
      <c r="O115" s="36">
        <f t="shared" si="1"/>
        <v>21990</v>
      </c>
      <c r="P115" s="28" t="s">
        <v>0</v>
      </c>
    </row>
    <row r="116" spans="1:16" ht="15.6" x14ac:dyDescent="0.3">
      <c r="A116" s="25" t="s">
        <v>3214</v>
      </c>
      <c r="B116" s="26">
        <v>46108</v>
      </c>
      <c r="C116" s="26">
        <v>46113</v>
      </c>
      <c r="D116" s="25">
        <v>3319</v>
      </c>
      <c r="E116" s="25">
        <v>327</v>
      </c>
      <c r="F116" s="25">
        <v>2</v>
      </c>
      <c r="G116" s="48">
        <v>1</v>
      </c>
      <c r="H116" s="48">
        <v>81433</v>
      </c>
      <c r="I116" s="48" t="s">
        <v>17</v>
      </c>
      <c r="J116" s="50">
        <v>66163024</v>
      </c>
      <c r="K116" s="53" t="s">
        <v>981</v>
      </c>
      <c r="L116" s="43" t="s">
        <v>982</v>
      </c>
      <c r="M116" s="54">
        <v>219900</v>
      </c>
      <c r="N116" s="57">
        <v>0.9</v>
      </c>
      <c r="O116" s="36">
        <f t="shared" si="1"/>
        <v>21990</v>
      </c>
      <c r="P116" s="28" t="s">
        <v>0</v>
      </c>
    </row>
    <row r="117" spans="1:16" ht="15.6" x14ac:dyDescent="0.3">
      <c r="A117" s="25" t="s">
        <v>3214</v>
      </c>
      <c r="B117" s="26">
        <v>46108</v>
      </c>
      <c r="C117" s="26">
        <v>46113</v>
      </c>
      <c r="D117" s="25">
        <v>3319</v>
      </c>
      <c r="E117" s="25">
        <v>327</v>
      </c>
      <c r="F117" s="25">
        <v>2</v>
      </c>
      <c r="G117" s="48">
        <v>1</v>
      </c>
      <c r="H117" s="48">
        <v>81433</v>
      </c>
      <c r="I117" s="48" t="s">
        <v>17</v>
      </c>
      <c r="J117" s="50">
        <v>66162954</v>
      </c>
      <c r="K117" s="53" t="s">
        <v>981</v>
      </c>
      <c r="L117" s="43" t="s">
        <v>983</v>
      </c>
      <c r="M117" s="54">
        <v>219900</v>
      </c>
      <c r="N117" s="57">
        <v>0.9</v>
      </c>
      <c r="O117" s="36">
        <f t="shared" si="1"/>
        <v>21990</v>
      </c>
      <c r="P117" s="28" t="s">
        <v>0</v>
      </c>
    </row>
    <row r="118" spans="1:16" ht="15.6" x14ac:dyDescent="0.3">
      <c r="A118" s="25" t="s">
        <v>3214</v>
      </c>
      <c r="B118" s="26">
        <v>46108</v>
      </c>
      <c r="C118" s="26">
        <v>46113</v>
      </c>
      <c r="D118" s="25">
        <v>3319</v>
      </c>
      <c r="E118" s="25">
        <v>327</v>
      </c>
      <c r="F118" s="25">
        <v>2</v>
      </c>
      <c r="G118" s="48">
        <v>1</v>
      </c>
      <c r="H118" s="48">
        <v>81433</v>
      </c>
      <c r="I118" s="48" t="s">
        <v>17</v>
      </c>
      <c r="J118" s="50">
        <v>66162990</v>
      </c>
      <c r="K118" s="53" t="s">
        <v>981</v>
      </c>
      <c r="L118" s="43" t="s">
        <v>984</v>
      </c>
      <c r="M118" s="54">
        <v>219900</v>
      </c>
      <c r="N118" s="57">
        <v>0.9</v>
      </c>
      <c r="O118" s="36">
        <f t="shared" si="1"/>
        <v>21990</v>
      </c>
      <c r="P118" s="28" t="s">
        <v>0</v>
      </c>
    </row>
    <row r="119" spans="1:16" ht="15.6" x14ac:dyDescent="0.3">
      <c r="A119" s="25" t="s">
        <v>3214</v>
      </c>
      <c r="B119" s="26">
        <v>46108</v>
      </c>
      <c r="C119" s="26">
        <v>46113</v>
      </c>
      <c r="D119" s="25">
        <v>3319</v>
      </c>
      <c r="E119" s="25">
        <v>327</v>
      </c>
      <c r="F119" s="25">
        <v>2</v>
      </c>
      <c r="G119" s="48">
        <v>1</v>
      </c>
      <c r="H119" s="48">
        <v>81433</v>
      </c>
      <c r="I119" s="48" t="s">
        <v>17</v>
      </c>
      <c r="J119" s="50">
        <v>66162972</v>
      </c>
      <c r="K119" s="53" t="s">
        <v>981</v>
      </c>
      <c r="L119" s="43" t="s">
        <v>985</v>
      </c>
      <c r="M119" s="54">
        <v>219900</v>
      </c>
      <c r="N119" s="57">
        <v>0.9</v>
      </c>
      <c r="O119" s="36">
        <f t="shared" si="1"/>
        <v>21990</v>
      </c>
      <c r="P119" s="28" t="s">
        <v>0</v>
      </c>
    </row>
    <row r="120" spans="1:16" ht="15.6" x14ac:dyDescent="0.3">
      <c r="A120" s="25" t="s">
        <v>3214</v>
      </c>
      <c r="B120" s="26">
        <v>46108</v>
      </c>
      <c r="C120" s="26">
        <v>46113</v>
      </c>
      <c r="D120" s="25">
        <v>3319</v>
      </c>
      <c r="E120" s="25">
        <v>327</v>
      </c>
      <c r="F120" s="25">
        <v>2</v>
      </c>
      <c r="G120" s="48">
        <v>1</v>
      </c>
      <c r="H120" s="48">
        <v>81433</v>
      </c>
      <c r="I120" s="48" t="s">
        <v>17</v>
      </c>
      <c r="J120" s="50">
        <v>66162945</v>
      </c>
      <c r="K120" s="53" t="s">
        <v>981</v>
      </c>
      <c r="L120" s="43" t="s">
        <v>986</v>
      </c>
      <c r="M120" s="54">
        <v>219900</v>
      </c>
      <c r="N120" s="57">
        <v>0.9</v>
      </c>
      <c r="O120" s="36">
        <f t="shared" si="1"/>
        <v>21990</v>
      </c>
      <c r="P120" s="28" t="s">
        <v>0</v>
      </c>
    </row>
    <row r="121" spans="1:16" ht="15.6" x14ac:dyDescent="0.3">
      <c r="A121" s="25" t="s">
        <v>3214</v>
      </c>
      <c r="B121" s="26">
        <v>46108</v>
      </c>
      <c r="C121" s="26">
        <v>46113</v>
      </c>
      <c r="D121" s="25">
        <v>3319</v>
      </c>
      <c r="E121" s="25">
        <v>327</v>
      </c>
      <c r="F121" s="25">
        <v>2</v>
      </c>
      <c r="G121" s="48">
        <v>1</v>
      </c>
      <c r="H121" s="48">
        <v>81433</v>
      </c>
      <c r="I121" s="48" t="s">
        <v>17</v>
      </c>
      <c r="J121" s="50">
        <v>66162963</v>
      </c>
      <c r="K121" s="53" t="s">
        <v>981</v>
      </c>
      <c r="L121" s="43" t="s">
        <v>987</v>
      </c>
      <c r="M121" s="54">
        <v>219900</v>
      </c>
      <c r="N121" s="57">
        <v>0.9</v>
      </c>
      <c r="O121" s="36">
        <f t="shared" si="1"/>
        <v>21990</v>
      </c>
      <c r="P121" s="28" t="s">
        <v>0</v>
      </c>
    </row>
    <row r="122" spans="1:16" ht="15.6" x14ac:dyDescent="0.3">
      <c r="A122" s="25" t="s">
        <v>3214</v>
      </c>
      <c r="B122" s="26">
        <v>46108</v>
      </c>
      <c r="C122" s="26">
        <v>46113</v>
      </c>
      <c r="D122" s="25">
        <v>3319</v>
      </c>
      <c r="E122" s="25">
        <v>327</v>
      </c>
      <c r="F122" s="25">
        <v>2</v>
      </c>
      <c r="G122" s="48">
        <v>1</v>
      </c>
      <c r="H122" s="48">
        <v>81433</v>
      </c>
      <c r="I122" s="48" t="s">
        <v>17</v>
      </c>
      <c r="J122" s="50">
        <v>66162981</v>
      </c>
      <c r="K122" s="53" t="s">
        <v>981</v>
      </c>
      <c r="L122" s="43" t="s">
        <v>988</v>
      </c>
      <c r="M122" s="54">
        <v>219900</v>
      </c>
      <c r="N122" s="57">
        <v>0.9</v>
      </c>
      <c r="O122" s="36">
        <f t="shared" si="1"/>
        <v>21990</v>
      </c>
      <c r="P122" s="28" t="s">
        <v>0</v>
      </c>
    </row>
    <row r="123" spans="1:16" ht="15.6" x14ac:dyDescent="0.3">
      <c r="A123" s="25" t="s">
        <v>3214</v>
      </c>
      <c r="B123" s="26">
        <v>46108</v>
      </c>
      <c r="C123" s="26">
        <v>46113</v>
      </c>
      <c r="D123" s="25">
        <v>3319</v>
      </c>
      <c r="E123" s="25">
        <v>327</v>
      </c>
      <c r="F123" s="25">
        <v>2</v>
      </c>
      <c r="G123" s="48">
        <v>1</v>
      </c>
      <c r="H123" s="48">
        <v>81433</v>
      </c>
      <c r="I123" s="48" t="s">
        <v>17</v>
      </c>
      <c r="J123" s="50">
        <v>66163006</v>
      </c>
      <c r="K123" s="53" t="s">
        <v>981</v>
      </c>
      <c r="L123" s="43" t="s">
        <v>989</v>
      </c>
      <c r="M123" s="54">
        <v>219900</v>
      </c>
      <c r="N123" s="57">
        <v>0.9</v>
      </c>
      <c r="O123" s="36">
        <f t="shared" si="1"/>
        <v>21990</v>
      </c>
      <c r="P123" s="28" t="s">
        <v>0</v>
      </c>
    </row>
    <row r="124" spans="1:16" ht="15.6" x14ac:dyDescent="0.3">
      <c r="A124" s="25" t="s">
        <v>3214</v>
      </c>
      <c r="B124" s="26">
        <v>46108</v>
      </c>
      <c r="C124" s="26">
        <v>46113</v>
      </c>
      <c r="D124" s="25">
        <v>3319</v>
      </c>
      <c r="E124" s="25">
        <v>327</v>
      </c>
      <c r="F124" s="25">
        <v>2</v>
      </c>
      <c r="G124" s="48">
        <v>1</v>
      </c>
      <c r="H124" s="48">
        <v>81433</v>
      </c>
      <c r="I124" s="48" t="s">
        <v>17</v>
      </c>
      <c r="J124" s="50">
        <v>67293187</v>
      </c>
      <c r="K124" s="53" t="s">
        <v>955</v>
      </c>
      <c r="L124" s="43" t="s">
        <v>990</v>
      </c>
      <c r="M124" s="54">
        <v>219900</v>
      </c>
      <c r="N124" s="57">
        <v>0.9</v>
      </c>
      <c r="O124" s="36">
        <f t="shared" si="1"/>
        <v>21990</v>
      </c>
      <c r="P124" s="28" t="s">
        <v>0</v>
      </c>
    </row>
    <row r="125" spans="1:16" ht="15.6" x14ac:dyDescent="0.3">
      <c r="A125" s="25" t="s">
        <v>3214</v>
      </c>
      <c r="B125" s="26">
        <v>46108</v>
      </c>
      <c r="C125" s="26">
        <v>46113</v>
      </c>
      <c r="D125" s="25">
        <v>3319</v>
      </c>
      <c r="E125" s="25">
        <v>327</v>
      </c>
      <c r="F125" s="25">
        <v>2</v>
      </c>
      <c r="G125" s="48">
        <v>1</v>
      </c>
      <c r="H125" s="48">
        <v>81433</v>
      </c>
      <c r="I125" s="48" t="s">
        <v>17</v>
      </c>
      <c r="J125" s="50">
        <v>67293132</v>
      </c>
      <c r="K125" s="53" t="s">
        <v>955</v>
      </c>
      <c r="L125" s="43" t="s">
        <v>991</v>
      </c>
      <c r="M125" s="54">
        <v>219900</v>
      </c>
      <c r="N125" s="57">
        <v>0.9</v>
      </c>
      <c r="O125" s="36">
        <f t="shared" si="1"/>
        <v>21990</v>
      </c>
      <c r="P125" s="28" t="s">
        <v>0</v>
      </c>
    </row>
    <row r="126" spans="1:16" ht="15.6" x14ac:dyDescent="0.3">
      <c r="A126" s="25" t="s">
        <v>3214</v>
      </c>
      <c r="B126" s="26">
        <v>46108</v>
      </c>
      <c r="C126" s="26">
        <v>46113</v>
      </c>
      <c r="D126" s="25">
        <v>3319</v>
      </c>
      <c r="E126" s="25">
        <v>327</v>
      </c>
      <c r="F126" s="25">
        <v>2</v>
      </c>
      <c r="G126" s="48">
        <v>1</v>
      </c>
      <c r="H126" s="48">
        <v>81433</v>
      </c>
      <c r="I126" s="48" t="s">
        <v>17</v>
      </c>
      <c r="J126" s="50">
        <v>67293196</v>
      </c>
      <c r="K126" s="53" t="s">
        <v>955</v>
      </c>
      <c r="L126" s="43" t="s">
        <v>992</v>
      </c>
      <c r="M126" s="54">
        <v>219900</v>
      </c>
      <c r="N126" s="57">
        <v>0.9</v>
      </c>
      <c r="O126" s="36">
        <f t="shared" si="1"/>
        <v>21990</v>
      </c>
      <c r="P126" s="28" t="s">
        <v>0</v>
      </c>
    </row>
    <row r="127" spans="1:16" ht="15.6" x14ac:dyDescent="0.3">
      <c r="A127" s="25" t="s">
        <v>3214</v>
      </c>
      <c r="B127" s="26">
        <v>46108</v>
      </c>
      <c r="C127" s="26">
        <v>46113</v>
      </c>
      <c r="D127" s="25">
        <v>3319</v>
      </c>
      <c r="E127" s="25">
        <v>327</v>
      </c>
      <c r="F127" s="25">
        <v>2</v>
      </c>
      <c r="G127" s="48">
        <v>1</v>
      </c>
      <c r="H127" s="48">
        <v>81433</v>
      </c>
      <c r="I127" s="48" t="s">
        <v>17</v>
      </c>
      <c r="J127" s="50">
        <v>67293141</v>
      </c>
      <c r="K127" s="53" t="s">
        <v>955</v>
      </c>
      <c r="L127" s="43" t="s">
        <v>993</v>
      </c>
      <c r="M127" s="54">
        <v>219900</v>
      </c>
      <c r="N127" s="57">
        <v>0.9</v>
      </c>
      <c r="O127" s="36">
        <f t="shared" si="1"/>
        <v>21990</v>
      </c>
      <c r="P127" s="28" t="s">
        <v>0</v>
      </c>
    </row>
    <row r="128" spans="1:16" ht="15.6" x14ac:dyDescent="0.3">
      <c r="A128" s="25" t="s">
        <v>3214</v>
      </c>
      <c r="B128" s="26">
        <v>46108</v>
      </c>
      <c r="C128" s="26">
        <v>46113</v>
      </c>
      <c r="D128" s="25">
        <v>3319</v>
      </c>
      <c r="E128" s="25">
        <v>327</v>
      </c>
      <c r="F128" s="25">
        <v>2</v>
      </c>
      <c r="G128" s="48">
        <v>1</v>
      </c>
      <c r="H128" s="48">
        <v>81433</v>
      </c>
      <c r="I128" s="48" t="s">
        <v>17</v>
      </c>
      <c r="J128" s="50">
        <v>67293150</v>
      </c>
      <c r="K128" s="53" t="s">
        <v>955</v>
      </c>
      <c r="L128" s="43" t="s">
        <v>994</v>
      </c>
      <c r="M128" s="54">
        <v>219900</v>
      </c>
      <c r="N128" s="57">
        <v>0.9</v>
      </c>
      <c r="O128" s="36">
        <f t="shared" si="1"/>
        <v>21990</v>
      </c>
      <c r="P128" s="28" t="s">
        <v>0</v>
      </c>
    </row>
    <row r="129" spans="1:16" ht="15.6" x14ac:dyDescent="0.3">
      <c r="A129" s="25" t="s">
        <v>3214</v>
      </c>
      <c r="B129" s="26">
        <v>46108</v>
      </c>
      <c r="C129" s="26">
        <v>46113</v>
      </c>
      <c r="D129" s="25">
        <v>3319</v>
      </c>
      <c r="E129" s="25">
        <v>327</v>
      </c>
      <c r="F129" s="25">
        <v>2</v>
      </c>
      <c r="G129" s="48">
        <v>1</v>
      </c>
      <c r="H129" s="48">
        <v>81433</v>
      </c>
      <c r="I129" s="48" t="s">
        <v>17</v>
      </c>
      <c r="J129" s="50">
        <v>67293212</v>
      </c>
      <c r="K129" s="53" t="s">
        <v>955</v>
      </c>
      <c r="L129" s="43" t="s">
        <v>995</v>
      </c>
      <c r="M129" s="54">
        <v>219900</v>
      </c>
      <c r="N129" s="57">
        <v>0.9</v>
      </c>
      <c r="O129" s="36">
        <f t="shared" si="1"/>
        <v>21990</v>
      </c>
      <c r="P129" s="28" t="s">
        <v>0</v>
      </c>
    </row>
    <row r="130" spans="1:16" ht="15.6" x14ac:dyDescent="0.3">
      <c r="A130" s="25" t="s">
        <v>3214</v>
      </c>
      <c r="B130" s="26">
        <v>46108</v>
      </c>
      <c r="C130" s="26">
        <v>46113</v>
      </c>
      <c r="D130" s="25">
        <v>3319</v>
      </c>
      <c r="E130" s="25">
        <v>327</v>
      </c>
      <c r="F130" s="25">
        <v>2</v>
      </c>
      <c r="G130" s="48">
        <v>1</v>
      </c>
      <c r="H130" s="48">
        <v>81433</v>
      </c>
      <c r="I130" s="48" t="s">
        <v>17</v>
      </c>
      <c r="J130" s="50">
        <v>67293221</v>
      </c>
      <c r="K130" s="53" t="s">
        <v>955</v>
      </c>
      <c r="L130" s="43" t="s">
        <v>996</v>
      </c>
      <c r="M130" s="54">
        <v>219900</v>
      </c>
      <c r="N130" s="57">
        <v>0.9</v>
      </c>
      <c r="O130" s="36">
        <f t="shared" si="1"/>
        <v>21990</v>
      </c>
      <c r="P130" s="28" t="s">
        <v>0</v>
      </c>
    </row>
    <row r="131" spans="1:16" ht="15.6" x14ac:dyDescent="0.3">
      <c r="A131" s="25" t="s">
        <v>3214</v>
      </c>
      <c r="B131" s="26">
        <v>46108</v>
      </c>
      <c r="C131" s="26">
        <v>46113</v>
      </c>
      <c r="D131" s="25">
        <v>3319</v>
      </c>
      <c r="E131" s="25">
        <v>327</v>
      </c>
      <c r="F131" s="25">
        <v>2</v>
      </c>
      <c r="G131" s="48">
        <v>1</v>
      </c>
      <c r="H131" s="48">
        <v>81433</v>
      </c>
      <c r="I131" s="48" t="s">
        <v>17</v>
      </c>
      <c r="J131" s="50">
        <v>67293169</v>
      </c>
      <c r="K131" s="53" t="s">
        <v>955</v>
      </c>
      <c r="L131" s="43" t="s">
        <v>997</v>
      </c>
      <c r="M131" s="54">
        <v>219900</v>
      </c>
      <c r="N131" s="57">
        <v>0.9</v>
      </c>
      <c r="O131" s="36">
        <f t="shared" ref="O131:O194" si="2">M131*10%</f>
        <v>21990</v>
      </c>
      <c r="P131" s="28" t="s">
        <v>0</v>
      </c>
    </row>
    <row r="132" spans="1:16" ht="15.6" x14ac:dyDescent="0.3">
      <c r="A132" s="25" t="s">
        <v>3214</v>
      </c>
      <c r="B132" s="26">
        <v>46108</v>
      </c>
      <c r="C132" s="26">
        <v>46113</v>
      </c>
      <c r="D132" s="25">
        <v>3319</v>
      </c>
      <c r="E132" s="25">
        <v>327</v>
      </c>
      <c r="F132" s="25">
        <v>2</v>
      </c>
      <c r="G132" s="48">
        <v>1</v>
      </c>
      <c r="H132" s="48">
        <v>81433</v>
      </c>
      <c r="I132" s="48" t="s">
        <v>17</v>
      </c>
      <c r="J132" s="50">
        <v>67293178</v>
      </c>
      <c r="K132" s="53" t="s">
        <v>955</v>
      </c>
      <c r="L132" s="43" t="s">
        <v>998</v>
      </c>
      <c r="M132" s="54">
        <v>219900</v>
      </c>
      <c r="N132" s="57">
        <v>0.9</v>
      </c>
      <c r="O132" s="36">
        <f t="shared" si="2"/>
        <v>21990</v>
      </c>
      <c r="P132" s="28" t="s">
        <v>0</v>
      </c>
    </row>
    <row r="133" spans="1:16" ht="15.6" x14ac:dyDescent="0.3">
      <c r="A133" s="25" t="s">
        <v>3214</v>
      </c>
      <c r="B133" s="26">
        <v>46108</v>
      </c>
      <c r="C133" s="26">
        <v>46113</v>
      </c>
      <c r="D133" s="25">
        <v>3319</v>
      </c>
      <c r="E133" s="25">
        <v>327</v>
      </c>
      <c r="F133" s="25">
        <v>2</v>
      </c>
      <c r="G133" s="48">
        <v>1</v>
      </c>
      <c r="H133" s="48">
        <v>70044</v>
      </c>
      <c r="I133" s="48" t="s">
        <v>17</v>
      </c>
      <c r="J133" s="50">
        <v>70802209</v>
      </c>
      <c r="K133" s="53" t="s">
        <v>999</v>
      </c>
      <c r="L133" s="43" t="s">
        <v>1000</v>
      </c>
      <c r="M133" s="54">
        <v>149900</v>
      </c>
      <c r="N133" s="57">
        <v>0.9</v>
      </c>
      <c r="O133" s="36">
        <f t="shared" si="2"/>
        <v>14990</v>
      </c>
      <c r="P133" s="28" t="s">
        <v>0</v>
      </c>
    </row>
    <row r="134" spans="1:16" ht="15.6" x14ac:dyDescent="0.3">
      <c r="A134" s="25" t="s">
        <v>3214</v>
      </c>
      <c r="B134" s="26">
        <v>46108</v>
      </c>
      <c r="C134" s="26">
        <v>46113</v>
      </c>
      <c r="D134" s="25">
        <v>3319</v>
      </c>
      <c r="E134" s="25">
        <v>327</v>
      </c>
      <c r="F134" s="25">
        <v>2</v>
      </c>
      <c r="G134" s="48">
        <v>1</v>
      </c>
      <c r="H134" s="48">
        <v>70044</v>
      </c>
      <c r="I134" s="48" t="s">
        <v>17</v>
      </c>
      <c r="J134" s="48">
        <v>70802352</v>
      </c>
      <c r="K134" s="53" t="s">
        <v>1001</v>
      </c>
      <c r="L134" s="43" t="s">
        <v>1002</v>
      </c>
      <c r="M134" s="54">
        <v>199900</v>
      </c>
      <c r="N134" s="57">
        <v>0.9</v>
      </c>
      <c r="O134" s="36">
        <f t="shared" si="2"/>
        <v>19990</v>
      </c>
      <c r="P134" s="28" t="s">
        <v>0</v>
      </c>
    </row>
    <row r="135" spans="1:16" ht="15.6" x14ac:dyDescent="0.3">
      <c r="A135" s="25" t="s">
        <v>3214</v>
      </c>
      <c r="B135" s="26">
        <v>46108</v>
      </c>
      <c r="C135" s="26">
        <v>46113</v>
      </c>
      <c r="D135" s="25">
        <v>3319</v>
      </c>
      <c r="E135" s="25">
        <v>327</v>
      </c>
      <c r="F135" s="25">
        <v>2</v>
      </c>
      <c r="G135" s="48">
        <v>1</v>
      </c>
      <c r="H135" s="48">
        <v>70044</v>
      </c>
      <c r="I135" s="48" t="s">
        <v>17</v>
      </c>
      <c r="J135" s="48">
        <v>70802370</v>
      </c>
      <c r="K135" s="53" t="s">
        <v>1001</v>
      </c>
      <c r="L135" s="43" t="s">
        <v>1003</v>
      </c>
      <c r="M135" s="54">
        <v>199900</v>
      </c>
      <c r="N135" s="57">
        <v>0.9</v>
      </c>
      <c r="O135" s="36">
        <f t="shared" si="2"/>
        <v>19990</v>
      </c>
      <c r="P135" s="28" t="s">
        <v>0</v>
      </c>
    </row>
    <row r="136" spans="1:16" ht="15.6" x14ac:dyDescent="0.3">
      <c r="A136" s="25" t="s">
        <v>3214</v>
      </c>
      <c r="B136" s="26">
        <v>46108</v>
      </c>
      <c r="C136" s="26">
        <v>46113</v>
      </c>
      <c r="D136" s="25">
        <v>3319</v>
      </c>
      <c r="E136" s="25">
        <v>327</v>
      </c>
      <c r="F136" s="25">
        <v>2</v>
      </c>
      <c r="G136" s="48">
        <v>1</v>
      </c>
      <c r="H136" s="48">
        <v>70044</v>
      </c>
      <c r="I136" s="48" t="s">
        <v>17</v>
      </c>
      <c r="J136" s="48">
        <v>70802147</v>
      </c>
      <c r="K136" s="53" t="s">
        <v>999</v>
      </c>
      <c r="L136" s="43" t="s">
        <v>1004</v>
      </c>
      <c r="M136" s="54">
        <v>149900</v>
      </c>
      <c r="N136" s="57">
        <v>0.9</v>
      </c>
      <c r="O136" s="36">
        <f t="shared" si="2"/>
        <v>14990</v>
      </c>
      <c r="P136" s="28" t="s">
        <v>0</v>
      </c>
    </row>
    <row r="137" spans="1:16" ht="15.6" x14ac:dyDescent="0.3">
      <c r="A137" s="25" t="s">
        <v>3214</v>
      </c>
      <c r="B137" s="26">
        <v>46108</v>
      </c>
      <c r="C137" s="26">
        <v>46113</v>
      </c>
      <c r="D137" s="25">
        <v>3319</v>
      </c>
      <c r="E137" s="25">
        <v>327</v>
      </c>
      <c r="F137" s="25">
        <v>2</v>
      </c>
      <c r="G137" s="48">
        <v>1</v>
      </c>
      <c r="H137" s="48">
        <v>70044</v>
      </c>
      <c r="I137" s="48" t="s">
        <v>17</v>
      </c>
      <c r="J137" s="48">
        <v>70802343</v>
      </c>
      <c r="K137" s="53" t="s">
        <v>1001</v>
      </c>
      <c r="L137" s="43" t="s">
        <v>1005</v>
      </c>
      <c r="M137" s="54">
        <v>199900</v>
      </c>
      <c r="N137" s="57">
        <v>0.9</v>
      </c>
      <c r="O137" s="36">
        <f t="shared" si="2"/>
        <v>19990</v>
      </c>
      <c r="P137" s="28" t="s">
        <v>0</v>
      </c>
    </row>
    <row r="138" spans="1:16" ht="15.6" x14ac:dyDescent="0.3">
      <c r="A138" s="25" t="s">
        <v>3214</v>
      </c>
      <c r="B138" s="26">
        <v>46108</v>
      </c>
      <c r="C138" s="26">
        <v>46113</v>
      </c>
      <c r="D138" s="25">
        <v>3319</v>
      </c>
      <c r="E138" s="25">
        <v>327</v>
      </c>
      <c r="F138" s="25">
        <v>2</v>
      </c>
      <c r="G138" s="48">
        <v>1</v>
      </c>
      <c r="H138" s="48">
        <v>70044</v>
      </c>
      <c r="I138" s="48" t="s">
        <v>17</v>
      </c>
      <c r="J138" s="48">
        <v>70802361</v>
      </c>
      <c r="K138" s="53" t="s">
        <v>1001</v>
      </c>
      <c r="L138" s="43" t="s">
        <v>1006</v>
      </c>
      <c r="M138" s="54">
        <v>199900</v>
      </c>
      <c r="N138" s="57">
        <v>0.9</v>
      </c>
      <c r="O138" s="36">
        <f t="shared" si="2"/>
        <v>19990</v>
      </c>
      <c r="P138" s="28" t="s">
        <v>0</v>
      </c>
    </row>
    <row r="139" spans="1:16" ht="15.6" x14ac:dyDescent="0.3">
      <c r="A139" s="25" t="s">
        <v>3214</v>
      </c>
      <c r="B139" s="26">
        <v>46108</v>
      </c>
      <c r="C139" s="26">
        <v>46113</v>
      </c>
      <c r="D139" s="25">
        <v>3319</v>
      </c>
      <c r="E139" s="25">
        <v>327</v>
      </c>
      <c r="F139" s="25">
        <v>2</v>
      </c>
      <c r="G139" s="48">
        <v>1</v>
      </c>
      <c r="H139" s="48">
        <v>70044</v>
      </c>
      <c r="I139" s="48" t="s">
        <v>17</v>
      </c>
      <c r="J139" s="48">
        <v>70802218</v>
      </c>
      <c r="K139" s="53" t="s">
        <v>999</v>
      </c>
      <c r="L139" s="43" t="s">
        <v>1007</v>
      </c>
      <c r="M139" s="54">
        <v>149900</v>
      </c>
      <c r="N139" s="57">
        <v>0.9</v>
      </c>
      <c r="O139" s="36">
        <f t="shared" si="2"/>
        <v>14990</v>
      </c>
      <c r="P139" s="28" t="s">
        <v>0</v>
      </c>
    </row>
    <row r="140" spans="1:16" ht="15.6" x14ac:dyDescent="0.3">
      <c r="A140" s="25" t="s">
        <v>3214</v>
      </c>
      <c r="B140" s="26">
        <v>46108</v>
      </c>
      <c r="C140" s="26">
        <v>46113</v>
      </c>
      <c r="D140" s="25">
        <v>3319</v>
      </c>
      <c r="E140" s="25">
        <v>327</v>
      </c>
      <c r="F140" s="25">
        <v>2</v>
      </c>
      <c r="G140" s="48">
        <v>1</v>
      </c>
      <c r="H140" s="48">
        <v>70044</v>
      </c>
      <c r="I140" s="48" t="s">
        <v>17</v>
      </c>
      <c r="J140" s="48">
        <v>70802129</v>
      </c>
      <c r="K140" s="53" t="s">
        <v>999</v>
      </c>
      <c r="L140" s="43" t="s">
        <v>1008</v>
      </c>
      <c r="M140" s="54">
        <v>149900</v>
      </c>
      <c r="N140" s="57">
        <v>0.9</v>
      </c>
      <c r="O140" s="36">
        <f t="shared" si="2"/>
        <v>14990</v>
      </c>
      <c r="P140" s="28" t="s">
        <v>0</v>
      </c>
    </row>
    <row r="141" spans="1:16" ht="15.6" x14ac:dyDescent="0.3">
      <c r="A141" s="25" t="s">
        <v>3214</v>
      </c>
      <c r="B141" s="26">
        <v>46108</v>
      </c>
      <c r="C141" s="26">
        <v>46113</v>
      </c>
      <c r="D141" s="25">
        <v>3319</v>
      </c>
      <c r="E141" s="25">
        <v>327</v>
      </c>
      <c r="F141" s="25">
        <v>2</v>
      </c>
      <c r="G141" s="48">
        <v>1</v>
      </c>
      <c r="H141" s="48">
        <v>70044</v>
      </c>
      <c r="I141" s="48" t="s">
        <v>17</v>
      </c>
      <c r="J141" s="48">
        <v>70802165</v>
      </c>
      <c r="K141" s="53" t="s">
        <v>999</v>
      </c>
      <c r="L141" s="43" t="s">
        <v>1009</v>
      </c>
      <c r="M141" s="54">
        <v>149900</v>
      </c>
      <c r="N141" s="57">
        <v>0.9</v>
      </c>
      <c r="O141" s="36">
        <f t="shared" si="2"/>
        <v>14990</v>
      </c>
      <c r="P141" s="28" t="s">
        <v>0</v>
      </c>
    </row>
    <row r="142" spans="1:16" ht="15.6" x14ac:dyDescent="0.3">
      <c r="A142" s="25" t="s">
        <v>3214</v>
      </c>
      <c r="B142" s="26">
        <v>46108</v>
      </c>
      <c r="C142" s="26">
        <v>46113</v>
      </c>
      <c r="D142" s="25">
        <v>3319</v>
      </c>
      <c r="E142" s="25">
        <v>327</v>
      </c>
      <c r="F142" s="25">
        <v>2</v>
      </c>
      <c r="G142" s="48">
        <v>1</v>
      </c>
      <c r="H142" s="48">
        <v>70044</v>
      </c>
      <c r="I142" s="48" t="s">
        <v>17</v>
      </c>
      <c r="J142" s="48">
        <v>70802174</v>
      </c>
      <c r="K142" s="53" t="s">
        <v>999</v>
      </c>
      <c r="L142" s="43" t="s">
        <v>1010</v>
      </c>
      <c r="M142" s="54">
        <v>149900</v>
      </c>
      <c r="N142" s="57">
        <v>0.9</v>
      </c>
      <c r="O142" s="36">
        <f t="shared" si="2"/>
        <v>14990</v>
      </c>
      <c r="P142" s="28" t="s">
        <v>0</v>
      </c>
    </row>
    <row r="143" spans="1:16" ht="15.6" x14ac:dyDescent="0.3">
      <c r="A143" s="25" t="s">
        <v>3214</v>
      </c>
      <c r="B143" s="26">
        <v>46108</v>
      </c>
      <c r="C143" s="26">
        <v>46113</v>
      </c>
      <c r="D143" s="25">
        <v>3319</v>
      </c>
      <c r="E143" s="25">
        <v>327</v>
      </c>
      <c r="F143" s="25">
        <v>2</v>
      </c>
      <c r="G143" s="48">
        <v>1</v>
      </c>
      <c r="H143" s="48">
        <v>70044</v>
      </c>
      <c r="I143" s="48" t="s">
        <v>17</v>
      </c>
      <c r="J143" s="48">
        <v>70802138</v>
      </c>
      <c r="K143" s="53" t="s">
        <v>999</v>
      </c>
      <c r="L143" s="43" t="s">
        <v>1011</v>
      </c>
      <c r="M143" s="54">
        <v>149900</v>
      </c>
      <c r="N143" s="57">
        <v>0.9</v>
      </c>
      <c r="O143" s="36">
        <f t="shared" si="2"/>
        <v>14990</v>
      </c>
      <c r="P143" s="28" t="s">
        <v>0</v>
      </c>
    </row>
    <row r="144" spans="1:16" ht="15.6" x14ac:dyDescent="0.3">
      <c r="A144" s="25" t="s">
        <v>3214</v>
      </c>
      <c r="B144" s="26">
        <v>46108</v>
      </c>
      <c r="C144" s="26">
        <v>46113</v>
      </c>
      <c r="D144" s="25">
        <v>3319</v>
      </c>
      <c r="E144" s="25">
        <v>327</v>
      </c>
      <c r="F144" s="25">
        <v>2</v>
      </c>
      <c r="G144" s="48">
        <v>1</v>
      </c>
      <c r="H144" s="48">
        <v>70044</v>
      </c>
      <c r="I144" s="48" t="s">
        <v>17</v>
      </c>
      <c r="J144" s="48">
        <v>70802156</v>
      </c>
      <c r="K144" s="53" t="s">
        <v>999</v>
      </c>
      <c r="L144" s="43" t="s">
        <v>1012</v>
      </c>
      <c r="M144" s="54">
        <v>149900</v>
      </c>
      <c r="N144" s="57">
        <v>0.9</v>
      </c>
      <c r="O144" s="36">
        <f t="shared" si="2"/>
        <v>14990</v>
      </c>
      <c r="P144" s="28" t="s">
        <v>0</v>
      </c>
    </row>
    <row r="145" spans="1:16" ht="15.6" x14ac:dyDescent="0.3">
      <c r="A145" s="25" t="s">
        <v>3214</v>
      </c>
      <c r="B145" s="26">
        <v>46108</v>
      </c>
      <c r="C145" s="26">
        <v>46113</v>
      </c>
      <c r="D145" s="25">
        <v>3319</v>
      </c>
      <c r="E145" s="25">
        <v>327</v>
      </c>
      <c r="F145" s="25">
        <v>2</v>
      </c>
      <c r="G145" s="48">
        <v>1</v>
      </c>
      <c r="H145" s="48">
        <v>70044</v>
      </c>
      <c r="I145" s="48" t="s">
        <v>17</v>
      </c>
      <c r="J145" s="48">
        <v>70802183</v>
      </c>
      <c r="K145" s="53" t="s">
        <v>999</v>
      </c>
      <c r="L145" s="43" t="s">
        <v>1013</v>
      </c>
      <c r="M145" s="54">
        <v>149900</v>
      </c>
      <c r="N145" s="57">
        <v>0.9</v>
      </c>
      <c r="O145" s="36">
        <f t="shared" si="2"/>
        <v>14990</v>
      </c>
      <c r="P145" s="28" t="s">
        <v>0</v>
      </c>
    </row>
    <row r="146" spans="1:16" ht="15.6" x14ac:dyDescent="0.3">
      <c r="A146" s="25" t="s">
        <v>3214</v>
      </c>
      <c r="B146" s="26">
        <v>46108</v>
      </c>
      <c r="C146" s="26">
        <v>46113</v>
      </c>
      <c r="D146" s="25">
        <v>3319</v>
      </c>
      <c r="E146" s="25">
        <v>327</v>
      </c>
      <c r="F146" s="25">
        <v>2</v>
      </c>
      <c r="G146" s="48">
        <v>1</v>
      </c>
      <c r="H146" s="48">
        <v>70044</v>
      </c>
      <c r="I146" s="48" t="s">
        <v>17</v>
      </c>
      <c r="J146" s="48">
        <v>70802192</v>
      </c>
      <c r="K146" s="53" t="s">
        <v>999</v>
      </c>
      <c r="L146" s="43" t="s">
        <v>1014</v>
      </c>
      <c r="M146" s="54">
        <v>149900</v>
      </c>
      <c r="N146" s="57">
        <v>0.9</v>
      </c>
      <c r="O146" s="36">
        <f t="shared" si="2"/>
        <v>14990</v>
      </c>
      <c r="P146" s="28" t="s">
        <v>0</v>
      </c>
    </row>
    <row r="147" spans="1:16" ht="15.6" x14ac:dyDescent="0.3">
      <c r="A147" s="25" t="s">
        <v>3214</v>
      </c>
      <c r="B147" s="26">
        <v>46108</v>
      </c>
      <c r="C147" s="26">
        <v>46113</v>
      </c>
      <c r="D147" s="25">
        <v>3319</v>
      </c>
      <c r="E147" s="25">
        <v>327</v>
      </c>
      <c r="F147" s="25">
        <v>2</v>
      </c>
      <c r="G147" s="48">
        <v>1</v>
      </c>
      <c r="H147" s="48">
        <v>70044</v>
      </c>
      <c r="I147" s="48" t="s">
        <v>17</v>
      </c>
      <c r="J147" s="48">
        <v>70802389</v>
      </c>
      <c r="K147" s="53" t="s">
        <v>1001</v>
      </c>
      <c r="L147" s="43" t="s">
        <v>1015</v>
      </c>
      <c r="M147" s="54">
        <v>199900</v>
      </c>
      <c r="N147" s="57">
        <v>0.9</v>
      </c>
      <c r="O147" s="36">
        <f t="shared" si="2"/>
        <v>19990</v>
      </c>
      <c r="P147" s="28" t="s">
        <v>0</v>
      </c>
    </row>
    <row r="148" spans="1:16" ht="15.6" x14ac:dyDescent="0.3">
      <c r="A148" s="25" t="s">
        <v>3214</v>
      </c>
      <c r="B148" s="26">
        <v>46108</v>
      </c>
      <c r="C148" s="26">
        <v>46113</v>
      </c>
      <c r="D148" s="25">
        <v>3319</v>
      </c>
      <c r="E148" s="25">
        <v>327</v>
      </c>
      <c r="F148" s="25">
        <v>2</v>
      </c>
      <c r="G148" s="48">
        <v>1</v>
      </c>
      <c r="H148" s="48">
        <v>81433</v>
      </c>
      <c r="I148" s="48" t="s">
        <v>17</v>
      </c>
      <c r="J148" s="48">
        <v>67293454</v>
      </c>
      <c r="K148" s="53" t="s">
        <v>1016</v>
      </c>
      <c r="L148" s="43" t="s">
        <v>1017</v>
      </c>
      <c r="M148" s="54">
        <v>219900</v>
      </c>
      <c r="N148" s="57">
        <v>0.9</v>
      </c>
      <c r="O148" s="36">
        <f t="shared" si="2"/>
        <v>21990</v>
      </c>
      <c r="P148" s="28" t="s">
        <v>0</v>
      </c>
    </row>
    <row r="149" spans="1:16" ht="15.6" x14ac:dyDescent="0.3">
      <c r="A149" s="25" t="s">
        <v>3214</v>
      </c>
      <c r="B149" s="26">
        <v>46108</v>
      </c>
      <c r="C149" s="26">
        <v>46113</v>
      </c>
      <c r="D149" s="25">
        <v>3319</v>
      </c>
      <c r="E149" s="25">
        <v>327</v>
      </c>
      <c r="F149" s="25">
        <v>2</v>
      </c>
      <c r="G149" s="48">
        <v>1</v>
      </c>
      <c r="H149" s="48">
        <v>81433</v>
      </c>
      <c r="I149" s="48" t="s">
        <v>17</v>
      </c>
      <c r="J149" s="48">
        <v>67293445</v>
      </c>
      <c r="K149" s="53" t="s">
        <v>1016</v>
      </c>
      <c r="L149" s="43" t="s">
        <v>1018</v>
      </c>
      <c r="M149" s="54">
        <v>219900</v>
      </c>
      <c r="N149" s="57">
        <v>0.9</v>
      </c>
      <c r="O149" s="36">
        <f t="shared" si="2"/>
        <v>21990</v>
      </c>
      <c r="P149" s="28" t="s">
        <v>0</v>
      </c>
    </row>
    <row r="150" spans="1:16" ht="15.6" x14ac:dyDescent="0.3">
      <c r="A150" s="25" t="s">
        <v>3214</v>
      </c>
      <c r="B150" s="26">
        <v>46108</v>
      </c>
      <c r="C150" s="26">
        <v>46113</v>
      </c>
      <c r="D150" s="25">
        <v>3319</v>
      </c>
      <c r="E150" s="25">
        <v>327</v>
      </c>
      <c r="F150" s="25">
        <v>2</v>
      </c>
      <c r="G150" s="48">
        <v>1</v>
      </c>
      <c r="H150" s="48">
        <v>81433</v>
      </c>
      <c r="I150" s="48" t="s">
        <v>17</v>
      </c>
      <c r="J150" s="48">
        <v>67293481</v>
      </c>
      <c r="K150" s="53" t="s">
        <v>1016</v>
      </c>
      <c r="L150" s="43" t="s">
        <v>1019</v>
      </c>
      <c r="M150" s="54">
        <v>219900</v>
      </c>
      <c r="N150" s="57">
        <v>0.9</v>
      </c>
      <c r="O150" s="36">
        <f t="shared" si="2"/>
        <v>21990</v>
      </c>
      <c r="P150" s="28" t="s">
        <v>0</v>
      </c>
    </row>
    <row r="151" spans="1:16" ht="15.6" x14ac:dyDescent="0.3">
      <c r="A151" s="25" t="s">
        <v>3214</v>
      </c>
      <c r="B151" s="26">
        <v>46108</v>
      </c>
      <c r="C151" s="26">
        <v>46113</v>
      </c>
      <c r="D151" s="25">
        <v>3319</v>
      </c>
      <c r="E151" s="25">
        <v>327</v>
      </c>
      <c r="F151" s="25">
        <v>2</v>
      </c>
      <c r="G151" s="48">
        <v>1</v>
      </c>
      <c r="H151" s="48">
        <v>81433</v>
      </c>
      <c r="I151" s="48" t="s">
        <v>17</v>
      </c>
      <c r="J151" s="48">
        <v>67293534</v>
      </c>
      <c r="K151" s="53" t="s">
        <v>1016</v>
      </c>
      <c r="L151" s="43" t="s">
        <v>1020</v>
      </c>
      <c r="M151" s="54">
        <v>219900</v>
      </c>
      <c r="N151" s="57">
        <v>0.9</v>
      </c>
      <c r="O151" s="36">
        <f t="shared" si="2"/>
        <v>21990</v>
      </c>
      <c r="P151" s="28" t="s">
        <v>0</v>
      </c>
    </row>
    <row r="152" spans="1:16" ht="15.6" x14ac:dyDescent="0.3">
      <c r="A152" s="25" t="s">
        <v>3214</v>
      </c>
      <c r="B152" s="26">
        <v>46108</v>
      </c>
      <c r="C152" s="26">
        <v>46113</v>
      </c>
      <c r="D152" s="25">
        <v>3319</v>
      </c>
      <c r="E152" s="25">
        <v>327</v>
      </c>
      <c r="F152" s="25">
        <v>2</v>
      </c>
      <c r="G152" s="48">
        <v>1</v>
      </c>
      <c r="H152" s="48">
        <v>81433</v>
      </c>
      <c r="I152" s="48" t="s">
        <v>17</v>
      </c>
      <c r="J152" s="48">
        <v>67293463</v>
      </c>
      <c r="K152" s="53" t="s">
        <v>1016</v>
      </c>
      <c r="L152" s="43" t="s">
        <v>1021</v>
      </c>
      <c r="M152" s="54">
        <v>219900</v>
      </c>
      <c r="N152" s="57">
        <v>0.9</v>
      </c>
      <c r="O152" s="36">
        <f t="shared" si="2"/>
        <v>21990</v>
      </c>
      <c r="P152" s="28" t="s">
        <v>0</v>
      </c>
    </row>
    <row r="153" spans="1:16" ht="15.6" x14ac:dyDescent="0.3">
      <c r="A153" s="25" t="s">
        <v>3214</v>
      </c>
      <c r="B153" s="26">
        <v>46108</v>
      </c>
      <c r="C153" s="26">
        <v>46113</v>
      </c>
      <c r="D153" s="25">
        <v>3319</v>
      </c>
      <c r="E153" s="25">
        <v>327</v>
      </c>
      <c r="F153" s="25">
        <v>2</v>
      </c>
      <c r="G153" s="48">
        <v>1</v>
      </c>
      <c r="H153" s="48">
        <v>81433</v>
      </c>
      <c r="I153" s="48" t="s">
        <v>17</v>
      </c>
      <c r="J153" s="48">
        <v>67293516</v>
      </c>
      <c r="K153" s="53" t="s">
        <v>1016</v>
      </c>
      <c r="L153" s="43" t="s">
        <v>1022</v>
      </c>
      <c r="M153" s="54">
        <v>219900</v>
      </c>
      <c r="N153" s="57">
        <v>0.9</v>
      </c>
      <c r="O153" s="36">
        <f t="shared" si="2"/>
        <v>21990</v>
      </c>
      <c r="P153" s="28" t="s">
        <v>0</v>
      </c>
    </row>
    <row r="154" spans="1:16" ht="15.6" x14ac:dyDescent="0.3">
      <c r="A154" s="25" t="s">
        <v>3214</v>
      </c>
      <c r="B154" s="26">
        <v>46108</v>
      </c>
      <c r="C154" s="26">
        <v>46113</v>
      </c>
      <c r="D154" s="25">
        <v>3319</v>
      </c>
      <c r="E154" s="25">
        <v>327</v>
      </c>
      <c r="F154" s="25">
        <v>2</v>
      </c>
      <c r="G154" s="48">
        <v>1</v>
      </c>
      <c r="H154" s="48">
        <v>81433</v>
      </c>
      <c r="I154" s="48" t="s">
        <v>17</v>
      </c>
      <c r="J154" s="48">
        <v>67293472</v>
      </c>
      <c r="K154" s="53" t="s">
        <v>1016</v>
      </c>
      <c r="L154" s="43" t="s">
        <v>1023</v>
      </c>
      <c r="M154" s="54">
        <v>219900</v>
      </c>
      <c r="N154" s="57">
        <v>0.9</v>
      </c>
      <c r="O154" s="36">
        <f t="shared" si="2"/>
        <v>21990</v>
      </c>
      <c r="P154" s="28" t="s">
        <v>0</v>
      </c>
    </row>
    <row r="155" spans="1:16" ht="15.6" x14ac:dyDescent="0.3">
      <c r="A155" s="25" t="s">
        <v>3214</v>
      </c>
      <c r="B155" s="26">
        <v>46108</v>
      </c>
      <c r="C155" s="26">
        <v>46113</v>
      </c>
      <c r="D155" s="25">
        <v>3319</v>
      </c>
      <c r="E155" s="25">
        <v>327</v>
      </c>
      <c r="F155" s="25">
        <v>2</v>
      </c>
      <c r="G155" s="48">
        <v>1</v>
      </c>
      <c r="H155" s="48">
        <v>81433</v>
      </c>
      <c r="I155" s="48" t="s">
        <v>17</v>
      </c>
      <c r="J155" s="48">
        <v>67293490</v>
      </c>
      <c r="K155" s="53" t="s">
        <v>1016</v>
      </c>
      <c r="L155" s="43" t="s">
        <v>1024</v>
      </c>
      <c r="M155" s="54">
        <v>219900</v>
      </c>
      <c r="N155" s="57">
        <v>0.9</v>
      </c>
      <c r="O155" s="36">
        <f t="shared" si="2"/>
        <v>21990</v>
      </c>
      <c r="P155" s="28" t="s">
        <v>0</v>
      </c>
    </row>
    <row r="156" spans="1:16" ht="15.6" x14ac:dyDescent="0.3">
      <c r="A156" s="25" t="s">
        <v>3214</v>
      </c>
      <c r="B156" s="26">
        <v>46108</v>
      </c>
      <c r="C156" s="26">
        <v>46113</v>
      </c>
      <c r="D156" s="25">
        <v>3319</v>
      </c>
      <c r="E156" s="25">
        <v>327</v>
      </c>
      <c r="F156" s="25">
        <v>2</v>
      </c>
      <c r="G156" s="48">
        <v>1</v>
      </c>
      <c r="H156" s="48">
        <v>81433</v>
      </c>
      <c r="I156" s="48" t="s">
        <v>17</v>
      </c>
      <c r="J156" s="48">
        <v>67293507</v>
      </c>
      <c r="K156" s="53" t="s">
        <v>1016</v>
      </c>
      <c r="L156" s="43" t="s">
        <v>1025</v>
      </c>
      <c r="M156" s="54">
        <v>219900</v>
      </c>
      <c r="N156" s="57">
        <v>0.9</v>
      </c>
      <c r="O156" s="36">
        <f t="shared" si="2"/>
        <v>21990</v>
      </c>
      <c r="P156" s="28" t="s">
        <v>0</v>
      </c>
    </row>
    <row r="157" spans="1:16" ht="15.6" x14ac:dyDescent="0.3">
      <c r="A157" s="25" t="s">
        <v>3214</v>
      </c>
      <c r="B157" s="26">
        <v>46108</v>
      </c>
      <c r="C157" s="26">
        <v>46113</v>
      </c>
      <c r="D157" s="25">
        <v>3319</v>
      </c>
      <c r="E157" s="25">
        <v>327</v>
      </c>
      <c r="F157" s="25">
        <v>2</v>
      </c>
      <c r="G157" s="48">
        <v>1</v>
      </c>
      <c r="H157" s="48">
        <v>81433</v>
      </c>
      <c r="I157" s="48" t="s">
        <v>17</v>
      </c>
      <c r="J157" s="48">
        <v>67293525</v>
      </c>
      <c r="K157" s="53" t="s">
        <v>1016</v>
      </c>
      <c r="L157" s="43" t="s">
        <v>1026</v>
      </c>
      <c r="M157" s="54">
        <v>219900</v>
      </c>
      <c r="N157" s="57">
        <v>0.9</v>
      </c>
      <c r="O157" s="36">
        <f t="shared" si="2"/>
        <v>21990</v>
      </c>
      <c r="P157" s="28" t="s">
        <v>0</v>
      </c>
    </row>
    <row r="158" spans="1:16" ht="15.6" x14ac:dyDescent="0.3">
      <c r="A158" s="25" t="s">
        <v>3214</v>
      </c>
      <c r="B158" s="26">
        <v>46108</v>
      </c>
      <c r="C158" s="26">
        <v>46113</v>
      </c>
      <c r="D158" s="25">
        <v>3319</v>
      </c>
      <c r="E158" s="25">
        <v>327</v>
      </c>
      <c r="F158" s="25">
        <v>2</v>
      </c>
      <c r="G158" s="48">
        <v>1</v>
      </c>
      <c r="H158" s="48">
        <v>70044</v>
      </c>
      <c r="I158" s="28" t="s">
        <v>17</v>
      </c>
      <c r="J158" s="48">
        <v>70802487</v>
      </c>
      <c r="K158" s="53" t="s">
        <v>1027</v>
      </c>
      <c r="L158" s="43" t="s">
        <v>1028</v>
      </c>
      <c r="M158" s="54">
        <v>239900</v>
      </c>
      <c r="N158" s="57">
        <v>0.9</v>
      </c>
      <c r="O158" s="36">
        <f t="shared" si="2"/>
        <v>23990</v>
      </c>
      <c r="P158" s="28" t="s">
        <v>0</v>
      </c>
    </row>
    <row r="159" spans="1:16" ht="15.6" x14ac:dyDescent="0.3">
      <c r="A159" s="25" t="s">
        <v>3214</v>
      </c>
      <c r="B159" s="26">
        <v>46108</v>
      </c>
      <c r="C159" s="26">
        <v>46113</v>
      </c>
      <c r="D159" s="25">
        <v>3319</v>
      </c>
      <c r="E159" s="25">
        <v>327</v>
      </c>
      <c r="F159" s="25">
        <v>2</v>
      </c>
      <c r="G159" s="48">
        <v>1</v>
      </c>
      <c r="H159" s="48">
        <v>70044</v>
      </c>
      <c r="I159" s="28" t="s">
        <v>17</v>
      </c>
      <c r="J159" s="48">
        <v>70802496</v>
      </c>
      <c r="K159" s="53" t="s">
        <v>1027</v>
      </c>
      <c r="L159" s="43" t="s">
        <v>1029</v>
      </c>
      <c r="M159" s="54">
        <v>239900</v>
      </c>
      <c r="N159" s="57">
        <v>0.9</v>
      </c>
      <c r="O159" s="36">
        <f t="shared" si="2"/>
        <v>23990</v>
      </c>
      <c r="P159" s="28" t="s">
        <v>0</v>
      </c>
    </row>
    <row r="160" spans="1:16" ht="15.6" x14ac:dyDescent="0.3">
      <c r="A160" s="25" t="s">
        <v>3214</v>
      </c>
      <c r="B160" s="26">
        <v>46108</v>
      </c>
      <c r="C160" s="26">
        <v>46113</v>
      </c>
      <c r="D160" s="25">
        <v>3319</v>
      </c>
      <c r="E160" s="25">
        <v>327</v>
      </c>
      <c r="F160" s="25">
        <v>2</v>
      </c>
      <c r="G160" s="48">
        <v>1</v>
      </c>
      <c r="H160" s="48">
        <v>70044</v>
      </c>
      <c r="I160" s="28" t="s">
        <v>17</v>
      </c>
      <c r="J160" s="48">
        <v>70802503</v>
      </c>
      <c r="K160" s="53" t="s">
        <v>1027</v>
      </c>
      <c r="L160" s="43" t="s">
        <v>1030</v>
      </c>
      <c r="M160" s="54">
        <v>239900</v>
      </c>
      <c r="N160" s="57">
        <v>0.9</v>
      </c>
      <c r="O160" s="36">
        <f t="shared" si="2"/>
        <v>23990</v>
      </c>
      <c r="P160" s="28" t="s">
        <v>0</v>
      </c>
    </row>
    <row r="161" spans="1:16" ht="15.6" x14ac:dyDescent="0.3">
      <c r="A161" s="25" t="s">
        <v>3214</v>
      </c>
      <c r="B161" s="26">
        <v>46108</v>
      </c>
      <c r="C161" s="26">
        <v>46113</v>
      </c>
      <c r="D161" s="25">
        <v>3319</v>
      </c>
      <c r="E161" s="25">
        <v>327</v>
      </c>
      <c r="F161" s="25">
        <v>2</v>
      </c>
      <c r="G161" s="48">
        <v>1</v>
      </c>
      <c r="H161" s="48">
        <v>70044</v>
      </c>
      <c r="I161" s="28" t="s">
        <v>17</v>
      </c>
      <c r="J161" s="48">
        <v>70802512</v>
      </c>
      <c r="K161" s="53" t="s">
        <v>1027</v>
      </c>
      <c r="L161" s="43" t="s">
        <v>1031</v>
      </c>
      <c r="M161" s="54">
        <v>239900</v>
      </c>
      <c r="N161" s="57">
        <v>0.9</v>
      </c>
      <c r="O161" s="36">
        <f t="shared" si="2"/>
        <v>23990</v>
      </c>
      <c r="P161" s="28" t="s">
        <v>0</v>
      </c>
    </row>
    <row r="162" spans="1:16" ht="15.6" x14ac:dyDescent="0.3">
      <c r="A162" s="25" t="s">
        <v>3214</v>
      </c>
      <c r="B162" s="26">
        <v>46108</v>
      </c>
      <c r="C162" s="26">
        <v>46113</v>
      </c>
      <c r="D162" s="25">
        <v>3319</v>
      </c>
      <c r="E162" s="25">
        <v>327</v>
      </c>
      <c r="F162" s="25">
        <v>2</v>
      </c>
      <c r="G162" s="48">
        <v>1</v>
      </c>
      <c r="H162" s="48">
        <v>70044</v>
      </c>
      <c r="I162" s="28" t="s">
        <v>17</v>
      </c>
      <c r="J162" s="48">
        <v>70802521</v>
      </c>
      <c r="K162" s="53" t="s">
        <v>1027</v>
      </c>
      <c r="L162" s="43" t="s">
        <v>1032</v>
      </c>
      <c r="M162" s="54">
        <v>239900</v>
      </c>
      <c r="N162" s="57">
        <v>0.9</v>
      </c>
      <c r="O162" s="36">
        <f t="shared" si="2"/>
        <v>23990</v>
      </c>
      <c r="P162" s="28" t="s">
        <v>0</v>
      </c>
    </row>
    <row r="163" spans="1:16" ht="15.6" x14ac:dyDescent="0.3">
      <c r="A163" s="25" t="s">
        <v>3214</v>
      </c>
      <c r="B163" s="26">
        <v>46108</v>
      </c>
      <c r="C163" s="26">
        <v>46113</v>
      </c>
      <c r="D163" s="25">
        <v>3319</v>
      </c>
      <c r="E163" s="25">
        <v>327</v>
      </c>
      <c r="F163" s="25">
        <v>2</v>
      </c>
      <c r="G163" s="48">
        <v>1</v>
      </c>
      <c r="H163" s="48">
        <v>81433</v>
      </c>
      <c r="I163" s="48" t="s">
        <v>17</v>
      </c>
      <c r="J163" s="48">
        <v>73314704</v>
      </c>
      <c r="K163" s="53" t="s">
        <v>1033</v>
      </c>
      <c r="L163" s="43" t="s">
        <v>1034</v>
      </c>
      <c r="M163" s="54">
        <v>199900</v>
      </c>
      <c r="N163" s="57">
        <v>0.9</v>
      </c>
      <c r="O163" s="36">
        <f t="shared" si="2"/>
        <v>19990</v>
      </c>
      <c r="P163" s="28" t="s">
        <v>0</v>
      </c>
    </row>
    <row r="164" spans="1:16" ht="15.6" x14ac:dyDescent="0.3">
      <c r="A164" s="25" t="s">
        <v>3214</v>
      </c>
      <c r="B164" s="26">
        <v>46108</v>
      </c>
      <c r="C164" s="26">
        <v>46113</v>
      </c>
      <c r="D164" s="25">
        <v>3319</v>
      </c>
      <c r="E164" s="25">
        <v>327</v>
      </c>
      <c r="F164" s="25">
        <v>2</v>
      </c>
      <c r="G164" s="48">
        <v>1</v>
      </c>
      <c r="H164" s="48">
        <v>81433</v>
      </c>
      <c r="I164" s="48" t="s">
        <v>17</v>
      </c>
      <c r="J164" s="48">
        <v>73314768</v>
      </c>
      <c r="K164" s="53" t="s">
        <v>1033</v>
      </c>
      <c r="L164" s="43" t="s">
        <v>1035</v>
      </c>
      <c r="M164" s="54">
        <v>199900</v>
      </c>
      <c r="N164" s="57">
        <v>0.9</v>
      </c>
      <c r="O164" s="36">
        <f t="shared" si="2"/>
        <v>19990</v>
      </c>
      <c r="P164" s="28" t="s">
        <v>0</v>
      </c>
    </row>
    <row r="165" spans="1:16" ht="15.6" x14ac:dyDescent="0.3">
      <c r="A165" s="25" t="s">
        <v>3214</v>
      </c>
      <c r="B165" s="26">
        <v>46108</v>
      </c>
      <c r="C165" s="26">
        <v>46113</v>
      </c>
      <c r="D165" s="25">
        <v>3319</v>
      </c>
      <c r="E165" s="25">
        <v>327</v>
      </c>
      <c r="F165" s="25">
        <v>2</v>
      </c>
      <c r="G165" s="48">
        <v>1</v>
      </c>
      <c r="H165" s="48">
        <v>81433</v>
      </c>
      <c r="I165" s="48" t="s">
        <v>17</v>
      </c>
      <c r="J165" s="48">
        <v>73314786</v>
      </c>
      <c r="K165" s="53" t="s">
        <v>1033</v>
      </c>
      <c r="L165" s="43" t="s">
        <v>1036</v>
      </c>
      <c r="M165" s="54">
        <v>199900</v>
      </c>
      <c r="N165" s="57">
        <v>0.9</v>
      </c>
      <c r="O165" s="36">
        <f t="shared" si="2"/>
        <v>19990</v>
      </c>
      <c r="P165" s="28" t="s">
        <v>0</v>
      </c>
    </row>
    <row r="166" spans="1:16" ht="15.6" x14ac:dyDescent="0.3">
      <c r="A166" s="25" t="s">
        <v>3214</v>
      </c>
      <c r="B166" s="26">
        <v>46108</v>
      </c>
      <c r="C166" s="26">
        <v>46113</v>
      </c>
      <c r="D166" s="25">
        <v>3319</v>
      </c>
      <c r="E166" s="25">
        <v>327</v>
      </c>
      <c r="F166" s="25">
        <v>2</v>
      </c>
      <c r="G166" s="48">
        <v>1</v>
      </c>
      <c r="H166" s="48">
        <v>81433</v>
      </c>
      <c r="I166" s="48" t="s">
        <v>17</v>
      </c>
      <c r="J166" s="48">
        <v>73314722</v>
      </c>
      <c r="K166" s="53" t="s">
        <v>1033</v>
      </c>
      <c r="L166" s="43" t="s">
        <v>1037</v>
      </c>
      <c r="M166" s="54">
        <v>199900</v>
      </c>
      <c r="N166" s="57">
        <v>0.9</v>
      </c>
      <c r="O166" s="36">
        <f t="shared" si="2"/>
        <v>19990</v>
      </c>
      <c r="P166" s="28" t="s">
        <v>0</v>
      </c>
    </row>
    <row r="167" spans="1:16" ht="15.6" x14ac:dyDescent="0.3">
      <c r="A167" s="25" t="s">
        <v>3214</v>
      </c>
      <c r="B167" s="26">
        <v>46108</v>
      </c>
      <c r="C167" s="26">
        <v>46113</v>
      </c>
      <c r="D167" s="25">
        <v>3319</v>
      </c>
      <c r="E167" s="25">
        <v>327</v>
      </c>
      <c r="F167" s="25">
        <v>2</v>
      </c>
      <c r="G167" s="48">
        <v>1</v>
      </c>
      <c r="H167" s="48">
        <v>81433</v>
      </c>
      <c r="I167" s="48" t="s">
        <v>17</v>
      </c>
      <c r="J167" s="48">
        <v>73314740</v>
      </c>
      <c r="K167" s="53" t="s">
        <v>1033</v>
      </c>
      <c r="L167" s="43" t="s">
        <v>1038</v>
      </c>
      <c r="M167" s="54">
        <v>199900</v>
      </c>
      <c r="N167" s="57">
        <v>0.9</v>
      </c>
      <c r="O167" s="36">
        <f t="shared" si="2"/>
        <v>19990</v>
      </c>
      <c r="P167" s="28" t="s">
        <v>0</v>
      </c>
    </row>
    <row r="168" spans="1:16" ht="15.6" x14ac:dyDescent="0.3">
      <c r="A168" s="25" t="s">
        <v>3214</v>
      </c>
      <c r="B168" s="26">
        <v>46108</v>
      </c>
      <c r="C168" s="26">
        <v>46113</v>
      </c>
      <c r="D168" s="25">
        <v>3319</v>
      </c>
      <c r="E168" s="25">
        <v>327</v>
      </c>
      <c r="F168" s="25">
        <v>2</v>
      </c>
      <c r="G168" s="48">
        <v>1</v>
      </c>
      <c r="H168" s="48">
        <v>81433</v>
      </c>
      <c r="I168" s="48" t="s">
        <v>17</v>
      </c>
      <c r="J168" s="48">
        <v>73314731</v>
      </c>
      <c r="K168" s="53" t="s">
        <v>1033</v>
      </c>
      <c r="L168" s="43" t="s">
        <v>1039</v>
      </c>
      <c r="M168" s="54">
        <v>199900</v>
      </c>
      <c r="N168" s="57">
        <v>0.9</v>
      </c>
      <c r="O168" s="36">
        <f t="shared" si="2"/>
        <v>19990</v>
      </c>
      <c r="P168" s="28" t="s">
        <v>0</v>
      </c>
    </row>
    <row r="169" spans="1:16" ht="15.6" x14ac:dyDescent="0.3">
      <c r="A169" s="25" t="s">
        <v>3214</v>
      </c>
      <c r="B169" s="26">
        <v>46108</v>
      </c>
      <c r="C169" s="26">
        <v>46113</v>
      </c>
      <c r="D169" s="25">
        <v>3319</v>
      </c>
      <c r="E169" s="25">
        <v>327</v>
      </c>
      <c r="F169" s="25">
        <v>2</v>
      </c>
      <c r="G169" s="48">
        <v>1</v>
      </c>
      <c r="H169" s="48">
        <v>81433</v>
      </c>
      <c r="I169" s="48" t="s">
        <v>17</v>
      </c>
      <c r="J169" s="48">
        <v>73314759</v>
      </c>
      <c r="K169" s="53" t="s">
        <v>1033</v>
      </c>
      <c r="L169" s="43" t="s">
        <v>1040</v>
      </c>
      <c r="M169" s="54">
        <v>199900</v>
      </c>
      <c r="N169" s="57">
        <v>0.9</v>
      </c>
      <c r="O169" s="36">
        <f t="shared" si="2"/>
        <v>19990</v>
      </c>
      <c r="P169" s="28" t="s">
        <v>0</v>
      </c>
    </row>
    <row r="170" spans="1:16" ht="15.6" x14ac:dyDescent="0.3">
      <c r="A170" s="25" t="s">
        <v>3214</v>
      </c>
      <c r="B170" s="26">
        <v>46108</v>
      </c>
      <c r="C170" s="26">
        <v>46113</v>
      </c>
      <c r="D170" s="25">
        <v>3319</v>
      </c>
      <c r="E170" s="25">
        <v>327</v>
      </c>
      <c r="F170" s="25">
        <v>2</v>
      </c>
      <c r="G170" s="48">
        <v>1</v>
      </c>
      <c r="H170" s="48">
        <v>81433</v>
      </c>
      <c r="I170" s="48" t="s">
        <v>17</v>
      </c>
      <c r="J170" s="48">
        <v>73314713</v>
      </c>
      <c r="K170" s="53" t="s">
        <v>1033</v>
      </c>
      <c r="L170" s="43" t="s">
        <v>1041</v>
      </c>
      <c r="M170" s="54">
        <v>199900</v>
      </c>
      <c r="N170" s="57">
        <v>0.9</v>
      </c>
      <c r="O170" s="36">
        <f t="shared" si="2"/>
        <v>19990</v>
      </c>
      <c r="P170" s="28" t="s">
        <v>0</v>
      </c>
    </row>
    <row r="171" spans="1:16" ht="15.6" x14ac:dyDescent="0.3">
      <c r="A171" s="25" t="s">
        <v>3214</v>
      </c>
      <c r="B171" s="26">
        <v>46108</v>
      </c>
      <c r="C171" s="26">
        <v>46113</v>
      </c>
      <c r="D171" s="25">
        <v>3319</v>
      </c>
      <c r="E171" s="25">
        <v>327</v>
      </c>
      <c r="F171" s="25">
        <v>2</v>
      </c>
      <c r="G171" s="48">
        <v>1</v>
      </c>
      <c r="H171" s="48">
        <v>81433</v>
      </c>
      <c r="I171" s="48" t="s">
        <v>17</v>
      </c>
      <c r="J171" s="48">
        <v>73314777</v>
      </c>
      <c r="K171" s="53" t="s">
        <v>1033</v>
      </c>
      <c r="L171" s="43" t="s">
        <v>1042</v>
      </c>
      <c r="M171" s="54">
        <v>199900</v>
      </c>
      <c r="N171" s="57">
        <v>0.9</v>
      </c>
      <c r="O171" s="36">
        <f t="shared" si="2"/>
        <v>19990</v>
      </c>
      <c r="P171" s="28" t="s">
        <v>0</v>
      </c>
    </row>
    <row r="172" spans="1:16" ht="15.6" x14ac:dyDescent="0.3">
      <c r="A172" s="25" t="s">
        <v>3214</v>
      </c>
      <c r="B172" s="26">
        <v>46108</v>
      </c>
      <c r="C172" s="26">
        <v>46113</v>
      </c>
      <c r="D172" s="25">
        <v>3319</v>
      </c>
      <c r="E172" s="25">
        <v>327</v>
      </c>
      <c r="F172" s="25">
        <v>2</v>
      </c>
      <c r="G172" s="48">
        <v>1</v>
      </c>
      <c r="H172" s="48">
        <v>81433</v>
      </c>
      <c r="I172" s="48" t="s">
        <v>17</v>
      </c>
      <c r="J172" s="48">
        <v>73314795</v>
      </c>
      <c r="K172" s="53" t="s">
        <v>1033</v>
      </c>
      <c r="L172" s="43" t="s">
        <v>1043</v>
      </c>
      <c r="M172" s="54">
        <v>199900</v>
      </c>
      <c r="N172" s="57">
        <v>0.9</v>
      </c>
      <c r="O172" s="36">
        <f t="shared" si="2"/>
        <v>19990</v>
      </c>
      <c r="P172" s="28" t="s">
        <v>0</v>
      </c>
    </row>
    <row r="173" spans="1:16" ht="15.6" x14ac:dyDescent="0.3">
      <c r="A173" s="25" t="s">
        <v>3214</v>
      </c>
      <c r="B173" s="26">
        <v>46108</v>
      </c>
      <c r="C173" s="26">
        <v>46113</v>
      </c>
      <c r="D173" s="25">
        <v>3319</v>
      </c>
      <c r="E173" s="25">
        <v>327</v>
      </c>
      <c r="F173" s="25">
        <v>2</v>
      </c>
      <c r="G173" s="48">
        <v>1</v>
      </c>
      <c r="H173" s="28">
        <v>81433</v>
      </c>
      <c r="I173" s="28" t="s">
        <v>17</v>
      </c>
      <c r="J173" s="28">
        <v>43275161</v>
      </c>
      <c r="K173" s="38" t="s">
        <v>1044</v>
      </c>
      <c r="L173" t="s">
        <v>1045</v>
      </c>
      <c r="M173" s="37">
        <v>329900</v>
      </c>
      <c r="N173" s="57">
        <v>0.9</v>
      </c>
      <c r="O173" s="36">
        <f t="shared" si="2"/>
        <v>32990</v>
      </c>
      <c r="P173" s="28" t="s">
        <v>0</v>
      </c>
    </row>
    <row r="174" spans="1:16" ht="15.6" x14ac:dyDescent="0.3">
      <c r="A174" s="25" t="s">
        <v>3214</v>
      </c>
      <c r="B174" s="26">
        <v>46108</v>
      </c>
      <c r="C174" s="26">
        <v>46113</v>
      </c>
      <c r="D174" s="25">
        <v>3319</v>
      </c>
      <c r="E174" s="25">
        <v>327</v>
      </c>
      <c r="F174" s="25">
        <v>2</v>
      </c>
      <c r="G174" s="48">
        <v>1</v>
      </c>
      <c r="H174" s="28">
        <v>81433</v>
      </c>
      <c r="I174" s="28" t="s">
        <v>17</v>
      </c>
      <c r="J174" s="28">
        <v>43275143</v>
      </c>
      <c r="K174" s="38" t="s">
        <v>1044</v>
      </c>
      <c r="L174" t="s">
        <v>1046</v>
      </c>
      <c r="M174" s="37">
        <v>329900</v>
      </c>
      <c r="N174" s="57">
        <v>0.9</v>
      </c>
      <c r="O174" s="36">
        <f t="shared" si="2"/>
        <v>32990</v>
      </c>
      <c r="P174" s="28" t="s">
        <v>0</v>
      </c>
    </row>
    <row r="175" spans="1:16" ht="15.6" x14ac:dyDescent="0.3">
      <c r="A175" s="25" t="s">
        <v>3214</v>
      </c>
      <c r="B175" s="26">
        <v>46108</v>
      </c>
      <c r="C175" s="26">
        <v>46113</v>
      </c>
      <c r="D175" s="25">
        <v>3319</v>
      </c>
      <c r="E175" s="25">
        <v>327</v>
      </c>
      <c r="F175" s="25">
        <v>2</v>
      </c>
      <c r="G175" s="48">
        <v>1</v>
      </c>
      <c r="H175" s="28">
        <v>81433</v>
      </c>
      <c r="I175" s="28" t="s">
        <v>17</v>
      </c>
      <c r="J175" s="28">
        <v>43275170</v>
      </c>
      <c r="K175" s="38" t="s">
        <v>1044</v>
      </c>
      <c r="L175" t="s">
        <v>1047</v>
      </c>
      <c r="M175" s="37">
        <v>329900</v>
      </c>
      <c r="N175" s="57">
        <v>0.9</v>
      </c>
      <c r="O175" s="36">
        <f t="shared" si="2"/>
        <v>32990</v>
      </c>
      <c r="P175" s="28" t="s">
        <v>0</v>
      </c>
    </row>
    <row r="176" spans="1:16" ht="15.6" x14ac:dyDescent="0.3">
      <c r="A176" s="25" t="s">
        <v>3214</v>
      </c>
      <c r="B176" s="26">
        <v>46108</v>
      </c>
      <c r="C176" s="26">
        <v>46113</v>
      </c>
      <c r="D176" s="25">
        <v>3319</v>
      </c>
      <c r="E176" s="25">
        <v>327</v>
      </c>
      <c r="F176" s="25">
        <v>2</v>
      </c>
      <c r="G176" s="48">
        <v>1</v>
      </c>
      <c r="H176" s="28">
        <v>81433</v>
      </c>
      <c r="I176" s="28" t="s">
        <v>17</v>
      </c>
      <c r="J176" s="28">
        <v>43275134</v>
      </c>
      <c r="K176" s="38" t="s">
        <v>1044</v>
      </c>
      <c r="L176" t="s">
        <v>1048</v>
      </c>
      <c r="M176" s="37">
        <v>329900</v>
      </c>
      <c r="N176" s="57">
        <v>0.9</v>
      </c>
      <c r="O176" s="36">
        <f t="shared" si="2"/>
        <v>32990</v>
      </c>
      <c r="P176" s="28" t="s">
        <v>0</v>
      </c>
    </row>
    <row r="177" spans="1:16" ht="15.6" x14ac:dyDescent="0.3">
      <c r="A177" s="25" t="s">
        <v>3214</v>
      </c>
      <c r="B177" s="26">
        <v>46108</v>
      </c>
      <c r="C177" s="26">
        <v>46113</v>
      </c>
      <c r="D177" s="25">
        <v>3319</v>
      </c>
      <c r="E177" s="25">
        <v>327</v>
      </c>
      <c r="F177" s="25">
        <v>2</v>
      </c>
      <c r="G177" s="48">
        <v>1</v>
      </c>
      <c r="H177" s="28">
        <v>81433</v>
      </c>
      <c r="I177" s="28" t="s">
        <v>17</v>
      </c>
      <c r="J177" s="28">
        <v>43275152</v>
      </c>
      <c r="K177" s="38" t="s">
        <v>1044</v>
      </c>
      <c r="L177" t="s">
        <v>1049</v>
      </c>
      <c r="M177" s="37">
        <v>329900</v>
      </c>
      <c r="N177" s="57">
        <v>0.9</v>
      </c>
      <c r="O177" s="36">
        <f t="shared" si="2"/>
        <v>32990</v>
      </c>
      <c r="P177" s="28" t="s">
        <v>0</v>
      </c>
    </row>
    <row r="178" spans="1:16" ht="15.6" x14ac:dyDescent="0.3">
      <c r="A178" s="25" t="s">
        <v>3214</v>
      </c>
      <c r="B178" s="26">
        <v>46108</v>
      </c>
      <c r="C178" s="26">
        <v>46113</v>
      </c>
      <c r="D178" s="25">
        <v>3319</v>
      </c>
      <c r="E178" s="25">
        <v>327</v>
      </c>
      <c r="F178" s="25">
        <v>2</v>
      </c>
      <c r="G178" s="48">
        <v>2</v>
      </c>
      <c r="H178" s="46">
        <v>81433</v>
      </c>
      <c r="I178" s="48" t="s">
        <v>17</v>
      </c>
      <c r="J178" s="46">
        <v>67292160</v>
      </c>
      <c r="K178" s="45" t="s">
        <v>1050</v>
      </c>
      <c r="L178" s="45" t="s">
        <v>1051</v>
      </c>
      <c r="M178" s="54">
        <v>329900</v>
      </c>
      <c r="N178" s="57">
        <v>0.9</v>
      </c>
      <c r="O178" s="36">
        <f t="shared" si="2"/>
        <v>32990</v>
      </c>
      <c r="P178" s="28" t="s">
        <v>0</v>
      </c>
    </row>
    <row r="179" spans="1:16" ht="15.6" x14ac:dyDescent="0.3">
      <c r="A179" s="25" t="s">
        <v>3214</v>
      </c>
      <c r="B179" s="26">
        <v>46108</v>
      </c>
      <c r="C179" s="26">
        <v>46113</v>
      </c>
      <c r="D179" s="25">
        <v>3319</v>
      </c>
      <c r="E179" s="25">
        <v>327</v>
      </c>
      <c r="F179" s="25">
        <v>2</v>
      </c>
      <c r="G179" s="48">
        <v>2</v>
      </c>
      <c r="H179" s="46">
        <v>81433</v>
      </c>
      <c r="I179" s="48" t="s">
        <v>17</v>
      </c>
      <c r="J179" s="46">
        <v>67292179</v>
      </c>
      <c r="K179" s="45" t="s">
        <v>1050</v>
      </c>
      <c r="L179" s="45" t="s">
        <v>1052</v>
      </c>
      <c r="M179" s="54">
        <v>329900</v>
      </c>
      <c r="N179" s="57">
        <v>0.9</v>
      </c>
      <c r="O179" s="36">
        <f t="shared" si="2"/>
        <v>32990</v>
      </c>
      <c r="P179" s="28" t="s">
        <v>0</v>
      </c>
    </row>
    <row r="180" spans="1:16" ht="15.6" x14ac:dyDescent="0.3">
      <c r="A180" s="25" t="s">
        <v>3214</v>
      </c>
      <c r="B180" s="26">
        <v>46108</v>
      </c>
      <c r="C180" s="26">
        <v>46113</v>
      </c>
      <c r="D180" s="25">
        <v>3319</v>
      </c>
      <c r="E180" s="25">
        <v>327</v>
      </c>
      <c r="F180" s="25">
        <v>2</v>
      </c>
      <c r="G180" s="48">
        <v>2</v>
      </c>
      <c r="H180" s="46">
        <v>81433</v>
      </c>
      <c r="I180" s="48" t="s">
        <v>17</v>
      </c>
      <c r="J180" s="46">
        <v>67292151</v>
      </c>
      <c r="K180" s="45" t="s">
        <v>1050</v>
      </c>
      <c r="L180" s="45" t="s">
        <v>1053</v>
      </c>
      <c r="M180" s="54">
        <v>329900</v>
      </c>
      <c r="N180" s="57">
        <v>0.9</v>
      </c>
      <c r="O180" s="36">
        <f t="shared" si="2"/>
        <v>32990</v>
      </c>
      <c r="P180" s="28" t="s">
        <v>0</v>
      </c>
    </row>
    <row r="181" spans="1:16" ht="15.6" x14ac:dyDescent="0.3">
      <c r="A181" s="25" t="s">
        <v>3214</v>
      </c>
      <c r="B181" s="26">
        <v>46108</v>
      </c>
      <c r="C181" s="26">
        <v>46113</v>
      </c>
      <c r="D181" s="25">
        <v>3319</v>
      </c>
      <c r="E181" s="25">
        <v>327</v>
      </c>
      <c r="F181" s="25">
        <v>2</v>
      </c>
      <c r="G181" s="48">
        <v>2</v>
      </c>
      <c r="H181" s="46">
        <v>81433</v>
      </c>
      <c r="I181" s="48" t="s">
        <v>17</v>
      </c>
      <c r="J181" s="46">
        <v>67292188</v>
      </c>
      <c r="K181" s="45" t="s">
        <v>1050</v>
      </c>
      <c r="L181" s="45" t="s">
        <v>1054</v>
      </c>
      <c r="M181" s="54">
        <v>329900</v>
      </c>
      <c r="N181" s="57">
        <v>0.9</v>
      </c>
      <c r="O181" s="36">
        <f t="shared" si="2"/>
        <v>32990</v>
      </c>
      <c r="P181" s="28" t="s">
        <v>0</v>
      </c>
    </row>
    <row r="182" spans="1:16" ht="15.6" x14ac:dyDescent="0.3">
      <c r="A182" s="25" t="s">
        <v>3214</v>
      </c>
      <c r="B182" s="26">
        <v>46108</v>
      </c>
      <c r="C182" s="26">
        <v>46113</v>
      </c>
      <c r="D182" s="25">
        <v>3319</v>
      </c>
      <c r="E182" s="25">
        <v>327</v>
      </c>
      <c r="F182" s="25">
        <v>2</v>
      </c>
      <c r="G182" s="48">
        <v>2</v>
      </c>
      <c r="H182" s="46">
        <v>81433</v>
      </c>
      <c r="I182" s="48" t="s">
        <v>17</v>
      </c>
      <c r="J182" s="46">
        <v>67292142</v>
      </c>
      <c r="K182" s="45" t="s">
        <v>1050</v>
      </c>
      <c r="L182" s="45" t="s">
        <v>1055</v>
      </c>
      <c r="M182" s="54">
        <v>329900</v>
      </c>
      <c r="N182" s="57">
        <v>0.9</v>
      </c>
      <c r="O182" s="36">
        <f t="shared" si="2"/>
        <v>32990</v>
      </c>
      <c r="P182" s="28" t="s">
        <v>0</v>
      </c>
    </row>
    <row r="183" spans="1:16" ht="15.6" x14ac:dyDescent="0.3">
      <c r="A183" s="25" t="s">
        <v>3214</v>
      </c>
      <c r="B183" s="26">
        <v>46108</v>
      </c>
      <c r="C183" s="26">
        <v>46113</v>
      </c>
      <c r="D183" s="25">
        <v>3319</v>
      </c>
      <c r="E183" s="25">
        <v>327</v>
      </c>
      <c r="F183" s="25">
        <v>2</v>
      </c>
      <c r="G183" s="48">
        <v>2</v>
      </c>
      <c r="H183" s="46">
        <v>81433</v>
      </c>
      <c r="I183" s="48" t="s">
        <v>17</v>
      </c>
      <c r="J183" s="46">
        <v>38451328</v>
      </c>
      <c r="K183" s="45" t="s">
        <v>1050</v>
      </c>
      <c r="L183" s="45" t="s">
        <v>1056</v>
      </c>
      <c r="M183" s="54">
        <v>329900</v>
      </c>
      <c r="N183" s="57">
        <v>0.9</v>
      </c>
      <c r="O183" s="36">
        <f t="shared" si="2"/>
        <v>32990</v>
      </c>
      <c r="P183" s="28" t="s">
        <v>0</v>
      </c>
    </row>
    <row r="184" spans="1:16" ht="15.6" x14ac:dyDescent="0.3">
      <c r="A184" s="25" t="s">
        <v>3214</v>
      </c>
      <c r="B184" s="26">
        <v>46108</v>
      </c>
      <c r="C184" s="26">
        <v>46113</v>
      </c>
      <c r="D184" s="25">
        <v>3319</v>
      </c>
      <c r="E184" s="25">
        <v>327</v>
      </c>
      <c r="F184" s="25">
        <v>2</v>
      </c>
      <c r="G184" s="48">
        <v>2</v>
      </c>
      <c r="H184" s="46">
        <v>81433</v>
      </c>
      <c r="I184" s="48" t="s">
        <v>17</v>
      </c>
      <c r="J184" s="46">
        <v>38451319</v>
      </c>
      <c r="K184" s="45" t="s">
        <v>1050</v>
      </c>
      <c r="L184" s="45" t="s">
        <v>1057</v>
      </c>
      <c r="M184" s="54">
        <v>329900</v>
      </c>
      <c r="N184" s="57">
        <v>0.9</v>
      </c>
      <c r="O184" s="36">
        <f t="shared" si="2"/>
        <v>32990</v>
      </c>
      <c r="P184" s="28" t="s">
        <v>0</v>
      </c>
    </row>
    <row r="185" spans="1:16" ht="15.6" x14ac:dyDescent="0.3">
      <c r="A185" s="25" t="s">
        <v>3214</v>
      </c>
      <c r="B185" s="26">
        <v>46108</v>
      </c>
      <c r="C185" s="26">
        <v>46113</v>
      </c>
      <c r="D185" s="25">
        <v>3319</v>
      </c>
      <c r="E185" s="25">
        <v>327</v>
      </c>
      <c r="F185" s="25">
        <v>2</v>
      </c>
      <c r="G185" s="48">
        <v>2</v>
      </c>
      <c r="H185" s="46">
        <v>81433</v>
      </c>
      <c r="I185" s="48" t="s">
        <v>17</v>
      </c>
      <c r="J185" s="46">
        <v>38451300</v>
      </c>
      <c r="K185" s="45" t="s">
        <v>1050</v>
      </c>
      <c r="L185" s="45" t="s">
        <v>1058</v>
      </c>
      <c r="M185" s="54">
        <v>329900</v>
      </c>
      <c r="N185" s="57">
        <v>0.9</v>
      </c>
      <c r="O185" s="36">
        <f t="shared" si="2"/>
        <v>32990</v>
      </c>
      <c r="P185" s="28" t="s">
        <v>0</v>
      </c>
    </row>
    <row r="186" spans="1:16" ht="15.6" x14ac:dyDescent="0.3">
      <c r="A186" s="25" t="s">
        <v>3214</v>
      </c>
      <c r="B186" s="26">
        <v>46108</v>
      </c>
      <c r="C186" s="26">
        <v>46113</v>
      </c>
      <c r="D186" s="25">
        <v>3319</v>
      </c>
      <c r="E186" s="25">
        <v>327</v>
      </c>
      <c r="F186" s="25">
        <v>2</v>
      </c>
      <c r="G186" s="48">
        <v>2</v>
      </c>
      <c r="H186" s="46">
        <v>81433</v>
      </c>
      <c r="I186" s="48" t="s">
        <v>17</v>
      </c>
      <c r="J186" s="46">
        <v>38451337</v>
      </c>
      <c r="K186" s="45" t="s">
        <v>1050</v>
      </c>
      <c r="L186" s="45" t="s">
        <v>1059</v>
      </c>
      <c r="M186" s="54">
        <v>329900</v>
      </c>
      <c r="N186" s="57">
        <v>0.9</v>
      </c>
      <c r="O186" s="36">
        <f t="shared" si="2"/>
        <v>32990</v>
      </c>
      <c r="P186" s="28" t="s">
        <v>0</v>
      </c>
    </row>
    <row r="187" spans="1:16" ht="15.6" x14ac:dyDescent="0.3">
      <c r="A187" s="25" t="s">
        <v>3214</v>
      </c>
      <c r="B187" s="26">
        <v>46108</v>
      </c>
      <c r="C187" s="26">
        <v>46113</v>
      </c>
      <c r="D187" s="25">
        <v>3319</v>
      </c>
      <c r="E187" s="25">
        <v>327</v>
      </c>
      <c r="F187" s="25">
        <v>2</v>
      </c>
      <c r="G187" s="48">
        <v>2</v>
      </c>
      <c r="H187" s="46">
        <v>81433</v>
      </c>
      <c r="I187" s="48" t="s">
        <v>17</v>
      </c>
      <c r="J187" s="46">
        <v>38451293</v>
      </c>
      <c r="K187" s="45" t="s">
        <v>1050</v>
      </c>
      <c r="L187" s="45" t="s">
        <v>1060</v>
      </c>
      <c r="M187" s="54">
        <v>329900</v>
      </c>
      <c r="N187" s="57">
        <v>0.9</v>
      </c>
      <c r="O187" s="36">
        <f t="shared" si="2"/>
        <v>32990</v>
      </c>
      <c r="P187" s="28" t="s">
        <v>0</v>
      </c>
    </row>
    <row r="188" spans="1:16" ht="15.6" x14ac:dyDescent="0.3">
      <c r="A188" s="25" t="s">
        <v>3214</v>
      </c>
      <c r="B188" s="26">
        <v>46108</v>
      </c>
      <c r="C188" s="26">
        <v>46113</v>
      </c>
      <c r="D188" s="25">
        <v>3319</v>
      </c>
      <c r="E188" s="25">
        <v>327</v>
      </c>
      <c r="F188" s="25">
        <v>2</v>
      </c>
      <c r="G188" s="28">
        <v>2</v>
      </c>
      <c r="H188" s="28">
        <v>70056</v>
      </c>
      <c r="I188" s="28" t="s">
        <v>17</v>
      </c>
      <c r="J188" s="28">
        <v>73616254</v>
      </c>
      <c r="K188" s="38" t="s">
        <v>1061</v>
      </c>
      <c r="L188" s="45" t="s">
        <v>1060</v>
      </c>
      <c r="M188" s="37">
        <v>359900</v>
      </c>
      <c r="N188" s="57">
        <v>0.9</v>
      </c>
      <c r="O188" s="36">
        <f t="shared" si="2"/>
        <v>35990</v>
      </c>
      <c r="P188" s="28" t="s">
        <v>0</v>
      </c>
    </row>
    <row r="189" spans="1:16" ht="15.6" x14ac:dyDescent="0.3">
      <c r="A189" s="25" t="s">
        <v>3214</v>
      </c>
      <c r="B189" s="26">
        <v>46108</v>
      </c>
      <c r="C189" s="26">
        <v>46113</v>
      </c>
      <c r="D189" s="25">
        <v>3319</v>
      </c>
      <c r="E189" s="25">
        <v>327</v>
      </c>
      <c r="F189" s="25">
        <v>2</v>
      </c>
      <c r="G189" s="28">
        <v>2</v>
      </c>
      <c r="H189" s="28">
        <v>70056</v>
      </c>
      <c r="I189" s="28" t="s">
        <v>17</v>
      </c>
      <c r="J189" s="28">
        <v>73616290</v>
      </c>
      <c r="K189" s="38" t="s">
        <v>1061</v>
      </c>
      <c r="L189" t="s">
        <v>1062</v>
      </c>
      <c r="M189" s="37">
        <v>359900</v>
      </c>
      <c r="N189" s="57">
        <v>0.9</v>
      </c>
      <c r="O189" s="36">
        <f t="shared" si="2"/>
        <v>35990</v>
      </c>
      <c r="P189" s="28" t="s">
        <v>0</v>
      </c>
    </row>
    <row r="190" spans="1:16" ht="15.6" x14ac:dyDescent="0.3">
      <c r="A190" s="25" t="s">
        <v>3214</v>
      </c>
      <c r="B190" s="26">
        <v>46108</v>
      </c>
      <c r="C190" s="26">
        <v>46113</v>
      </c>
      <c r="D190" s="25">
        <v>3319</v>
      </c>
      <c r="E190" s="25">
        <v>327</v>
      </c>
      <c r="F190" s="25">
        <v>2</v>
      </c>
      <c r="G190" s="28">
        <v>2</v>
      </c>
      <c r="H190" s="28">
        <v>70056</v>
      </c>
      <c r="I190" s="28" t="s">
        <v>17</v>
      </c>
      <c r="J190" s="28">
        <v>73616263</v>
      </c>
      <c r="K190" s="38" t="s">
        <v>1061</v>
      </c>
      <c r="L190" t="s">
        <v>1063</v>
      </c>
      <c r="M190" s="37">
        <v>359900</v>
      </c>
      <c r="N190" s="57">
        <v>0.9</v>
      </c>
      <c r="O190" s="36">
        <f t="shared" si="2"/>
        <v>35990</v>
      </c>
      <c r="P190" s="28" t="s">
        <v>0</v>
      </c>
    </row>
    <row r="191" spans="1:16" ht="15.6" x14ac:dyDescent="0.3">
      <c r="A191" s="25" t="s">
        <v>3214</v>
      </c>
      <c r="B191" s="26">
        <v>46108</v>
      </c>
      <c r="C191" s="26">
        <v>46113</v>
      </c>
      <c r="D191" s="25">
        <v>3319</v>
      </c>
      <c r="E191" s="25">
        <v>327</v>
      </c>
      <c r="F191" s="25">
        <v>2</v>
      </c>
      <c r="G191" s="28">
        <v>2</v>
      </c>
      <c r="H191" s="28">
        <v>70056</v>
      </c>
      <c r="I191" s="28" t="s">
        <v>17</v>
      </c>
      <c r="J191" s="28">
        <v>73616334</v>
      </c>
      <c r="K191" s="38" t="s">
        <v>1061</v>
      </c>
      <c r="L191" t="s">
        <v>1064</v>
      </c>
      <c r="M191" s="37">
        <v>359900</v>
      </c>
      <c r="N191" s="57">
        <v>0.9</v>
      </c>
      <c r="O191" s="36">
        <f t="shared" si="2"/>
        <v>35990</v>
      </c>
      <c r="P191" s="28" t="s">
        <v>0</v>
      </c>
    </row>
    <row r="192" spans="1:16" ht="15.6" x14ac:dyDescent="0.3">
      <c r="A192" s="25" t="s">
        <v>3214</v>
      </c>
      <c r="B192" s="26">
        <v>46108</v>
      </c>
      <c r="C192" s="26">
        <v>46113</v>
      </c>
      <c r="D192" s="25">
        <v>3319</v>
      </c>
      <c r="E192" s="25">
        <v>327</v>
      </c>
      <c r="F192" s="25">
        <v>2</v>
      </c>
      <c r="G192" s="28">
        <v>2</v>
      </c>
      <c r="H192" s="28">
        <v>70056</v>
      </c>
      <c r="I192" s="28" t="s">
        <v>17</v>
      </c>
      <c r="J192" s="28">
        <v>73616281</v>
      </c>
      <c r="K192" s="38" t="s">
        <v>1061</v>
      </c>
      <c r="L192" t="s">
        <v>1065</v>
      </c>
      <c r="M192" s="37">
        <v>359900</v>
      </c>
      <c r="N192" s="57">
        <v>0.9</v>
      </c>
      <c r="O192" s="36">
        <f t="shared" si="2"/>
        <v>35990</v>
      </c>
      <c r="P192" s="28" t="s">
        <v>0</v>
      </c>
    </row>
    <row r="193" spans="1:16" ht="15.6" x14ac:dyDescent="0.3">
      <c r="A193" s="25" t="s">
        <v>3214</v>
      </c>
      <c r="B193" s="26">
        <v>46108</v>
      </c>
      <c r="C193" s="26">
        <v>46113</v>
      </c>
      <c r="D193" s="25">
        <v>3319</v>
      </c>
      <c r="E193" s="25">
        <v>327</v>
      </c>
      <c r="F193" s="25">
        <v>2</v>
      </c>
      <c r="G193" s="28">
        <v>2</v>
      </c>
      <c r="H193" s="28">
        <v>70056</v>
      </c>
      <c r="I193" s="28" t="s">
        <v>17</v>
      </c>
      <c r="J193" s="28">
        <v>73616245</v>
      </c>
      <c r="K193" s="38" t="s">
        <v>1061</v>
      </c>
      <c r="L193" t="s">
        <v>1066</v>
      </c>
      <c r="M193" s="37">
        <v>359900</v>
      </c>
      <c r="N193" s="57">
        <v>0.9</v>
      </c>
      <c r="O193" s="36">
        <f t="shared" si="2"/>
        <v>35990</v>
      </c>
      <c r="P193" s="28" t="s">
        <v>0</v>
      </c>
    </row>
    <row r="194" spans="1:16" ht="15.6" x14ac:dyDescent="0.3">
      <c r="A194" s="25" t="s">
        <v>3214</v>
      </c>
      <c r="B194" s="26">
        <v>46108</v>
      </c>
      <c r="C194" s="26">
        <v>46113</v>
      </c>
      <c r="D194" s="25">
        <v>3319</v>
      </c>
      <c r="E194" s="25">
        <v>327</v>
      </c>
      <c r="F194" s="25">
        <v>2</v>
      </c>
      <c r="G194" s="28">
        <v>2</v>
      </c>
      <c r="H194" s="28">
        <v>70056</v>
      </c>
      <c r="I194" s="28" t="s">
        <v>17</v>
      </c>
      <c r="J194" s="28">
        <v>73616325</v>
      </c>
      <c r="K194" s="38" t="s">
        <v>1061</v>
      </c>
      <c r="L194" t="s">
        <v>1067</v>
      </c>
      <c r="M194" s="37">
        <v>359900</v>
      </c>
      <c r="N194" s="57">
        <v>0.9</v>
      </c>
      <c r="O194" s="36">
        <f t="shared" si="2"/>
        <v>35990</v>
      </c>
      <c r="P194" s="28" t="s">
        <v>0</v>
      </c>
    </row>
    <row r="195" spans="1:16" ht="15.6" x14ac:dyDescent="0.3">
      <c r="A195" s="25" t="s">
        <v>3214</v>
      </c>
      <c r="B195" s="26">
        <v>46108</v>
      </c>
      <c r="C195" s="26">
        <v>46113</v>
      </c>
      <c r="D195" s="25">
        <v>3319</v>
      </c>
      <c r="E195" s="25">
        <v>327</v>
      </c>
      <c r="F195" s="25">
        <v>2</v>
      </c>
      <c r="G195" s="28">
        <v>2</v>
      </c>
      <c r="H195" s="28">
        <v>70056</v>
      </c>
      <c r="I195" s="28" t="s">
        <v>17</v>
      </c>
      <c r="J195" s="28">
        <v>73616272</v>
      </c>
      <c r="K195" s="38" t="s">
        <v>1061</v>
      </c>
      <c r="L195" t="s">
        <v>1068</v>
      </c>
      <c r="M195" s="37">
        <v>359900</v>
      </c>
      <c r="N195" s="57">
        <v>0.9</v>
      </c>
      <c r="O195" s="36">
        <f t="shared" ref="O195:O258" si="3">M195*10%</f>
        <v>35990</v>
      </c>
      <c r="P195" s="28" t="s">
        <v>0</v>
      </c>
    </row>
    <row r="196" spans="1:16" ht="15.6" x14ac:dyDescent="0.3">
      <c r="A196" s="25" t="s">
        <v>3214</v>
      </c>
      <c r="B196" s="26">
        <v>46108</v>
      </c>
      <c r="C196" s="26">
        <v>46113</v>
      </c>
      <c r="D196" s="25">
        <v>3319</v>
      </c>
      <c r="E196" s="25">
        <v>327</v>
      </c>
      <c r="F196" s="25">
        <v>2</v>
      </c>
      <c r="G196" s="28">
        <v>2</v>
      </c>
      <c r="H196" s="28">
        <v>70056</v>
      </c>
      <c r="I196" s="28" t="s">
        <v>17</v>
      </c>
      <c r="J196" s="28">
        <v>73616316</v>
      </c>
      <c r="K196" s="38" t="s">
        <v>1061</v>
      </c>
      <c r="L196" t="s">
        <v>1069</v>
      </c>
      <c r="M196" s="37">
        <v>359900</v>
      </c>
      <c r="N196" s="57">
        <v>0.9</v>
      </c>
      <c r="O196" s="36">
        <f t="shared" si="3"/>
        <v>35990</v>
      </c>
      <c r="P196" s="28" t="s">
        <v>0</v>
      </c>
    </row>
    <row r="197" spans="1:16" ht="15.6" x14ac:dyDescent="0.3">
      <c r="A197" s="25" t="s">
        <v>3214</v>
      </c>
      <c r="B197" s="26">
        <v>46108</v>
      </c>
      <c r="C197" s="26">
        <v>46113</v>
      </c>
      <c r="D197" s="25">
        <v>3319</v>
      </c>
      <c r="E197" s="25">
        <v>327</v>
      </c>
      <c r="F197" s="25">
        <v>2</v>
      </c>
      <c r="G197" s="28">
        <v>2</v>
      </c>
      <c r="H197" s="28">
        <v>70056</v>
      </c>
      <c r="I197" s="28" t="s">
        <v>17</v>
      </c>
      <c r="J197" s="28">
        <v>73616307</v>
      </c>
      <c r="K197" s="38" t="s">
        <v>1061</v>
      </c>
      <c r="L197" t="s">
        <v>1070</v>
      </c>
      <c r="M197" s="37">
        <v>359900</v>
      </c>
      <c r="N197" s="57">
        <v>0.9</v>
      </c>
      <c r="O197" s="36">
        <f t="shared" si="3"/>
        <v>35990</v>
      </c>
      <c r="P197" s="28" t="s">
        <v>0</v>
      </c>
    </row>
    <row r="198" spans="1:16" ht="15.6" x14ac:dyDescent="0.3">
      <c r="A198" s="25" t="s">
        <v>3214</v>
      </c>
      <c r="B198" s="26">
        <v>46108</v>
      </c>
      <c r="C198" s="26">
        <v>46113</v>
      </c>
      <c r="D198" s="25">
        <v>3319</v>
      </c>
      <c r="E198" s="25">
        <v>327</v>
      </c>
      <c r="F198" s="25">
        <v>2</v>
      </c>
      <c r="G198" s="28">
        <v>1</v>
      </c>
      <c r="H198" s="28">
        <v>81433</v>
      </c>
      <c r="I198" s="28" t="s">
        <v>17</v>
      </c>
      <c r="J198" s="28">
        <v>73616521</v>
      </c>
      <c r="K198" s="38" t="s">
        <v>1071</v>
      </c>
      <c r="L198" t="s">
        <v>1072</v>
      </c>
      <c r="M198" s="37">
        <v>219900</v>
      </c>
      <c r="N198" s="57">
        <v>0.9</v>
      </c>
      <c r="O198" s="36">
        <f t="shared" si="3"/>
        <v>21990</v>
      </c>
      <c r="P198" s="28" t="s">
        <v>0</v>
      </c>
    </row>
    <row r="199" spans="1:16" ht="15.6" x14ac:dyDescent="0.3">
      <c r="A199" s="25" t="s">
        <v>3214</v>
      </c>
      <c r="B199" s="26">
        <v>46108</v>
      </c>
      <c r="C199" s="26">
        <v>46113</v>
      </c>
      <c r="D199" s="25">
        <v>3319</v>
      </c>
      <c r="E199" s="25">
        <v>327</v>
      </c>
      <c r="F199" s="25">
        <v>2</v>
      </c>
      <c r="G199" s="28">
        <v>1</v>
      </c>
      <c r="H199" s="28">
        <v>81433</v>
      </c>
      <c r="I199" s="28" t="s">
        <v>17</v>
      </c>
      <c r="J199" s="28">
        <v>73616576</v>
      </c>
      <c r="K199" s="38" t="s">
        <v>1071</v>
      </c>
      <c r="L199" t="s">
        <v>1073</v>
      </c>
      <c r="M199" s="37">
        <v>219900</v>
      </c>
      <c r="N199" s="57">
        <v>0.9</v>
      </c>
      <c r="O199" s="36">
        <f t="shared" si="3"/>
        <v>21990</v>
      </c>
      <c r="P199" s="28" t="s">
        <v>0</v>
      </c>
    </row>
    <row r="200" spans="1:16" ht="15.6" x14ac:dyDescent="0.3">
      <c r="A200" s="25" t="s">
        <v>3214</v>
      </c>
      <c r="B200" s="26">
        <v>46108</v>
      </c>
      <c r="C200" s="26">
        <v>46113</v>
      </c>
      <c r="D200" s="25">
        <v>3319</v>
      </c>
      <c r="E200" s="25">
        <v>327</v>
      </c>
      <c r="F200" s="25">
        <v>2</v>
      </c>
      <c r="G200" s="28">
        <v>1</v>
      </c>
      <c r="H200" s="28">
        <v>81433</v>
      </c>
      <c r="I200" s="28" t="s">
        <v>17</v>
      </c>
      <c r="J200" s="28">
        <v>73616558</v>
      </c>
      <c r="K200" s="38" t="s">
        <v>1071</v>
      </c>
      <c r="L200" t="s">
        <v>1074</v>
      </c>
      <c r="M200" s="37">
        <v>219900</v>
      </c>
      <c r="N200" s="57">
        <v>0.9</v>
      </c>
      <c r="O200" s="36">
        <f t="shared" si="3"/>
        <v>21990</v>
      </c>
      <c r="P200" s="28" t="s">
        <v>0</v>
      </c>
    </row>
    <row r="201" spans="1:16" ht="15.6" x14ac:dyDescent="0.3">
      <c r="A201" s="25" t="s">
        <v>3214</v>
      </c>
      <c r="B201" s="26">
        <v>46108</v>
      </c>
      <c r="C201" s="26">
        <v>46113</v>
      </c>
      <c r="D201" s="25">
        <v>3319</v>
      </c>
      <c r="E201" s="25">
        <v>327</v>
      </c>
      <c r="F201" s="25">
        <v>2</v>
      </c>
      <c r="G201" s="28">
        <v>1</v>
      </c>
      <c r="H201" s="28">
        <v>81433</v>
      </c>
      <c r="I201" s="28" t="s">
        <v>17</v>
      </c>
      <c r="J201" s="28">
        <v>73616594</v>
      </c>
      <c r="K201" s="38" t="s">
        <v>1071</v>
      </c>
      <c r="L201" t="s">
        <v>1075</v>
      </c>
      <c r="M201" s="37">
        <v>219900</v>
      </c>
      <c r="N201" s="57">
        <v>0.9</v>
      </c>
      <c r="O201" s="36">
        <f t="shared" si="3"/>
        <v>21990</v>
      </c>
      <c r="P201" s="28" t="s">
        <v>0</v>
      </c>
    </row>
    <row r="202" spans="1:16" ht="15.6" x14ac:dyDescent="0.3">
      <c r="A202" s="25" t="s">
        <v>3214</v>
      </c>
      <c r="B202" s="26">
        <v>46108</v>
      </c>
      <c r="C202" s="26">
        <v>46113</v>
      </c>
      <c r="D202" s="25">
        <v>3319</v>
      </c>
      <c r="E202" s="25">
        <v>327</v>
      </c>
      <c r="F202" s="25">
        <v>2</v>
      </c>
      <c r="G202" s="28">
        <v>1</v>
      </c>
      <c r="H202" s="28">
        <v>81433</v>
      </c>
      <c r="I202" s="28" t="s">
        <v>17</v>
      </c>
      <c r="J202" s="28">
        <v>73616567</v>
      </c>
      <c r="K202" s="38" t="s">
        <v>1071</v>
      </c>
      <c r="L202" t="s">
        <v>1076</v>
      </c>
      <c r="M202" s="37">
        <v>219900</v>
      </c>
      <c r="N202" s="57">
        <v>0.9</v>
      </c>
      <c r="O202" s="36">
        <f t="shared" si="3"/>
        <v>21990</v>
      </c>
      <c r="P202" s="28" t="s">
        <v>0</v>
      </c>
    </row>
    <row r="203" spans="1:16" ht="15.6" x14ac:dyDescent="0.3">
      <c r="A203" s="25" t="s">
        <v>3214</v>
      </c>
      <c r="B203" s="26">
        <v>46108</v>
      </c>
      <c r="C203" s="26">
        <v>46113</v>
      </c>
      <c r="D203" s="25">
        <v>3319</v>
      </c>
      <c r="E203" s="25">
        <v>327</v>
      </c>
      <c r="F203" s="25">
        <v>2</v>
      </c>
      <c r="G203" s="28">
        <v>1</v>
      </c>
      <c r="H203" s="28">
        <v>81433</v>
      </c>
      <c r="I203" s="28" t="s">
        <v>17</v>
      </c>
      <c r="J203" s="28">
        <v>73616530</v>
      </c>
      <c r="K203" s="38" t="s">
        <v>1071</v>
      </c>
      <c r="L203" t="s">
        <v>1077</v>
      </c>
      <c r="M203" s="37">
        <v>219900</v>
      </c>
      <c r="N203" s="57">
        <v>0.9</v>
      </c>
      <c r="O203" s="36">
        <f t="shared" si="3"/>
        <v>21990</v>
      </c>
      <c r="P203" s="28" t="s">
        <v>0</v>
      </c>
    </row>
    <row r="204" spans="1:16" ht="15.6" x14ac:dyDescent="0.3">
      <c r="A204" s="25" t="s">
        <v>3214</v>
      </c>
      <c r="B204" s="26">
        <v>46108</v>
      </c>
      <c r="C204" s="26">
        <v>46113</v>
      </c>
      <c r="D204" s="25">
        <v>3319</v>
      </c>
      <c r="E204" s="25">
        <v>327</v>
      </c>
      <c r="F204" s="25">
        <v>2</v>
      </c>
      <c r="G204" s="28">
        <v>1</v>
      </c>
      <c r="H204" s="28">
        <v>81433</v>
      </c>
      <c r="I204" s="28" t="s">
        <v>17</v>
      </c>
      <c r="J204" s="28">
        <v>73616512</v>
      </c>
      <c r="K204" s="38" t="s">
        <v>1071</v>
      </c>
      <c r="L204" t="s">
        <v>1078</v>
      </c>
      <c r="M204" s="37">
        <v>219900</v>
      </c>
      <c r="N204" s="57">
        <v>0.9</v>
      </c>
      <c r="O204" s="36">
        <f t="shared" si="3"/>
        <v>21990</v>
      </c>
      <c r="P204" s="28" t="s">
        <v>0</v>
      </c>
    </row>
    <row r="205" spans="1:16" ht="15.6" x14ac:dyDescent="0.3">
      <c r="A205" s="25" t="s">
        <v>3214</v>
      </c>
      <c r="B205" s="26">
        <v>46108</v>
      </c>
      <c r="C205" s="26">
        <v>46113</v>
      </c>
      <c r="D205" s="25">
        <v>3319</v>
      </c>
      <c r="E205" s="25">
        <v>327</v>
      </c>
      <c r="F205" s="25">
        <v>2</v>
      </c>
      <c r="G205" s="28">
        <v>1</v>
      </c>
      <c r="H205" s="28">
        <v>81433</v>
      </c>
      <c r="I205" s="28" t="s">
        <v>17</v>
      </c>
      <c r="J205" s="28">
        <v>73616601</v>
      </c>
      <c r="K205" s="38" t="s">
        <v>1071</v>
      </c>
      <c r="L205" t="s">
        <v>1079</v>
      </c>
      <c r="M205" s="37">
        <v>219900</v>
      </c>
      <c r="N205" s="57">
        <v>0.9</v>
      </c>
      <c r="O205" s="36">
        <f t="shared" si="3"/>
        <v>21990</v>
      </c>
      <c r="P205" s="28" t="s">
        <v>0</v>
      </c>
    </row>
    <row r="206" spans="1:16" ht="15.6" x14ac:dyDescent="0.3">
      <c r="A206" s="25" t="s">
        <v>3214</v>
      </c>
      <c r="B206" s="26">
        <v>46108</v>
      </c>
      <c r="C206" s="26">
        <v>46113</v>
      </c>
      <c r="D206" s="25">
        <v>3319</v>
      </c>
      <c r="E206" s="25">
        <v>327</v>
      </c>
      <c r="F206" s="25">
        <v>2</v>
      </c>
      <c r="G206" s="28">
        <v>1</v>
      </c>
      <c r="H206" s="28">
        <v>81433</v>
      </c>
      <c r="I206" s="28" t="s">
        <v>17</v>
      </c>
      <c r="J206" s="28">
        <v>73616549</v>
      </c>
      <c r="K206" s="38" t="s">
        <v>1071</v>
      </c>
      <c r="L206" t="s">
        <v>1080</v>
      </c>
      <c r="M206" s="37">
        <v>219900</v>
      </c>
      <c r="N206" s="57">
        <v>0.9</v>
      </c>
      <c r="O206" s="36">
        <f t="shared" si="3"/>
        <v>21990</v>
      </c>
      <c r="P206" s="28" t="s">
        <v>0</v>
      </c>
    </row>
    <row r="207" spans="1:16" ht="15.6" x14ac:dyDescent="0.3">
      <c r="A207" s="25" t="s">
        <v>3214</v>
      </c>
      <c r="B207" s="26">
        <v>46108</v>
      </c>
      <c r="C207" s="26">
        <v>46113</v>
      </c>
      <c r="D207" s="25">
        <v>3319</v>
      </c>
      <c r="E207" s="25">
        <v>327</v>
      </c>
      <c r="F207" s="25">
        <v>2</v>
      </c>
      <c r="G207" s="28">
        <v>1</v>
      </c>
      <c r="H207" s="28">
        <v>81433</v>
      </c>
      <c r="I207" s="28" t="s">
        <v>17</v>
      </c>
      <c r="J207" s="28">
        <v>73616585</v>
      </c>
      <c r="K207" s="38" t="s">
        <v>1071</v>
      </c>
      <c r="L207" t="s">
        <v>1081</v>
      </c>
      <c r="M207" s="37">
        <v>219900</v>
      </c>
      <c r="N207" s="57">
        <v>0.9</v>
      </c>
      <c r="O207" s="36">
        <f t="shared" si="3"/>
        <v>21990</v>
      </c>
      <c r="P207" s="28" t="s">
        <v>0</v>
      </c>
    </row>
    <row r="208" spans="1:16" ht="15.6" x14ac:dyDescent="0.3">
      <c r="A208" s="25" t="s">
        <v>3214</v>
      </c>
      <c r="B208" s="26">
        <v>46108</v>
      </c>
      <c r="C208" s="26">
        <v>46113</v>
      </c>
      <c r="D208" s="25">
        <v>3319</v>
      </c>
      <c r="E208" s="25">
        <v>327</v>
      </c>
      <c r="F208" s="25">
        <v>2</v>
      </c>
      <c r="G208" s="28">
        <v>1</v>
      </c>
      <c r="H208" s="28">
        <v>81433</v>
      </c>
      <c r="I208" s="28" t="s">
        <v>17</v>
      </c>
      <c r="J208" s="28">
        <v>58917663</v>
      </c>
      <c r="K208" s="38" t="s">
        <v>1082</v>
      </c>
      <c r="L208" t="s">
        <v>1083</v>
      </c>
      <c r="M208" s="37">
        <v>239900</v>
      </c>
      <c r="N208" s="57">
        <v>0.9</v>
      </c>
      <c r="O208" s="36">
        <f t="shared" si="3"/>
        <v>23990</v>
      </c>
      <c r="P208" s="28" t="s">
        <v>0</v>
      </c>
    </row>
    <row r="209" spans="1:16" ht="15.6" x14ac:dyDescent="0.3">
      <c r="A209" s="25" t="s">
        <v>3214</v>
      </c>
      <c r="B209" s="26">
        <v>46108</v>
      </c>
      <c r="C209" s="26">
        <v>46113</v>
      </c>
      <c r="D209" s="25">
        <v>3319</v>
      </c>
      <c r="E209" s="25">
        <v>327</v>
      </c>
      <c r="F209" s="25">
        <v>2</v>
      </c>
      <c r="G209" s="28">
        <v>1</v>
      </c>
      <c r="H209" s="28">
        <v>81433</v>
      </c>
      <c r="I209" s="28" t="s">
        <v>17</v>
      </c>
      <c r="J209" s="28">
        <v>58917681</v>
      </c>
      <c r="K209" s="38" t="s">
        <v>1082</v>
      </c>
      <c r="L209" t="s">
        <v>1084</v>
      </c>
      <c r="M209" s="37">
        <v>239900</v>
      </c>
      <c r="N209" s="57">
        <v>0.9</v>
      </c>
      <c r="O209" s="36">
        <f t="shared" si="3"/>
        <v>23990</v>
      </c>
      <c r="P209" s="28" t="s">
        <v>0</v>
      </c>
    </row>
    <row r="210" spans="1:16" ht="15.6" x14ac:dyDescent="0.3">
      <c r="A210" s="25" t="s">
        <v>3214</v>
      </c>
      <c r="B210" s="26">
        <v>46108</v>
      </c>
      <c r="C210" s="26">
        <v>46113</v>
      </c>
      <c r="D210" s="25">
        <v>3319</v>
      </c>
      <c r="E210" s="25">
        <v>327</v>
      </c>
      <c r="F210" s="25">
        <v>2</v>
      </c>
      <c r="G210" s="28">
        <v>1</v>
      </c>
      <c r="H210" s="28">
        <v>81433</v>
      </c>
      <c r="I210" s="28" t="s">
        <v>17</v>
      </c>
      <c r="J210" s="28">
        <v>58917690</v>
      </c>
      <c r="K210" s="38" t="s">
        <v>1082</v>
      </c>
      <c r="L210" t="s">
        <v>1085</v>
      </c>
      <c r="M210" s="37">
        <v>239900</v>
      </c>
      <c r="N210" s="57">
        <v>0.9</v>
      </c>
      <c r="O210" s="36">
        <f t="shared" si="3"/>
        <v>23990</v>
      </c>
      <c r="P210" s="28" t="s">
        <v>0</v>
      </c>
    </row>
    <row r="211" spans="1:16" ht="15.6" x14ac:dyDescent="0.3">
      <c r="A211" s="25" t="s">
        <v>3214</v>
      </c>
      <c r="B211" s="26">
        <v>46108</v>
      </c>
      <c r="C211" s="26">
        <v>46113</v>
      </c>
      <c r="D211" s="25">
        <v>3319</v>
      </c>
      <c r="E211" s="25">
        <v>327</v>
      </c>
      <c r="F211" s="25">
        <v>2</v>
      </c>
      <c r="G211" s="28">
        <v>1</v>
      </c>
      <c r="H211" s="28">
        <v>81433</v>
      </c>
      <c r="I211" s="28" t="s">
        <v>17</v>
      </c>
      <c r="J211" s="28">
        <v>58917716</v>
      </c>
      <c r="K211" s="38" t="s">
        <v>1082</v>
      </c>
      <c r="L211" t="s">
        <v>1086</v>
      </c>
      <c r="M211" s="37">
        <v>239900</v>
      </c>
      <c r="N211" s="57">
        <v>0.9</v>
      </c>
      <c r="O211" s="36">
        <f t="shared" si="3"/>
        <v>23990</v>
      </c>
      <c r="P211" s="28" t="s">
        <v>0</v>
      </c>
    </row>
    <row r="212" spans="1:16" ht="15.6" x14ac:dyDescent="0.3">
      <c r="A212" s="25" t="s">
        <v>3214</v>
      </c>
      <c r="B212" s="26">
        <v>46108</v>
      </c>
      <c r="C212" s="26">
        <v>46113</v>
      </c>
      <c r="D212" s="25">
        <v>3319</v>
      </c>
      <c r="E212" s="25">
        <v>327</v>
      </c>
      <c r="F212" s="25">
        <v>2</v>
      </c>
      <c r="G212" s="28">
        <v>1</v>
      </c>
      <c r="H212" s="28">
        <v>81433</v>
      </c>
      <c r="I212" s="28" t="s">
        <v>17</v>
      </c>
      <c r="J212" s="28">
        <v>58917707</v>
      </c>
      <c r="K212" s="38" t="s">
        <v>1082</v>
      </c>
      <c r="L212" t="s">
        <v>1087</v>
      </c>
      <c r="M212" s="37">
        <v>239900</v>
      </c>
      <c r="N212" s="57">
        <v>0.9</v>
      </c>
      <c r="O212" s="36">
        <f t="shared" si="3"/>
        <v>23990</v>
      </c>
      <c r="P212" s="28" t="s">
        <v>0</v>
      </c>
    </row>
    <row r="213" spans="1:16" ht="15.6" x14ac:dyDescent="0.3">
      <c r="A213" s="25" t="s">
        <v>3214</v>
      </c>
      <c r="B213" s="26">
        <v>46108</v>
      </c>
      <c r="C213" s="26">
        <v>46113</v>
      </c>
      <c r="D213" s="25">
        <v>3319</v>
      </c>
      <c r="E213" s="25">
        <v>327</v>
      </c>
      <c r="F213" s="25">
        <v>2</v>
      </c>
      <c r="G213" s="28">
        <v>1</v>
      </c>
      <c r="H213" s="28">
        <v>81433</v>
      </c>
      <c r="I213" s="28" t="s">
        <v>17</v>
      </c>
      <c r="J213" s="28">
        <v>58917672</v>
      </c>
      <c r="K213" s="38" t="s">
        <v>1082</v>
      </c>
      <c r="L213" t="s">
        <v>1088</v>
      </c>
      <c r="M213" s="37">
        <v>239900</v>
      </c>
      <c r="N213" s="57">
        <v>0.9</v>
      </c>
      <c r="O213" s="36">
        <f t="shared" si="3"/>
        <v>23990</v>
      </c>
      <c r="P213" s="28" t="s">
        <v>0</v>
      </c>
    </row>
    <row r="214" spans="1:16" ht="15.6" x14ac:dyDescent="0.3">
      <c r="A214" s="25" t="s">
        <v>3214</v>
      </c>
      <c r="B214" s="26">
        <v>46108</v>
      </c>
      <c r="C214" s="26">
        <v>46113</v>
      </c>
      <c r="D214" s="25">
        <v>3319</v>
      </c>
      <c r="E214" s="25">
        <v>327</v>
      </c>
      <c r="F214" s="25">
        <v>2</v>
      </c>
      <c r="G214" s="28">
        <v>1</v>
      </c>
      <c r="H214" s="28">
        <v>81433</v>
      </c>
      <c r="I214" s="28" t="s">
        <v>17</v>
      </c>
      <c r="J214" s="28">
        <v>58917636</v>
      </c>
      <c r="K214" s="38" t="s">
        <v>1082</v>
      </c>
      <c r="L214" t="s">
        <v>1089</v>
      </c>
      <c r="M214" s="37">
        <v>239900</v>
      </c>
      <c r="N214" s="57">
        <v>0.9</v>
      </c>
      <c r="O214" s="36">
        <f t="shared" si="3"/>
        <v>23990</v>
      </c>
      <c r="P214" s="28" t="s">
        <v>0</v>
      </c>
    </row>
    <row r="215" spans="1:16" ht="15.6" x14ac:dyDescent="0.3">
      <c r="A215" s="25" t="s">
        <v>3214</v>
      </c>
      <c r="B215" s="26">
        <v>46108</v>
      </c>
      <c r="C215" s="26">
        <v>46113</v>
      </c>
      <c r="D215" s="25">
        <v>3319</v>
      </c>
      <c r="E215" s="25">
        <v>327</v>
      </c>
      <c r="F215" s="25">
        <v>2</v>
      </c>
      <c r="G215" s="28">
        <v>1</v>
      </c>
      <c r="H215" s="28">
        <v>81433</v>
      </c>
      <c r="I215" s="28" t="s">
        <v>17</v>
      </c>
      <c r="J215" s="28">
        <v>58917654</v>
      </c>
      <c r="K215" s="38" t="s">
        <v>1082</v>
      </c>
      <c r="L215" t="s">
        <v>1090</v>
      </c>
      <c r="M215" s="37">
        <v>239900</v>
      </c>
      <c r="N215" s="57">
        <v>0.9</v>
      </c>
      <c r="O215" s="36">
        <f t="shared" si="3"/>
        <v>23990</v>
      </c>
      <c r="P215" s="28" t="s">
        <v>0</v>
      </c>
    </row>
    <row r="216" spans="1:16" ht="15.6" x14ac:dyDescent="0.3">
      <c r="A216" s="25" t="s">
        <v>3214</v>
      </c>
      <c r="B216" s="26">
        <v>46108</v>
      </c>
      <c r="C216" s="26">
        <v>46113</v>
      </c>
      <c r="D216" s="25">
        <v>3319</v>
      </c>
      <c r="E216" s="25">
        <v>327</v>
      </c>
      <c r="F216" s="25">
        <v>2</v>
      </c>
      <c r="G216" s="28">
        <v>1</v>
      </c>
      <c r="H216" s="28">
        <v>81433</v>
      </c>
      <c r="I216" s="28" t="s">
        <v>17</v>
      </c>
      <c r="J216" s="28">
        <v>58917725</v>
      </c>
      <c r="K216" s="38" t="s">
        <v>1082</v>
      </c>
      <c r="L216" t="s">
        <v>1091</v>
      </c>
      <c r="M216" s="37">
        <v>239900</v>
      </c>
      <c r="N216" s="57">
        <v>0.9</v>
      </c>
      <c r="O216" s="36">
        <f t="shared" si="3"/>
        <v>23990</v>
      </c>
      <c r="P216" s="28" t="s">
        <v>0</v>
      </c>
    </row>
    <row r="217" spans="1:16" ht="15.6" x14ac:dyDescent="0.3">
      <c r="A217" s="25" t="s">
        <v>3214</v>
      </c>
      <c r="B217" s="26">
        <v>46108</v>
      </c>
      <c r="C217" s="26">
        <v>46113</v>
      </c>
      <c r="D217" s="25">
        <v>3319</v>
      </c>
      <c r="E217" s="25">
        <v>327</v>
      </c>
      <c r="F217" s="25">
        <v>2</v>
      </c>
      <c r="G217" s="28">
        <v>1</v>
      </c>
      <c r="H217" s="28">
        <v>81433</v>
      </c>
      <c r="I217" s="28" t="s">
        <v>17</v>
      </c>
      <c r="J217" s="28">
        <v>58917645</v>
      </c>
      <c r="K217" s="38" t="s">
        <v>1082</v>
      </c>
      <c r="L217" t="s">
        <v>1092</v>
      </c>
      <c r="M217" s="37">
        <v>239900</v>
      </c>
      <c r="N217" s="57">
        <v>0.9</v>
      </c>
      <c r="O217" s="36">
        <f t="shared" si="3"/>
        <v>23990</v>
      </c>
      <c r="P217" s="28" t="s">
        <v>0</v>
      </c>
    </row>
    <row r="218" spans="1:16" ht="15.6" x14ac:dyDescent="0.3">
      <c r="A218" s="25" t="s">
        <v>3214</v>
      </c>
      <c r="B218" s="26">
        <v>46108</v>
      </c>
      <c r="C218" s="26">
        <v>46113</v>
      </c>
      <c r="D218" s="25">
        <v>3319</v>
      </c>
      <c r="E218" s="25">
        <v>327</v>
      </c>
      <c r="F218" s="25">
        <v>2</v>
      </c>
      <c r="G218" s="28">
        <v>1</v>
      </c>
      <c r="H218" s="28">
        <v>81433</v>
      </c>
      <c r="I218" s="28" t="s">
        <v>17</v>
      </c>
      <c r="J218" s="28">
        <v>66162409</v>
      </c>
      <c r="K218" s="38" t="s">
        <v>1093</v>
      </c>
      <c r="L218" t="s">
        <v>1094</v>
      </c>
      <c r="M218" s="37">
        <v>259900</v>
      </c>
      <c r="N218" s="57">
        <v>0.9</v>
      </c>
      <c r="O218" s="36">
        <f t="shared" si="3"/>
        <v>25990</v>
      </c>
      <c r="P218" s="28" t="s">
        <v>0</v>
      </c>
    </row>
    <row r="219" spans="1:16" ht="15.6" x14ac:dyDescent="0.3">
      <c r="A219" s="25" t="s">
        <v>3214</v>
      </c>
      <c r="B219" s="26">
        <v>46108</v>
      </c>
      <c r="C219" s="26">
        <v>46113</v>
      </c>
      <c r="D219" s="25">
        <v>3319</v>
      </c>
      <c r="E219" s="25">
        <v>327</v>
      </c>
      <c r="F219" s="25">
        <v>2</v>
      </c>
      <c r="G219" s="28">
        <v>1</v>
      </c>
      <c r="H219" s="28">
        <v>81433</v>
      </c>
      <c r="I219" s="28" t="s">
        <v>17</v>
      </c>
      <c r="J219" s="28">
        <v>66162418</v>
      </c>
      <c r="K219" s="38" t="s">
        <v>1093</v>
      </c>
      <c r="L219" t="s">
        <v>1095</v>
      </c>
      <c r="M219" s="37">
        <v>259900</v>
      </c>
      <c r="N219" s="57">
        <v>0.9</v>
      </c>
      <c r="O219" s="36">
        <f t="shared" si="3"/>
        <v>25990</v>
      </c>
      <c r="P219" s="28" t="s">
        <v>0</v>
      </c>
    </row>
    <row r="220" spans="1:16" ht="15.6" x14ac:dyDescent="0.3">
      <c r="A220" s="25" t="s">
        <v>3214</v>
      </c>
      <c r="B220" s="26">
        <v>46108</v>
      </c>
      <c r="C220" s="26">
        <v>46113</v>
      </c>
      <c r="D220" s="25">
        <v>3319</v>
      </c>
      <c r="E220" s="25">
        <v>327</v>
      </c>
      <c r="F220" s="25">
        <v>2</v>
      </c>
      <c r="G220" s="28">
        <v>1</v>
      </c>
      <c r="H220" s="28">
        <v>81433</v>
      </c>
      <c r="I220" s="28" t="s">
        <v>17</v>
      </c>
      <c r="J220" s="28">
        <v>66162436</v>
      </c>
      <c r="K220" s="38" t="s">
        <v>1093</v>
      </c>
      <c r="L220" t="s">
        <v>1096</v>
      </c>
      <c r="M220" s="37">
        <v>259900</v>
      </c>
      <c r="N220" s="57">
        <v>0.9</v>
      </c>
      <c r="O220" s="36">
        <f t="shared" si="3"/>
        <v>25990</v>
      </c>
      <c r="P220" s="28" t="s">
        <v>0</v>
      </c>
    </row>
    <row r="221" spans="1:16" ht="15.6" x14ac:dyDescent="0.3">
      <c r="A221" s="25" t="s">
        <v>3214</v>
      </c>
      <c r="B221" s="26">
        <v>46108</v>
      </c>
      <c r="C221" s="26">
        <v>46113</v>
      </c>
      <c r="D221" s="25">
        <v>3319</v>
      </c>
      <c r="E221" s="25">
        <v>327</v>
      </c>
      <c r="F221" s="25">
        <v>2</v>
      </c>
      <c r="G221" s="28">
        <v>1</v>
      </c>
      <c r="H221" s="28">
        <v>81433</v>
      </c>
      <c r="I221" s="28" t="s">
        <v>17</v>
      </c>
      <c r="J221" s="28">
        <v>66162454</v>
      </c>
      <c r="K221" s="38" t="s">
        <v>1093</v>
      </c>
      <c r="L221" t="s">
        <v>1097</v>
      </c>
      <c r="M221" s="37">
        <v>259900</v>
      </c>
      <c r="N221" s="57">
        <v>0.9</v>
      </c>
      <c r="O221" s="36">
        <f t="shared" si="3"/>
        <v>25990</v>
      </c>
      <c r="P221" s="28" t="s">
        <v>0</v>
      </c>
    </row>
    <row r="222" spans="1:16" ht="15.6" x14ac:dyDescent="0.3">
      <c r="A222" s="25" t="s">
        <v>3214</v>
      </c>
      <c r="B222" s="26">
        <v>46108</v>
      </c>
      <c r="C222" s="26">
        <v>46113</v>
      </c>
      <c r="D222" s="25">
        <v>3319</v>
      </c>
      <c r="E222" s="25">
        <v>327</v>
      </c>
      <c r="F222" s="25">
        <v>2</v>
      </c>
      <c r="G222" s="28">
        <v>1</v>
      </c>
      <c r="H222" s="28">
        <v>81433</v>
      </c>
      <c r="I222" s="28" t="s">
        <v>17</v>
      </c>
      <c r="J222" s="28">
        <v>66162472</v>
      </c>
      <c r="K222" s="38" t="s">
        <v>1093</v>
      </c>
      <c r="L222" t="s">
        <v>1098</v>
      </c>
      <c r="M222" s="37">
        <v>259900</v>
      </c>
      <c r="N222" s="57">
        <v>0.9</v>
      </c>
      <c r="O222" s="36">
        <f t="shared" si="3"/>
        <v>25990</v>
      </c>
      <c r="P222" s="28" t="s">
        <v>0</v>
      </c>
    </row>
    <row r="223" spans="1:16" ht="15.6" x14ac:dyDescent="0.3">
      <c r="A223" s="25" t="s">
        <v>3214</v>
      </c>
      <c r="B223" s="26">
        <v>46108</v>
      </c>
      <c r="C223" s="26">
        <v>46113</v>
      </c>
      <c r="D223" s="25">
        <v>3319</v>
      </c>
      <c r="E223" s="25">
        <v>327</v>
      </c>
      <c r="F223" s="25">
        <v>2</v>
      </c>
      <c r="G223" s="28">
        <v>1</v>
      </c>
      <c r="H223" s="28">
        <v>81433</v>
      </c>
      <c r="I223" s="28" t="s">
        <v>17</v>
      </c>
      <c r="J223" s="28">
        <v>66162427</v>
      </c>
      <c r="K223" s="38" t="s">
        <v>1093</v>
      </c>
      <c r="L223" t="s">
        <v>1099</v>
      </c>
      <c r="M223" s="37">
        <v>259900</v>
      </c>
      <c r="N223" s="57">
        <v>0.9</v>
      </c>
      <c r="O223" s="36">
        <f t="shared" si="3"/>
        <v>25990</v>
      </c>
      <c r="P223" s="28" t="s">
        <v>0</v>
      </c>
    </row>
    <row r="224" spans="1:16" ht="15.6" x14ac:dyDescent="0.3">
      <c r="A224" s="25" t="s">
        <v>3214</v>
      </c>
      <c r="B224" s="26">
        <v>46108</v>
      </c>
      <c r="C224" s="26">
        <v>46113</v>
      </c>
      <c r="D224" s="25">
        <v>3319</v>
      </c>
      <c r="E224" s="25">
        <v>327</v>
      </c>
      <c r="F224" s="25">
        <v>2</v>
      </c>
      <c r="G224" s="28">
        <v>1</v>
      </c>
      <c r="H224" s="28">
        <v>81433</v>
      </c>
      <c r="I224" s="28" t="s">
        <v>17</v>
      </c>
      <c r="J224" s="28">
        <v>66162445</v>
      </c>
      <c r="K224" s="38" t="s">
        <v>1093</v>
      </c>
      <c r="L224" t="s">
        <v>1100</v>
      </c>
      <c r="M224" s="37">
        <v>259900</v>
      </c>
      <c r="N224" s="57">
        <v>0.9</v>
      </c>
      <c r="O224" s="36">
        <f t="shared" si="3"/>
        <v>25990</v>
      </c>
      <c r="P224" s="28" t="s">
        <v>0</v>
      </c>
    </row>
    <row r="225" spans="1:16" ht="15.6" x14ac:dyDescent="0.3">
      <c r="A225" s="25" t="s">
        <v>3214</v>
      </c>
      <c r="B225" s="26">
        <v>46108</v>
      </c>
      <c r="C225" s="26">
        <v>46113</v>
      </c>
      <c r="D225" s="25">
        <v>3319</v>
      </c>
      <c r="E225" s="25">
        <v>327</v>
      </c>
      <c r="F225" s="25">
        <v>2</v>
      </c>
      <c r="G225" s="28">
        <v>1</v>
      </c>
      <c r="H225" s="28">
        <v>81433</v>
      </c>
      <c r="I225" s="28" t="s">
        <v>17</v>
      </c>
      <c r="J225" s="28">
        <v>74854969</v>
      </c>
      <c r="K225" s="38" t="s">
        <v>1101</v>
      </c>
      <c r="L225" t="s">
        <v>1102</v>
      </c>
      <c r="M225" s="37">
        <v>239900</v>
      </c>
      <c r="N225" s="57">
        <v>0.9</v>
      </c>
      <c r="O225" s="36">
        <f t="shared" si="3"/>
        <v>23990</v>
      </c>
      <c r="P225" s="28" t="s">
        <v>0</v>
      </c>
    </row>
    <row r="226" spans="1:16" ht="15.6" x14ac:dyDescent="0.3">
      <c r="A226" s="25" t="s">
        <v>3214</v>
      </c>
      <c r="B226" s="26">
        <v>46108</v>
      </c>
      <c r="C226" s="26">
        <v>46113</v>
      </c>
      <c r="D226" s="25">
        <v>3319</v>
      </c>
      <c r="E226" s="25">
        <v>327</v>
      </c>
      <c r="F226" s="25">
        <v>2</v>
      </c>
      <c r="G226" s="28">
        <v>1</v>
      </c>
      <c r="H226" s="28">
        <v>81433</v>
      </c>
      <c r="I226" s="28" t="s">
        <v>17</v>
      </c>
      <c r="J226" s="28">
        <v>74854996</v>
      </c>
      <c r="K226" s="38" t="s">
        <v>1101</v>
      </c>
      <c r="L226" t="s">
        <v>1103</v>
      </c>
      <c r="M226" s="37">
        <v>239900</v>
      </c>
      <c r="N226" s="57">
        <v>0.9</v>
      </c>
      <c r="O226" s="36">
        <f t="shared" si="3"/>
        <v>23990</v>
      </c>
      <c r="P226" s="28" t="s">
        <v>0</v>
      </c>
    </row>
    <row r="227" spans="1:16" ht="15.6" x14ac:dyDescent="0.3">
      <c r="A227" s="25" t="s">
        <v>3214</v>
      </c>
      <c r="B227" s="26">
        <v>46108</v>
      </c>
      <c r="C227" s="26">
        <v>46113</v>
      </c>
      <c r="D227" s="25">
        <v>3319</v>
      </c>
      <c r="E227" s="25">
        <v>327</v>
      </c>
      <c r="F227" s="25">
        <v>2</v>
      </c>
      <c r="G227" s="28">
        <v>1</v>
      </c>
      <c r="H227" s="28">
        <v>81433</v>
      </c>
      <c r="I227" s="28" t="s">
        <v>17</v>
      </c>
      <c r="J227" s="28">
        <v>74854978</v>
      </c>
      <c r="K227" s="38" t="s">
        <v>1101</v>
      </c>
      <c r="L227" t="s">
        <v>1104</v>
      </c>
      <c r="M227" s="37">
        <v>239900</v>
      </c>
      <c r="N227" s="57">
        <v>0.9</v>
      </c>
      <c r="O227" s="36">
        <f t="shared" si="3"/>
        <v>23990</v>
      </c>
      <c r="P227" s="28" t="s">
        <v>0</v>
      </c>
    </row>
    <row r="228" spans="1:16" ht="15.6" x14ac:dyDescent="0.3">
      <c r="A228" s="25" t="s">
        <v>3214</v>
      </c>
      <c r="B228" s="26">
        <v>46108</v>
      </c>
      <c r="C228" s="26">
        <v>46113</v>
      </c>
      <c r="D228" s="25">
        <v>3319</v>
      </c>
      <c r="E228" s="25">
        <v>327</v>
      </c>
      <c r="F228" s="25">
        <v>2</v>
      </c>
      <c r="G228" s="28">
        <v>1</v>
      </c>
      <c r="H228" s="28">
        <v>81433</v>
      </c>
      <c r="I228" s="28" t="s">
        <v>17</v>
      </c>
      <c r="J228" s="28">
        <v>74854987</v>
      </c>
      <c r="K228" s="38" t="s">
        <v>1101</v>
      </c>
      <c r="L228" t="s">
        <v>1105</v>
      </c>
      <c r="M228" s="37">
        <v>239900</v>
      </c>
      <c r="N228" s="57">
        <v>0.9</v>
      </c>
      <c r="O228" s="36">
        <f t="shared" si="3"/>
        <v>23990</v>
      </c>
      <c r="P228" s="28" t="s">
        <v>0</v>
      </c>
    </row>
    <row r="229" spans="1:16" ht="15.6" x14ac:dyDescent="0.3">
      <c r="A229" s="25" t="s">
        <v>3214</v>
      </c>
      <c r="B229" s="26">
        <v>46108</v>
      </c>
      <c r="C229" s="26">
        <v>46113</v>
      </c>
      <c r="D229" s="25">
        <v>3319</v>
      </c>
      <c r="E229" s="25">
        <v>327</v>
      </c>
      <c r="F229" s="25">
        <v>2</v>
      </c>
      <c r="G229" s="28">
        <v>1</v>
      </c>
      <c r="H229" s="28">
        <v>81433</v>
      </c>
      <c r="I229" s="28" t="s">
        <v>17</v>
      </c>
      <c r="J229" s="28">
        <v>74855002</v>
      </c>
      <c r="K229" s="38" t="s">
        <v>1101</v>
      </c>
      <c r="L229" t="s">
        <v>1106</v>
      </c>
      <c r="M229" s="37">
        <v>239900</v>
      </c>
      <c r="N229" s="57">
        <v>0.9</v>
      </c>
      <c r="O229" s="36">
        <f t="shared" si="3"/>
        <v>23990</v>
      </c>
      <c r="P229" s="28" t="s">
        <v>0</v>
      </c>
    </row>
    <row r="230" spans="1:16" ht="15.6" x14ac:dyDescent="0.3">
      <c r="A230" s="25" t="s">
        <v>3214</v>
      </c>
      <c r="B230" s="26">
        <v>46108</v>
      </c>
      <c r="C230" s="26">
        <v>46113</v>
      </c>
      <c r="D230" s="25">
        <v>3319</v>
      </c>
      <c r="E230" s="25">
        <v>327</v>
      </c>
      <c r="F230" s="25">
        <v>2</v>
      </c>
      <c r="G230" s="28">
        <v>1</v>
      </c>
      <c r="H230" s="28">
        <v>81433</v>
      </c>
      <c r="I230" s="28" t="s">
        <v>17</v>
      </c>
      <c r="J230" s="28">
        <v>73915127</v>
      </c>
      <c r="K230" s="38" t="s">
        <v>1107</v>
      </c>
      <c r="L230" t="s">
        <v>1108</v>
      </c>
      <c r="M230" s="37">
        <v>239900</v>
      </c>
      <c r="N230" s="57">
        <v>0.9</v>
      </c>
      <c r="O230" s="36">
        <f t="shared" si="3"/>
        <v>23990</v>
      </c>
      <c r="P230" s="28" t="s">
        <v>0</v>
      </c>
    </row>
    <row r="231" spans="1:16" ht="15.6" x14ac:dyDescent="0.3">
      <c r="A231" s="25" t="s">
        <v>3214</v>
      </c>
      <c r="B231" s="26">
        <v>46108</v>
      </c>
      <c r="C231" s="26">
        <v>46113</v>
      </c>
      <c r="D231" s="25">
        <v>3319</v>
      </c>
      <c r="E231" s="25">
        <v>327</v>
      </c>
      <c r="F231" s="25">
        <v>2</v>
      </c>
      <c r="G231" s="28">
        <v>1</v>
      </c>
      <c r="H231" s="28">
        <v>81433</v>
      </c>
      <c r="I231" s="28" t="s">
        <v>17</v>
      </c>
      <c r="J231" s="28">
        <v>75935165</v>
      </c>
      <c r="K231" s="38" t="s">
        <v>1107</v>
      </c>
      <c r="L231" t="s">
        <v>1109</v>
      </c>
      <c r="M231" s="37">
        <v>239900</v>
      </c>
      <c r="N231" s="57">
        <v>0.9</v>
      </c>
      <c r="O231" s="36">
        <f t="shared" si="3"/>
        <v>23990</v>
      </c>
      <c r="P231" s="28" t="s">
        <v>0</v>
      </c>
    </row>
    <row r="232" spans="1:16" ht="15.6" x14ac:dyDescent="0.3">
      <c r="A232" s="25" t="s">
        <v>3214</v>
      </c>
      <c r="B232" s="26">
        <v>46108</v>
      </c>
      <c r="C232" s="26">
        <v>46113</v>
      </c>
      <c r="D232" s="25">
        <v>3319</v>
      </c>
      <c r="E232" s="25">
        <v>327</v>
      </c>
      <c r="F232" s="25">
        <v>2</v>
      </c>
      <c r="G232" s="28">
        <v>1</v>
      </c>
      <c r="H232" s="28">
        <v>81433</v>
      </c>
      <c r="I232" s="28" t="s">
        <v>17</v>
      </c>
      <c r="J232" s="28">
        <v>75935156</v>
      </c>
      <c r="K232" s="38" t="s">
        <v>1107</v>
      </c>
      <c r="L232" t="s">
        <v>1110</v>
      </c>
      <c r="M232" s="37">
        <v>239900</v>
      </c>
      <c r="N232" s="57">
        <v>0.9</v>
      </c>
      <c r="O232" s="36">
        <f t="shared" si="3"/>
        <v>23990</v>
      </c>
      <c r="P232" s="28" t="s">
        <v>0</v>
      </c>
    </row>
    <row r="233" spans="1:16" ht="15.6" x14ac:dyDescent="0.3">
      <c r="A233" s="25" t="s">
        <v>3214</v>
      </c>
      <c r="B233" s="26">
        <v>46108</v>
      </c>
      <c r="C233" s="26">
        <v>46113</v>
      </c>
      <c r="D233" s="25">
        <v>3319</v>
      </c>
      <c r="E233" s="25">
        <v>327</v>
      </c>
      <c r="F233" s="25">
        <v>2</v>
      </c>
      <c r="G233" s="28">
        <v>1</v>
      </c>
      <c r="H233" s="28">
        <v>81433</v>
      </c>
      <c r="I233" s="28" t="s">
        <v>17</v>
      </c>
      <c r="J233" s="28">
        <v>73915136</v>
      </c>
      <c r="K233" s="38" t="s">
        <v>1107</v>
      </c>
      <c r="L233" t="s">
        <v>1111</v>
      </c>
      <c r="M233" s="37">
        <v>239900</v>
      </c>
      <c r="N233" s="57">
        <v>0.9</v>
      </c>
      <c r="O233" s="36">
        <f t="shared" si="3"/>
        <v>23990</v>
      </c>
      <c r="P233" s="28" t="s">
        <v>0</v>
      </c>
    </row>
    <row r="234" spans="1:16" ht="15.6" x14ac:dyDescent="0.3">
      <c r="A234" s="25" t="s">
        <v>3214</v>
      </c>
      <c r="B234" s="26">
        <v>46108</v>
      </c>
      <c r="C234" s="26">
        <v>46113</v>
      </c>
      <c r="D234" s="25">
        <v>3319</v>
      </c>
      <c r="E234" s="25">
        <v>327</v>
      </c>
      <c r="F234" s="25">
        <v>2</v>
      </c>
      <c r="G234" s="28">
        <v>1</v>
      </c>
      <c r="H234" s="28">
        <v>81433</v>
      </c>
      <c r="I234" s="28" t="s">
        <v>17</v>
      </c>
      <c r="J234" s="28">
        <v>75935192</v>
      </c>
      <c r="K234" s="38" t="s">
        <v>1107</v>
      </c>
      <c r="L234" t="s">
        <v>1112</v>
      </c>
      <c r="M234" s="37">
        <v>239900</v>
      </c>
      <c r="N234" s="57">
        <v>0.9</v>
      </c>
      <c r="O234" s="36">
        <f t="shared" si="3"/>
        <v>23990</v>
      </c>
      <c r="P234" s="28" t="s">
        <v>0</v>
      </c>
    </row>
    <row r="235" spans="1:16" ht="15.6" x14ac:dyDescent="0.3">
      <c r="A235" s="25" t="s">
        <v>3214</v>
      </c>
      <c r="B235" s="26">
        <v>46108</v>
      </c>
      <c r="C235" s="26">
        <v>46113</v>
      </c>
      <c r="D235" s="25">
        <v>3319</v>
      </c>
      <c r="E235" s="25">
        <v>327</v>
      </c>
      <c r="F235" s="25">
        <v>2</v>
      </c>
      <c r="G235" s="28">
        <v>1</v>
      </c>
      <c r="H235" s="28">
        <v>81433</v>
      </c>
      <c r="I235" s="28" t="s">
        <v>17</v>
      </c>
      <c r="J235" s="28">
        <v>73915118</v>
      </c>
      <c r="K235" s="38" t="s">
        <v>1107</v>
      </c>
      <c r="L235" t="s">
        <v>1113</v>
      </c>
      <c r="M235" s="37">
        <v>239900</v>
      </c>
      <c r="N235" s="57">
        <v>0.9</v>
      </c>
      <c r="O235" s="36">
        <f t="shared" si="3"/>
        <v>23990</v>
      </c>
      <c r="P235" s="28" t="s">
        <v>0</v>
      </c>
    </row>
    <row r="236" spans="1:16" ht="15.6" x14ac:dyDescent="0.3">
      <c r="A236" s="25" t="s">
        <v>3214</v>
      </c>
      <c r="B236" s="26">
        <v>46108</v>
      </c>
      <c r="C236" s="26">
        <v>46113</v>
      </c>
      <c r="D236" s="25">
        <v>3319</v>
      </c>
      <c r="E236" s="25">
        <v>327</v>
      </c>
      <c r="F236" s="25">
        <v>2</v>
      </c>
      <c r="G236" s="28">
        <v>1</v>
      </c>
      <c r="H236" s="28">
        <v>81433</v>
      </c>
      <c r="I236" s="28" t="s">
        <v>17</v>
      </c>
      <c r="J236" s="28">
        <v>75935183</v>
      </c>
      <c r="K236" s="38" t="s">
        <v>1107</v>
      </c>
      <c r="L236" t="s">
        <v>1114</v>
      </c>
      <c r="M236" s="37">
        <v>239900</v>
      </c>
      <c r="N236" s="57">
        <v>0.9</v>
      </c>
      <c r="O236" s="36">
        <f t="shared" si="3"/>
        <v>23990</v>
      </c>
      <c r="P236" s="28" t="s">
        <v>0</v>
      </c>
    </row>
    <row r="237" spans="1:16" ht="15.6" x14ac:dyDescent="0.3">
      <c r="A237" s="25" t="s">
        <v>3214</v>
      </c>
      <c r="B237" s="26">
        <v>46108</v>
      </c>
      <c r="C237" s="26">
        <v>46113</v>
      </c>
      <c r="D237" s="25">
        <v>3319</v>
      </c>
      <c r="E237" s="25">
        <v>327</v>
      </c>
      <c r="F237" s="25">
        <v>2</v>
      </c>
      <c r="G237" s="28">
        <v>1</v>
      </c>
      <c r="H237" s="28">
        <v>81433</v>
      </c>
      <c r="I237" s="28" t="s">
        <v>17</v>
      </c>
      <c r="J237" s="28">
        <v>73915109</v>
      </c>
      <c r="K237" s="38" t="s">
        <v>1107</v>
      </c>
      <c r="L237" t="s">
        <v>1115</v>
      </c>
      <c r="M237" s="37">
        <v>239900</v>
      </c>
      <c r="N237" s="57">
        <v>0.9</v>
      </c>
      <c r="O237" s="36">
        <f t="shared" si="3"/>
        <v>23990</v>
      </c>
      <c r="P237" s="28" t="s">
        <v>0</v>
      </c>
    </row>
    <row r="238" spans="1:16" ht="15.6" x14ac:dyDescent="0.3">
      <c r="A238" s="25" t="s">
        <v>3214</v>
      </c>
      <c r="B238" s="26">
        <v>46108</v>
      </c>
      <c r="C238" s="26">
        <v>46113</v>
      </c>
      <c r="D238" s="25">
        <v>3319</v>
      </c>
      <c r="E238" s="25">
        <v>327</v>
      </c>
      <c r="F238" s="25">
        <v>2</v>
      </c>
      <c r="G238" s="28">
        <v>1</v>
      </c>
      <c r="H238" s="28">
        <v>81433</v>
      </c>
      <c r="I238" s="28" t="s">
        <v>17</v>
      </c>
      <c r="J238" s="28">
        <v>73915092</v>
      </c>
      <c r="K238" s="38" t="s">
        <v>1107</v>
      </c>
      <c r="L238" t="s">
        <v>1116</v>
      </c>
      <c r="M238" s="37">
        <v>239900</v>
      </c>
      <c r="N238" s="57">
        <v>0.9</v>
      </c>
      <c r="O238" s="36">
        <f t="shared" si="3"/>
        <v>23990</v>
      </c>
      <c r="P238" s="28" t="s">
        <v>0</v>
      </c>
    </row>
    <row r="239" spans="1:16" ht="15.6" x14ac:dyDescent="0.3">
      <c r="A239" s="25" t="s">
        <v>3214</v>
      </c>
      <c r="B239" s="26">
        <v>46108</v>
      </c>
      <c r="C239" s="26">
        <v>46113</v>
      </c>
      <c r="D239" s="25">
        <v>3319</v>
      </c>
      <c r="E239" s="25">
        <v>327</v>
      </c>
      <c r="F239" s="25">
        <v>2</v>
      </c>
      <c r="G239" s="28">
        <v>1</v>
      </c>
      <c r="H239" s="28">
        <v>81433</v>
      </c>
      <c r="I239" s="28" t="s">
        <v>17</v>
      </c>
      <c r="J239" s="28">
        <v>75935174</v>
      </c>
      <c r="K239" s="38" t="s">
        <v>1107</v>
      </c>
      <c r="L239" t="s">
        <v>1117</v>
      </c>
      <c r="M239" s="37">
        <v>239900</v>
      </c>
      <c r="N239" s="57">
        <v>0.9</v>
      </c>
      <c r="O239" s="36">
        <f t="shared" si="3"/>
        <v>23990</v>
      </c>
      <c r="P239" s="28" t="s">
        <v>0</v>
      </c>
    </row>
    <row r="240" spans="1:16" ht="15.6" x14ac:dyDescent="0.3">
      <c r="A240" s="25" t="s">
        <v>3214</v>
      </c>
      <c r="B240" s="26">
        <v>46108</v>
      </c>
      <c r="C240" s="26">
        <v>46113</v>
      </c>
      <c r="D240" s="25">
        <v>3319</v>
      </c>
      <c r="E240" s="25">
        <v>327</v>
      </c>
      <c r="F240" s="25">
        <v>2</v>
      </c>
      <c r="G240" s="28">
        <v>1</v>
      </c>
      <c r="H240" s="28">
        <v>81433</v>
      </c>
      <c r="I240" s="28" t="s">
        <v>17</v>
      </c>
      <c r="J240" s="28">
        <v>75903387</v>
      </c>
      <c r="K240" s="38" t="s">
        <v>1118</v>
      </c>
      <c r="L240" t="s">
        <v>1119</v>
      </c>
      <c r="M240" s="37">
        <v>239900</v>
      </c>
      <c r="N240" s="57">
        <v>0.9</v>
      </c>
      <c r="O240" s="36">
        <f t="shared" si="3"/>
        <v>23990</v>
      </c>
      <c r="P240" s="28" t="s">
        <v>0</v>
      </c>
    </row>
    <row r="241" spans="1:16" ht="15.6" x14ac:dyDescent="0.3">
      <c r="A241" s="25" t="s">
        <v>3214</v>
      </c>
      <c r="B241" s="26">
        <v>46108</v>
      </c>
      <c r="C241" s="26">
        <v>46113</v>
      </c>
      <c r="D241" s="25">
        <v>3319</v>
      </c>
      <c r="E241" s="25">
        <v>327</v>
      </c>
      <c r="F241" s="25">
        <v>2</v>
      </c>
      <c r="G241" s="28">
        <v>1</v>
      </c>
      <c r="H241" s="28">
        <v>81433</v>
      </c>
      <c r="I241" s="28" t="s">
        <v>17</v>
      </c>
      <c r="J241" s="28">
        <v>75903369</v>
      </c>
      <c r="K241" s="38" t="s">
        <v>1118</v>
      </c>
      <c r="L241" t="s">
        <v>1120</v>
      </c>
      <c r="M241" s="37">
        <v>239900</v>
      </c>
      <c r="N241" s="57">
        <v>0.9</v>
      </c>
      <c r="O241" s="36">
        <f t="shared" si="3"/>
        <v>23990</v>
      </c>
      <c r="P241" s="28" t="s">
        <v>0</v>
      </c>
    </row>
    <row r="242" spans="1:16" ht="15.6" x14ac:dyDescent="0.3">
      <c r="A242" s="25" t="s">
        <v>3214</v>
      </c>
      <c r="B242" s="26">
        <v>46108</v>
      </c>
      <c r="C242" s="26">
        <v>46113</v>
      </c>
      <c r="D242" s="25">
        <v>3319</v>
      </c>
      <c r="E242" s="25">
        <v>327</v>
      </c>
      <c r="F242" s="25">
        <v>2</v>
      </c>
      <c r="G242" s="28">
        <v>1</v>
      </c>
      <c r="H242" s="28">
        <v>81433</v>
      </c>
      <c r="I242" s="28" t="s">
        <v>17</v>
      </c>
      <c r="J242" s="28">
        <v>75903412</v>
      </c>
      <c r="K242" s="38" t="s">
        <v>1118</v>
      </c>
      <c r="L242" t="s">
        <v>1121</v>
      </c>
      <c r="M242" s="37">
        <v>239900</v>
      </c>
      <c r="N242" s="57">
        <v>0.9</v>
      </c>
      <c r="O242" s="36">
        <f t="shared" si="3"/>
        <v>23990</v>
      </c>
      <c r="P242" s="28" t="s">
        <v>0</v>
      </c>
    </row>
    <row r="243" spans="1:16" ht="15.6" x14ac:dyDescent="0.3">
      <c r="A243" s="25" t="s">
        <v>3214</v>
      </c>
      <c r="B243" s="26">
        <v>46108</v>
      </c>
      <c r="C243" s="26">
        <v>46113</v>
      </c>
      <c r="D243" s="25">
        <v>3319</v>
      </c>
      <c r="E243" s="25">
        <v>327</v>
      </c>
      <c r="F243" s="25">
        <v>2</v>
      </c>
      <c r="G243" s="28">
        <v>1</v>
      </c>
      <c r="H243" s="28">
        <v>81433</v>
      </c>
      <c r="I243" s="28" t="s">
        <v>17</v>
      </c>
      <c r="J243" s="28">
        <v>75903403</v>
      </c>
      <c r="K243" s="38" t="s">
        <v>1118</v>
      </c>
      <c r="L243" t="s">
        <v>1122</v>
      </c>
      <c r="M243" s="37">
        <v>239900</v>
      </c>
      <c r="N243" s="57">
        <v>0.9</v>
      </c>
      <c r="O243" s="36">
        <f t="shared" si="3"/>
        <v>23990</v>
      </c>
      <c r="P243" s="28" t="s">
        <v>0</v>
      </c>
    </row>
    <row r="244" spans="1:16" ht="15.6" x14ac:dyDescent="0.3">
      <c r="A244" s="25" t="s">
        <v>3214</v>
      </c>
      <c r="B244" s="26">
        <v>46108</v>
      </c>
      <c r="C244" s="26">
        <v>46113</v>
      </c>
      <c r="D244" s="25">
        <v>3319</v>
      </c>
      <c r="E244" s="25">
        <v>327</v>
      </c>
      <c r="F244" s="25">
        <v>2</v>
      </c>
      <c r="G244" s="28">
        <v>1</v>
      </c>
      <c r="H244" s="28">
        <v>81433</v>
      </c>
      <c r="I244" s="28" t="s">
        <v>17</v>
      </c>
      <c r="J244" s="28">
        <v>75903396</v>
      </c>
      <c r="K244" s="38" t="s">
        <v>1118</v>
      </c>
      <c r="L244" t="s">
        <v>1123</v>
      </c>
      <c r="M244" s="37">
        <v>239900</v>
      </c>
      <c r="N244" s="57">
        <v>0.9</v>
      </c>
      <c r="O244" s="36">
        <f t="shared" si="3"/>
        <v>23990</v>
      </c>
      <c r="P244" s="28" t="s">
        <v>0</v>
      </c>
    </row>
    <row r="245" spans="1:16" ht="15.6" x14ac:dyDescent="0.3">
      <c r="A245" s="25" t="s">
        <v>3214</v>
      </c>
      <c r="B245" s="26">
        <v>46108</v>
      </c>
      <c r="C245" s="26">
        <v>46113</v>
      </c>
      <c r="D245" s="25">
        <v>3319</v>
      </c>
      <c r="E245" s="25">
        <v>327</v>
      </c>
      <c r="F245" s="25">
        <v>2</v>
      </c>
      <c r="G245" s="28">
        <v>1</v>
      </c>
      <c r="H245" s="28">
        <v>81433</v>
      </c>
      <c r="I245" s="28" t="s">
        <v>17</v>
      </c>
      <c r="J245" s="28">
        <v>75903430</v>
      </c>
      <c r="K245" s="38" t="s">
        <v>1118</v>
      </c>
      <c r="L245" t="s">
        <v>1124</v>
      </c>
      <c r="M245" s="37">
        <v>239900</v>
      </c>
      <c r="N245" s="57">
        <v>0.9</v>
      </c>
      <c r="O245" s="36">
        <f t="shared" si="3"/>
        <v>23990</v>
      </c>
      <c r="P245" s="28" t="s">
        <v>0</v>
      </c>
    </row>
    <row r="246" spans="1:16" ht="15.6" x14ac:dyDescent="0.3">
      <c r="A246" s="25" t="s">
        <v>3214</v>
      </c>
      <c r="B246" s="26">
        <v>46108</v>
      </c>
      <c r="C246" s="26">
        <v>46113</v>
      </c>
      <c r="D246" s="25">
        <v>3319</v>
      </c>
      <c r="E246" s="25">
        <v>327</v>
      </c>
      <c r="F246" s="25">
        <v>2</v>
      </c>
      <c r="G246" s="28">
        <v>1</v>
      </c>
      <c r="H246" s="28">
        <v>81433</v>
      </c>
      <c r="I246" s="28" t="s">
        <v>17</v>
      </c>
      <c r="J246" s="28">
        <v>75903350</v>
      </c>
      <c r="K246" s="38" t="s">
        <v>1118</v>
      </c>
      <c r="L246" t="s">
        <v>1125</v>
      </c>
      <c r="M246" s="37">
        <v>239900</v>
      </c>
      <c r="N246" s="57">
        <v>0.9</v>
      </c>
      <c r="O246" s="36">
        <f t="shared" si="3"/>
        <v>23990</v>
      </c>
      <c r="P246" s="28" t="s">
        <v>0</v>
      </c>
    </row>
    <row r="247" spans="1:16" ht="15.6" x14ac:dyDescent="0.3">
      <c r="A247" s="25" t="s">
        <v>3214</v>
      </c>
      <c r="B247" s="26">
        <v>46108</v>
      </c>
      <c r="C247" s="26">
        <v>46113</v>
      </c>
      <c r="D247" s="25">
        <v>3319</v>
      </c>
      <c r="E247" s="25">
        <v>327</v>
      </c>
      <c r="F247" s="25">
        <v>2</v>
      </c>
      <c r="G247" s="28">
        <v>1</v>
      </c>
      <c r="H247" s="28">
        <v>81433</v>
      </c>
      <c r="I247" s="28" t="s">
        <v>17</v>
      </c>
      <c r="J247" s="28">
        <v>75903378</v>
      </c>
      <c r="K247" s="38" t="s">
        <v>1118</v>
      </c>
      <c r="L247" t="s">
        <v>1126</v>
      </c>
      <c r="M247" s="37">
        <v>239900</v>
      </c>
      <c r="N247" s="57">
        <v>0.9</v>
      </c>
      <c r="O247" s="36">
        <f t="shared" si="3"/>
        <v>23990</v>
      </c>
      <c r="P247" s="28" t="s">
        <v>0</v>
      </c>
    </row>
    <row r="248" spans="1:16" ht="15.6" x14ac:dyDescent="0.3">
      <c r="A248" s="25" t="s">
        <v>3214</v>
      </c>
      <c r="B248" s="26">
        <v>46108</v>
      </c>
      <c r="C248" s="26">
        <v>46113</v>
      </c>
      <c r="D248" s="25">
        <v>3319</v>
      </c>
      <c r="E248" s="25">
        <v>327</v>
      </c>
      <c r="F248" s="25">
        <v>2</v>
      </c>
      <c r="G248" s="28">
        <v>1</v>
      </c>
      <c r="H248" s="28">
        <v>81433</v>
      </c>
      <c r="I248" s="28" t="s">
        <v>17</v>
      </c>
      <c r="J248" s="28">
        <v>75903449</v>
      </c>
      <c r="K248" s="38" t="s">
        <v>1118</v>
      </c>
      <c r="L248" t="s">
        <v>1127</v>
      </c>
      <c r="M248" s="37">
        <v>239900</v>
      </c>
      <c r="N248" s="57">
        <v>0.9</v>
      </c>
      <c r="O248" s="36">
        <f t="shared" si="3"/>
        <v>23990</v>
      </c>
      <c r="P248" s="28" t="s">
        <v>0</v>
      </c>
    </row>
    <row r="249" spans="1:16" ht="15.6" x14ac:dyDescent="0.3">
      <c r="A249" s="25" t="s">
        <v>3214</v>
      </c>
      <c r="B249" s="26">
        <v>46108</v>
      </c>
      <c r="C249" s="26">
        <v>46113</v>
      </c>
      <c r="D249" s="25">
        <v>3319</v>
      </c>
      <c r="E249" s="25">
        <v>327</v>
      </c>
      <c r="F249" s="25">
        <v>2</v>
      </c>
      <c r="G249" s="28">
        <v>1</v>
      </c>
      <c r="H249" s="28">
        <v>81433</v>
      </c>
      <c r="I249" s="28" t="s">
        <v>17</v>
      </c>
      <c r="J249" s="28">
        <v>75903421</v>
      </c>
      <c r="K249" s="38" t="s">
        <v>1118</v>
      </c>
      <c r="L249" t="s">
        <v>1128</v>
      </c>
      <c r="M249" s="37">
        <v>239900</v>
      </c>
      <c r="N249" s="57">
        <v>0.9</v>
      </c>
      <c r="O249" s="36">
        <f t="shared" si="3"/>
        <v>23990</v>
      </c>
      <c r="P249" s="28" t="s">
        <v>0</v>
      </c>
    </row>
    <row r="250" spans="1:16" ht="15.6" x14ac:dyDescent="0.3">
      <c r="A250" s="25" t="s">
        <v>3214</v>
      </c>
      <c r="B250" s="26">
        <v>46108</v>
      </c>
      <c r="C250" s="26">
        <v>46113</v>
      </c>
      <c r="D250" s="25">
        <v>3319</v>
      </c>
      <c r="E250" s="25">
        <v>327</v>
      </c>
      <c r="F250" s="25">
        <v>2</v>
      </c>
      <c r="G250" s="28">
        <v>1</v>
      </c>
      <c r="H250" s="28">
        <v>81433</v>
      </c>
      <c r="I250" s="28" t="s">
        <v>17</v>
      </c>
      <c r="J250" s="28">
        <v>73977409</v>
      </c>
      <c r="K250" s="38" t="s">
        <v>1129</v>
      </c>
      <c r="L250" t="s">
        <v>1130</v>
      </c>
      <c r="M250" s="37">
        <v>239900</v>
      </c>
      <c r="N250" s="57">
        <v>0.9</v>
      </c>
      <c r="O250" s="36">
        <f t="shared" si="3"/>
        <v>23990</v>
      </c>
      <c r="P250" s="28" t="s">
        <v>0</v>
      </c>
    </row>
    <row r="251" spans="1:16" ht="15.6" x14ac:dyDescent="0.3">
      <c r="A251" s="25" t="s">
        <v>3214</v>
      </c>
      <c r="B251" s="26">
        <v>46108</v>
      </c>
      <c r="C251" s="26">
        <v>46113</v>
      </c>
      <c r="D251" s="25">
        <v>3319</v>
      </c>
      <c r="E251" s="25">
        <v>327</v>
      </c>
      <c r="F251" s="25">
        <v>2</v>
      </c>
      <c r="G251" s="28">
        <v>1</v>
      </c>
      <c r="H251" s="28">
        <v>81433</v>
      </c>
      <c r="I251" s="28" t="s">
        <v>17</v>
      </c>
      <c r="J251" s="28">
        <v>73977418</v>
      </c>
      <c r="K251" s="38" t="s">
        <v>1129</v>
      </c>
      <c r="L251" t="s">
        <v>1131</v>
      </c>
      <c r="M251" s="37">
        <v>239900</v>
      </c>
      <c r="N251" s="57">
        <v>0.9</v>
      </c>
      <c r="O251" s="36">
        <f t="shared" si="3"/>
        <v>23990</v>
      </c>
      <c r="P251" s="28" t="s">
        <v>0</v>
      </c>
    </row>
    <row r="252" spans="1:16" ht="15.6" x14ac:dyDescent="0.3">
      <c r="A252" s="25" t="s">
        <v>3214</v>
      </c>
      <c r="B252" s="26">
        <v>46108</v>
      </c>
      <c r="C252" s="26">
        <v>46113</v>
      </c>
      <c r="D252" s="25">
        <v>3319</v>
      </c>
      <c r="E252" s="25">
        <v>327</v>
      </c>
      <c r="F252" s="25">
        <v>2</v>
      </c>
      <c r="G252" s="28">
        <v>1</v>
      </c>
      <c r="H252" s="28">
        <v>81433</v>
      </c>
      <c r="I252" s="28" t="s">
        <v>17</v>
      </c>
      <c r="J252" s="28">
        <v>73977427</v>
      </c>
      <c r="K252" s="38" t="s">
        <v>1129</v>
      </c>
      <c r="L252" t="s">
        <v>1132</v>
      </c>
      <c r="M252" s="37">
        <v>239900</v>
      </c>
      <c r="N252" s="57">
        <v>0.9</v>
      </c>
      <c r="O252" s="36">
        <f t="shared" si="3"/>
        <v>23990</v>
      </c>
      <c r="P252" s="28" t="s">
        <v>0</v>
      </c>
    </row>
    <row r="253" spans="1:16" ht="15.6" x14ac:dyDescent="0.3">
      <c r="A253" s="25" t="s">
        <v>3214</v>
      </c>
      <c r="B253" s="26">
        <v>46108</v>
      </c>
      <c r="C253" s="26">
        <v>46113</v>
      </c>
      <c r="D253" s="25">
        <v>3319</v>
      </c>
      <c r="E253" s="25">
        <v>327</v>
      </c>
      <c r="F253" s="25">
        <v>2</v>
      </c>
      <c r="G253" s="28">
        <v>1</v>
      </c>
      <c r="H253" s="28">
        <v>81433</v>
      </c>
      <c r="I253" s="28" t="s">
        <v>17</v>
      </c>
      <c r="J253" s="28">
        <v>73977383</v>
      </c>
      <c r="K253" s="38" t="s">
        <v>1129</v>
      </c>
      <c r="L253" t="s">
        <v>1133</v>
      </c>
      <c r="M253" s="37">
        <v>239900</v>
      </c>
      <c r="N253" s="57">
        <v>0.9</v>
      </c>
      <c r="O253" s="36">
        <f t="shared" si="3"/>
        <v>23990</v>
      </c>
      <c r="P253" s="28" t="s">
        <v>0</v>
      </c>
    </row>
    <row r="254" spans="1:16" ht="15.6" x14ac:dyDescent="0.3">
      <c r="A254" s="25" t="s">
        <v>3214</v>
      </c>
      <c r="B254" s="26">
        <v>46108</v>
      </c>
      <c r="C254" s="26">
        <v>46113</v>
      </c>
      <c r="D254" s="25">
        <v>3319</v>
      </c>
      <c r="E254" s="25">
        <v>327</v>
      </c>
      <c r="F254" s="25">
        <v>2</v>
      </c>
      <c r="G254" s="28">
        <v>1</v>
      </c>
      <c r="H254" s="28">
        <v>81433</v>
      </c>
      <c r="I254" s="28" t="s">
        <v>17</v>
      </c>
      <c r="J254" s="28">
        <v>73977338</v>
      </c>
      <c r="K254" s="38" t="s">
        <v>1129</v>
      </c>
      <c r="L254" t="s">
        <v>1134</v>
      </c>
      <c r="M254" s="37">
        <v>239900</v>
      </c>
      <c r="N254" s="57">
        <v>0.9</v>
      </c>
      <c r="O254" s="36">
        <f t="shared" si="3"/>
        <v>23990</v>
      </c>
      <c r="P254" s="28" t="s">
        <v>0</v>
      </c>
    </row>
    <row r="255" spans="1:16" ht="15.6" x14ac:dyDescent="0.3">
      <c r="A255" s="25" t="s">
        <v>3214</v>
      </c>
      <c r="B255" s="26">
        <v>46108</v>
      </c>
      <c r="C255" s="26">
        <v>46113</v>
      </c>
      <c r="D255" s="25">
        <v>3319</v>
      </c>
      <c r="E255" s="25">
        <v>327</v>
      </c>
      <c r="F255" s="25">
        <v>2</v>
      </c>
      <c r="G255" s="28">
        <v>1</v>
      </c>
      <c r="H255" s="28">
        <v>81433</v>
      </c>
      <c r="I255" s="28" t="s">
        <v>17</v>
      </c>
      <c r="J255" s="28">
        <v>73977356</v>
      </c>
      <c r="K255" s="38" t="s">
        <v>1129</v>
      </c>
      <c r="L255" t="s">
        <v>1135</v>
      </c>
      <c r="M255" s="37">
        <v>239900</v>
      </c>
      <c r="N255" s="57">
        <v>0.9</v>
      </c>
      <c r="O255" s="36">
        <f t="shared" si="3"/>
        <v>23990</v>
      </c>
      <c r="P255" s="28" t="s">
        <v>0</v>
      </c>
    </row>
    <row r="256" spans="1:16" ht="15.6" x14ac:dyDescent="0.3">
      <c r="A256" s="25" t="s">
        <v>3214</v>
      </c>
      <c r="B256" s="26">
        <v>46108</v>
      </c>
      <c r="C256" s="26">
        <v>46113</v>
      </c>
      <c r="D256" s="25">
        <v>3319</v>
      </c>
      <c r="E256" s="25">
        <v>327</v>
      </c>
      <c r="F256" s="25">
        <v>2</v>
      </c>
      <c r="G256" s="28">
        <v>1</v>
      </c>
      <c r="H256" s="28">
        <v>81433</v>
      </c>
      <c r="I256" s="28" t="s">
        <v>17</v>
      </c>
      <c r="J256" s="28">
        <v>73977392</v>
      </c>
      <c r="K256" s="38" t="s">
        <v>1129</v>
      </c>
      <c r="L256" t="s">
        <v>1136</v>
      </c>
      <c r="M256" s="37">
        <v>239900</v>
      </c>
      <c r="N256" s="57">
        <v>0.9</v>
      </c>
      <c r="O256" s="36">
        <f t="shared" si="3"/>
        <v>23990</v>
      </c>
      <c r="P256" s="28" t="s">
        <v>0</v>
      </c>
    </row>
    <row r="257" spans="1:16" ht="15.6" x14ac:dyDescent="0.3">
      <c r="A257" s="25" t="s">
        <v>3214</v>
      </c>
      <c r="B257" s="26">
        <v>46108</v>
      </c>
      <c r="C257" s="26">
        <v>46113</v>
      </c>
      <c r="D257" s="25">
        <v>3319</v>
      </c>
      <c r="E257" s="25">
        <v>327</v>
      </c>
      <c r="F257" s="25">
        <v>2</v>
      </c>
      <c r="G257" s="28">
        <v>1</v>
      </c>
      <c r="H257" s="28">
        <v>81433</v>
      </c>
      <c r="I257" s="28" t="s">
        <v>17</v>
      </c>
      <c r="J257" s="28">
        <v>73977374</v>
      </c>
      <c r="K257" s="38" t="s">
        <v>1129</v>
      </c>
      <c r="L257" t="s">
        <v>1137</v>
      </c>
      <c r="M257" s="37">
        <v>239900</v>
      </c>
      <c r="N257" s="57">
        <v>0.9</v>
      </c>
      <c r="O257" s="36">
        <f t="shared" si="3"/>
        <v>23990</v>
      </c>
      <c r="P257" s="28" t="s">
        <v>0</v>
      </c>
    </row>
    <row r="258" spans="1:16" ht="15.6" x14ac:dyDescent="0.3">
      <c r="A258" s="25" t="s">
        <v>3214</v>
      </c>
      <c r="B258" s="26">
        <v>46108</v>
      </c>
      <c r="C258" s="26">
        <v>46113</v>
      </c>
      <c r="D258" s="25">
        <v>3319</v>
      </c>
      <c r="E258" s="25">
        <v>327</v>
      </c>
      <c r="F258" s="25">
        <v>2</v>
      </c>
      <c r="G258" s="28">
        <v>1</v>
      </c>
      <c r="H258" s="28">
        <v>81433</v>
      </c>
      <c r="I258" s="28" t="s">
        <v>17</v>
      </c>
      <c r="J258" s="28">
        <v>73977365</v>
      </c>
      <c r="K258" s="38" t="s">
        <v>1129</v>
      </c>
      <c r="L258" t="s">
        <v>1138</v>
      </c>
      <c r="M258" s="37">
        <v>239900</v>
      </c>
      <c r="N258" s="57">
        <v>0.9</v>
      </c>
      <c r="O258" s="36">
        <f t="shared" si="3"/>
        <v>23990</v>
      </c>
      <c r="P258" s="28" t="s">
        <v>0</v>
      </c>
    </row>
    <row r="259" spans="1:16" ht="15.6" x14ac:dyDescent="0.3">
      <c r="A259" s="25" t="s">
        <v>3214</v>
      </c>
      <c r="B259" s="26">
        <v>46108</v>
      </c>
      <c r="C259" s="26">
        <v>46113</v>
      </c>
      <c r="D259" s="25">
        <v>3319</v>
      </c>
      <c r="E259" s="25">
        <v>327</v>
      </c>
      <c r="F259" s="25">
        <v>2</v>
      </c>
      <c r="G259" s="28">
        <v>1</v>
      </c>
      <c r="H259" s="28">
        <v>81433</v>
      </c>
      <c r="I259" s="28" t="s">
        <v>17</v>
      </c>
      <c r="J259" s="28">
        <v>73977347</v>
      </c>
      <c r="K259" s="38" t="s">
        <v>1129</v>
      </c>
      <c r="L259" t="s">
        <v>1139</v>
      </c>
      <c r="M259" s="37">
        <v>239900</v>
      </c>
      <c r="N259" s="57">
        <v>0.9</v>
      </c>
      <c r="O259" s="36">
        <f t="shared" ref="O259:O322" si="4">M259*10%</f>
        <v>23990</v>
      </c>
      <c r="P259" s="28" t="s">
        <v>0</v>
      </c>
    </row>
    <row r="260" spans="1:16" ht="15.6" x14ac:dyDescent="0.3">
      <c r="A260" s="25" t="s">
        <v>3214</v>
      </c>
      <c r="B260" s="26">
        <v>46108</v>
      </c>
      <c r="C260" s="26">
        <v>46113</v>
      </c>
      <c r="D260" s="25">
        <v>3319</v>
      </c>
      <c r="E260" s="25">
        <v>327</v>
      </c>
      <c r="F260" s="25">
        <v>2</v>
      </c>
      <c r="G260" s="28">
        <v>1</v>
      </c>
      <c r="H260" s="28">
        <v>81433</v>
      </c>
      <c r="I260" s="28" t="s">
        <v>17</v>
      </c>
      <c r="J260" s="28">
        <v>76098701</v>
      </c>
      <c r="K260" s="38" t="s">
        <v>1140</v>
      </c>
      <c r="L260" t="s">
        <v>1141</v>
      </c>
      <c r="M260" s="37">
        <v>239900</v>
      </c>
      <c r="N260" s="57">
        <v>0.9</v>
      </c>
      <c r="O260" s="36">
        <f t="shared" si="4"/>
        <v>23990</v>
      </c>
      <c r="P260" s="28" t="s">
        <v>0</v>
      </c>
    </row>
    <row r="261" spans="1:16" ht="15.6" x14ac:dyDescent="0.3">
      <c r="A261" s="25" t="s">
        <v>3214</v>
      </c>
      <c r="B261" s="26">
        <v>46108</v>
      </c>
      <c r="C261" s="26">
        <v>46113</v>
      </c>
      <c r="D261" s="25">
        <v>3319</v>
      </c>
      <c r="E261" s="25">
        <v>327</v>
      </c>
      <c r="F261" s="25">
        <v>2</v>
      </c>
      <c r="G261" s="28">
        <v>1</v>
      </c>
      <c r="H261" s="28">
        <v>81433</v>
      </c>
      <c r="I261" s="28" t="s">
        <v>17</v>
      </c>
      <c r="J261" s="28">
        <v>76098774</v>
      </c>
      <c r="K261" s="38" t="s">
        <v>1140</v>
      </c>
      <c r="L261" t="s">
        <v>1142</v>
      </c>
      <c r="M261" s="37">
        <v>239900</v>
      </c>
      <c r="N261" s="57">
        <v>0.9</v>
      </c>
      <c r="O261" s="36">
        <f t="shared" si="4"/>
        <v>23990</v>
      </c>
      <c r="P261" s="28" t="s">
        <v>0</v>
      </c>
    </row>
    <row r="262" spans="1:16" ht="15.6" x14ac:dyDescent="0.3">
      <c r="A262" s="25" t="s">
        <v>3214</v>
      </c>
      <c r="B262" s="26">
        <v>46108</v>
      </c>
      <c r="C262" s="26">
        <v>46113</v>
      </c>
      <c r="D262" s="25">
        <v>3319</v>
      </c>
      <c r="E262" s="25">
        <v>327</v>
      </c>
      <c r="F262" s="25">
        <v>2</v>
      </c>
      <c r="G262" s="28">
        <v>1</v>
      </c>
      <c r="H262" s="28">
        <v>81433</v>
      </c>
      <c r="I262" s="28" t="s">
        <v>17</v>
      </c>
      <c r="J262" s="28">
        <v>76098756</v>
      </c>
      <c r="K262" s="38" t="s">
        <v>1140</v>
      </c>
      <c r="L262" t="s">
        <v>1143</v>
      </c>
      <c r="M262" s="37">
        <v>239900</v>
      </c>
      <c r="N262" s="57">
        <v>0.9</v>
      </c>
      <c r="O262" s="36">
        <f t="shared" si="4"/>
        <v>23990</v>
      </c>
      <c r="P262" s="28" t="s">
        <v>0</v>
      </c>
    </row>
    <row r="263" spans="1:16" ht="15.6" x14ac:dyDescent="0.3">
      <c r="A263" s="25" t="s">
        <v>3214</v>
      </c>
      <c r="B263" s="26">
        <v>46108</v>
      </c>
      <c r="C263" s="26">
        <v>46113</v>
      </c>
      <c r="D263" s="25">
        <v>3319</v>
      </c>
      <c r="E263" s="25">
        <v>327</v>
      </c>
      <c r="F263" s="25">
        <v>2</v>
      </c>
      <c r="G263" s="28">
        <v>1</v>
      </c>
      <c r="H263" s="28">
        <v>81433</v>
      </c>
      <c r="I263" s="28" t="s">
        <v>17</v>
      </c>
      <c r="J263" s="28">
        <v>76098747</v>
      </c>
      <c r="K263" s="38" t="s">
        <v>1140</v>
      </c>
      <c r="L263" t="s">
        <v>1144</v>
      </c>
      <c r="M263" s="37">
        <v>239900</v>
      </c>
      <c r="N263" s="57">
        <v>0.9</v>
      </c>
      <c r="O263" s="36">
        <f t="shared" si="4"/>
        <v>23990</v>
      </c>
      <c r="P263" s="28" t="s">
        <v>0</v>
      </c>
    </row>
    <row r="264" spans="1:16" ht="15.6" x14ac:dyDescent="0.3">
      <c r="A264" s="25" t="s">
        <v>3214</v>
      </c>
      <c r="B264" s="26">
        <v>46108</v>
      </c>
      <c r="C264" s="26">
        <v>46113</v>
      </c>
      <c r="D264" s="25">
        <v>3319</v>
      </c>
      <c r="E264" s="25">
        <v>327</v>
      </c>
      <c r="F264" s="25">
        <v>2</v>
      </c>
      <c r="G264" s="28">
        <v>1</v>
      </c>
      <c r="H264" s="28">
        <v>81433</v>
      </c>
      <c r="I264" s="28" t="s">
        <v>17</v>
      </c>
      <c r="J264" s="28">
        <v>76098792</v>
      </c>
      <c r="K264" s="38" t="s">
        <v>1140</v>
      </c>
      <c r="L264" t="s">
        <v>1145</v>
      </c>
      <c r="M264" s="37">
        <v>239900</v>
      </c>
      <c r="N264" s="57">
        <v>0.9</v>
      </c>
      <c r="O264" s="36">
        <f t="shared" si="4"/>
        <v>23990</v>
      </c>
      <c r="P264" s="28" t="s">
        <v>0</v>
      </c>
    </row>
    <row r="265" spans="1:16" ht="15.6" x14ac:dyDescent="0.3">
      <c r="A265" s="25" t="s">
        <v>3214</v>
      </c>
      <c r="B265" s="26">
        <v>46108</v>
      </c>
      <c r="C265" s="26">
        <v>46113</v>
      </c>
      <c r="D265" s="25">
        <v>3319</v>
      </c>
      <c r="E265" s="25">
        <v>327</v>
      </c>
      <c r="F265" s="25">
        <v>2</v>
      </c>
      <c r="G265" s="28">
        <v>1</v>
      </c>
      <c r="H265" s="28">
        <v>81433</v>
      </c>
      <c r="I265" s="28" t="s">
        <v>17</v>
      </c>
      <c r="J265" s="28">
        <v>76098729</v>
      </c>
      <c r="K265" s="38" t="s">
        <v>1140</v>
      </c>
      <c r="L265" t="s">
        <v>1146</v>
      </c>
      <c r="M265" s="37">
        <v>239900</v>
      </c>
      <c r="N265" s="57">
        <v>0.9</v>
      </c>
      <c r="O265" s="36">
        <f t="shared" si="4"/>
        <v>23990</v>
      </c>
      <c r="P265" s="28" t="s">
        <v>0</v>
      </c>
    </row>
    <row r="266" spans="1:16" ht="15.6" x14ac:dyDescent="0.3">
      <c r="A266" s="25" t="s">
        <v>3214</v>
      </c>
      <c r="B266" s="26">
        <v>46108</v>
      </c>
      <c r="C266" s="26">
        <v>46113</v>
      </c>
      <c r="D266" s="25">
        <v>3319</v>
      </c>
      <c r="E266" s="25">
        <v>327</v>
      </c>
      <c r="F266" s="25">
        <v>2</v>
      </c>
      <c r="G266" s="28">
        <v>1</v>
      </c>
      <c r="H266" s="28">
        <v>81433</v>
      </c>
      <c r="I266" s="28" t="s">
        <v>17</v>
      </c>
      <c r="J266" s="28">
        <v>76098783</v>
      </c>
      <c r="K266" s="38" t="s">
        <v>1140</v>
      </c>
      <c r="L266" t="s">
        <v>1147</v>
      </c>
      <c r="M266" s="37">
        <v>239900</v>
      </c>
      <c r="N266" s="57">
        <v>0.9</v>
      </c>
      <c r="O266" s="36">
        <f t="shared" si="4"/>
        <v>23990</v>
      </c>
      <c r="P266" s="28" t="s">
        <v>0</v>
      </c>
    </row>
    <row r="267" spans="1:16" ht="15.6" x14ac:dyDescent="0.3">
      <c r="A267" s="25" t="s">
        <v>3214</v>
      </c>
      <c r="B267" s="26">
        <v>46108</v>
      </c>
      <c r="C267" s="26">
        <v>46113</v>
      </c>
      <c r="D267" s="25">
        <v>3319</v>
      </c>
      <c r="E267" s="25">
        <v>327</v>
      </c>
      <c r="F267" s="25">
        <v>2</v>
      </c>
      <c r="G267" s="28">
        <v>1</v>
      </c>
      <c r="H267" s="28">
        <v>81433</v>
      </c>
      <c r="I267" s="28" t="s">
        <v>17</v>
      </c>
      <c r="J267" s="28">
        <v>76098765</v>
      </c>
      <c r="K267" s="38" t="s">
        <v>1140</v>
      </c>
      <c r="L267" t="s">
        <v>1148</v>
      </c>
      <c r="M267" s="37">
        <v>239900</v>
      </c>
      <c r="N267" s="57">
        <v>0.9</v>
      </c>
      <c r="O267" s="36">
        <f t="shared" si="4"/>
        <v>23990</v>
      </c>
      <c r="P267" s="28" t="s">
        <v>0</v>
      </c>
    </row>
    <row r="268" spans="1:16" ht="15.6" x14ac:dyDescent="0.3">
      <c r="A268" s="25" t="s">
        <v>3214</v>
      </c>
      <c r="B268" s="26">
        <v>46108</v>
      </c>
      <c r="C268" s="26">
        <v>46113</v>
      </c>
      <c r="D268" s="25">
        <v>3319</v>
      </c>
      <c r="E268" s="25">
        <v>327</v>
      </c>
      <c r="F268" s="25">
        <v>2</v>
      </c>
      <c r="G268" s="28">
        <v>1</v>
      </c>
      <c r="H268" s="28">
        <v>81433</v>
      </c>
      <c r="I268" s="28" t="s">
        <v>17</v>
      </c>
      <c r="J268" s="28">
        <v>76098710</v>
      </c>
      <c r="K268" s="38" t="s">
        <v>1140</v>
      </c>
      <c r="L268" t="s">
        <v>1149</v>
      </c>
      <c r="M268" s="37">
        <v>239900</v>
      </c>
      <c r="N268" s="57">
        <v>0.9</v>
      </c>
      <c r="O268" s="36">
        <f t="shared" si="4"/>
        <v>23990</v>
      </c>
      <c r="P268" s="28" t="s">
        <v>0</v>
      </c>
    </row>
    <row r="269" spans="1:16" ht="15.6" x14ac:dyDescent="0.3">
      <c r="A269" s="25" t="s">
        <v>3214</v>
      </c>
      <c r="B269" s="26">
        <v>46108</v>
      </c>
      <c r="C269" s="26">
        <v>46113</v>
      </c>
      <c r="D269" s="25">
        <v>3319</v>
      </c>
      <c r="E269" s="25">
        <v>327</v>
      </c>
      <c r="F269" s="25">
        <v>2</v>
      </c>
      <c r="G269" s="28">
        <v>1</v>
      </c>
      <c r="H269" s="28">
        <v>81433</v>
      </c>
      <c r="I269" s="28" t="s">
        <v>17</v>
      </c>
      <c r="J269" s="28">
        <v>76098738</v>
      </c>
      <c r="K269" s="38" t="s">
        <v>1140</v>
      </c>
      <c r="L269" t="s">
        <v>1150</v>
      </c>
      <c r="M269" s="37">
        <v>239900</v>
      </c>
      <c r="N269" s="57">
        <v>0.9</v>
      </c>
      <c r="O269" s="36">
        <f t="shared" si="4"/>
        <v>23990</v>
      </c>
      <c r="P269" s="28" t="s">
        <v>0</v>
      </c>
    </row>
    <row r="270" spans="1:16" ht="15.6" x14ac:dyDescent="0.3">
      <c r="A270" s="25" t="s">
        <v>3214</v>
      </c>
      <c r="B270" s="26">
        <v>46108</v>
      </c>
      <c r="C270" s="26">
        <v>46113</v>
      </c>
      <c r="D270" s="25">
        <v>3319</v>
      </c>
      <c r="E270" s="25">
        <v>327</v>
      </c>
      <c r="F270" s="25">
        <v>2</v>
      </c>
      <c r="G270" s="28">
        <v>1</v>
      </c>
      <c r="H270" s="28">
        <v>81433</v>
      </c>
      <c r="I270" s="28" t="s">
        <v>17</v>
      </c>
      <c r="J270" s="28">
        <v>76098694</v>
      </c>
      <c r="K270" s="38" t="s">
        <v>1151</v>
      </c>
      <c r="L270" t="s">
        <v>1152</v>
      </c>
      <c r="M270" s="37">
        <v>239900</v>
      </c>
      <c r="N270" s="57">
        <v>0.9</v>
      </c>
      <c r="O270" s="36">
        <f t="shared" si="4"/>
        <v>23990</v>
      </c>
      <c r="P270" s="28" t="s">
        <v>0</v>
      </c>
    </row>
    <row r="271" spans="1:16" ht="15.6" x14ac:dyDescent="0.3">
      <c r="A271" s="25" t="s">
        <v>3214</v>
      </c>
      <c r="B271" s="26">
        <v>46108</v>
      </c>
      <c r="C271" s="26">
        <v>46113</v>
      </c>
      <c r="D271" s="25">
        <v>3319</v>
      </c>
      <c r="E271" s="25">
        <v>327</v>
      </c>
      <c r="F271" s="25">
        <v>2</v>
      </c>
      <c r="G271" s="28">
        <v>1</v>
      </c>
      <c r="H271" s="28">
        <v>81433</v>
      </c>
      <c r="I271" s="28" t="s">
        <v>17</v>
      </c>
      <c r="J271" s="28">
        <v>76098685</v>
      </c>
      <c r="K271" s="38" t="s">
        <v>1151</v>
      </c>
      <c r="L271" t="s">
        <v>1153</v>
      </c>
      <c r="M271" s="37">
        <v>239900</v>
      </c>
      <c r="N271" s="57">
        <v>0.9</v>
      </c>
      <c r="O271" s="36">
        <f t="shared" si="4"/>
        <v>23990</v>
      </c>
      <c r="P271" s="28" t="s">
        <v>0</v>
      </c>
    </row>
    <row r="272" spans="1:16" ht="15.6" x14ac:dyDescent="0.3">
      <c r="A272" s="25" t="s">
        <v>3214</v>
      </c>
      <c r="B272" s="26">
        <v>46108</v>
      </c>
      <c r="C272" s="26">
        <v>46113</v>
      </c>
      <c r="D272" s="25">
        <v>3319</v>
      </c>
      <c r="E272" s="25">
        <v>327</v>
      </c>
      <c r="F272" s="25">
        <v>2</v>
      </c>
      <c r="G272" s="28">
        <v>1</v>
      </c>
      <c r="H272" s="28">
        <v>81433</v>
      </c>
      <c r="I272" s="28" t="s">
        <v>17</v>
      </c>
      <c r="J272" s="28">
        <v>76098649</v>
      </c>
      <c r="K272" s="38" t="s">
        <v>1151</v>
      </c>
      <c r="L272" t="s">
        <v>1154</v>
      </c>
      <c r="M272" s="37">
        <v>239900</v>
      </c>
      <c r="N272" s="57">
        <v>0.9</v>
      </c>
      <c r="O272" s="36">
        <f t="shared" si="4"/>
        <v>23990</v>
      </c>
      <c r="P272" s="28" t="s">
        <v>0</v>
      </c>
    </row>
    <row r="273" spans="1:16" ht="15.6" x14ac:dyDescent="0.3">
      <c r="A273" s="25" t="s">
        <v>3214</v>
      </c>
      <c r="B273" s="26">
        <v>46108</v>
      </c>
      <c r="C273" s="26">
        <v>46113</v>
      </c>
      <c r="D273" s="25">
        <v>3319</v>
      </c>
      <c r="E273" s="25">
        <v>327</v>
      </c>
      <c r="F273" s="25">
        <v>2</v>
      </c>
      <c r="G273" s="28">
        <v>1</v>
      </c>
      <c r="H273" s="28">
        <v>81433</v>
      </c>
      <c r="I273" s="28" t="s">
        <v>17</v>
      </c>
      <c r="J273" s="28">
        <v>76098612</v>
      </c>
      <c r="K273" s="38" t="s">
        <v>1151</v>
      </c>
      <c r="L273" t="s">
        <v>1155</v>
      </c>
      <c r="M273" s="37">
        <v>239900</v>
      </c>
      <c r="N273" s="57">
        <v>0.9</v>
      </c>
      <c r="O273" s="36">
        <f t="shared" si="4"/>
        <v>23990</v>
      </c>
      <c r="P273" s="28" t="s">
        <v>0</v>
      </c>
    </row>
    <row r="274" spans="1:16" ht="15.6" x14ac:dyDescent="0.3">
      <c r="A274" s="25" t="s">
        <v>3214</v>
      </c>
      <c r="B274" s="26">
        <v>46108</v>
      </c>
      <c r="C274" s="26">
        <v>46113</v>
      </c>
      <c r="D274" s="25">
        <v>3319</v>
      </c>
      <c r="E274" s="25">
        <v>327</v>
      </c>
      <c r="F274" s="25">
        <v>2</v>
      </c>
      <c r="G274" s="28">
        <v>1</v>
      </c>
      <c r="H274" s="28">
        <v>81433</v>
      </c>
      <c r="I274" s="28" t="s">
        <v>17</v>
      </c>
      <c r="J274" s="28">
        <v>76098676</v>
      </c>
      <c r="K274" s="38" t="s">
        <v>1151</v>
      </c>
      <c r="L274" t="s">
        <v>1156</v>
      </c>
      <c r="M274" s="37">
        <v>239900</v>
      </c>
      <c r="N274" s="57">
        <v>0.9</v>
      </c>
      <c r="O274" s="36">
        <f t="shared" si="4"/>
        <v>23990</v>
      </c>
      <c r="P274" s="28" t="s">
        <v>0</v>
      </c>
    </row>
    <row r="275" spans="1:16" ht="15.6" x14ac:dyDescent="0.3">
      <c r="A275" s="25" t="s">
        <v>3214</v>
      </c>
      <c r="B275" s="26">
        <v>46108</v>
      </c>
      <c r="C275" s="26">
        <v>46113</v>
      </c>
      <c r="D275" s="25">
        <v>3319</v>
      </c>
      <c r="E275" s="25">
        <v>327</v>
      </c>
      <c r="F275" s="25">
        <v>2</v>
      </c>
      <c r="G275" s="28">
        <v>1</v>
      </c>
      <c r="H275" s="28">
        <v>81433</v>
      </c>
      <c r="I275" s="28" t="s">
        <v>17</v>
      </c>
      <c r="J275" s="28">
        <v>76098630</v>
      </c>
      <c r="K275" s="38" t="s">
        <v>1151</v>
      </c>
      <c r="L275" t="s">
        <v>1157</v>
      </c>
      <c r="M275" s="37">
        <v>239900</v>
      </c>
      <c r="N275" s="57">
        <v>0.9</v>
      </c>
      <c r="O275" s="36">
        <f t="shared" si="4"/>
        <v>23990</v>
      </c>
      <c r="P275" s="28" t="s">
        <v>0</v>
      </c>
    </row>
    <row r="276" spans="1:16" ht="15.6" x14ac:dyDescent="0.3">
      <c r="A276" s="25" t="s">
        <v>3214</v>
      </c>
      <c r="B276" s="26">
        <v>46108</v>
      </c>
      <c r="C276" s="26">
        <v>46113</v>
      </c>
      <c r="D276" s="25">
        <v>3319</v>
      </c>
      <c r="E276" s="25">
        <v>327</v>
      </c>
      <c r="F276" s="25">
        <v>2</v>
      </c>
      <c r="G276" s="28">
        <v>1</v>
      </c>
      <c r="H276" s="28">
        <v>81433</v>
      </c>
      <c r="I276" s="28" t="s">
        <v>17</v>
      </c>
      <c r="J276" s="28">
        <v>76098658</v>
      </c>
      <c r="K276" s="38" t="s">
        <v>1151</v>
      </c>
      <c r="L276" t="s">
        <v>1158</v>
      </c>
      <c r="M276" s="37">
        <v>239900</v>
      </c>
      <c r="N276" s="57">
        <v>0.9</v>
      </c>
      <c r="O276" s="36">
        <f t="shared" si="4"/>
        <v>23990</v>
      </c>
      <c r="P276" s="28" t="s">
        <v>0</v>
      </c>
    </row>
    <row r="277" spans="1:16" ht="15.6" x14ac:dyDescent="0.3">
      <c r="A277" s="25" t="s">
        <v>3214</v>
      </c>
      <c r="B277" s="26">
        <v>46108</v>
      </c>
      <c r="C277" s="26">
        <v>46113</v>
      </c>
      <c r="D277" s="25">
        <v>3319</v>
      </c>
      <c r="E277" s="25">
        <v>327</v>
      </c>
      <c r="F277" s="25">
        <v>2</v>
      </c>
      <c r="G277" s="28">
        <v>1</v>
      </c>
      <c r="H277" s="28">
        <v>81433</v>
      </c>
      <c r="I277" s="28" t="s">
        <v>17</v>
      </c>
      <c r="J277" s="28">
        <v>76098603</v>
      </c>
      <c r="K277" s="38" t="s">
        <v>1151</v>
      </c>
      <c r="L277" t="s">
        <v>1159</v>
      </c>
      <c r="M277" s="37">
        <v>239900</v>
      </c>
      <c r="N277" s="57">
        <v>0.9</v>
      </c>
      <c r="O277" s="36">
        <f t="shared" si="4"/>
        <v>23990</v>
      </c>
      <c r="P277" s="28" t="s">
        <v>0</v>
      </c>
    </row>
    <row r="278" spans="1:16" ht="15.6" x14ac:dyDescent="0.3">
      <c r="A278" s="25" t="s">
        <v>3214</v>
      </c>
      <c r="B278" s="26">
        <v>46108</v>
      </c>
      <c r="C278" s="26">
        <v>46113</v>
      </c>
      <c r="D278" s="25">
        <v>3319</v>
      </c>
      <c r="E278" s="25">
        <v>327</v>
      </c>
      <c r="F278" s="25">
        <v>2</v>
      </c>
      <c r="G278" s="28">
        <v>1</v>
      </c>
      <c r="H278" s="28">
        <v>81433</v>
      </c>
      <c r="I278" s="28" t="s">
        <v>17</v>
      </c>
      <c r="J278" s="28">
        <v>76098667</v>
      </c>
      <c r="K278" s="38" t="s">
        <v>1151</v>
      </c>
      <c r="L278" t="s">
        <v>1160</v>
      </c>
      <c r="M278" s="37">
        <v>239900</v>
      </c>
      <c r="N278" s="57">
        <v>0.9</v>
      </c>
      <c r="O278" s="36">
        <f t="shared" si="4"/>
        <v>23990</v>
      </c>
      <c r="P278" s="28" t="s">
        <v>0</v>
      </c>
    </row>
    <row r="279" spans="1:16" ht="15.6" x14ac:dyDescent="0.3">
      <c r="A279" s="25" t="s">
        <v>3214</v>
      </c>
      <c r="B279" s="26">
        <v>46108</v>
      </c>
      <c r="C279" s="26">
        <v>46113</v>
      </c>
      <c r="D279" s="25">
        <v>3319</v>
      </c>
      <c r="E279" s="25">
        <v>327</v>
      </c>
      <c r="F279" s="25">
        <v>2</v>
      </c>
      <c r="G279" s="28">
        <v>1</v>
      </c>
      <c r="H279" s="28">
        <v>81433</v>
      </c>
      <c r="I279" s="28" t="s">
        <v>17</v>
      </c>
      <c r="J279" s="28">
        <v>76098621</v>
      </c>
      <c r="K279" s="38" t="s">
        <v>1151</v>
      </c>
      <c r="L279" t="s">
        <v>1161</v>
      </c>
      <c r="M279" s="37">
        <v>239900</v>
      </c>
      <c r="N279" s="57">
        <v>0.9</v>
      </c>
      <c r="O279" s="36">
        <f t="shared" si="4"/>
        <v>23990</v>
      </c>
      <c r="P279" s="28" t="s">
        <v>0</v>
      </c>
    </row>
    <row r="280" spans="1:16" ht="15.6" x14ac:dyDescent="0.3">
      <c r="A280" s="25" t="s">
        <v>3214</v>
      </c>
      <c r="B280" s="26">
        <v>46108</v>
      </c>
      <c r="C280" s="26">
        <v>46113</v>
      </c>
      <c r="D280" s="25">
        <v>3319</v>
      </c>
      <c r="E280" s="25">
        <v>327</v>
      </c>
      <c r="F280" s="25">
        <v>2</v>
      </c>
      <c r="G280" s="28">
        <v>1</v>
      </c>
      <c r="H280" s="28">
        <v>81433</v>
      </c>
      <c r="I280" s="28" t="s">
        <v>17</v>
      </c>
      <c r="J280" s="28">
        <v>73615773</v>
      </c>
      <c r="K280" s="38" t="s">
        <v>1162</v>
      </c>
      <c r="L280" t="s">
        <v>1163</v>
      </c>
      <c r="M280" s="37">
        <v>239900</v>
      </c>
      <c r="N280" s="57">
        <v>0.9</v>
      </c>
      <c r="O280" s="36">
        <f t="shared" si="4"/>
        <v>23990</v>
      </c>
      <c r="P280" s="28" t="s">
        <v>0</v>
      </c>
    </row>
    <row r="281" spans="1:16" ht="15.6" x14ac:dyDescent="0.3">
      <c r="A281" s="25" t="s">
        <v>3214</v>
      </c>
      <c r="B281" s="26">
        <v>46108</v>
      </c>
      <c r="C281" s="26">
        <v>46113</v>
      </c>
      <c r="D281" s="25">
        <v>3319</v>
      </c>
      <c r="E281" s="25">
        <v>327</v>
      </c>
      <c r="F281" s="25">
        <v>2</v>
      </c>
      <c r="G281" s="28">
        <v>1</v>
      </c>
      <c r="H281" s="28">
        <v>81433</v>
      </c>
      <c r="I281" s="28" t="s">
        <v>17</v>
      </c>
      <c r="J281" s="28">
        <v>73615817</v>
      </c>
      <c r="K281" s="38" t="s">
        <v>1162</v>
      </c>
      <c r="L281" t="s">
        <v>1164</v>
      </c>
      <c r="M281" s="37">
        <v>239900</v>
      </c>
      <c r="N281" s="57">
        <v>0.9</v>
      </c>
      <c r="O281" s="36">
        <f t="shared" si="4"/>
        <v>23990</v>
      </c>
      <c r="P281" s="28" t="s">
        <v>0</v>
      </c>
    </row>
    <row r="282" spans="1:16" ht="15.6" x14ac:dyDescent="0.3">
      <c r="A282" s="25" t="s">
        <v>3214</v>
      </c>
      <c r="B282" s="26">
        <v>46108</v>
      </c>
      <c r="C282" s="26">
        <v>46113</v>
      </c>
      <c r="D282" s="25">
        <v>3319</v>
      </c>
      <c r="E282" s="25">
        <v>327</v>
      </c>
      <c r="F282" s="25">
        <v>2</v>
      </c>
      <c r="G282" s="28">
        <v>1</v>
      </c>
      <c r="H282" s="28">
        <v>81433</v>
      </c>
      <c r="I282" s="28" t="s">
        <v>17</v>
      </c>
      <c r="J282" s="28">
        <v>73615826</v>
      </c>
      <c r="K282" s="38" t="s">
        <v>1162</v>
      </c>
      <c r="L282" t="s">
        <v>1165</v>
      </c>
      <c r="M282" s="37">
        <v>239900</v>
      </c>
      <c r="N282" s="57">
        <v>0.9</v>
      </c>
      <c r="O282" s="36">
        <f t="shared" si="4"/>
        <v>23990</v>
      </c>
      <c r="P282" s="28" t="s">
        <v>0</v>
      </c>
    </row>
    <row r="283" spans="1:16" ht="15.6" x14ac:dyDescent="0.3">
      <c r="A283" s="25" t="s">
        <v>3214</v>
      </c>
      <c r="B283" s="26">
        <v>46108</v>
      </c>
      <c r="C283" s="26">
        <v>46113</v>
      </c>
      <c r="D283" s="25">
        <v>3319</v>
      </c>
      <c r="E283" s="25">
        <v>327</v>
      </c>
      <c r="F283" s="25">
        <v>2</v>
      </c>
      <c r="G283" s="28">
        <v>1</v>
      </c>
      <c r="H283" s="28">
        <v>81433</v>
      </c>
      <c r="I283" s="28" t="s">
        <v>17</v>
      </c>
      <c r="J283" s="28">
        <v>73615808</v>
      </c>
      <c r="K283" s="38" t="s">
        <v>1162</v>
      </c>
      <c r="L283" t="s">
        <v>1166</v>
      </c>
      <c r="M283" s="37">
        <v>239900</v>
      </c>
      <c r="N283" s="57">
        <v>0.9</v>
      </c>
      <c r="O283" s="36">
        <f t="shared" si="4"/>
        <v>23990</v>
      </c>
      <c r="P283" s="28" t="s">
        <v>0</v>
      </c>
    </row>
    <row r="284" spans="1:16" ht="15.6" x14ac:dyDescent="0.3">
      <c r="A284" s="25" t="s">
        <v>3214</v>
      </c>
      <c r="B284" s="26">
        <v>46108</v>
      </c>
      <c r="C284" s="26">
        <v>46113</v>
      </c>
      <c r="D284" s="25">
        <v>3319</v>
      </c>
      <c r="E284" s="25">
        <v>327</v>
      </c>
      <c r="F284" s="25">
        <v>2</v>
      </c>
      <c r="G284" s="28">
        <v>1</v>
      </c>
      <c r="H284" s="28">
        <v>81433</v>
      </c>
      <c r="I284" s="28" t="s">
        <v>17</v>
      </c>
      <c r="J284" s="28">
        <v>73615844</v>
      </c>
      <c r="K284" s="38" t="s">
        <v>1162</v>
      </c>
      <c r="L284" t="s">
        <v>1167</v>
      </c>
      <c r="M284" s="37">
        <v>239900</v>
      </c>
      <c r="N284" s="57">
        <v>0.9</v>
      </c>
      <c r="O284" s="36">
        <f t="shared" si="4"/>
        <v>23990</v>
      </c>
      <c r="P284" s="28" t="s">
        <v>0</v>
      </c>
    </row>
    <row r="285" spans="1:16" ht="15.6" x14ac:dyDescent="0.3">
      <c r="A285" s="25" t="s">
        <v>3214</v>
      </c>
      <c r="B285" s="26">
        <v>46108</v>
      </c>
      <c r="C285" s="26">
        <v>46113</v>
      </c>
      <c r="D285" s="25">
        <v>3319</v>
      </c>
      <c r="E285" s="25">
        <v>327</v>
      </c>
      <c r="F285" s="25">
        <v>2</v>
      </c>
      <c r="G285" s="28">
        <v>1</v>
      </c>
      <c r="H285" s="28">
        <v>81433</v>
      </c>
      <c r="I285" s="28" t="s">
        <v>17</v>
      </c>
      <c r="J285" s="28">
        <v>73615835</v>
      </c>
      <c r="K285" s="38" t="s">
        <v>1162</v>
      </c>
      <c r="L285" t="s">
        <v>1168</v>
      </c>
      <c r="M285" s="37">
        <v>239900</v>
      </c>
      <c r="N285" s="57">
        <v>0.9</v>
      </c>
      <c r="O285" s="36">
        <f t="shared" si="4"/>
        <v>23990</v>
      </c>
      <c r="P285" s="28" t="s">
        <v>0</v>
      </c>
    </row>
    <row r="286" spans="1:16" ht="15.6" x14ac:dyDescent="0.3">
      <c r="A286" s="25" t="s">
        <v>3214</v>
      </c>
      <c r="B286" s="26">
        <v>46108</v>
      </c>
      <c r="C286" s="26">
        <v>46113</v>
      </c>
      <c r="D286" s="25">
        <v>3319</v>
      </c>
      <c r="E286" s="25">
        <v>327</v>
      </c>
      <c r="F286" s="25">
        <v>2</v>
      </c>
      <c r="G286" s="28">
        <v>1</v>
      </c>
      <c r="H286" s="28">
        <v>81433</v>
      </c>
      <c r="I286" s="28" t="s">
        <v>17</v>
      </c>
      <c r="J286" s="28">
        <v>73615853</v>
      </c>
      <c r="K286" s="38" t="s">
        <v>1162</v>
      </c>
      <c r="L286" t="s">
        <v>1169</v>
      </c>
      <c r="M286" s="37">
        <v>239900</v>
      </c>
      <c r="N286" s="57">
        <v>0.9</v>
      </c>
      <c r="O286" s="36">
        <f t="shared" si="4"/>
        <v>23990</v>
      </c>
      <c r="P286" s="28" t="s">
        <v>0</v>
      </c>
    </row>
    <row r="287" spans="1:16" ht="15.6" x14ac:dyDescent="0.3">
      <c r="A287" s="25" t="s">
        <v>3214</v>
      </c>
      <c r="B287" s="26">
        <v>46108</v>
      </c>
      <c r="C287" s="26">
        <v>46113</v>
      </c>
      <c r="D287" s="25">
        <v>3319</v>
      </c>
      <c r="E287" s="25">
        <v>327</v>
      </c>
      <c r="F287" s="25">
        <v>2</v>
      </c>
      <c r="G287" s="28">
        <v>1</v>
      </c>
      <c r="H287" s="28">
        <v>81433</v>
      </c>
      <c r="I287" s="28" t="s">
        <v>17</v>
      </c>
      <c r="J287" s="28">
        <v>73615791</v>
      </c>
      <c r="K287" s="38" t="s">
        <v>1162</v>
      </c>
      <c r="L287" t="s">
        <v>1170</v>
      </c>
      <c r="M287" s="37">
        <v>239900</v>
      </c>
      <c r="N287" s="57">
        <v>0.9</v>
      </c>
      <c r="O287" s="36">
        <f t="shared" si="4"/>
        <v>23990</v>
      </c>
      <c r="P287" s="28" t="s">
        <v>0</v>
      </c>
    </row>
    <row r="288" spans="1:16" ht="15.6" x14ac:dyDescent="0.3">
      <c r="A288" s="25" t="s">
        <v>3214</v>
      </c>
      <c r="B288" s="26">
        <v>46108</v>
      </c>
      <c r="C288" s="26">
        <v>46113</v>
      </c>
      <c r="D288" s="25">
        <v>3319</v>
      </c>
      <c r="E288" s="25">
        <v>327</v>
      </c>
      <c r="F288" s="25">
        <v>2</v>
      </c>
      <c r="G288" s="28">
        <v>1</v>
      </c>
      <c r="H288" s="28">
        <v>81433</v>
      </c>
      <c r="I288" s="28" t="s">
        <v>17</v>
      </c>
      <c r="J288" s="28">
        <v>73615782</v>
      </c>
      <c r="K288" s="38" t="s">
        <v>1162</v>
      </c>
      <c r="L288" t="s">
        <v>1171</v>
      </c>
      <c r="M288" s="37">
        <v>239900</v>
      </c>
      <c r="N288" s="57">
        <v>0.9</v>
      </c>
      <c r="O288" s="36">
        <f t="shared" si="4"/>
        <v>23990</v>
      </c>
      <c r="P288" s="28" t="s">
        <v>0</v>
      </c>
    </row>
    <row r="289" spans="1:16" ht="15.6" x14ac:dyDescent="0.3">
      <c r="A289" s="25" t="s">
        <v>3214</v>
      </c>
      <c r="B289" s="26">
        <v>46108</v>
      </c>
      <c r="C289" s="26">
        <v>46113</v>
      </c>
      <c r="D289" s="25">
        <v>3319</v>
      </c>
      <c r="E289" s="25">
        <v>327</v>
      </c>
      <c r="F289" s="25">
        <v>2</v>
      </c>
      <c r="G289" s="28">
        <v>1</v>
      </c>
      <c r="H289" s="28">
        <v>81433</v>
      </c>
      <c r="I289" s="28" t="s">
        <v>17</v>
      </c>
      <c r="J289" s="28">
        <v>73615764</v>
      </c>
      <c r="K289" s="38" t="s">
        <v>1162</v>
      </c>
      <c r="L289" t="s">
        <v>1172</v>
      </c>
      <c r="M289" s="37">
        <v>239900</v>
      </c>
      <c r="N289" s="57">
        <v>0.9</v>
      </c>
      <c r="O289" s="36">
        <f t="shared" si="4"/>
        <v>23990</v>
      </c>
      <c r="P289" s="28" t="s">
        <v>0</v>
      </c>
    </row>
    <row r="290" spans="1:16" ht="15.6" x14ac:dyDescent="0.3">
      <c r="A290" s="25" t="s">
        <v>3214</v>
      </c>
      <c r="B290" s="26">
        <v>46108</v>
      </c>
      <c r="C290" s="26">
        <v>46113</v>
      </c>
      <c r="D290" s="25">
        <v>3319</v>
      </c>
      <c r="E290" s="25">
        <v>327</v>
      </c>
      <c r="F290" s="25">
        <v>2</v>
      </c>
      <c r="G290" s="28">
        <v>1</v>
      </c>
      <c r="H290" s="28">
        <v>81433</v>
      </c>
      <c r="I290" s="28" t="s">
        <v>17</v>
      </c>
      <c r="J290" s="28">
        <v>66162392</v>
      </c>
      <c r="K290" s="38" t="s">
        <v>1093</v>
      </c>
      <c r="L290" t="s">
        <v>1173</v>
      </c>
      <c r="M290" s="37">
        <v>259900</v>
      </c>
      <c r="N290" s="57">
        <v>0.9</v>
      </c>
      <c r="O290" s="36">
        <f t="shared" si="4"/>
        <v>25990</v>
      </c>
      <c r="P290" s="28" t="s">
        <v>0</v>
      </c>
    </row>
    <row r="291" spans="1:16" ht="15.6" x14ac:dyDescent="0.3">
      <c r="A291" s="25" t="s">
        <v>3214</v>
      </c>
      <c r="B291" s="26">
        <v>46108</v>
      </c>
      <c r="C291" s="26">
        <v>46113</v>
      </c>
      <c r="D291" s="25">
        <v>3319</v>
      </c>
      <c r="E291" s="25">
        <v>327</v>
      </c>
      <c r="F291" s="25">
        <v>2</v>
      </c>
      <c r="G291" s="28">
        <v>1</v>
      </c>
      <c r="H291" s="28">
        <v>81433</v>
      </c>
      <c r="I291" s="28" t="s">
        <v>17</v>
      </c>
      <c r="J291" s="28">
        <v>66162463</v>
      </c>
      <c r="K291" s="38" t="s">
        <v>1093</v>
      </c>
      <c r="L291" t="s">
        <v>1174</v>
      </c>
      <c r="M291" s="37">
        <v>259900</v>
      </c>
      <c r="N291" s="57">
        <v>0.9</v>
      </c>
      <c r="O291" s="36">
        <f t="shared" si="4"/>
        <v>25990</v>
      </c>
      <c r="P291" s="28" t="s">
        <v>0</v>
      </c>
    </row>
    <row r="292" spans="1:16" ht="15.6" x14ac:dyDescent="0.3">
      <c r="A292" s="25" t="s">
        <v>3214</v>
      </c>
      <c r="B292" s="26">
        <v>46108</v>
      </c>
      <c r="C292" s="26">
        <v>46113</v>
      </c>
      <c r="D292" s="25">
        <v>3319</v>
      </c>
      <c r="E292" s="25">
        <v>327</v>
      </c>
      <c r="F292" s="25">
        <v>2</v>
      </c>
      <c r="G292" s="28">
        <v>1</v>
      </c>
      <c r="H292" s="28">
        <v>81433</v>
      </c>
      <c r="I292" s="28" t="s">
        <v>17</v>
      </c>
      <c r="J292" s="28">
        <v>66162481</v>
      </c>
      <c r="K292" s="38" t="s">
        <v>1093</v>
      </c>
      <c r="L292" t="s">
        <v>1175</v>
      </c>
      <c r="M292" s="37">
        <v>259900</v>
      </c>
      <c r="N292" s="57">
        <v>0.9</v>
      </c>
      <c r="O292" s="36">
        <f t="shared" si="4"/>
        <v>25990</v>
      </c>
      <c r="P292" s="28" t="s">
        <v>0</v>
      </c>
    </row>
    <row r="293" spans="1:16" ht="15.6" x14ac:dyDescent="0.3">
      <c r="A293" s="25" t="s">
        <v>3214</v>
      </c>
      <c r="B293" s="26">
        <v>46108</v>
      </c>
      <c r="C293" s="26">
        <v>46113</v>
      </c>
      <c r="D293" s="25">
        <v>3319</v>
      </c>
      <c r="E293" s="25">
        <v>327</v>
      </c>
      <c r="F293" s="25">
        <v>2</v>
      </c>
      <c r="G293" s="28">
        <v>1</v>
      </c>
      <c r="H293" s="28">
        <v>81433</v>
      </c>
      <c r="I293" s="28" t="s">
        <v>17</v>
      </c>
      <c r="J293" s="28">
        <v>66164309</v>
      </c>
      <c r="K293" s="38" t="s">
        <v>1044</v>
      </c>
      <c r="L293" t="s">
        <v>1176</v>
      </c>
      <c r="M293" s="37">
        <v>329900</v>
      </c>
      <c r="N293" s="57">
        <v>0.9</v>
      </c>
      <c r="O293" s="36">
        <f t="shared" si="4"/>
        <v>32990</v>
      </c>
      <c r="P293" s="28" t="s">
        <v>0</v>
      </c>
    </row>
    <row r="294" spans="1:16" ht="15.6" x14ac:dyDescent="0.3">
      <c r="A294" s="25" t="s">
        <v>3214</v>
      </c>
      <c r="B294" s="26">
        <v>46108</v>
      </c>
      <c r="C294" s="26">
        <v>46113</v>
      </c>
      <c r="D294" s="25">
        <v>3319</v>
      </c>
      <c r="E294" s="25">
        <v>327</v>
      </c>
      <c r="F294" s="25">
        <v>2</v>
      </c>
      <c r="G294" s="28">
        <v>1</v>
      </c>
      <c r="H294" s="28">
        <v>81433</v>
      </c>
      <c r="I294" s="28" t="s">
        <v>17</v>
      </c>
      <c r="J294" s="28">
        <v>66164336</v>
      </c>
      <c r="K294" s="38" t="s">
        <v>1044</v>
      </c>
      <c r="L294" t="s">
        <v>1177</v>
      </c>
      <c r="M294" s="37">
        <v>329900</v>
      </c>
      <c r="N294" s="57">
        <v>0.9</v>
      </c>
      <c r="O294" s="36">
        <f t="shared" si="4"/>
        <v>32990</v>
      </c>
      <c r="P294" s="28" t="s">
        <v>0</v>
      </c>
    </row>
    <row r="295" spans="1:16" ht="15.6" x14ac:dyDescent="0.3">
      <c r="A295" s="25" t="s">
        <v>3214</v>
      </c>
      <c r="B295" s="26">
        <v>46108</v>
      </c>
      <c r="C295" s="26">
        <v>46113</v>
      </c>
      <c r="D295" s="25">
        <v>3319</v>
      </c>
      <c r="E295" s="25">
        <v>327</v>
      </c>
      <c r="F295" s="25">
        <v>2</v>
      </c>
      <c r="G295" s="28">
        <v>1</v>
      </c>
      <c r="H295" s="28">
        <v>81433</v>
      </c>
      <c r="I295" s="28" t="s">
        <v>17</v>
      </c>
      <c r="J295" s="28">
        <v>66164327</v>
      </c>
      <c r="K295" s="38" t="s">
        <v>1044</v>
      </c>
      <c r="L295" t="s">
        <v>1178</v>
      </c>
      <c r="M295" s="37">
        <v>329900</v>
      </c>
      <c r="N295" s="57">
        <v>0.9</v>
      </c>
      <c r="O295" s="36">
        <f t="shared" si="4"/>
        <v>32990</v>
      </c>
      <c r="P295" s="28" t="s">
        <v>0</v>
      </c>
    </row>
    <row r="296" spans="1:16" ht="15.6" x14ac:dyDescent="0.3">
      <c r="A296" s="25" t="s">
        <v>3214</v>
      </c>
      <c r="B296" s="26">
        <v>46108</v>
      </c>
      <c r="C296" s="26">
        <v>46113</v>
      </c>
      <c r="D296" s="25">
        <v>3319</v>
      </c>
      <c r="E296" s="25">
        <v>327</v>
      </c>
      <c r="F296" s="25">
        <v>2</v>
      </c>
      <c r="G296" s="28">
        <v>1</v>
      </c>
      <c r="H296" s="28">
        <v>81433</v>
      </c>
      <c r="I296" s="28" t="s">
        <v>17</v>
      </c>
      <c r="J296" s="28">
        <v>66164318</v>
      </c>
      <c r="K296" s="38" t="s">
        <v>1044</v>
      </c>
      <c r="L296" t="s">
        <v>1179</v>
      </c>
      <c r="M296" s="37">
        <v>329900</v>
      </c>
      <c r="N296" s="57">
        <v>0.9</v>
      </c>
      <c r="O296" s="36">
        <f t="shared" si="4"/>
        <v>32990</v>
      </c>
      <c r="P296" s="28" t="s">
        <v>0</v>
      </c>
    </row>
    <row r="297" spans="1:16" ht="15.6" x14ac:dyDescent="0.3">
      <c r="A297" s="25" t="s">
        <v>3214</v>
      </c>
      <c r="B297" s="26">
        <v>46108</v>
      </c>
      <c r="C297" s="26">
        <v>46113</v>
      </c>
      <c r="D297" s="25">
        <v>3319</v>
      </c>
      <c r="E297" s="25">
        <v>327</v>
      </c>
      <c r="F297" s="25">
        <v>2</v>
      </c>
      <c r="G297" s="28">
        <v>1</v>
      </c>
      <c r="H297" s="28">
        <v>81433</v>
      </c>
      <c r="I297" s="28" t="s">
        <v>17</v>
      </c>
      <c r="J297" s="28">
        <v>66164345</v>
      </c>
      <c r="K297" s="38" t="s">
        <v>1044</v>
      </c>
      <c r="L297" t="s">
        <v>1180</v>
      </c>
      <c r="M297" s="37">
        <v>329900</v>
      </c>
      <c r="N297" s="57">
        <v>0.9</v>
      </c>
      <c r="O297" s="36">
        <f t="shared" si="4"/>
        <v>32990</v>
      </c>
      <c r="P297" s="28" t="s">
        <v>0</v>
      </c>
    </row>
    <row r="298" spans="1:16" ht="15.6" x14ac:dyDescent="0.3">
      <c r="A298" s="25" t="s">
        <v>3214</v>
      </c>
      <c r="B298" s="26">
        <v>46108</v>
      </c>
      <c r="C298" s="26">
        <v>46113</v>
      </c>
      <c r="D298" s="25">
        <v>3319</v>
      </c>
      <c r="E298" s="25">
        <v>327</v>
      </c>
      <c r="F298" s="25">
        <v>2</v>
      </c>
      <c r="G298" s="28">
        <v>1</v>
      </c>
      <c r="H298" s="28">
        <v>81433</v>
      </c>
      <c r="I298" s="28" t="s">
        <v>17</v>
      </c>
      <c r="J298" s="28">
        <v>41145466</v>
      </c>
      <c r="K298" s="38" t="s">
        <v>1181</v>
      </c>
      <c r="L298" t="s">
        <v>1182</v>
      </c>
      <c r="M298" s="37">
        <v>219900</v>
      </c>
      <c r="N298" s="57">
        <v>0.9</v>
      </c>
      <c r="O298" s="36">
        <f t="shared" si="4"/>
        <v>21990</v>
      </c>
      <c r="P298" s="28" t="s">
        <v>0</v>
      </c>
    </row>
    <row r="299" spans="1:16" ht="15.6" x14ac:dyDescent="0.3">
      <c r="A299" s="25" t="s">
        <v>3214</v>
      </c>
      <c r="B299" s="26">
        <v>46108</v>
      </c>
      <c r="C299" s="26">
        <v>46113</v>
      </c>
      <c r="D299" s="25">
        <v>3319</v>
      </c>
      <c r="E299" s="25">
        <v>327</v>
      </c>
      <c r="F299" s="25">
        <v>2</v>
      </c>
      <c r="G299" s="28">
        <v>1</v>
      </c>
      <c r="H299" s="28">
        <v>81433</v>
      </c>
      <c r="I299" s="28" t="s">
        <v>17</v>
      </c>
      <c r="J299" s="28">
        <v>41145475</v>
      </c>
      <c r="K299" s="38" t="s">
        <v>1181</v>
      </c>
      <c r="L299" t="s">
        <v>1183</v>
      </c>
      <c r="M299" s="37">
        <v>219900</v>
      </c>
      <c r="N299" s="57">
        <v>0.9</v>
      </c>
      <c r="O299" s="36">
        <f t="shared" si="4"/>
        <v>21990</v>
      </c>
      <c r="P299" s="28" t="s">
        <v>0</v>
      </c>
    </row>
    <row r="300" spans="1:16" ht="15.6" x14ac:dyDescent="0.3">
      <c r="A300" s="25" t="s">
        <v>3214</v>
      </c>
      <c r="B300" s="26">
        <v>46108</v>
      </c>
      <c r="C300" s="26">
        <v>46113</v>
      </c>
      <c r="D300" s="25">
        <v>3319</v>
      </c>
      <c r="E300" s="25">
        <v>327</v>
      </c>
      <c r="F300" s="25">
        <v>2</v>
      </c>
      <c r="G300" s="28">
        <v>1</v>
      </c>
      <c r="H300" s="28">
        <v>81433</v>
      </c>
      <c r="I300" s="28" t="s">
        <v>17</v>
      </c>
      <c r="J300" s="28">
        <v>41140532</v>
      </c>
      <c r="K300" s="38" t="s">
        <v>1184</v>
      </c>
      <c r="L300" t="s">
        <v>1185</v>
      </c>
      <c r="M300" s="37">
        <v>219900</v>
      </c>
      <c r="N300" s="57">
        <v>0.9</v>
      </c>
      <c r="O300" s="36">
        <f t="shared" si="4"/>
        <v>21990</v>
      </c>
      <c r="P300" s="28" t="s">
        <v>0</v>
      </c>
    </row>
    <row r="301" spans="1:16" ht="15.6" x14ac:dyDescent="0.3">
      <c r="A301" s="25" t="s">
        <v>3214</v>
      </c>
      <c r="B301" s="26">
        <v>46108</v>
      </c>
      <c r="C301" s="26">
        <v>46113</v>
      </c>
      <c r="D301" s="25">
        <v>3319</v>
      </c>
      <c r="E301" s="25">
        <v>327</v>
      </c>
      <c r="F301" s="25">
        <v>2</v>
      </c>
      <c r="G301" s="28">
        <v>1</v>
      </c>
      <c r="H301" s="28">
        <v>81433</v>
      </c>
      <c r="I301" s="28" t="s">
        <v>17</v>
      </c>
      <c r="J301" s="28">
        <v>41145484</v>
      </c>
      <c r="K301" s="38" t="s">
        <v>1181</v>
      </c>
      <c r="L301" t="s">
        <v>1186</v>
      </c>
      <c r="M301" s="37">
        <v>219900</v>
      </c>
      <c r="N301" s="57">
        <v>0.9</v>
      </c>
      <c r="O301" s="36">
        <f t="shared" si="4"/>
        <v>21990</v>
      </c>
      <c r="P301" s="28" t="s">
        <v>0</v>
      </c>
    </row>
    <row r="302" spans="1:16" ht="15.6" x14ac:dyDescent="0.3">
      <c r="A302" s="25" t="s">
        <v>3214</v>
      </c>
      <c r="B302" s="26">
        <v>46108</v>
      </c>
      <c r="C302" s="26">
        <v>46113</v>
      </c>
      <c r="D302" s="25">
        <v>3319</v>
      </c>
      <c r="E302" s="25">
        <v>327</v>
      </c>
      <c r="F302" s="25">
        <v>2</v>
      </c>
      <c r="G302" s="28">
        <v>1</v>
      </c>
      <c r="H302" s="28">
        <v>81433</v>
      </c>
      <c r="I302" s="28" t="s">
        <v>17</v>
      </c>
      <c r="J302" s="28">
        <v>41140550</v>
      </c>
      <c r="K302" s="38" t="s">
        <v>1184</v>
      </c>
      <c r="L302" t="s">
        <v>1187</v>
      </c>
      <c r="M302" s="37">
        <v>219900</v>
      </c>
      <c r="N302" s="57">
        <v>0.9</v>
      </c>
      <c r="O302" s="36">
        <f t="shared" si="4"/>
        <v>21990</v>
      </c>
      <c r="P302" s="28" t="s">
        <v>0</v>
      </c>
    </row>
    <row r="303" spans="1:16" ht="15.6" x14ac:dyDescent="0.3">
      <c r="A303" s="25" t="s">
        <v>3214</v>
      </c>
      <c r="B303" s="26">
        <v>46108</v>
      </c>
      <c r="C303" s="26">
        <v>46113</v>
      </c>
      <c r="D303" s="25">
        <v>3319</v>
      </c>
      <c r="E303" s="25">
        <v>327</v>
      </c>
      <c r="F303" s="25">
        <v>2</v>
      </c>
      <c r="G303" s="28">
        <v>1</v>
      </c>
      <c r="H303" s="28">
        <v>81433</v>
      </c>
      <c r="I303" s="28" t="s">
        <v>17</v>
      </c>
      <c r="J303" s="28">
        <v>41140569</v>
      </c>
      <c r="K303" s="38" t="s">
        <v>1184</v>
      </c>
      <c r="L303" t="s">
        <v>1188</v>
      </c>
      <c r="M303" s="37">
        <v>219900</v>
      </c>
      <c r="N303" s="57">
        <v>0.9</v>
      </c>
      <c r="O303" s="36">
        <f t="shared" si="4"/>
        <v>21990</v>
      </c>
      <c r="P303" s="28" t="s">
        <v>0</v>
      </c>
    </row>
    <row r="304" spans="1:16" ht="15.6" x14ac:dyDescent="0.3">
      <c r="A304" s="25" t="s">
        <v>3214</v>
      </c>
      <c r="B304" s="26">
        <v>46108</v>
      </c>
      <c r="C304" s="26">
        <v>46113</v>
      </c>
      <c r="D304" s="25">
        <v>3319</v>
      </c>
      <c r="E304" s="25">
        <v>327</v>
      </c>
      <c r="F304" s="25">
        <v>2</v>
      </c>
      <c r="G304" s="28">
        <v>1</v>
      </c>
      <c r="H304" s="28">
        <v>81433</v>
      </c>
      <c r="I304" s="28" t="s">
        <v>17</v>
      </c>
      <c r="J304" s="28">
        <v>41145457</v>
      </c>
      <c r="K304" s="38" t="s">
        <v>1181</v>
      </c>
      <c r="L304" t="s">
        <v>1189</v>
      </c>
      <c r="M304" s="37">
        <v>219900</v>
      </c>
      <c r="N304" s="57">
        <v>0.9</v>
      </c>
      <c r="O304" s="36">
        <f t="shared" si="4"/>
        <v>21990</v>
      </c>
      <c r="P304" s="28" t="s">
        <v>0</v>
      </c>
    </row>
    <row r="305" spans="1:16" ht="15.6" x14ac:dyDescent="0.3">
      <c r="A305" s="25" t="s">
        <v>3214</v>
      </c>
      <c r="B305" s="26">
        <v>46108</v>
      </c>
      <c r="C305" s="26">
        <v>46113</v>
      </c>
      <c r="D305" s="25">
        <v>3319</v>
      </c>
      <c r="E305" s="25">
        <v>327</v>
      </c>
      <c r="F305" s="25">
        <v>2</v>
      </c>
      <c r="G305" s="28">
        <v>1</v>
      </c>
      <c r="H305" s="28">
        <v>81433</v>
      </c>
      <c r="I305" s="28" t="s">
        <v>17</v>
      </c>
      <c r="J305" s="28">
        <v>41140541</v>
      </c>
      <c r="K305" s="38" t="s">
        <v>1184</v>
      </c>
      <c r="L305" t="s">
        <v>1190</v>
      </c>
      <c r="M305" s="37">
        <v>219900</v>
      </c>
      <c r="N305" s="57">
        <v>0.9</v>
      </c>
      <c r="O305" s="36">
        <f t="shared" si="4"/>
        <v>21990</v>
      </c>
      <c r="P305" s="28" t="s">
        <v>0</v>
      </c>
    </row>
    <row r="306" spans="1:16" ht="15.6" x14ac:dyDescent="0.3">
      <c r="A306" s="25" t="s">
        <v>3214</v>
      </c>
      <c r="B306" s="26">
        <v>46108</v>
      </c>
      <c r="C306" s="26">
        <v>46113</v>
      </c>
      <c r="D306" s="25">
        <v>3319</v>
      </c>
      <c r="E306" s="25">
        <v>327</v>
      </c>
      <c r="F306" s="25">
        <v>2</v>
      </c>
      <c r="G306" s="28">
        <v>1</v>
      </c>
      <c r="H306" s="28">
        <v>81433</v>
      </c>
      <c r="I306" s="28" t="s">
        <v>17</v>
      </c>
      <c r="J306" s="28">
        <v>41140578</v>
      </c>
      <c r="K306" s="38" t="s">
        <v>1184</v>
      </c>
      <c r="L306" t="s">
        <v>1191</v>
      </c>
      <c r="M306" s="37">
        <v>219900</v>
      </c>
      <c r="N306" s="57">
        <v>0.9</v>
      </c>
      <c r="O306" s="36">
        <f t="shared" si="4"/>
        <v>21990</v>
      </c>
      <c r="P306" s="28" t="s">
        <v>0</v>
      </c>
    </row>
    <row r="307" spans="1:16" ht="15.6" x14ac:dyDescent="0.3">
      <c r="A307" s="25" t="s">
        <v>3214</v>
      </c>
      <c r="B307" s="26">
        <v>46108</v>
      </c>
      <c r="C307" s="26">
        <v>46113</v>
      </c>
      <c r="D307" s="25">
        <v>3319</v>
      </c>
      <c r="E307" s="25">
        <v>327</v>
      </c>
      <c r="F307" s="25">
        <v>2</v>
      </c>
      <c r="G307" s="28">
        <v>1</v>
      </c>
      <c r="H307" s="28">
        <v>81433</v>
      </c>
      <c r="I307" s="28" t="s">
        <v>17</v>
      </c>
      <c r="J307" s="28">
        <v>73615102</v>
      </c>
      <c r="K307" s="38" t="s">
        <v>1192</v>
      </c>
      <c r="L307" t="s">
        <v>1193</v>
      </c>
      <c r="M307" s="37">
        <v>239900</v>
      </c>
      <c r="N307" s="57">
        <v>0.9</v>
      </c>
      <c r="O307" s="36">
        <f t="shared" si="4"/>
        <v>23990</v>
      </c>
      <c r="P307" s="28" t="s">
        <v>0</v>
      </c>
    </row>
    <row r="308" spans="1:16" ht="15.6" x14ac:dyDescent="0.3">
      <c r="A308" s="25" t="s">
        <v>3214</v>
      </c>
      <c r="B308" s="26">
        <v>46108</v>
      </c>
      <c r="C308" s="26">
        <v>46113</v>
      </c>
      <c r="D308" s="25">
        <v>3319</v>
      </c>
      <c r="E308" s="25">
        <v>327</v>
      </c>
      <c r="F308" s="25">
        <v>2</v>
      </c>
      <c r="G308" s="28">
        <v>1</v>
      </c>
      <c r="H308" s="28">
        <v>81433</v>
      </c>
      <c r="I308" s="28" t="s">
        <v>17</v>
      </c>
      <c r="J308" s="28">
        <v>73780102</v>
      </c>
      <c r="K308" s="38" t="s">
        <v>1192</v>
      </c>
      <c r="L308" t="s">
        <v>1194</v>
      </c>
      <c r="M308" s="37">
        <v>239900</v>
      </c>
      <c r="N308" s="57">
        <v>0.9</v>
      </c>
      <c r="O308" s="36">
        <f t="shared" si="4"/>
        <v>23990</v>
      </c>
      <c r="P308" s="28" t="s">
        <v>0</v>
      </c>
    </row>
    <row r="309" spans="1:16" ht="15.6" x14ac:dyDescent="0.3">
      <c r="A309" s="25" t="s">
        <v>3214</v>
      </c>
      <c r="B309" s="26">
        <v>46108</v>
      </c>
      <c r="C309" s="26">
        <v>46113</v>
      </c>
      <c r="D309" s="25">
        <v>3319</v>
      </c>
      <c r="E309" s="25">
        <v>327</v>
      </c>
      <c r="F309" s="25">
        <v>2</v>
      </c>
      <c r="G309" s="28">
        <v>1</v>
      </c>
      <c r="H309" s="28">
        <v>81433</v>
      </c>
      <c r="I309" s="28" t="s">
        <v>17</v>
      </c>
      <c r="J309" s="28">
        <v>73615095</v>
      </c>
      <c r="K309" s="38" t="s">
        <v>1192</v>
      </c>
      <c r="L309" t="s">
        <v>1195</v>
      </c>
      <c r="M309" s="37">
        <v>239900</v>
      </c>
      <c r="N309" s="57">
        <v>0.9</v>
      </c>
      <c r="O309" s="36">
        <f t="shared" si="4"/>
        <v>23990</v>
      </c>
      <c r="P309" s="28" t="s">
        <v>0</v>
      </c>
    </row>
    <row r="310" spans="1:16" ht="15.6" x14ac:dyDescent="0.3">
      <c r="A310" s="25" t="s">
        <v>3214</v>
      </c>
      <c r="B310" s="26">
        <v>46108</v>
      </c>
      <c r="C310" s="26">
        <v>46113</v>
      </c>
      <c r="D310" s="25">
        <v>3319</v>
      </c>
      <c r="E310" s="25">
        <v>327</v>
      </c>
      <c r="F310" s="25">
        <v>2</v>
      </c>
      <c r="G310" s="28">
        <v>1</v>
      </c>
      <c r="H310" s="28">
        <v>81433</v>
      </c>
      <c r="I310" s="28" t="s">
        <v>17</v>
      </c>
      <c r="J310" s="28">
        <v>73615077</v>
      </c>
      <c r="K310" s="38" t="s">
        <v>1192</v>
      </c>
      <c r="L310" t="s">
        <v>1196</v>
      </c>
      <c r="M310" s="37">
        <v>239900</v>
      </c>
      <c r="N310" s="57">
        <v>0.9</v>
      </c>
      <c r="O310" s="36">
        <f t="shared" si="4"/>
        <v>23990</v>
      </c>
      <c r="P310" s="28" t="s">
        <v>0</v>
      </c>
    </row>
    <row r="311" spans="1:16" ht="15.6" x14ac:dyDescent="0.3">
      <c r="A311" s="25" t="s">
        <v>3214</v>
      </c>
      <c r="B311" s="26">
        <v>46108</v>
      </c>
      <c r="C311" s="26">
        <v>46113</v>
      </c>
      <c r="D311" s="25">
        <v>3319</v>
      </c>
      <c r="E311" s="25">
        <v>327</v>
      </c>
      <c r="F311" s="25">
        <v>2</v>
      </c>
      <c r="G311" s="28">
        <v>1</v>
      </c>
      <c r="H311" s="28">
        <v>81433</v>
      </c>
      <c r="I311" s="28" t="s">
        <v>17</v>
      </c>
      <c r="J311" s="28">
        <v>73615086</v>
      </c>
      <c r="K311" s="38" t="s">
        <v>1192</v>
      </c>
      <c r="L311" t="s">
        <v>1197</v>
      </c>
      <c r="M311" s="37">
        <v>239900</v>
      </c>
      <c r="N311" s="57">
        <v>0.9</v>
      </c>
      <c r="O311" s="36">
        <f t="shared" si="4"/>
        <v>23990</v>
      </c>
      <c r="P311" s="28" t="s">
        <v>0</v>
      </c>
    </row>
    <row r="312" spans="1:16" ht="15.6" x14ac:dyDescent="0.3">
      <c r="A312" s="25" t="s">
        <v>3214</v>
      </c>
      <c r="B312" s="26">
        <v>46108</v>
      </c>
      <c r="C312" s="26">
        <v>46113</v>
      </c>
      <c r="D312" s="25">
        <v>3319</v>
      </c>
      <c r="E312" s="25">
        <v>327</v>
      </c>
      <c r="F312" s="25">
        <v>2</v>
      </c>
      <c r="G312" s="28">
        <v>1</v>
      </c>
      <c r="H312" s="28">
        <v>81433</v>
      </c>
      <c r="I312" s="28" t="s">
        <v>17</v>
      </c>
      <c r="J312" s="28">
        <v>73615111</v>
      </c>
      <c r="K312" s="38" t="s">
        <v>1192</v>
      </c>
      <c r="L312" t="s">
        <v>1198</v>
      </c>
      <c r="M312" s="37">
        <v>239900</v>
      </c>
      <c r="N312" s="57">
        <v>0.9</v>
      </c>
      <c r="O312" s="36">
        <f t="shared" si="4"/>
        <v>23990</v>
      </c>
      <c r="P312" s="28" t="s">
        <v>0</v>
      </c>
    </row>
    <row r="313" spans="1:16" ht="15.6" x14ac:dyDescent="0.3">
      <c r="A313" s="25" t="s">
        <v>3214</v>
      </c>
      <c r="B313" s="26">
        <v>46108</v>
      </c>
      <c r="C313" s="26">
        <v>46113</v>
      </c>
      <c r="D313" s="25">
        <v>3319</v>
      </c>
      <c r="E313" s="25">
        <v>327</v>
      </c>
      <c r="F313" s="25">
        <v>2</v>
      </c>
      <c r="G313" s="28">
        <v>1</v>
      </c>
      <c r="H313" s="28">
        <v>81433</v>
      </c>
      <c r="I313" s="28" t="s">
        <v>17</v>
      </c>
      <c r="J313" s="28">
        <v>73780086</v>
      </c>
      <c r="K313" s="38" t="s">
        <v>1192</v>
      </c>
      <c r="L313" t="s">
        <v>1199</v>
      </c>
      <c r="M313" s="37">
        <v>239900</v>
      </c>
      <c r="N313" s="57">
        <v>0.9</v>
      </c>
      <c r="O313" s="36">
        <f t="shared" si="4"/>
        <v>23990</v>
      </c>
      <c r="P313" s="28" t="s">
        <v>0</v>
      </c>
    </row>
    <row r="314" spans="1:16" ht="15.6" x14ac:dyDescent="0.3">
      <c r="A314" s="25" t="s">
        <v>3214</v>
      </c>
      <c r="B314" s="26">
        <v>46108</v>
      </c>
      <c r="C314" s="26">
        <v>46113</v>
      </c>
      <c r="D314" s="25">
        <v>3319</v>
      </c>
      <c r="E314" s="25">
        <v>327</v>
      </c>
      <c r="F314" s="25">
        <v>2</v>
      </c>
      <c r="G314" s="28">
        <v>1</v>
      </c>
      <c r="H314" s="28">
        <v>81433</v>
      </c>
      <c r="I314" s="28" t="s">
        <v>17</v>
      </c>
      <c r="J314" s="28">
        <v>73780120</v>
      </c>
      <c r="K314" s="38" t="s">
        <v>1192</v>
      </c>
      <c r="L314" t="s">
        <v>1200</v>
      </c>
      <c r="M314" s="37">
        <v>239900</v>
      </c>
      <c r="N314" s="57">
        <v>0.9</v>
      </c>
      <c r="O314" s="36">
        <f t="shared" si="4"/>
        <v>23990</v>
      </c>
      <c r="P314" s="28" t="s">
        <v>0</v>
      </c>
    </row>
    <row r="315" spans="1:16" ht="15.6" x14ac:dyDescent="0.3">
      <c r="A315" s="25" t="s">
        <v>3214</v>
      </c>
      <c r="B315" s="26">
        <v>46108</v>
      </c>
      <c r="C315" s="26">
        <v>46113</v>
      </c>
      <c r="D315" s="25">
        <v>3319</v>
      </c>
      <c r="E315" s="25">
        <v>327</v>
      </c>
      <c r="F315" s="25">
        <v>2</v>
      </c>
      <c r="G315" s="28">
        <v>1</v>
      </c>
      <c r="H315" s="28">
        <v>81433</v>
      </c>
      <c r="I315" s="28" t="s">
        <v>17</v>
      </c>
      <c r="J315" s="28">
        <v>73780095</v>
      </c>
      <c r="K315" s="38" t="s">
        <v>1192</v>
      </c>
      <c r="L315" t="s">
        <v>1201</v>
      </c>
      <c r="M315" s="37">
        <v>239900</v>
      </c>
      <c r="N315" s="57">
        <v>0.9</v>
      </c>
      <c r="O315" s="36">
        <f t="shared" si="4"/>
        <v>23990</v>
      </c>
      <c r="P315" s="28" t="s">
        <v>0</v>
      </c>
    </row>
    <row r="316" spans="1:16" ht="15.6" x14ac:dyDescent="0.3">
      <c r="A316" s="25" t="s">
        <v>3214</v>
      </c>
      <c r="B316" s="26">
        <v>46108</v>
      </c>
      <c r="C316" s="26">
        <v>46113</v>
      </c>
      <c r="D316" s="25">
        <v>3319</v>
      </c>
      <c r="E316" s="25">
        <v>327</v>
      </c>
      <c r="F316" s="25">
        <v>2</v>
      </c>
      <c r="G316" s="28">
        <v>1</v>
      </c>
      <c r="H316" s="28">
        <v>81433</v>
      </c>
      <c r="I316" s="28" t="s">
        <v>17</v>
      </c>
      <c r="J316" s="28">
        <v>73615531</v>
      </c>
      <c r="K316" s="38" t="s">
        <v>1202</v>
      </c>
      <c r="L316" t="s">
        <v>1203</v>
      </c>
      <c r="M316" s="37">
        <v>219900</v>
      </c>
      <c r="N316" s="57">
        <v>0.9</v>
      </c>
      <c r="O316" s="36">
        <f t="shared" si="4"/>
        <v>21990</v>
      </c>
      <c r="P316" s="28" t="s">
        <v>0</v>
      </c>
    </row>
    <row r="317" spans="1:16" ht="15.6" x14ac:dyDescent="0.3">
      <c r="A317" s="25" t="s">
        <v>3214</v>
      </c>
      <c r="B317" s="26">
        <v>46108</v>
      </c>
      <c r="C317" s="26">
        <v>46113</v>
      </c>
      <c r="D317" s="25">
        <v>3319</v>
      </c>
      <c r="E317" s="25">
        <v>327</v>
      </c>
      <c r="F317" s="25">
        <v>2</v>
      </c>
      <c r="G317" s="28">
        <v>1</v>
      </c>
      <c r="H317" s="28">
        <v>81433</v>
      </c>
      <c r="I317" s="28" t="s">
        <v>17</v>
      </c>
      <c r="J317" s="28">
        <v>73615488</v>
      </c>
      <c r="K317" s="38" t="s">
        <v>1202</v>
      </c>
      <c r="L317" t="s">
        <v>1204</v>
      </c>
      <c r="M317" s="37">
        <v>219900</v>
      </c>
      <c r="N317" s="57">
        <v>0.9</v>
      </c>
      <c r="O317" s="36">
        <f t="shared" si="4"/>
        <v>21990</v>
      </c>
      <c r="P317" s="28" t="s">
        <v>0</v>
      </c>
    </row>
    <row r="318" spans="1:16" ht="15.6" x14ac:dyDescent="0.3">
      <c r="A318" s="25" t="s">
        <v>3214</v>
      </c>
      <c r="B318" s="26">
        <v>46108</v>
      </c>
      <c r="C318" s="26">
        <v>46113</v>
      </c>
      <c r="D318" s="25">
        <v>3319</v>
      </c>
      <c r="E318" s="25">
        <v>327</v>
      </c>
      <c r="F318" s="25">
        <v>2</v>
      </c>
      <c r="G318" s="28">
        <v>1</v>
      </c>
      <c r="H318" s="28">
        <v>81433</v>
      </c>
      <c r="I318" s="28" t="s">
        <v>17</v>
      </c>
      <c r="J318" s="28">
        <v>73615497</v>
      </c>
      <c r="K318" s="38" t="s">
        <v>1202</v>
      </c>
      <c r="L318" t="s">
        <v>1205</v>
      </c>
      <c r="M318" s="37">
        <v>219900</v>
      </c>
      <c r="N318" s="57">
        <v>0.9</v>
      </c>
      <c r="O318" s="36">
        <f t="shared" si="4"/>
        <v>21990</v>
      </c>
      <c r="P318" s="28" t="s">
        <v>0</v>
      </c>
    </row>
    <row r="319" spans="1:16" ht="15.6" x14ac:dyDescent="0.3">
      <c r="A319" s="25" t="s">
        <v>3214</v>
      </c>
      <c r="B319" s="26">
        <v>46108</v>
      </c>
      <c r="C319" s="26">
        <v>46113</v>
      </c>
      <c r="D319" s="25">
        <v>3319</v>
      </c>
      <c r="E319" s="25">
        <v>327</v>
      </c>
      <c r="F319" s="25">
        <v>2</v>
      </c>
      <c r="G319" s="28">
        <v>1</v>
      </c>
      <c r="H319" s="28">
        <v>81433</v>
      </c>
      <c r="I319" s="28" t="s">
        <v>17</v>
      </c>
      <c r="J319" s="28">
        <v>73615540</v>
      </c>
      <c r="K319" s="38" t="s">
        <v>1202</v>
      </c>
      <c r="L319" t="s">
        <v>1206</v>
      </c>
      <c r="M319" s="37">
        <v>219900</v>
      </c>
      <c r="N319" s="57">
        <v>0.9</v>
      </c>
      <c r="O319" s="36">
        <f t="shared" si="4"/>
        <v>21990</v>
      </c>
      <c r="P319" s="28" t="s">
        <v>0</v>
      </c>
    </row>
    <row r="320" spans="1:16" ht="15.6" x14ac:dyDescent="0.3">
      <c r="A320" s="25" t="s">
        <v>3214</v>
      </c>
      <c r="B320" s="26">
        <v>46108</v>
      </c>
      <c r="C320" s="26">
        <v>46113</v>
      </c>
      <c r="D320" s="25">
        <v>3319</v>
      </c>
      <c r="E320" s="25">
        <v>327</v>
      </c>
      <c r="F320" s="25">
        <v>2</v>
      </c>
      <c r="G320" s="28">
        <v>1</v>
      </c>
      <c r="H320" s="28">
        <v>81433</v>
      </c>
      <c r="I320" s="28" t="s">
        <v>17</v>
      </c>
      <c r="J320" s="28">
        <v>73615559</v>
      </c>
      <c r="K320" s="38" t="s">
        <v>1202</v>
      </c>
      <c r="L320" t="s">
        <v>1207</v>
      </c>
      <c r="M320" s="37">
        <v>219900</v>
      </c>
      <c r="N320" s="57">
        <v>0.9</v>
      </c>
      <c r="O320" s="36">
        <f t="shared" si="4"/>
        <v>21990</v>
      </c>
      <c r="P320" s="28" t="s">
        <v>0</v>
      </c>
    </row>
    <row r="321" spans="1:16" ht="15.6" x14ac:dyDescent="0.3">
      <c r="A321" s="25" t="s">
        <v>3214</v>
      </c>
      <c r="B321" s="26">
        <v>46108</v>
      </c>
      <c r="C321" s="26">
        <v>46113</v>
      </c>
      <c r="D321" s="25">
        <v>3319</v>
      </c>
      <c r="E321" s="25">
        <v>327</v>
      </c>
      <c r="F321" s="25">
        <v>2</v>
      </c>
      <c r="G321" s="28">
        <v>1</v>
      </c>
      <c r="H321" s="28">
        <v>81433</v>
      </c>
      <c r="I321" s="28" t="s">
        <v>17</v>
      </c>
      <c r="J321" s="28">
        <v>73615513</v>
      </c>
      <c r="K321" s="38" t="s">
        <v>1202</v>
      </c>
      <c r="L321" t="s">
        <v>1208</v>
      </c>
      <c r="M321" s="37">
        <v>219900</v>
      </c>
      <c r="N321" s="57">
        <v>0.9</v>
      </c>
      <c r="O321" s="36">
        <f t="shared" si="4"/>
        <v>21990</v>
      </c>
      <c r="P321" s="28" t="s">
        <v>0</v>
      </c>
    </row>
    <row r="322" spans="1:16" ht="15.6" x14ac:dyDescent="0.3">
      <c r="A322" s="25" t="s">
        <v>3214</v>
      </c>
      <c r="B322" s="26">
        <v>46108</v>
      </c>
      <c r="C322" s="26">
        <v>46113</v>
      </c>
      <c r="D322" s="25">
        <v>3319</v>
      </c>
      <c r="E322" s="25">
        <v>327</v>
      </c>
      <c r="F322" s="25">
        <v>2</v>
      </c>
      <c r="G322" s="28">
        <v>1</v>
      </c>
      <c r="H322" s="28">
        <v>81433</v>
      </c>
      <c r="I322" s="28" t="s">
        <v>17</v>
      </c>
      <c r="J322" s="28">
        <v>73615460</v>
      </c>
      <c r="K322" s="38" t="s">
        <v>1202</v>
      </c>
      <c r="L322" t="s">
        <v>1209</v>
      </c>
      <c r="M322" s="37">
        <v>219900</v>
      </c>
      <c r="N322" s="57">
        <v>0.9</v>
      </c>
      <c r="O322" s="36">
        <f t="shared" si="4"/>
        <v>21990</v>
      </c>
      <c r="P322" s="28" t="s">
        <v>0</v>
      </c>
    </row>
    <row r="323" spans="1:16" ht="15.6" x14ac:dyDescent="0.3">
      <c r="A323" s="25" t="s">
        <v>3214</v>
      </c>
      <c r="B323" s="26">
        <v>46108</v>
      </c>
      <c r="C323" s="26">
        <v>46113</v>
      </c>
      <c r="D323" s="25">
        <v>3319</v>
      </c>
      <c r="E323" s="25">
        <v>327</v>
      </c>
      <c r="F323" s="25">
        <v>2</v>
      </c>
      <c r="G323" s="28">
        <v>1</v>
      </c>
      <c r="H323" s="28">
        <v>81433</v>
      </c>
      <c r="I323" s="28" t="s">
        <v>17</v>
      </c>
      <c r="J323" s="28">
        <v>73615504</v>
      </c>
      <c r="K323" s="38" t="s">
        <v>1202</v>
      </c>
      <c r="L323" t="s">
        <v>1210</v>
      </c>
      <c r="M323" s="37">
        <v>219900</v>
      </c>
      <c r="N323" s="57">
        <v>0.9</v>
      </c>
      <c r="O323" s="36">
        <f t="shared" ref="O323:O374" si="5">M323*10%</f>
        <v>21990</v>
      </c>
      <c r="P323" s="28" t="s">
        <v>0</v>
      </c>
    </row>
    <row r="324" spans="1:16" ht="15.6" x14ac:dyDescent="0.3">
      <c r="A324" s="25" t="s">
        <v>3214</v>
      </c>
      <c r="B324" s="26">
        <v>46108</v>
      </c>
      <c r="C324" s="26">
        <v>46113</v>
      </c>
      <c r="D324" s="25">
        <v>3319</v>
      </c>
      <c r="E324" s="25">
        <v>327</v>
      </c>
      <c r="F324" s="25">
        <v>2</v>
      </c>
      <c r="G324" s="28">
        <v>1</v>
      </c>
      <c r="H324" s="28">
        <v>81433</v>
      </c>
      <c r="I324" s="28" t="s">
        <v>17</v>
      </c>
      <c r="J324" s="28">
        <v>73615479</v>
      </c>
      <c r="K324" s="38" t="s">
        <v>1202</v>
      </c>
      <c r="L324" t="s">
        <v>1211</v>
      </c>
      <c r="M324" s="37">
        <v>219900</v>
      </c>
      <c r="N324" s="57">
        <v>0.9</v>
      </c>
      <c r="O324" s="36">
        <f t="shared" si="5"/>
        <v>21990</v>
      </c>
      <c r="P324" s="28" t="s">
        <v>0</v>
      </c>
    </row>
    <row r="325" spans="1:16" ht="15.6" x14ac:dyDescent="0.3">
      <c r="A325" s="25" t="s">
        <v>3214</v>
      </c>
      <c r="B325" s="26">
        <v>46108</v>
      </c>
      <c r="C325" s="26">
        <v>46113</v>
      </c>
      <c r="D325" s="25">
        <v>3319</v>
      </c>
      <c r="E325" s="25">
        <v>327</v>
      </c>
      <c r="F325" s="25">
        <v>2</v>
      </c>
      <c r="G325" s="28">
        <v>1</v>
      </c>
      <c r="H325" s="28">
        <v>81433</v>
      </c>
      <c r="I325" s="28" t="s">
        <v>17</v>
      </c>
      <c r="J325" s="28">
        <v>73615522</v>
      </c>
      <c r="K325" s="38" t="s">
        <v>1202</v>
      </c>
      <c r="L325" t="s">
        <v>1212</v>
      </c>
      <c r="M325" s="37">
        <v>219900</v>
      </c>
      <c r="N325" s="57">
        <v>0.9</v>
      </c>
      <c r="O325" s="36">
        <f t="shared" si="5"/>
        <v>21990</v>
      </c>
      <c r="P325" s="28" t="s">
        <v>0</v>
      </c>
    </row>
    <row r="326" spans="1:16" ht="15.6" x14ac:dyDescent="0.3">
      <c r="A326" s="25" t="s">
        <v>3214</v>
      </c>
      <c r="B326" s="26">
        <v>46108</v>
      </c>
      <c r="C326" s="26">
        <v>46113</v>
      </c>
      <c r="D326" s="25">
        <v>3319</v>
      </c>
      <c r="E326" s="25">
        <v>327</v>
      </c>
      <c r="F326" s="25">
        <v>2</v>
      </c>
      <c r="G326" s="28">
        <v>1</v>
      </c>
      <c r="H326" s="28">
        <v>81433</v>
      </c>
      <c r="I326" s="28" t="s">
        <v>17</v>
      </c>
      <c r="J326" s="28">
        <v>73780111</v>
      </c>
      <c r="K326" s="38" t="s">
        <v>1192</v>
      </c>
      <c r="L326" t="s">
        <v>1213</v>
      </c>
      <c r="M326" s="37">
        <v>239900</v>
      </c>
      <c r="N326" s="57">
        <v>0.9</v>
      </c>
      <c r="O326" s="36">
        <f t="shared" si="5"/>
        <v>23990</v>
      </c>
      <c r="P326" s="28" t="s">
        <v>0</v>
      </c>
    </row>
    <row r="327" spans="1:16" ht="15.6" x14ac:dyDescent="0.3">
      <c r="A327" s="25" t="s">
        <v>3214</v>
      </c>
      <c r="B327" s="26">
        <v>46108</v>
      </c>
      <c r="C327" s="26">
        <v>46113</v>
      </c>
      <c r="D327" s="25">
        <v>3319</v>
      </c>
      <c r="E327" s="25">
        <v>327</v>
      </c>
      <c r="F327" s="25">
        <v>2</v>
      </c>
      <c r="G327" s="28">
        <v>1</v>
      </c>
      <c r="H327" s="28">
        <v>81433</v>
      </c>
      <c r="I327" s="28" t="s">
        <v>17</v>
      </c>
      <c r="J327" s="28">
        <v>73616110</v>
      </c>
      <c r="K327" s="38" t="s">
        <v>1214</v>
      </c>
      <c r="L327" t="s">
        <v>1215</v>
      </c>
      <c r="M327" s="37">
        <v>239900</v>
      </c>
      <c r="N327" s="57">
        <v>0.9</v>
      </c>
      <c r="O327" s="36">
        <f t="shared" si="5"/>
        <v>23990</v>
      </c>
      <c r="P327" s="28" t="s">
        <v>0</v>
      </c>
    </row>
    <row r="328" spans="1:16" ht="15.6" x14ac:dyDescent="0.3">
      <c r="A328" s="25" t="s">
        <v>3214</v>
      </c>
      <c r="B328" s="26">
        <v>46108</v>
      </c>
      <c r="C328" s="26">
        <v>46113</v>
      </c>
      <c r="D328" s="25">
        <v>3319</v>
      </c>
      <c r="E328" s="25">
        <v>327</v>
      </c>
      <c r="F328" s="25">
        <v>2</v>
      </c>
      <c r="G328" s="28">
        <v>1</v>
      </c>
      <c r="H328" s="28">
        <v>81433</v>
      </c>
      <c r="I328" s="28" t="s">
        <v>17</v>
      </c>
      <c r="J328" s="28">
        <v>73616183</v>
      </c>
      <c r="K328" s="38" t="s">
        <v>1214</v>
      </c>
      <c r="L328" t="s">
        <v>1216</v>
      </c>
      <c r="M328" s="37">
        <v>239900</v>
      </c>
      <c r="N328" s="57">
        <v>0.9</v>
      </c>
      <c r="O328" s="36">
        <f t="shared" si="5"/>
        <v>23990</v>
      </c>
      <c r="P328" s="28" t="s">
        <v>0</v>
      </c>
    </row>
    <row r="329" spans="1:16" ht="15.6" x14ac:dyDescent="0.3">
      <c r="A329" s="25" t="s">
        <v>3214</v>
      </c>
      <c r="B329" s="26">
        <v>46108</v>
      </c>
      <c r="C329" s="26">
        <v>46113</v>
      </c>
      <c r="D329" s="25">
        <v>3319</v>
      </c>
      <c r="E329" s="25">
        <v>327</v>
      </c>
      <c r="F329" s="25">
        <v>2</v>
      </c>
      <c r="G329" s="28">
        <v>1</v>
      </c>
      <c r="H329" s="28">
        <v>81433</v>
      </c>
      <c r="I329" s="28" t="s">
        <v>17</v>
      </c>
      <c r="J329" s="28">
        <v>73616165</v>
      </c>
      <c r="K329" s="38" t="s">
        <v>1214</v>
      </c>
      <c r="L329" t="s">
        <v>1217</v>
      </c>
      <c r="M329" s="37">
        <v>239900</v>
      </c>
      <c r="N329" s="57">
        <v>0.9</v>
      </c>
      <c r="O329" s="36">
        <f t="shared" si="5"/>
        <v>23990</v>
      </c>
      <c r="P329" s="28" t="s">
        <v>0</v>
      </c>
    </row>
    <row r="330" spans="1:16" ht="15.6" x14ac:dyDescent="0.3">
      <c r="A330" s="25" t="s">
        <v>3214</v>
      </c>
      <c r="B330" s="26">
        <v>46108</v>
      </c>
      <c r="C330" s="26">
        <v>46113</v>
      </c>
      <c r="D330" s="25">
        <v>3319</v>
      </c>
      <c r="E330" s="25">
        <v>327</v>
      </c>
      <c r="F330" s="25">
        <v>2</v>
      </c>
      <c r="G330" s="28">
        <v>1</v>
      </c>
      <c r="H330" s="28">
        <v>81433</v>
      </c>
      <c r="I330" s="28" t="s">
        <v>17</v>
      </c>
      <c r="J330" s="28">
        <v>73616174</v>
      </c>
      <c r="K330" s="38" t="s">
        <v>1214</v>
      </c>
      <c r="L330" t="s">
        <v>1218</v>
      </c>
      <c r="M330" s="37">
        <v>239900</v>
      </c>
      <c r="N330" s="57">
        <v>0.9</v>
      </c>
      <c r="O330" s="36">
        <f t="shared" si="5"/>
        <v>23990</v>
      </c>
      <c r="P330" s="28" t="s">
        <v>0</v>
      </c>
    </row>
    <row r="331" spans="1:16" ht="15.6" x14ac:dyDescent="0.3">
      <c r="A331" s="25" t="s">
        <v>3214</v>
      </c>
      <c r="B331" s="26">
        <v>46108</v>
      </c>
      <c r="C331" s="26">
        <v>46113</v>
      </c>
      <c r="D331" s="25">
        <v>3319</v>
      </c>
      <c r="E331" s="25">
        <v>327</v>
      </c>
      <c r="F331" s="25">
        <v>2</v>
      </c>
      <c r="G331" s="28">
        <v>1</v>
      </c>
      <c r="H331" s="28">
        <v>81433</v>
      </c>
      <c r="I331" s="28" t="s">
        <v>17</v>
      </c>
      <c r="J331" s="28">
        <v>73616138</v>
      </c>
      <c r="K331" s="38" t="s">
        <v>1214</v>
      </c>
      <c r="L331" t="s">
        <v>1219</v>
      </c>
      <c r="M331" s="37">
        <v>239900</v>
      </c>
      <c r="N331" s="57">
        <v>0.9</v>
      </c>
      <c r="O331" s="36">
        <f t="shared" si="5"/>
        <v>23990</v>
      </c>
      <c r="P331" s="28" t="s">
        <v>0</v>
      </c>
    </row>
    <row r="332" spans="1:16" ht="15.6" x14ac:dyDescent="0.3">
      <c r="A332" s="25" t="s">
        <v>3214</v>
      </c>
      <c r="B332" s="26">
        <v>46108</v>
      </c>
      <c r="C332" s="26">
        <v>46113</v>
      </c>
      <c r="D332" s="25">
        <v>3319</v>
      </c>
      <c r="E332" s="25">
        <v>327</v>
      </c>
      <c r="F332" s="25">
        <v>2</v>
      </c>
      <c r="G332" s="28">
        <v>1</v>
      </c>
      <c r="H332" s="28">
        <v>81433</v>
      </c>
      <c r="I332" s="28" t="s">
        <v>17</v>
      </c>
      <c r="J332" s="28">
        <v>73616129</v>
      </c>
      <c r="K332" s="38" t="s">
        <v>1214</v>
      </c>
      <c r="L332" t="s">
        <v>1220</v>
      </c>
      <c r="M332" s="37">
        <v>239900</v>
      </c>
      <c r="N332" s="57">
        <v>0.9</v>
      </c>
      <c r="O332" s="36">
        <f t="shared" si="5"/>
        <v>23990</v>
      </c>
      <c r="P332" s="28" t="s">
        <v>0</v>
      </c>
    </row>
    <row r="333" spans="1:16" ht="15.6" x14ac:dyDescent="0.3">
      <c r="A333" s="25" t="s">
        <v>3214</v>
      </c>
      <c r="B333" s="26">
        <v>46108</v>
      </c>
      <c r="C333" s="26">
        <v>46113</v>
      </c>
      <c r="D333" s="25">
        <v>3319</v>
      </c>
      <c r="E333" s="25">
        <v>327</v>
      </c>
      <c r="F333" s="25">
        <v>2</v>
      </c>
      <c r="G333" s="28">
        <v>1</v>
      </c>
      <c r="H333" s="28">
        <v>81433</v>
      </c>
      <c r="I333" s="28" t="s">
        <v>17</v>
      </c>
      <c r="J333" s="28">
        <v>73616209</v>
      </c>
      <c r="K333" s="38" t="s">
        <v>1214</v>
      </c>
      <c r="L333" t="s">
        <v>1221</v>
      </c>
      <c r="M333" s="37">
        <v>239900</v>
      </c>
      <c r="N333" s="57">
        <v>0.9</v>
      </c>
      <c r="O333" s="36">
        <f t="shared" si="5"/>
        <v>23990</v>
      </c>
      <c r="P333" s="28" t="s">
        <v>0</v>
      </c>
    </row>
    <row r="334" spans="1:16" ht="15.6" x14ac:dyDescent="0.3">
      <c r="A334" s="25" t="s">
        <v>3214</v>
      </c>
      <c r="B334" s="26">
        <v>46108</v>
      </c>
      <c r="C334" s="26">
        <v>46113</v>
      </c>
      <c r="D334" s="25">
        <v>3319</v>
      </c>
      <c r="E334" s="25">
        <v>327</v>
      </c>
      <c r="F334" s="25">
        <v>2</v>
      </c>
      <c r="G334" s="28">
        <v>1</v>
      </c>
      <c r="H334" s="28">
        <v>81433</v>
      </c>
      <c r="I334" s="28" t="s">
        <v>17</v>
      </c>
      <c r="J334" s="28">
        <v>73616147</v>
      </c>
      <c r="K334" s="38" t="s">
        <v>1214</v>
      </c>
      <c r="L334" t="s">
        <v>1222</v>
      </c>
      <c r="M334" s="37">
        <v>239900</v>
      </c>
      <c r="N334" s="57">
        <v>0.9</v>
      </c>
      <c r="O334" s="36">
        <f t="shared" si="5"/>
        <v>23990</v>
      </c>
      <c r="P334" s="28" t="s">
        <v>0</v>
      </c>
    </row>
    <row r="335" spans="1:16" ht="15.6" x14ac:dyDescent="0.3">
      <c r="A335" s="25" t="s">
        <v>3214</v>
      </c>
      <c r="B335" s="26">
        <v>46108</v>
      </c>
      <c r="C335" s="26">
        <v>46113</v>
      </c>
      <c r="D335" s="25">
        <v>3319</v>
      </c>
      <c r="E335" s="25">
        <v>327</v>
      </c>
      <c r="F335" s="25">
        <v>2</v>
      </c>
      <c r="G335" s="28">
        <v>1</v>
      </c>
      <c r="H335" s="28">
        <v>81433</v>
      </c>
      <c r="I335" s="28" t="s">
        <v>17</v>
      </c>
      <c r="J335" s="28">
        <v>73616192</v>
      </c>
      <c r="K335" s="38" t="s">
        <v>1214</v>
      </c>
      <c r="L335" t="s">
        <v>1223</v>
      </c>
      <c r="M335" s="37">
        <v>239900</v>
      </c>
      <c r="N335" s="57">
        <v>0.9</v>
      </c>
      <c r="O335" s="36">
        <f t="shared" si="5"/>
        <v>23990</v>
      </c>
      <c r="P335" s="28" t="s">
        <v>0</v>
      </c>
    </row>
    <row r="336" spans="1:16" ht="15.6" x14ac:dyDescent="0.3">
      <c r="A336" s="25" t="s">
        <v>3214</v>
      </c>
      <c r="B336" s="26">
        <v>46108</v>
      </c>
      <c r="C336" s="26">
        <v>46113</v>
      </c>
      <c r="D336" s="25">
        <v>3319</v>
      </c>
      <c r="E336" s="25">
        <v>327</v>
      </c>
      <c r="F336" s="25">
        <v>2</v>
      </c>
      <c r="G336" s="28">
        <v>1</v>
      </c>
      <c r="H336" s="28">
        <v>81433</v>
      </c>
      <c r="I336" s="28" t="s">
        <v>17</v>
      </c>
      <c r="J336" s="28">
        <v>73616156</v>
      </c>
      <c r="K336" s="38" t="s">
        <v>1214</v>
      </c>
      <c r="L336" t="s">
        <v>1224</v>
      </c>
      <c r="M336" s="37">
        <v>239900</v>
      </c>
      <c r="N336" s="57">
        <v>0.9</v>
      </c>
      <c r="O336" s="36">
        <f t="shared" si="5"/>
        <v>23990</v>
      </c>
      <c r="P336" s="28" t="s">
        <v>0</v>
      </c>
    </row>
    <row r="337" spans="1:16" ht="15.6" x14ac:dyDescent="0.3">
      <c r="A337" s="25" t="s">
        <v>3214</v>
      </c>
      <c r="B337" s="26">
        <v>46108</v>
      </c>
      <c r="C337" s="26">
        <v>46113</v>
      </c>
      <c r="D337" s="25">
        <v>3319</v>
      </c>
      <c r="E337" s="25">
        <v>327</v>
      </c>
      <c r="F337" s="25">
        <v>2</v>
      </c>
      <c r="G337" s="28">
        <v>1</v>
      </c>
      <c r="H337" s="28">
        <v>81433</v>
      </c>
      <c r="I337" s="28" t="s">
        <v>17</v>
      </c>
      <c r="J337" s="28">
        <v>41145493</v>
      </c>
      <c r="K337" s="38" t="s">
        <v>1181</v>
      </c>
      <c r="L337" t="s">
        <v>1225</v>
      </c>
      <c r="M337" s="37">
        <v>219900</v>
      </c>
      <c r="N337" s="57">
        <v>0.9</v>
      </c>
      <c r="O337" s="36">
        <f t="shared" si="5"/>
        <v>21990</v>
      </c>
      <c r="P337" s="28" t="s">
        <v>0</v>
      </c>
    </row>
    <row r="338" spans="1:16" ht="15.6" x14ac:dyDescent="0.3">
      <c r="A338" s="25" t="s">
        <v>3214</v>
      </c>
      <c r="B338" s="26">
        <v>46108</v>
      </c>
      <c r="C338" s="26">
        <v>46113</v>
      </c>
      <c r="D338" s="25">
        <v>3319</v>
      </c>
      <c r="E338" s="25">
        <v>327</v>
      </c>
      <c r="F338" s="25">
        <v>2</v>
      </c>
      <c r="G338" s="28">
        <v>1</v>
      </c>
      <c r="H338" s="28">
        <v>80700</v>
      </c>
      <c r="I338" s="28" t="s">
        <v>17</v>
      </c>
      <c r="J338" s="28">
        <v>73576879</v>
      </c>
      <c r="K338" s="38" t="s">
        <v>1226</v>
      </c>
      <c r="L338" t="s">
        <v>1227</v>
      </c>
      <c r="M338" s="37">
        <v>139900</v>
      </c>
      <c r="N338" s="57">
        <v>0.9</v>
      </c>
      <c r="O338" s="36">
        <f t="shared" si="5"/>
        <v>13990</v>
      </c>
      <c r="P338" s="28" t="s">
        <v>0</v>
      </c>
    </row>
    <row r="339" spans="1:16" ht="15.6" x14ac:dyDescent="0.3">
      <c r="A339" s="25" t="s">
        <v>3214</v>
      </c>
      <c r="B339" s="26">
        <v>46108</v>
      </c>
      <c r="C339" s="26">
        <v>46113</v>
      </c>
      <c r="D339" s="25">
        <v>3319</v>
      </c>
      <c r="E339" s="25">
        <v>327</v>
      </c>
      <c r="F339" s="25">
        <v>2</v>
      </c>
      <c r="G339" s="28">
        <v>1</v>
      </c>
      <c r="H339" s="28">
        <v>80700</v>
      </c>
      <c r="I339" s="28" t="s">
        <v>17</v>
      </c>
      <c r="J339" s="28">
        <v>73576824</v>
      </c>
      <c r="K339" s="38" t="s">
        <v>1226</v>
      </c>
      <c r="L339" t="s">
        <v>1228</v>
      </c>
      <c r="M339" s="37">
        <v>139900</v>
      </c>
      <c r="N339" s="57">
        <v>0.9</v>
      </c>
      <c r="O339" s="36">
        <f t="shared" si="5"/>
        <v>13990</v>
      </c>
      <c r="P339" s="28" t="s">
        <v>0</v>
      </c>
    </row>
    <row r="340" spans="1:16" ht="15.6" x14ac:dyDescent="0.3">
      <c r="A340" s="25" t="s">
        <v>3214</v>
      </c>
      <c r="B340" s="26">
        <v>46108</v>
      </c>
      <c r="C340" s="26">
        <v>46113</v>
      </c>
      <c r="D340" s="25">
        <v>3319</v>
      </c>
      <c r="E340" s="25">
        <v>327</v>
      </c>
      <c r="F340" s="25">
        <v>2</v>
      </c>
      <c r="G340" s="28">
        <v>1</v>
      </c>
      <c r="H340" s="28">
        <v>80700</v>
      </c>
      <c r="I340" s="28" t="s">
        <v>17</v>
      </c>
      <c r="J340" s="28">
        <v>73576815</v>
      </c>
      <c r="K340" s="38" t="s">
        <v>1226</v>
      </c>
      <c r="L340" t="s">
        <v>1229</v>
      </c>
      <c r="M340" s="37">
        <v>139900</v>
      </c>
      <c r="N340" s="57">
        <v>0.9</v>
      </c>
      <c r="O340" s="36">
        <f t="shared" si="5"/>
        <v>13990</v>
      </c>
      <c r="P340" s="28" t="s">
        <v>0</v>
      </c>
    </row>
    <row r="341" spans="1:16" ht="15.6" x14ac:dyDescent="0.3">
      <c r="A341" s="25" t="s">
        <v>3214</v>
      </c>
      <c r="B341" s="26">
        <v>46108</v>
      </c>
      <c r="C341" s="26">
        <v>46113</v>
      </c>
      <c r="D341" s="25">
        <v>3319</v>
      </c>
      <c r="E341" s="25">
        <v>327</v>
      </c>
      <c r="F341" s="25">
        <v>2</v>
      </c>
      <c r="G341" s="28">
        <v>1</v>
      </c>
      <c r="H341" s="28">
        <v>80700</v>
      </c>
      <c r="I341" s="28" t="s">
        <v>17</v>
      </c>
      <c r="J341" s="28">
        <v>73576860</v>
      </c>
      <c r="K341" s="38" t="s">
        <v>1226</v>
      </c>
      <c r="L341" t="s">
        <v>1230</v>
      </c>
      <c r="M341" s="37">
        <v>139900</v>
      </c>
      <c r="N341" s="57">
        <v>0.9</v>
      </c>
      <c r="O341" s="36">
        <f t="shared" si="5"/>
        <v>13990</v>
      </c>
      <c r="P341" s="28" t="s">
        <v>0</v>
      </c>
    </row>
    <row r="342" spans="1:16" ht="15.6" x14ac:dyDescent="0.3">
      <c r="A342" s="25" t="s">
        <v>3214</v>
      </c>
      <c r="B342" s="26">
        <v>46108</v>
      </c>
      <c r="C342" s="26">
        <v>46113</v>
      </c>
      <c r="D342" s="25">
        <v>3319</v>
      </c>
      <c r="E342" s="25">
        <v>327</v>
      </c>
      <c r="F342" s="25">
        <v>2</v>
      </c>
      <c r="G342" s="28">
        <v>1</v>
      </c>
      <c r="H342" s="28">
        <v>80700</v>
      </c>
      <c r="I342" s="28" t="s">
        <v>17</v>
      </c>
      <c r="J342" s="28">
        <v>73576842</v>
      </c>
      <c r="K342" s="38" t="s">
        <v>1226</v>
      </c>
      <c r="L342" t="s">
        <v>1231</v>
      </c>
      <c r="M342" s="37">
        <v>139900</v>
      </c>
      <c r="N342" s="57">
        <v>0.9</v>
      </c>
      <c r="O342" s="36">
        <f t="shared" si="5"/>
        <v>13990</v>
      </c>
      <c r="P342" s="28" t="s">
        <v>0</v>
      </c>
    </row>
    <row r="343" spans="1:16" ht="15.6" x14ac:dyDescent="0.3">
      <c r="A343" s="25" t="s">
        <v>3214</v>
      </c>
      <c r="B343" s="26">
        <v>46108</v>
      </c>
      <c r="C343" s="26">
        <v>46113</v>
      </c>
      <c r="D343" s="25">
        <v>3319</v>
      </c>
      <c r="E343" s="25">
        <v>327</v>
      </c>
      <c r="F343" s="25">
        <v>2</v>
      </c>
      <c r="G343" s="28">
        <v>1</v>
      </c>
      <c r="H343" s="28">
        <v>80700</v>
      </c>
      <c r="I343" s="28" t="s">
        <v>17</v>
      </c>
      <c r="J343" s="28">
        <v>73576888</v>
      </c>
      <c r="K343" s="38" t="s">
        <v>1226</v>
      </c>
      <c r="L343" t="s">
        <v>1232</v>
      </c>
      <c r="M343" s="37">
        <v>139900</v>
      </c>
      <c r="N343" s="57">
        <v>0.9</v>
      </c>
      <c r="O343" s="36">
        <f t="shared" si="5"/>
        <v>13990</v>
      </c>
      <c r="P343" s="28" t="s">
        <v>0</v>
      </c>
    </row>
    <row r="344" spans="1:16" ht="15.6" x14ac:dyDescent="0.3">
      <c r="A344" s="25" t="s">
        <v>3214</v>
      </c>
      <c r="B344" s="26">
        <v>46108</v>
      </c>
      <c r="C344" s="26">
        <v>46113</v>
      </c>
      <c r="D344" s="25">
        <v>3319</v>
      </c>
      <c r="E344" s="25">
        <v>327</v>
      </c>
      <c r="F344" s="25">
        <v>2</v>
      </c>
      <c r="G344" s="28">
        <v>1</v>
      </c>
      <c r="H344" s="28">
        <v>80700</v>
      </c>
      <c r="I344" s="28" t="s">
        <v>17</v>
      </c>
      <c r="J344" s="28">
        <v>73576851</v>
      </c>
      <c r="K344" s="38" t="s">
        <v>1226</v>
      </c>
      <c r="L344" t="s">
        <v>1233</v>
      </c>
      <c r="M344" s="37">
        <v>139900</v>
      </c>
      <c r="N344" s="57">
        <v>0.9</v>
      </c>
      <c r="O344" s="36">
        <f t="shared" si="5"/>
        <v>13990</v>
      </c>
      <c r="P344" s="28" t="s">
        <v>0</v>
      </c>
    </row>
    <row r="345" spans="1:16" ht="15.6" x14ac:dyDescent="0.3">
      <c r="A345" s="25" t="s">
        <v>3214</v>
      </c>
      <c r="B345" s="26">
        <v>46108</v>
      </c>
      <c r="C345" s="26">
        <v>46113</v>
      </c>
      <c r="D345" s="25">
        <v>3319</v>
      </c>
      <c r="E345" s="25">
        <v>327</v>
      </c>
      <c r="F345" s="25">
        <v>2</v>
      </c>
      <c r="G345" s="28">
        <v>1</v>
      </c>
      <c r="H345" s="28">
        <v>80700</v>
      </c>
      <c r="I345" s="28" t="s">
        <v>17</v>
      </c>
      <c r="J345" s="28">
        <v>73576833</v>
      </c>
      <c r="K345" s="38" t="s">
        <v>1226</v>
      </c>
      <c r="L345" t="s">
        <v>1234</v>
      </c>
      <c r="M345" s="37">
        <v>139900</v>
      </c>
      <c r="N345" s="57">
        <v>0.9</v>
      </c>
      <c r="O345" s="36">
        <f t="shared" si="5"/>
        <v>13990</v>
      </c>
      <c r="P345" s="28" t="s">
        <v>0</v>
      </c>
    </row>
    <row r="346" spans="1:16" ht="15.6" x14ac:dyDescent="0.3">
      <c r="A346" s="25" t="s">
        <v>3214</v>
      </c>
      <c r="B346" s="26">
        <v>46108</v>
      </c>
      <c r="C346" s="26">
        <v>46113</v>
      </c>
      <c r="D346" s="25">
        <v>3319</v>
      </c>
      <c r="E346" s="25">
        <v>327</v>
      </c>
      <c r="F346" s="25">
        <v>2</v>
      </c>
      <c r="G346" s="48">
        <v>1</v>
      </c>
      <c r="H346" s="48">
        <v>80700</v>
      </c>
      <c r="I346" s="48" t="s">
        <v>17</v>
      </c>
      <c r="J346" s="48">
        <v>46533742</v>
      </c>
      <c r="K346" s="53" t="s">
        <v>1235</v>
      </c>
      <c r="L346" s="43" t="s">
        <v>1236</v>
      </c>
      <c r="M346" s="54">
        <v>139900</v>
      </c>
      <c r="N346" s="57">
        <v>0.9</v>
      </c>
      <c r="O346" s="36">
        <f t="shared" si="5"/>
        <v>13990</v>
      </c>
      <c r="P346" s="28" t="s">
        <v>0</v>
      </c>
    </row>
    <row r="347" spans="1:16" ht="15.6" x14ac:dyDescent="0.3">
      <c r="A347" s="25" t="s">
        <v>3214</v>
      </c>
      <c r="B347" s="26">
        <v>46108</v>
      </c>
      <c r="C347" s="26">
        <v>46113</v>
      </c>
      <c r="D347" s="25">
        <v>3319</v>
      </c>
      <c r="E347" s="25">
        <v>327</v>
      </c>
      <c r="F347" s="25">
        <v>2</v>
      </c>
      <c r="G347" s="48">
        <v>1</v>
      </c>
      <c r="H347" s="48">
        <v>80700</v>
      </c>
      <c r="I347" s="48" t="s">
        <v>17</v>
      </c>
      <c r="J347" s="48">
        <v>46533760</v>
      </c>
      <c r="K347" s="53" t="s">
        <v>1235</v>
      </c>
      <c r="L347" s="43" t="s">
        <v>1237</v>
      </c>
      <c r="M347" s="54">
        <v>139900</v>
      </c>
      <c r="N347" s="57">
        <v>0.9</v>
      </c>
      <c r="O347" s="36">
        <f t="shared" si="5"/>
        <v>13990</v>
      </c>
      <c r="P347" s="28" t="s">
        <v>0</v>
      </c>
    </row>
    <row r="348" spans="1:16" ht="15.6" x14ac:dyDescent="0.3">
      <c r="A348" s="25" t="s">
        <v>3214</v>
      </c>
      <c r="B348" s="26">
        <v>46108</v>
      </c>
      <c r="C348" s="26">
        <v>46113</v>
      </c>
      <c r="D348" s="25">
        <v>3319</v>
      </c>
      <c r="E348" s="25">
        <v>327</v>
      </c>
      <c r="F348" s="25">
        <v>2</v>
      </c>
      <c r="G348" s="48">
        <v>1</v>
      </c>
      <c r="H348" s="48">
        <v>80700</v>
      </c>
      <c r="I348" s="48" t="s">
        <v>17</v>
      </c>
      <c r="J348" s="48">
        <v>46533715</v>
      </c>
      <c r="K348" s="53" t="s">
        <v>1235</v>
      </c>
      <c r="L348" s="43" t="s">
        <v>1238</v>
      </c>
      <c r="M348" s="54">
        <v>139900</v>
      </c>
      <c r="N348" s="57">
        <v>0.9</v>
      </c>
      <c r="O348" s="36">
        <f t="shared" si="5"/>
        <v>13990</v>
      </c>
      <c r="P348" s="28" t="s">
        <v>0</v>
      </c>
    </row>
    <row r="349" spans="1:16" ht="15.6" x14ac:dyDescent="0.3">
      <c r="A349" s="25" t="s">
        <v>3214</v>
      </c>
      <c r="B349" s="26">
        <v>46108</v>
      </c>
      <c r="C349" s="26">
        <v>46113</v>
      </c>
      <c r="D349" s="25">
        <v>3319</v>
      </c>
      <c r="E349" s="25">
        <v>327</v>
      </c>
      <c r="F349" s="25">
        <v>2</v>
      </c>
      <c r="G349" s="48">
        <v>1</v>
      </c>
      <c r="H349" s="48">
        <v>80700</v>
      </c>
      <c r="I349" s="48" t="s">
        <v>17</v>
      </c>
      <c r="J349" s="48">
        <v>46533733</v>
      </c>
      <c r="K349" s="53" t="s">
        <v>1235</v>
      </c>
      <c r="L349" s="43" t="s">
        <v>1239</v>
      </c>
      <c r="M349" s="54">
        <v>139900</v>
      </c>
      <c r="N349" s="57">
        <v>0.9</v>
      </c>
      <c r="O349" s="36">
        <f t="shared" si="5"/>
        <v>13990</v>
      </c>
      <c r="P349" s="28" t="s">
        <v>0</v>
      </c>
    </row>
    <row r="350" spans="1:16" ht="15.6" x14ac:dyDescent="0.3">
      <c r="A350" s="25" t="s">
        <v>3214</v>
      </c>
      <c r="B350" s="26">
        <v>46108</v>
      </c>
      <c r="C350" s="26">
        <v>46113</v>
      </c>
      <c r="D350" s="25">
        <v>3319</v>
      </c>
      <c r="E350" s="25">
        <v>327</v>
      </c>
      <c r="F350" s="25">
        <v>2</v>
      </c>
      <c r="G350" s="48">
        <v>1</v>
      </c>
      <c r="H350" s="48">
        <v>80700</v>
      </c>
      <c r="I350" s="48" t="s">
        <v>17</v>
      </c>
      <c r="J350" s="48">
        <v>46533699</v>
      </c>
      <c r="K350" s="53" t="s">
        <v>1235</v>
      </c>
      <c r="L350" s="43" t="s">
        <v>1240</v>
      </c>
      <c r="M350" s="54">
        <v>139900</v>
      </c>
      <c r="N350" s="57">
        <v>0.9</v>
      </c>
      <c r="O350" s="36">
        <f t="shared" si="5"/>
        <v>13990</v>
      </c>
      <c r="P350" s="28" t="s">
        <v>0</v>
      </c>
    </row>
    <row r="351" spans="1:16" ht="15.6" x14ac:dyDescent="0.3">
      <c r="A351" s="25" t="s">
        <v>3214</v>
      </c>
      <c r="B351" s="26">
        <v>46108</v>
      </c>
      <c r="C351" s="26">
        <v>46113</v>
      </c>
      <c r="D351" s="25">
        <v>3319</v>
      </c>
      <c r="E351" s="25">
        <v>327</v>
      </c>
      <c r="F351" s="25">
        <v>2</v>
      </c>
      <c r="G351" s="48">
        <v>1</v>
      </c>
      <c r="H351" s="48">
        <v>80700</v>
      </c>
      <c r="I351" s="48" t="s">
        <v>17</v>
      </c>
      <c r="J351" s="48">
        <v>46533706</v>
      </c>
      <c r="K351" s="53" t="s">
        <v>1235</v>
      </c>
      <c r="L351" s="43" t="s">
        <v>1241</v>
      </c>
      <c r="M351" s="54">
        <v>139900</v>
      </c>
      <c r="N351" s="57">
        <v>0.9</v>
      </c>
      <c r="O351" s="36">
        <f t="shared" si="5"/>
        <v>13990</v>
      </c>
      <c r="P351" s="28" t="s">
        <v>0</v>
      </c>
    </row>
    <row r="352" spans="1:16" ht="15.6" x14ac:dyDescent="0.3">
      <c r="A352" s="25" t="s">
        <v>3214</v>
      </c>
      <c r="B352" s="26">
        <v>46108</v>
      </c>
      <c r="C352" s="26">
        <v>46113</v>
      </c>
      <c r="D352" s="25">
        <v>3319</v>
      </c>
      <c r="E352" s="25">
        <v>327</v>
      </c>
      <c r="F352" s="25">
        <v>2</v>
      </c>
      <c r="G352" s="48">
        <v>1</v>
      </c>
      <c r="H352" s="48">
        <v>80700</v>
      </c>
      <c r="I352" s="48" t="s">
        <v>17</v>
      </c>
      <c r="J352" s="48">
        <v>46533724</v>
      </c>
      <c r="K352" s="53" t="s">
        <v>1235</v>
      </c>
      <c r="L352" s="43" t="s">
        <v>1242</v>
      </c>
      <c r="M352" s="54">
        <v>139900</v>
      </c>
      <c r="N352" s="57">
        <v>0.9</v>
      </c>
      <c r="O352" s="36">
        <f t="shared" si="5"/>
        <v>13990</v>
      </c>
      <c r="P352" s="28" t="s">
        <v>0</v>
      </c>
    </row>
    <row r="353" spans="1:16" ht="15.6" x14ac:dyDescent="0.3">
      <c r="A353" s="25" t="s">
        <v>3214</v>
      </c>
      <c r="B353" s="26">
        <v>46108</v>
      </c>
      <c r="C353" s="26">
        <v>46113</v>
      </c>
      <c r="D353" s="25">
        <v>3319</v>
      </c>
      <c r="E353" s="25">
        <v>327</v>
      </c>
      <c r="F353" s="25">
        <v>2</v>
      </c>
      <c r="G353" s="48">
        <v>1</v>
      </c>
      <c r="H353" s="48">
        <v>80700</v>
      </c>
      <c r="I353" s="48" t="s">
        <v>17</v>
      </c>
      <c r="J353" s="48">
        <v>46533751</v>
      </c>
      <c r="K353" s="53" t="s">
        <v>1235</v>
      </c>
      <c r="L353" s="43" t="s">
        <v>1243</v>
      </c>
      <c r="M353" s="54">
        <v>139900</v>
      </c>
      <c r="N353" s="57">
        <v>0.9</v>
      </c>
      <c r="O353" s="36">
        <f t="shared" si="5"/>
        <v>13990</v>
      </c>
      <c r="P353" s="28" t="s">
        <v>0</v>
      </c>
    </row>
    <row r="354" spans="1:16" ht="15.6" x14ac:dyDescent="0.3">
      <c r="A354" s="25" t="s">
        <v>3214</v>
      </c>
      <c r="B354" s="26">
        <v>46108</v>
      </c>
      <c r="C354" s="26">
        <v>46113</v>
      </c>
      <c r="D354" s="25">
        <v>3319</v>
      </c>
      <c r="E354" s="25">
        <v>327</v>
      </c>
      <c r="F354" s="25">
        <v>2</v>
      </c>
      <c r="G354" s="48">
        <v>1</v>
      </c>
      <c r="H354" s="48">
        <v>80700</v>
      </c>
      <c r="I354" s="48" t="s">
        <v>17</v>
      </c>
      <c r="J354" s="48">
        <v>33442972</v>
      </c>
      <c r="K354" s="53" t="s">
        <v>1244</v>
      </c>
      <c r="L354" s="43" t="s">
        <v>1245</v>
      </c>
      <c r="M354" s="54">
        <v>139900</v>
      </c>
      <c r="N354" s="57">
        <v>0.9</v>
      </c>
      <c r="O354" s="36">
        <f t="shared" si="5"/>
        <v>13990</v>
      </c>
      <c r="P354" s="28" t="s">
        <v>0</v>
      </c>
    </row>
    <row r="355" spans="1:16" ht="15.6" x14ac:dyDescent="0.3">
      <c r="A355" s="25" t="s">
        <v>3214</v>
      </c>
      <c r="B355" s="26">
        <v>46108</v>
      </c>
      <c r="C355" s="26">
        <v>46113</v>
      </c>
      <c r="D355" s="25">
        <v>3319</v>
      </c>
      <c r="E355" s="25">
        <v>327</v>
      </c>
      <c r="F355" s="25">
        <v>2</v>
      </c>
      <c r="G355" s="48">
        <v>1</v>
      </c>
      <c r="H355" s="48">
        <v>80700</v>
      </c>
      <c r="I355" s="48" t="s">
        <v>17</v>
      </c>
      <c r="J355" s="48">
        <v>33442990</v>
      </c>
      <c r="K355" s="53" t="s">
        <v>1244</v>
      </c>
      <c r="L355" s="43" t="s">
        <v>1246</v>
      </c>
      <c r="M355" s="54">
        <v>139900</v>
      </c>
      <c r="N355" s="57">
        <v>0.9</v>
      </c>
      <c r="O355" s="36">
        <f t="shared" si="5"/>
        <v>13990</v>
      </c>
      <c r="P355" s="28" t="s">
        <v>0</v>
      </c>
    </row>
    <row r="356" spans="1:16" ht="15.6" x14ac:dyDescent="0.3">
      <c r="A356" s="25" t="s">
        <v>3214</v>
      </c>
      <c r="B356" s="26">
        <v>46108</v>
      </c>
      <c r="C356" s="26">
        <v>46113</v>
      </c>
      <c r="D356" s="25">
        <v>3319</v>
      </c>
      <c r="E356" s="25">
        <v>327</v>
      </c>
      <c r="F356" s="25">
        <v>2</v>
      </c>
      <c r="G356" s="48">
        <v>1</v>
      </c>
      <c r="H356" s="48">
        <v>80700</v>
      </c>
      <c r="I356" s="48" t="s">
        <v>17</v>
      </c>
      <c r="J356" s="48">
        <v>33442981</v>
      </c>
      <c r="K356" s="53" t="s">
        <v>1244</v>
      </c>
      <c r="L356" s="43" t="s">
        <v>1247</v>
      </c>
      <c r="M356" s="54">
        <v>139900</v>
      </c>
      <c r="N356" s="57">
        <v>0.9</v>
      </c>
      <c r="O356" s="36">
        <f t="shared" si="5"/>
        <v>13990</v>
      </c>
      <c r="P356" s="28" t="s">
        <v>0</v>
      </c>
    </row>
    <row r="357" spans="1:16" ht="15.6" x14ac:dyDescent="0.3">
      <c r="A357" s="25" t="s">
        <v>3214</v>
      </c>
      <c r="B357" s="26">
        <v>46108</v>
      </c>
      <c r="C357" s="26">
        <v>46113</v>
      </c>
      <c r="D357" s="25">
        <v>3319</v>
      </c>
      <c r="E357" s="25">
        <v>327</v>
      </c>
      <c r="F357" s="25">
        <v>2</v>
      </c>
      <c r="G357" s="48">
        <v>1</v>
      </c>
      <c r="H357" s="48">
        <v>80700</v>
      </c>
      <c r="I357" s="48" t="s">
        <v>17</v>
      </c>
      <c r="J357" s="48">
        <v>33443015</v>
      </c>
      <c r="K357" s="53" t="s">
        <v>1244</v>
      </c>
      <c r="L357" s="43" t="s">
        <v>1248</v>
      </c>
      <c r="M357" s="54">
        <v>139900</v>
      </c>
      <c r="N357" s="57">
        <v>0.9</v>
      </c>
      <c r="O357" s="36">
        <f t="shared" si="5"/>
        <v>13990</v>
      </c>
      <c r="P357" s="28" t="s">
        <v>0</v>
      </c>
    </row>
    <row r="358" spans="1:16" ht="15.6" x14ac:dyDescent="0.3">
      <c r="A358" s="25" t="s">
        <v>3214</v>
      </c>
      <c r="B358" s="26">
        <v>46108</v>
      </c>
      <c r="C358" s="26">
        <v>46113</v>
      </c>
      <c r="D358" s="25">
        <v>3319</v>
      </c>
      <c r="E358" s="25">
        <v>327</v>
      </c>
      <c r="F358" s="25">
        <v>2</v>
      </c>
      <c r="G358" s="48">
        <v>1</v>
      </c>
      <c r="H358" s="48">
        <v>80700</v>
      </c>
      <c r="I358" s="48" t="s">
        <v>17</v>
      </c>
      <c r="J358" s="48">
        <v>33442963</v>
      </c>
      <c r="K358" s="53" t="s">
        <v>1244</v>
      </c>
      <c r="L358" s="43" t="s">
        <v>1249</v>
      </c>
      <c r="M358" s="54">
        <v>139900</v>
      </c>
      <c r="N358" s="57">
        <v>0.9</v>
      </c>
      <c r="O358" s="36">
        <f t="shared" si="5"/>
        <v>13990</v>
      </c>
      <c r="P358" s="28" t="s">
        <v>0</v>
      </c>
    </row>
    <row r="359" spans="1:16" ht="15.6" x14ac:dyDescent="0.3">
      <c r="A359" s="25" t="s">
        <v>3214</v>
      </c>
      <c r="B359" s="26">
        <v>46108</v>
      </c>
      <c r="C359" s="26">
        <v>46113</v>
      </c>
      <c r="D359" s="25">
        <v>3319</v>
      </c>
      <c r="E359" s="25">
        <v>327</v>
      </c>
      <c r="F359" s="25">
        <v>2</v>
      </c>
      <c r="G359" s="48">
        <v>1</v>
      </c>
      <c r="H359" s="48">
        <v>80700</v>
      </c>
      <c r="I359" s="48" t="s">
        <v>17</v>
      </c>
      <c r="J359" s="48">
        <v>33443033</v>
      </c>
      <c r="K359" s="53" t="s">
        <v>1244</v>
      </c>
      <c r="L359" s="43" t="s">
        <v>1250</v>
      </c>
      <c r="M359" s="54">
        <v>139900</v>
      </c>
      <c r="N359" s="57">
        <v>0.9</v>
      </c>
      <c r="O359" s="36">
        <f t="shared" si="5"/>
        <v>13990</v>
      </c>
      <c r="P359" s="28" t="s">
        <v>0</v>
      </c>
    </row>
    <row r="360" spans="1:16" ht="15.6" x14ac:dyDescent="0.3">
      <c r="A360" s="25" t="s">
        <v>3214</v>
      </c>
      <c r="B360" s="26">
        <v>46108</v>
      </c>
      <c r="C360" s="26">
        <v>46113</v>
      </c>
      <c r="D360" s="25">
        <v>3319</v>
      </c>
      <c r="E360" s="25">
        <v>327</v>
      </c>
      <c r="F360" s="25">
        <v>2</v>
      </c>
      <c r="G360" s="48">
        <v>1</v>
      </c>
      <c r="H360" s="48">
        <v>80700</v>
      </c>
      <c r="I360" s="48" t="s">
        <v>17</v>
      </c>
      <c r="J360" s="48">
        <v>33443006</v>
      </c>
      <c r="K360" s="53" t="s">
        <v>1244</v>
      </c>
      <c r="L360" s="43" t="s">
        <v>1251</v>
      </c>
      <c r="M360" s="54">
        <v>139900</v>
      </c>
      <c r="N360" s="57">
        <v>0.9</v>
      </c>
      <c r="O360" s="36">
        <f t="shared" si="5"/>
        <v>13990</v>
      </c>
      <c r="P360" s="28" t="s">
        <v>0</v>
      </c>
    </row>
    <row r="361" spans="1:16" ht="15.6" x14ac:dyDescent="0.3">
      <c r="A361" s="25" t="s">
        <v>3214</v>
      </c>
      <c r="B361" s="26">
        <v>46108</v>
      </c>
      <c r="C361" s="26">
        <v>46113</v>
      </c>
      <c r="D361" s="25">
        <v>3319</v>
      </c>
      <c r="E361" s="25">
        <v>327</v>
      </c>
      <c r="F361" s="25">
        <v>2</v>
      </c>
      <c r="G361" s="48">
        <v>1</v>
      </c>
      <c r="H361" s="48">
        <v>80700</v>
      </c>
      <c r="I361" s="48" t="s">
        <v>17</v>
      </c>
      <c r="J361" s="48">
        <v>33443024</v>
      </c>
      <c r="K361" s="53" t="s">
        <v>1244</v>
      </c>
      <c r="L361" s="43" t="s">
        <v>1252</v>
      </c>
      <c r="M361" s="54">
        <v>139900</v>
      </c>
      <c r="N361" s="57">
        <v>0.9</v>
      </c>
      <c r="O361" s="36">
        <f t="shared" si="5"/>
        <v>13990</v>
      </c>
      <c r="P361" s="28" t="s">
        <v>0</v>
      </c>
    </row>
    <row r="362" spans="1:16" ht="15.6" x14ac:dyDescent="0.3">
      <c r="A362" s="25" t="s">
        <v>3214</v>
      </c>
      <c r="B362" s="26">
        <v>46108</v>
      </c>
      <c r="C362" s="26">
        <v>46113</v>
      </c>
      <c r="D362" s="25">
        <v>3319</v>
      </c>
      <c r="E362" s="25">
        <v>327</v>
      </c>
      <c r="F362" s="25">
        <v>2</v>
      </c>
      <c r="G362" s="28">
        <v>1</v>
      </c>
      <c r="H362" s="28">
        <v>80700</v>
      </c>
      <c r="I362" s="28" t="s">
        <v>17</v>
      </c>
      <c r="J362" s="28">
        <v>66161991</v>
      </c>
      <c r="K362" s="38" t="s">
        <v>1253</v>
      </c>
      <c r="L362" t="s">
        <v>1254</v>
      </c>
      <c r="M362" s="37">
        <v>159900</v>
      </c>
      <c r="N362" s="57">
        <v>0.9</v>
      </c>
      <c r="O362" s="36">
        <f t="shared" si="5"/>
        <v>15990</v>
      </c>
      <c r="P362" s="28" t="s">
        <v>0</v>
      </c>
    </row>
    <row r="363" spans="1:16" ht="15.6" x14ac:dyDescent="0.3">
      <c r="A363" s="25" t="s">
        <v>3214</v>
      </c>
      <c r="B363" s="26">
        <v>46108</v>
      </c>
      <c r="C363" s="26">
        <v>46113</v>
      </c>
      <c r="D363" s="25">
        <v>3319</v>
      </c>
      <c r="E363" s="25">
        <v>327</v>
      </c>
      <c r="F363" s="25">
        <v>2</v>
      </c>
      <c r="G363" s="28">
        <v>1</v>
      </c>
      <c r="H363" s="28">
        <v>80700</v>
      </c>
      <c r="I363" s="28" t="s">
        <v>17</v>
      </c>
      <c r="J363" s="28">
        <v>66161982</v>
      </c>
      <c r="K363" s="38" t="s">
        <v>1253</v>
      </c>
      <c r="L363" t="s">
        <v>1255</v>
      </c>
      <c r="M363" s="37">
        <v>159900</v>
      </c>
      <c r="N363" s="57">
        <v>0.9</v>
      </c>
      <c r="O363" s="36">
        <f t="shared" si="5"/>
        <v>15990</v>
      </c>
      <c r="P363" s="28" t="s">
        <v>0</v>
      </c>
    </row>
    <row r="364" spans="1:16" ht="15.6" x14ac:dyDescent="0.3">
      <c r="A364" s="25" t="s">
        <v>3214</v>
      </c>
      <c r="B364" s="26">
        <v>46108</v>
      </c>
      <c r="C364" s="26">
        <v>46113</v>
      </c>
      <c r="D364" s="25">
        <v>3319</v>
      </c>
      <c r="E364" s="25">
        <v>327</v>
      </c>
      <c r="F364" s="25">
        <v>2</v>
      </c>
      <c r="G364" s="28">
        <v>1</v>
      </c>
      <c r="H364" s="28">
        <v>80700</v>
      </c>
      <c r="I364" s="28" t="s">
        <v>17</v>
      </c>
      <c r="J364" s="28">
        <v>66162025</v>
      </c>
      <c r="K364" s="38" t="s">
        <v>1253</v>
      </c>
      <c r="L364" t="s">
        <v>1256</v>
      </c>
      <c r="M364" s="37">
        <v>159900</v>
      </c>
      <c r="N364" s="57">
        <v>0.9</v>
      </c>
      <c r="O364" s="36">
        <f t="shared" si="5"/>
        <v>15990</v>
      </c>
      <c r="P364" s="28" t="s">
        <v>0</v>
      </c>
    </row>
    <row r="365" spans="1:16" ht="15.6" x14ac:dyDescent="0.3">
      <c r="A365" s="25" t="s">
        <v>3214</v>
      </c>
      <c r="B365" s="26">
        <v>46108</v>
      </c>
      <c r="C365" s="26">
        <v>46113</v>
      </c>
      <c r="D365" s="25">
        <v>3319</v>
      </c>
      <c r="E365" s="25">
        <v>327</v>
      </c>
      <c r="F365" s="25">
        <v>2</v>
      </c>
      <c r="G365" s="28">
        <v>1</v>
      </c>
      <c r="H365" s="28">
        <v>80700</v>
      </c>
      <c r="I365" s="28" t="s">
        <v>17</v>
      </c>
      <c r="J365" s="28">
        <v>66161955</v>
      </c>
      <c r="K365" s="38" t="s">
        <v>1253</v>
      </c>
      <c r="L365" t="s">
        <v>1257</v>
      </c>
      <c r="M365" s="37">
        <v>159900</v>
      </c>
      <c r="N365" s="57">
        <v>0.9</v>
      </c>
      <c r="O365" s="36">
        <f t="shared" si="5"/>
        <v>15990</v>
      </c>
      <c r="P365" s="28" t="s">
        <v>0</v>
      </c>
    </row>
    <row r="366" spans="1:16" ht="15.6" x14ac:dyDescent="0.3">
      <c r="A366" s="25" t="s">
        <v>3214</v>
      </c>
      <c r="B366" s="26">
        <v>46108</v>
      </c>
      <c r="C366" s="26">
        <v>46113</v>
      </c>
      <c r="D366" s="25">
        <v>3319</v>
      </c>
      <c r="E366" s="25">
        <v>327</v>
      </c>
      <c r="F366" s="25">
        <v>2</v>
      </c>
      <c r="G366" s="28">
        <v>1</v>
      </c>
      <c r="H366" s="28">
        <v>80700</v>
      </c>
      <c r="I366" s="28" t="s">
        <v>17</v>
      </c>
      <c r="J366" s="28">
        <v>66162016</v>
      </c>
      <c r="K366" s="38" t="s">
        <v>1253</v>
      </c>
      <c r="L366" t="s">
        <v>1258</v>
      </c>
      <c r="M366" s="37">
        <v>159900</v>
      </c>
      <c r="N366" s="57">
        <v>0.9</v>
      </c>
      <c r="O366" s="36">
        <f t="shared" si="5"/>
        <v>15990</v>
      </c>
      <c r="P366" s="28" t="s">
        <v>0</v>
      </c>
    </row>
    <row r="367" spans="1:16" ht="15.6" x14ac:dyDescent="0.3">
      <c r="A367" s="25" t="s">
        <v>3214</v>
      </c>
      <c r="B367" s="26">
        <v>46108</v>
      </c>
      <c r="C367" s="26">
        <v>46113</v>
      </c>
      <c r="D367" s="25">
        <v>3319</v>
      </c>
      <c r="E367" s="25">
        <v>327</v>
      </c>
      <c r="F367" s="25">
        <v>2</v>
      </c>
      <c r="G367" s="28">
        <v>1</v>
      </c>
      <c r="H367" s="28">
        <v>80700</v>
      </c>
      <c r="I367" s="28" t="s">
        <v>17</v>
      </c>
      <c r="J367" s="28">
        <v>66161973</v>
      </c>
      <c r="K367" s="38" t="s">
        <v>1253</v>
      </c>
      <c r="L367" t="s">
        <v>1259</v>
      </c>
      <c r="M367" s="37">
        <v>159900</v>
      </c>
      <c r="N367" s="57">
        <v>0.9</v>
      </c>
      <c r="O367" s="36">
        <f t="shared" si="5"/>
        <v>15990</v>
      </c>
      <c r="P367" s="28" t="s">
        <v>0</v>
      </c>
    </row>
    <row r="368" spans="1:16" ht="15.6" x14ac:dyDescent="0.3">
      <c r="A368" s="25" t="s">
        <v>3214</v>
      </c>
      <c r="B368" s="26">
        <v>46108</v>
      </c>
      <c r="C368" s="26">
        <v>46113</v>
      </c>
      <c r="D368" s="25">
        <v>3319</v>
      </c>
      <c r="E368" s="25">
        <v>327</v>
      </c>
      <c r="F368" s="25">
        <v>2</v>
      </c>
      <c r="G368" s="28">
        <v>1</v>
      </c>
      <c r="H368" s="28">
        <v>80700</v>
      </c>
      <c r="I368" s="28" t="s">
        <v>17</v>
      </c>
      <c r="J368" s="28">
        <v>66161964</v>
      </c>
      <c r="K368" s="38" t="s">
        <v>1253</v>
      </c>
      <c r="L368" t="s">
        <v>1260</v>
      </c>
      <c r="M368" s="37">
        <v>159900</v>
      </c>
      <c r="N368" s="57">
        <v>0.9</v>
      </c>
      <c r="O368" s="36">
        <f t="shared" si="5"/>
        <v>15990</v>
      </c>
      <c r="P368" s="28" t="s">
        <v>0</v>
      </c>
    </row>
    <row r="369" spans="1:16" ht="15.6" x14ac:dyDescent="0.3">
      <c r="A369" s="25" t="s">
        <v>3214</v>
      </c>
      <c r="B369" s="26">
        <v>46108</v>
      </c>
      <c r="C369" s="26">
        <v>46113</v>
      </c>
      <c r="D369" s="25">
        <v>3319</v>
      </c>
      <c r="E369" s="25">
        <v>327</v>
      </c>
      <c r="F369" s="25">
        <v>2</v>
      </c>
      <c r="G369" s="28">
        <v>1</v>
      </c>
      <c r="H369" s="28">
        <v>80700</v>
      </c>
      <c r="I369" s="28" t="s">
        <v>17</v>
      </c>
      <c r="J369" s="28">
        <v>66162007</v>
      </c>
      <c r="K369" s="38" t="s">
        <v>1253</v>
      </c>
      <c r="L369" t="s">
        <v>1261</v>
      </c>
      <c r="M369" s="37">
        <v>159900</v>
      </c>
      <c r="N369" s="57">
        <v>0.9</v>
      </c>
      <c r="O369" s="36">
        <f t="shared" si="5"/>
        <v>15990</v>
      </c>
      <c r="P369" s="28" t="s">
        <v>0</v>
      </c>
    </row>
    <row r="370" spans="1:16" ht="15.6" x14ac:dyDescent="0.3">
      <c r="A370" s="25" t="s">
        <v>3214</v>
      </c>
      <c r="B370" s="26">
        <v>46108</v>
      </c>
      <c r="C370" s="26">
        <v>46113</v>
      </c>
      <c r="D370" s="25">
        <v>3319</v>
      </c>
      <c r="E370" s="25">
        <v>327</v>
      </c>
      <c r="F370" s="25">
        <v>2</v>
      </c>
      <c r="G370" s="28">
        <v>1</v>
      </c>
      <c r="H370" s="28">
        <v>81778</v>
      </c>
      <c r="I370" s="28" t="s">
        <v>17</v>
      </c>
      <c r="J370" s="28">
        <v>78770195</v>
      </c>
      <c r="K370" s="38" t="s">
        <v>1262</v>
      </c>
      <c r="L370" t="s">
        <v>1263</v>
      </c>
      <c r="M370" s="37">
        <v>199900</v>
      </c>
      <c r="N370" s="57">
        <v>0.9</v>
      </c>
      <c r="O370" s="36">
        <f t="shared" si="5"/>
        <v>19990</v>
      </c>
      <c r="P370" s="28" t="s">
        <v>0</v>
      </c>
    </row>
    <row r="371" spans="1:16" ht="15.6" x14ac:dyDescent="0.3">
      <c r="A371" s="25" t="s">
        <v>3214</v>
      </c>
      <c r="B371" s="26">
        <v>46108</v>
      </c>
      <c r="C371" s="26">
        <v>46113</v>
      </c>
      <c r="D371" s="25">
        <v>3319</v>
      </c>
      <c r="E371" s="25">
        <v>327</v>
      </c>
      <c r="F371" s="25">
        <v>2</v>
      </c>
      <c r="G371" s="28">
        <v>1</v>
      </c>
      <c r="H371" s="28">
        <v>81778</v>
      </c>
      <c r="I371" s="28" t="s">
        <v>17</v>
      </c>
      <c r="J371" s="28">
        <v>78770239</v>
      </c>
      <c r="K371" s="38" t="s">
        <v>1262</v>
      </c>
      <c r="L371" t="s">
        <v>1264</v>
      </c>
      <c r="M371" s="37">
        <v>199900</v>
      </c>
      <c r="N371" s="57">
        <v>0.9</v>
      </c>
      <c r="O371" s="36">
        <f t="shared" si="5"/>
        <v>19990</v>
      </c>
      <c r="P371" s="28" t="s">
        <v>0</v>
      </c>
    </row>
    <row r="372" spans="1:16" ht="15.6" x14ac:dyDescent="0.3">
      <c r="A372" s="25" t="s">
        <v>3214</v>
      </c>
      <c r="B372" s="26">
        <v>46108</v>
      </c>
      <c r="C372" s="26">
        <v>46113</v>
      </c>
      <c r="D372" s="25">
        <v>3319</v>
      </c>
      <c r="E372" s="25">
        <v>327</v>
      </c>
      <c r="F372" s="25">
        <v>2</v>
      </c>
      <c r="G372" s="28">
        <v>1</v>
      </c>
      <c r="H372" s="28">
        <v>81778</v>
      </c>
      <c r="I372" s="28" t="s">
        <v>17</v>
      </c>
      <c r="J372" s="28">
        <v>78770220</v>
      </c>
      <c r="K372" s="38" t="s">
        <v>1262</v>
      </c>
      <c r="L372" t="s">
        <v>1265</v>
      </c>
      <c r="M372" s="37">
        <v>199900</v>
      </c>
      <c r="N372" s="57">
        <v>0.9</v>
      </c>
      <c r="O372" s="36">
        <f t="shared" si="5"/>
        <v>19990</v>
      </c>
      <c r="P372" s="28" t="s">
        <v>0</v>
      </c>
    </row>
    <row r="373" spans="1:16" ht="15.6" x14ac:dyDescent="0.3">
      <c r="A373" s="25" t="s">
        <v>3214</v>
      </c>
      <c r="B373" s="26">
        <v>46108</v>
      </c>
      <c r="C373" s="26">
        <v>46113</v>
      </c>
      <c r="D373" s="25">
        <v>3319</v>
      </c>
      <c r="E373" s="25">
        <v>327</v>
      </c>
      <c r="F373" s="25">
        <v>2</v>
      </c>
      <c r="G373" s="28">
        <v>1</v>
      </c>
      <c r="H373" s="28">
        <v>81778</v>
      </c>
      <c r="I373" s="28" t="s">
        <v>17</v>
      </c>
      <c r="J373" s="28">
        <v>78770211</v>
      </c>
      <c r="K373" s="38" t="s">
        <v>1262</v>
      </c>
      <c r="L373" t="s">
        <v>1266</v>
      </c>
      <c r="M373" s="37">
        <v>199900</v>
      </c>
      <c r="N373" s="57">
        <v>0.9</v>
      </c>
      <c r="O373" s="36">
        <f t="shared" si="5"/>
        <v>19990</v>
      </c>
      <c r="P373" s="28" t="s">
        <v>0</v>
      </c>
    </row>
    <row r="374" spans="1:16" ht="15.6" x14ac:dyDescent="0.3">
      <c r="A374" s="25" t="s">
        <v>3214</v>
      </c>
      <c r="B374" s="26">
        <v>46108</v>
      </c>
      <c r="C374" s="26">
        <v>46113</v>
      </c>
      <c r="D374" s="25">
        <v>3319</v>
      </c>
      <c r="E374" s="25">
        <v>327</v>
      </c>
      <c r="F374" s="25">
        <v>2</v>
      </c>
      <c r="G374" s="28">
        <v>1</v>
      </c>
      <c r="H374" s="28">
        <v>81778</v>
      </c>
      <c r="I374" s="28" t="s">
        <v>17</v>
      </c>
      <c r="J374" s="28">
        <v>78770202</v>
      </c>
      <c r="K374" s="38" t="s">
        <v>1262</v>
      </c>
      <c r="L374" t="s">
        <v>1267</v>
      </c>
      <c r="M374" s="37">
        <v>199900</v>
      </c>
      <c r="N374" s="57">
        <v>0.9</v>
      </c>
      <c r="O374" s="36">
        <f t="shared" si="5"/>
        <v>19990</v>
      </c>
      <c r="P374" s="28" t="s">
        <v>0</v>
      </c>
    </row>
    <row r="375" spans="1:16" ht="15.6" x14ac:dyDescent="0.3">
      <c r="A375" s="25" t="s">
        <v>3214</v>
      </c>
      <c r="B375" s="26">
        <v>46108</v>
      </c>
      <c r="C375" s="26">
        <v>46113</v>
      </c>
      <c r="D375" s="25">
        <v>3319</v>
      </c>
      <c r="E375" s="25">
        <v>327</v>
      </c>
      <c r="F375" s="25">
        <v>2</v>
      </c>
      <c r="G375" s="28">
        <v>1</v>
      </c>
      <c r="H375" s="28">
        <v>81778</v>
      </c>
      <c r="I375" s="28" t="s">
        <v>17</v>
      </c>
      <c r="J375" s="49">
        <v>78770248</v>
      </c>
      <c r="K375" s="45" t="s">
        <v>2547</v>
      </c>
      <c r="L375" s="46" t="s">
        <v>2548</v>
      </c>
      <c r="M375" s="55">
        <v>199900</v>
      </c>
      <c r="N375" s="57">
        <v>0.9</v>
      </c>
      <c r="O375" s="36">
        <f t="shared" ref="O375:O379" si="6">M375*10%</f>
        <v>19990</v>
      </c>
      <c r="P375" s="28" t="s">
        <v>0</v>
      </c>
    </row>
    <row r="376" spans="1:16" ht="15.6" x14ac:dyDescent="0.3">
      <c r="A376" s="25" t="s">
        <v>3214</v>
      </c>
      <c r="B376" s="26">
        <v>46108</v>
      </c>
      <c r="C376" s="26">
        <v>46113</v>
      </c>
      <c r="D376" s="25">
        <v>3319</v>
      </c>
      <c r="E376" s="25">
        <v>327</v>
      </c>
      <c r="F376" s="25">
        <v>2</v>
      </c>
      <c r="G376" s="28">
        <v>1</v>
      </c>
      <c r="H376" s="28">
        <v>81778</v>
      </c>
      <c r="I376" s="28" t="s">
        <v>17</v>
      </c>
      <c r="J376" s="49">
        <v>78770257</v>
      </c>
      <c r="K376" s="45" t="s">
        <v>2547</v>
      </c>
      <c r="L376" s="46" t="s">
        <v>2549</v>
      </c>
      <c r="M376" s="55">
        <v>199900</v>
      </c>
      <c r="N376" s="57">
        <v>0.9</v>
      </c>
      <c r="O376" s="36">
        <f t="shared" si="6"/>
        <v>19990</v>
      </c>
      <c r="P376" s="28" t="s">
        <v>0</v>
      </c>
    </row>
    <row r="377" spans="1:16" ht="15.6" x14ac:dyDescent="0.3">
      <c r="A377" s="25" t="s">
        <v>3214</v>
      </c>
      <c r="B377" s="26">
        <v>46108</v>
      </c>
      <c r="C377" s="26">
        <v>46113</v>
      </c>
      <c r="D377" s="25">
        <v>3319</v>
      </c>
      <c r="E377" s="25">
        <v>327</v>
      </c>
      <c r="F377" s="25">
        <v>2</v>
      </c>
      <c r="G377" s="28">
        <v>1</v>
      </c>
      <c r="H377" s="28">
        <v>81778</v>
      </c>
      <c r="I377" s="28" t="s">
        <v>17</v>
      </c>
      <c r="J377" s="49">
        <v>78770266</v>
      </c>
      <c r="K377" s="45" t="s">
        <v>2547</v>
      </c>
      <c r="L377" s="46" t="s">
        <v>2550</v>
      </c>
      <c r="M377" s="55">
        <v>199900</v>
      </c>
      <c r="N377" s="57">
        <v>0.9</v>
      </c>
      <c r="O377" s="36">
        <f t="shared" si="6"/>
        <v>19990</v>
      </c>
      <c r="P377" s="28" t="s">
        <v>0</v>
      </c>
    </row>
    <row r="378" spans="1:16" ht="15.6" x14ac:dyDescent="0.3">
      <c r="A378" s="25" t="s">
        <v>3214</v>
      </c>
      <c r="B378" s="26">
        <v>46108</v>
      </c>
      <c r="C378" s="26">
        <v>46113</v>
      </c>
      <c r="D378" s="25">
        <v>3319</v>
      </c>
      <c r="E378" s="25">
        <v>327</v>
      </c>
      <c r="F378" s="25">
        <v>2</v>
      </c>
      <c r="G378" s="28">
        <v>1</v>
      </c>
      <c r="H378" s="28">
        <v>81778</v>
      </c>
      <c r="I378" s="28" t="s">
        <v>17</v>
      </c>
      <c r="J378" s="49">
        <v>78770275</v>
      </c>
      <c r="K378" s="45" t="s">
        <v>2547</v>
      </c>
      <c r="L378" s="46" t="s">
        <v>2551</v>
      </c>
      <c r="M378" s="55">
        <v>199900</v>
      </c>
      <c r="N378" s="57">
        <v>0.9</v>
      </c>
      <c r="O378" s="36">
        <f t="shared" si="6"/>
        <v>19990</v>
      </c>
      <c r="P378" s="28" t="s">
        <v>0</v>
      </c>
    </row>
    <row r="379" spans="1:16" ht="15.6" x14ac:dyDescent="0.3">
      <c r="A379" s="25" t="s">
        <v>3214</v>
      </c>
      <c r="B379" s="26">
        <v>46108</v>
      </c>
      <c r="C379" s="26">
        <v>46113</v>
      </c>
      <c r="D379" s="25">
        <v>3319</v>
      </c>
      <c r="E379" s="25">
        <v>327</v>
      </c>
      <c r="F379" s="25">
        <v>2</v>
      </c>
      <c r="G379" s="28">
        <v>1</v>
      </c>
      <c r="H379" s="28">
        <v>81778</v>
      </c>
      <c r="I379" s="28" t="s">
        <v>17</v>
      </c>
      <c r="J379" s="49">
        <v>78770284</v>
      </c>
      <c r="K379" s="45" t="s">
        <v>2547</v>
      </c>
      <c r="L379" s="46" t="s">
        <v>2552</v>
      </c>
      <c r="M379" s="55">
        <v>199900</v>
      </c>
      <c r="N379" s="57">
        <v>0.9</v>
      </c>
      <c r="O379" s="36">
        <f t="shared" si="6"/>
        <v>19990</v>
      </c>
      <c r="P379" s="28" t="s">
        <v>0</v>
      </c>
    </row>
  </sheetData>
  <autoFilter ref="A1:P374" xr:uid="{00000000-0009-0000-0000-000003000000}"/>
  <conditionalFormatting sqref="J1">
    <cfRule type="duplicateValues" dxfId="338" priority="3"/>
    <cfRule type="duplicateValues" dxfId="337" priority="4"/>
    <cfRule type="duplicateValues" dxfId="336" priority="5"/>
    <cfRule type="duplicateValues" dxfId="335" priority="6"/>
  </conditionalFormatting>
  <conditionalFormatting sqref="J1:J1048576">
    <cfRule type="duplicateValues" dxfId="334" priority="1"/>
    <cfRule type="duplicateValues" dxfId="333" priority="2"/>
  </conditionalFormatting>
  <conditionalFormatting sqref="J2:J16">
    <cfRule type="duplicateValues" dxfId="332" priority="42"/>
    <cfRule type="duplicateValues" dxfId="331" priority="55"/>
  </conditionalFormatting>
  <conditionalFormatting sqref="J2:J197">
    <cfRule type="duplicateValues" dxfId="330" priority="56"/>
  </conditionalFormatting>
  <conditionalFormatting sqref="J2:J374">
    <cfRule type="duplicateValues" dxfId="329" priority="46"/>
  </conditionalFormatting>
  <conditionalFormatting sqref="J17:J23">
    <cfRule type="duplicateValues" dxfId="328" priority="54"/>
  </conditionalFormatting>
  <conditionalFormatting sqref="J24:J26">
    <cfRule type="duplicateValues" dxfId="327" priority="53"/>
  </conditionalFormatting>
  <conditionalFormatting sqref="J27:J33">
    <cfRule type="duplicateValues" dxfId="326" priority="52"/>
  </conditionalFormatting>
  <conditionalFormatting sqref="J32:J33">
    <cfRule type="duplicateValues" dxfId="325" priority="41"/>
  </conditionalFormatting>
  <conditionalFormatting sqref="J34:J37">
    <cfRule type="duplicateValues" dxfId="324" priority="44"/>
  </conditionalFormatting>
  <conditionalFormatting sqref="J34:J39">
    <cfRule type="duplicateValues" dxfId="323" priority="45"/>
  </conditionalFormatting>
  <conditionalFormatting sqref="J38:J39">
    <cfRule type="duplicateValues" dxfId="322" priority="43"/>
  </conditionalFormatting>
  <conditionalFormatting sqref="J40:J41">
    <cfRule type="duplicateValues" dxfId="321" priority="51"/>
  </conditionalFormatting>
  <conditionalFormatting sqref="J42">
    <cfRule type="duplicateValues" dxfId="320" priority="50"/>
  </conditionalFormatting>
  <conditionalFormatting sqref="J43:J44">
    <cfRule type="duplicateValues" dxfId="319" priority="49"/>
  </conditionalFormatting>
  <conditionalFormatting sqref="J45:J46">
    <cfRule type="duplicateValues" dxfId="318" priority="40"/>
  </conditionalFormatting>
  <conditionalFormatting sqref="J47:J54">
    <cfRule type="duplicateValues" dxfId="317" priority="48"/>
  </conditionalFormatting>
  <conditionalFormatting sqref="J55:J59">
    <cfRule type="duplicateValues" dxfId="316" priority="47"/>
  </conditionalFormatting>
  <conditionalFormatting sqref="J90:J92">
    <cfRule type="duplicateValues" dxfId="315" priority="39"/>
  </conditionalFormatting>
  <conditionalFormatting sqref="J93:J96">
    <cfRule type="duplicateValues" dxfId="314" priority="38"/>
  </conditionalFormatting>
  <conditionalFormatting sqref="J97:J98">
    <cfRule type="duplicateValues" dxfId="313" priority="37"/>
  </conditionalFormatting>
  <conditionalFormatting sqref="J99:J100">
    <cfRule type="duplicateValues" dxfId="312" priority="36"/>
  </conditionalFormatting>
  <conditionalFormatting sqref="J101:J105">
    <cfRule type="duplicateValues" dxfId="311" priority="34"/>
    <cfRule type="duplicateValues" dxfId="310" priority="35"/>
  </conditionalFormatting>
  <conditionalFormatting sqref="J106">
    <cfRule type="duplicateValues" dxfId="309" priority="33"/>
  </conditionalFormatting>
  <conditionalFormatting sqref="J107:J114">
    <cfRule type="duplicateValues" dxfId="308" priority="32"/>
  </conditionalFormatting>
  <conditionalFormatting sqref="J115">
    <cfRule type="duplicateValues" dxfId="307" priority="31"/>
  </conditionalFormatting>
  <conditionalFormatting sqref="J116:J117">
    <cfRule type="duplicateValues" dxfId="306" priority="30"/>
  </conditionalFormatting>
  <conditionalFormatting sqref="J118:J123">
    <cfRule type="duplicateValues" dxfId="305" priority="29"/>
  </conditionalFormatting>
  <conditionalFormatting sqref="J124:J132">
    <cfRule type="duplicateValues" dxfId="304" priority="28"/>
  </conditionalFormatting>
  <conditionalFormatting sqref="J133:J137">
    <cfRule type="duplicateValues" dxfId="303" priority="27"/>
  </conditionalFormatting>
  <conditionalFormatting sqref="J138:J142">
    <cfRule type="duplicateValues" dxfId="302" priority="26"/>
  </conditionalFormatting>
  <conditionalFormatting sqref="J143:J147">
    <cfRule type="duplicateValues" dxfId="301" priority="25"/>
  </conditionalFormatting>
  <conditionalFormatting sqref="J148:J157">
    <cfRule type="duplicateValues" dxfId="300" priority="24"/>
  </conditionalFormatting>
  <conditionalFormatting sqref="J158:J162">
    <cfRule type="duplicateValues" dxfId="299" priority="22"/>
  </conditionalFormatting>
  <conditionalFormatting sqref="J163:J172">
    <cfRule type="duplicateValues" dxfId="298" priority="18"/>
    <cfRule type="duplicateValues" dxfId="297" priority="23"/>
  </conditionalFormatting>
  <conditionalFormatting sqref="J173:J177">
    <cfRule type="duplicateValues" dxfId="296" priority="19"/>
    <cfRule type="duplicateValues" dxfId="295" priority="20"/>
    <cfRule type="duplicateValues" dxfId="294" priority="21"/>
  </conditionalFormatting>
  <conditionalFormatting sqref="J178:J187">
    <cfRule type="duplicateValues" dxfId="293" priority="14"/>
  </conditionalFormatting>
  <conditionalFormatting sqref="J188:J197">
    <cfRule type="duplicateValues" dxfId="292" priority="15"/>
    <cfRule type="duplicateValues" dxfId="291" priority="16"/>
    <cfRule type="duplicateValues" dxfId="290" priority="17"/>
  </conditionalFormatting>
  <conditionalFormatting sqref="J338:J369">
    <cfRule type="duplicateValues" dxfId="289" priority="7"/>
    <cfRule type="duplicateValues" dxfId="288" priority="12"/>
  </conditionalFormatting>
  <conditionalFormatting sqref="J346:J353">
    <cfRule type="duplicateValues" dxfId="287" priority="10"/>
  </conditionalFormatting>
  <conditionalFormatting sqref="J354:J361">
    <cfRule type="duplicateValues" dxfId="286" priority="9"/>
  </conditionalFormatting>
  <conditionalFormatting sqref="J362">
    <cfRule type="duplicateValues" dxfId="285" priority="8"/>
  </conditionalFormatting>
  <conditionalFormatting sqref="J363:J369">
    <cfRule type="duplicateValues" dxfId="284" priority="11"/>
  </conditionalFormatting>
  <conditionalFormatting sqref="J370:J374 J198:J337">
    <cfRule type="duplicateValues" dxfId="283" priority="13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43"/>
  <sheetViews>
    <sheetView zoomScale="90" zoomScaleNormal="90" workbookViewId="0">
      <selection activeCell="H23" sqref="H23"/>
    </sheetView>
  </sheetViews>
  <sheetFormatPr defaultColWidth="9.33203125" defaultRowHeight="15.6" x14ac:dyDescent="0.3"/>
  <cols>
    <col min="1" max="1" width="20.6640625" style="31" customWidth="1"/>
    <col min="2" max="3" width="14" style="31" customWidth="1"/>
    <col min="4" max="7" width="8.6640625" style="31" customWidth="1"/>
    <col min="8" max="9" width="9.33203125" style="31"/>
    <col min="10" max="10" width="11.6640625" style="31" customWidth="1"/>
    <col min="11" max="11" width="13.6640625" style="80" customWidth="1"/>
    <col min="12" max="12" width="35.6640625" style="18" customWidth="1"/>
    <col min="13" max="13" width="15.6640625" style="41" customWidth="1"/>
    <col min="14" max="14" width="8.6640625" style="30" customWidth="1"/>
    <col min="15" max="15" width="15.6640625" style="42" customWidth="1"/>
    <col min="16" max="16" width="15.6640625" style="31" customWidth="1"/>
    <col min="17" max="16384" width="9.33203125" style="18"/>
  </cols>
  <sheetData>
    <row r="1" spans="1:16" s="24" customFormat="1" ht="30" customHeight="1" x14ac:dyDescent="0.3">
      <c r="A1" s="7" t="s">
        <v>16</v>
      </c>
      <c r="B1" s="8" t="s">
        <v>15</v>
      </c>
      <c r="C1" s="8" t="s">
        <v>14</v>
      </c>
      <c r="D1" s="7" t="s">
        <v>13</v>
      </c>
      <c r="E1" s="7" t="s">
        <v>12</v>
      </c>
      <c r="F1" s="7" t="s">
        <v>11</v>
      </c>
      <c r="G1" s="9" t="s">
        <v>10</v>
      </c>
      <c r="H1" s="9" t="s">
        <v>9</v>
      </c>
      <c r="I1" s="7" t="s">
        <v>8</v>
      </c>
      <c r="J1" s="7" t="s">
        <v>7</v>
      </c>
      <c r="K1" s="79" t="s">
        <v>6</v>
      </c>
      <c r="L1" s="7" t="s">
        <v>5</v>
      </c>
      <c r="M1" s="10" t="s">
        <v>4</v>
      </c>
      <c r="N1" s="11" t="s">
        <v>3</v>
      </c>
      <c r="O1" s="10" t="s">
        <v>2</v>
      </c>
      <c r="P1" s="7" t="s">
        <v>1</v>
      </c>
    </row>
    <row r="2" spans="1:16" x14ac:dyDescent="0.3">
      <c r="A2" s="32" t="s">
        <v>3213</v>
      </c>
      <c r="B2" s="40">
        <v>46108</v>
      </c>
      <c r="C2" s="40">
        <v>46113</v>
      </c>
      <c r="D2" s="32">
        <v>3319</v>
      </c>
      <c r="E2" s="32">
        <v>327</v>
      </c>
      <c r="F2" s="32">
        <v>2</v>
      </c>
      <c r="G2" s="31">
        <v>1</v>
      </c>
      <c r="H2" s="31">
        <v>80700</v>
      </c>
      <c r="I2" s="31" t="s">
        <v>17</v>
      </c>
      <c r="J2" s="31">
        <v>79628329</v>
      </c>
      <c r="K2" s="80" t="s">
        <v>1268</v>
      </c>
      <c r="L2" s="18" t="s">
        <v>1269</v>
      </c>
      <c r="M2" s="41">
        <v>159900</v>
      </c>
      <c r="N2" s="30">
        <v>0.9</v>
      </c>
      <c r="O2" s="33">
        <f t="shared" ref="O2:O65" si="0">M2*(1-N2)</f>
        <v>15989.999999999996</v>
      </c>
      <c r="P2" s="28" t="s">
        <v>0</v>
      </c>
    </row>
    <row r="3" spans="1:16" x14ac:dyDescent="0.3">
      <c r="A3" s="32" t="s">
        <v>3213</v>
      </c>
      <c r="B3" s="40">
        <v>46108</v>
      </c>
      <c r="C3" s="40">
        <v>46113</v>
      </c>
      <c r="D3" s="32">
        <v>3319</v>
      </c>
      <c r="E3" s="32">
        <v>327</v>
      </c>
      <c r="F3" s="32">
        <v>2</v>
      </c>
      <c r="G3" s="31">
        <v>1</v>
      </c>
      <c r="H3" s="31">
        <v>80700</v>
      </c>
      <c r="I3" s="31" t="s">
        <v>17</v>
      </c>
      <c r="J3" s="31">
        <v>79628338</v>
      </c>
      <c r="K3" s="80" t="s">
        <v>1268</v>
      </c>
      <c r="L3" s="18" t="s">
        <v>1270</v>
      </c>
      <c r="M3" s="41">
        <v>159900</v>
      </c>
      <c r="N3" s="30">
        <v>0.9</v>
      </c>
      <c r="O3" s="33">
        <f t="shared" si="0"/>
        <v>15989.999999999996</v>
      </c>
      <c r="P3" s="28" t="s">
        <v>0</v>
      </c>
    </row>
    <row r="4" spans="1:16" x14ac:dyDescent="0.3">
      <c r="A4" s="32" t="s">
        <v>3213</v>
      </c>
      <c r="B4" s="40">
        <v>46108</v>
      </c>
      <c r="C4" s="40">
        <v>46113</v>
      </c>
      <c r="D4" s="32">
        <v>3319</v>
      </c>
      <c r="E4" s="32">
        <v>327</v>
      </c>
      <c r="F4" s="32">
        <v>2</v>
      </c>
      <c r="G4" s="31">
        <v>1</v>
      </c>
      <c r="H4" s="31">
        <v>80700</v>
      </c>
      <c r="I4" s="31" t="s">
        <v>17</v>
      </c>
      <c r="J4" s="31">
        <v>79628347</v>
      </c>
      <c r="K4" s="80" t="s">
        <v>1268</v>
      </c>
      <c r="L4" s="18" t="s">
        <v>1271</v>
      </c>
      <c r="M4" s="41">
        <v>159900</v>
      </c>
      <c r="N4" s="30">
        <v>0.9</v>
      </c>
      <c r="O4" s="33">
        <f t="shared" si="0"/>
        <v>15989.999999999996</v>
      </c>
      <c r="P4" s="28" t="s">
        <v>0</v>
      </c>
    </row>
    <row r="5" spans="1:16" x14ac:dyDescent="0.3">
      <c r="A5" s="32" t="s">
        <v>3213</v>
      </c>
      <c r="B5" s="40">
        <v>46108</v>
      </c>
      <c r="C5" s="40">
        <v>46113</v>
      </c>
      <c r="D5" s="32">
        <v>3319</v>
      </c>
      <c r="E5" s="32">
        <v>327</v>
      </c>
      <c r="F5" s="32">
        <v>2</v>
      </c>
      <c r="G5" s="31">
        <v>1</v>
      </c>
      <c r="H5" s="31">
        <v>80700</v>
      </c>
      <c r="I5" s="31" t="s">
        <v>17</v>
      </c>
      <c r="J5" s="31">
        <v>79628356</v>
      </c>
      <c r="K5" s="80" t="s">
        <v>1268</v>
      </c>
      <c r="L5" s="18" t="s">
        <v>1272</v>
      </c>
      <c r="M5" s="41">
        <v>159900</v>
      </c>
      <c r="N5" s="30">
        <v>0.9</v>
      </c>
      <c r="O5" s="33">
        <f t="shared" si="0"/>
        <v>15989.999999999996</v>
      </c>
      <c r="P5" s="28" t="s">
        <v>0</v>
      </c>
    </row>
    <row r="6" spans="1:16" x14ac:dyDescent="0.3">
      <c r="A6" s="32" t="s">
        <v>3213</v>
      </c>
      <c r="B6" s="40">
        <v>46108</v>
      </c>
      <c r="C6" s="40">
        <v>46113</v>
      </c>
      <c r="D6" s="32">
        <v>3319</v>
      </c>
      <c r="E6" s="32">
        <v>327</v>
      </c>
      <c r="F6" s="32">
        <v>2</v>
      </c>
      <c r="G6" s="31">
        <v>1</v>
      </c>
      <c r="H6" s="31">
        <v>80700</v>
      </c>
      <c r="I6" s="31" t="s">
        <v>17</v>
      </c>
      <c r="J6" s="31">
        <v>79628427</v>
      </c>
      <c r="K6" s="80" t="s">
        <v>1273</v>
      </c>
      <c r="L6" s="18" t="s">
        <v>1274</v>
      </c>
      <c r="M6" s="41">
        <v>159900</v>
      </c>
      <c r="N6" s="30">
        <v>0.9</v>
      </c>
      <c r="O6" s="33">
        <f t="shared" si="0"/>
        <v>15989.999999999996</v>
      </c>
      <c r="P6" s="28" t="s">
        <v>0</v>
      </c>
    </row>
    <row r="7" spans="1:16" x14ac:dyDescent="0.3">
      <c r="A7" s="32" t="s">
        <v>3213</v>
      </c>
      <c r="B7" s="40">
        <v>46108</v>
      </c>
      <c r="C7" s="40">
        <v>46113</v>
      </c>
      <c r="D7" s="32">
        <v>3319</v>
      </c>
      <c r="E7" s="32">
        <v>327</v>
      </c>
      <c r="F7" s="32">
        <v>2</v>
      </c>
      <c r="G7" s="31">
        <v>1</v>
      </c>
      <c r="H7" s="31">
        <v>80700</v>
      </c>
      <c r="I7" s="31" t="s">
        <v>17</v>
      </c>
      <c r="J7" s="31">
        <v>79628436</v>
      </c>
      <c r="K7" s="80" t="s">
        <v>1273</v>
      </c>
      <c r="L7" s="18" t="s">
        <v>1275</v>
      </c>
      <c r="M7" s="41">
        <v>159900</v>
      </c>
      <c r="N7" s="30">
        <v>0.9</v>
      </c>
      <c r="O7" s="33">
        <f t="shared" si="0"/>
        <v>15989.999999999996</v>
      </c>
      <c r="P7" s="28" t="s">
        <v>0</v>
      </c>
    </row>
    <row r="8" spans="1:16" x14ac:dyDescent="0.3">
      <c r="A8" s="32" t="s">
        <v>3213</v>
      </c>
      <c r="B8" s="40">
        <v>46108</v>
      </c>
      <c r="C8" s="40">
        <v>46113</v>
      </c>
      <c r="D8" s="32">
        <v>3319</v>
      </c>
      <c r="E8" s="32">
        <v>327</v>
      </c>
      <c r="F8" s="32">
        <v>2</v>
      </c>
      <c r="G8" s="31">
        <v>1</v>
      </c>
      <c r="H8" s="31">
        <v>80700</v>
      </c>
      <c r="I8" s="31" t="s">
        <v>17</v>
      </c>
      <c r="J8" s="31">
        <v>79628445</v>
      </c>
      <c r="K8" s="80" t="s">
        <v>1273</v>
      </c>
      <c r="L8" s="18" t="s">
        <v>1276</v>
      </c>
      <c r="M8" s="41">
        <v>159900</v>
      </c>
      <c r="N8" s="30">
        <v>0.9</v>
      </c>
      <c r="O8" s="33">
        <f t="shared" si="0"/>
        <v>15989.999999999996</v>
      </c>
      <c r="P8" s="28" t="s">
        <v>0</v>
      </c>
    </row>
    <row r="9" spans="1:16" x14ac:dyDescent="0.3">
      <c r="A9" s="32" t="s">
        <v>3213</v>
      </c>
      <c r="B9" s="40">
        <v>46108</v>
      </c>
      <c r="C9" s="40">
        <v>46113</v>
      </c>
      <c r="D9" s="32">
        <v>3319</v>
      </c>
      <c r="E9" s="32">
        <v>327</v>
      </c>
      <c r="F9" s="32">
        <v>2</v>
      </c>
      <c r="G9" s="31">
        <v>1</v>
      </c>
      <c r="H9" s="31">
        <v>80700</v>
      </c>
      <c r="I9" s="31" t="s">
        <v>17</v>
      </c>
      <c r="J9" s="31">
        <v>79628454</v>
      </c>
      <c r="K9" s="80" t="s">
        <v>1273</v>
      </c>
      <c r="L9" s="18" t="s">
        <v>1277</v>
      </c>
      <c r="M9" s="41">
        <v>159900</v>
      </c>
      <c r="N9" s="30">
        <v>0.9</v>
      </c>
      <c r="O9" s="33">
        <f t="shared" si="0"/>
        <v>15989.999999999996</v>
      </c>
      <c r="P9" s="28" t="s">
        <v>0</v>
      </c>
    </row>
    <row r="10" spans="1:16" x14ac:dyDescent="0.3">
      <c r="A10" s="32" t="s">
        <v>3213</v>
      </c>
      <c r="B10" s="40">
        <v>46108</v>
      </c>
      <c r="C10" s="40">
        <v>46113</v>
      </c>
      <c r="D10" s="32">
        <v>3319</v>
      </c>
      <c r="E10" s="32">
        <v>327</v>
      </c>
      <c r="F10" s="32">
        <v>2</v>
      </c>
      <c r="G10" s="31">
        <v>1</v>
      </c>
      <c r="H10" s="31">
        <v>80700</v>
      </c>
      <c r="I10" s="31" t="s">
        <v>17</v>
      </c>
      <c r="J10" s="31">
        <v>79628472</v>
      </c>
      <c r="K10" s="80" t="s">
        <v>1273</v>
      </c>
      <c r="L10" s="18" t="s">
        <v>1278</v>
      </c>
      <c r="M10" s="41">
        <v>159900</v>
      </c>
      <c r="N10" s="30">
        <v>0.9</v>
      </c>
      <c r="O10" s="33">
        <f t="shared" si="0"/>
        <v>15989.999999999996</v>
      </c>
      <c r="P10" s="28" t="s">
        <v>0</v>
      </c>
    </row>
    <row r="11" spans="1:16" x14ac:dyDescent="0.3">
      <c r="A11" s="32" t="s">
        <v>3213</v>
      </c>
      <c r="B11" s="40">
        <v>46108</v>
      </c>
      <c r="C11" s="40">
        <v>46113</v>
      </c>
      <c r="D11" s="32">
        <v>3319</v>
      </c>
      <c r="E11" s="32">
        <v>327</v>
      </c>
      <c r="F11" s="32">
        <v>2</v>
      </c>
      <c r="G11" s="31">
        <v>1</v>
      </c>
      <c r="H11" s="31">
        <v>80700</v>
      </c>
      <c r="I11" s="31" t="s">
        <v>17</v>
      </c>
      <c r="J11" s="31">
        <v>79628481</v>
      </c>
      <c r="K11" s="80" t="s">
        <v>1273</v>
      </c>
      <c r="L11" s="18" t="s">
        <v>1279</v>
      </c>
      <c r="M11" s="41">
        <v>159900</v>
      </c>
      <c r="N11" s="30">
        <v>0.9</v>
      </c>
      <c r="O11" s="33">
        <f t="shared" si="0"/>
        <v>15989.999999999996</v>
      </c>
      <c r="P11" s="28" t="s">
        <v>0</v>
      </c>
    </row>
    <row r="12" spans="1:16" x14ac:dyDescent="0.3">
      <c r="A12" s="32" t="s">
        <v>3213</v>
      </c>
      <c r="B12" s="40">
        <v>46108</v>
      </c>
      <c r="C12" s="40">
        <v>46113</v>
      </c>
      <c r="D12" s="32">
        <v>3319</v>
      </c>
      <c r="E12" s="32">
        <v>327</v>
      </c>
      <c r="F12" s="32">
        <v>2</v>
      </c>
      <c r="G12" s="31">
        <v>1</v>
      </c>
      <c r="H12" s="31">
        <v>80700</v>
      </c>
      <c r="I12" s="31" t="s">
        <v>17</v>
      </c>
      <c r="J12" s="31">
        <v>79628490</v>
      </c>
      <c r="K12" s="80" t="s">
        <v>1273</v>
      </c>
      <c r="L12" s="18" t="s">
        <v>1280</v>
      </c>
      <c r="M12" s="41">
        <v>159900</v>
      </c>
      <c r="N12" s="30">
        <v>0.9</v>
      </c>
      <c r="O12" s="33">
        <f t="shared" si="0"/>
        <v>15989.999999999996</v>
      </c>
      <c r="P12" s="28" t="s">
        <v>0</v>
      </c>
    </row>
    <row r="13" spans="1:16" x14ac:dyDescent="0.3">
      <c r="A13" s="32" t="s">
        <v>3213</v>
      </c>
      <c r="B13" s="40">
        <v>46108</v>
      </c>
      <c r="C13" s="40">
        <v>46113</v>
      </c>
      <c r="D13" s="32">
        <v>3319</v>
      </c>
      <c r="E13" s="32">
        <v>327</v>
      </c>
      <c r="F13" s="32">
        <v>2</v>
      </c>
      <c r="G13" s="31">
        <v>1</v>
      </c>
      <c r="H13" s="31">
        <v>80700</v>
      </c>
      <c r="I13" s="31" t="s">
        <v>17</v>
      </c>
      <c r="J13" s="31">
        <v>79628507</v>
      </c>
      <c r="K13" s="80" t="s">
        <v>1273</v>
      </c>
      <c r="L13" s="18" t="s">
        <v>1281</v>
      </c>
      <c r="M13" s="41">
        <v>159900</v>
      </c>
      <c r="N13" s="30">
        <v>0.9</v>
      </c>
      <c r="O13" s="33">
        <f t="shared" si="0"/>
        <v>15989.999999999996</v>
      </c>
      <c r="P13" s="28" t="s">
        <v>0</v>
      </c>
    </row>
    <row r="14" spans="1:16" x14ac:dyDescent="0.3">
      <c r="A14" s="32" t="s">
        <v>3213</v>
      </c>
      <c r="B14" s="40">
        <v>46108</v>
      </c>
      <c r="C14" s="40">
        <v>46113</v>
      </c>
      <c r="D14" s="32">
        <v>3319</v>
      </c>
      <c r="E14" s="32">
        <v>327</v>
      </c>
      <c r="F14" s="32">
        <v>2</v>
      </c>
      <c r="G14" s="31">
        <v>1</v>
      </c>
      <c r="H14" s="31">
        <v>80700</v>
      </c>
      <c r="I14" s="31" t="s">
        <v>17</v>
      </c>
      <c r="J14" s="31">
        <v>80040568</v>
      </c>
      <c r="K14" s="80" t="s">
        <v>1282</v>
      </c>
      <c r="L14" s="18" t="s">
        <v>1283</v>
      </c>
      <c r="M14" s="41">
        <v>159900</v>
      </c>
      <c r="N14" s="30">
        <v>0.9</v>
      </c>
      <c r="O14" s="33">
        <f t="shared" si="0"/>
        <v>15989.999999999996</v>
      </c>
      <c r="P14" s="28" t="s">
        <v>0</v>
      </c>
    </row>
    <row r="15" spans="1:16" x14ac:dyDescent="0.3">
      <c r="A15" s="32" t="s">
        <v>3213</v>
      </c>
      <c r="B15" s="40">
        <v>46108</v>
      </c>
      <c r="C15" s="40">
        <v>46113</v>
      </c>
      <c r="D15" s="32">
        <v>3319</v>
      </c>
      <c r="E15" s="32">
        <v>327</v>
      </c>
      <c r="F15" s="32">
        <v>2</v>
      </c>
      <c r="G15" s="31">
        <v>1</v>
      </c>
      <c r="H15" s="31">
        <v>80700</v>
      </c>
      <c r="I15" s="31" t="s">
        <v>17</v>
      </c>
      <c r="J15" s="31">
        <v>80040559</v>
      </c>
      <c r="K15" s="80" t="s">
        <v>1282</v>
      </c>
      <c r="L15" s="18" t="s">
        <v>1284</v>
      </c>
      <c r="M15" s="41">
        <v>159900</v>
      </c>
      <c r="N15" s="30">
        <v>0.9</v>
      </c>
      <c r="O15" s="33">
        <f t="shared" si="0"/>
        <v>15989.999999999996</v>
      </c>
      <c r="P15" s="28" t="s">
        <v>0</v>
      </c>
    </row>
    <row r="16" spans="1:16" x14ac:dyDescent="0.3">
      <c r="A16" s="32" t="s">
        <v>3213</v>
      </c>
      <c r="B16" s="40">
        <v>46108</v>
      </c>
      <c r="C16" s="40">
        <v>46113</v>
      </c>
      <c r="D16" s="32">
        <v>3319</v>
      </c>
      <c r="E16" s="32">
        <v>327</v>
      </c>
      <c r="F16" s="32">
        <v>2</v>
      </c>
      <c r="G16" s="31">
        <v>1</v>
      </c>
      <c r="H16" s="31">
        <v>80700</v>
      </c>
      <c r="I16" s="31" t="s">
        <v>17</v>
      </c>
      <c r="J16" s="31">
        <v>80040540</v>
      </c>
      <c r="K16" s="80" t="s">
        <v>1282</v>
      </c>
      <c r="L16" s="18" t="s">
        <v>1285</v>
      </c>
      <c r="M16" s="41">
        <v>159900</v>
      </c>
      <c r="N16" s="30">
        <v>0.9</v>
      </c>
      <c r="O16" s="33">
        <f t="shared" si="0"/>
        <v>15989.999999999996</v>
      </c>
      <c r="P16" s="28" t="s">
        <v>0</v>
      </c>
    </row>
    <row r="17" spans="1:16" x14ac:dyDescent="0.3">
      <c r="A17" s="32" t="s">
        <v>3213</v>
      </c>
      <c r="B17" s="40">
        <v>46108</v>
      </c>
      <c r="C17" s="40">
        <v>46113</v>
      </c>
      <c r="D17" s="32">
        <v>3319</v>
      </c>
      <c r="E17" s="32">
        <v>327</v>
      </c>
      <c r="F17" s="32">
        <v>2</v>
      </c>
      <c r="G17" s="31">
        <v>1</v>
      </c>
      <c r="H17" s="31">
        <v>80700</v>
      </c>
      <c r="I17" s="31" t="s">
        <v>17</v>
      </c>
      <c r="J17" s="31">
        <v>80040531</v>
      </c>
      <c r="K17" s="80" t="s">
        <v>1282</v>
      </c>
      <c r="L17" s="18" t="s">
        <v>1286</v>
      </c>
      <c r="M17" s="41">
        <v>159900</v>
      </c>
      <c r="N17" s="30">
        <v>0.9</v>
      </c>
      <c r="O17" s="33">
        <f t="shared" si="0"/>
        <v>15989.999999999996</v>
      </c>
      <c r="P17" s="28" t="s">
        <v>0</v>
      </c>
    </row>
    <row r="18" spans="1:16" x14ac:dyDescent="0.3">
      <c r="A18" s="32" t="s">
        <v>3213</v>
      </c>
      <c r="B18" s="40">
        <v>46108</v>
      </c>
      <c r="C18" s="40">
        <v>46113</v>
      </c>
      <c r="D18" s="32">
        <v>3319</v>
      </c>
      <c r="E18" s="32">
        <v>327</v>
      </c>
      <c r="F18" s="32">
        <v>2</v>
      </c>
      <c r="G18" s="31">
        <v>1</v>
      </c>
      <c r="H18" s="31">
        <v>80700</v>
      </c>
      <c r="I18" s="31" t="s">
        <v>17</v>
      </c>
      <c r="J18" s="31">
        <v>80040497</v>
      </c>
      <c r="K18" s="80" t="s">
        <v>1282</v>
      </c>
      <c r="L18" s="18" t="s">
        <v>1287</v>
      </c>
      <c r="M18" s="41">
        <v>159900</v>
      </c>
      <c r="N18" s="30">
        <v>0.9</v>
      </c>
      <c r="O18" s="33">
        <f t="shared" si="0"/>
        <v>15989.999999999996</v>
      </c>
      <c r="P18" s="28" t="s">
        <v>0</v>
      </c>
    </row>
    <row r="19" spans="1:16" x14ac:dyDescent="0.3">
      <c r="A19" s="32" t="s">
        <v>3213</v>
      </c>
      <c r="B19" s="40">
        <v>46108</v>
      </c>
      <c r="C19" s="40">
        <v>46113</v>
      </c>
      <c r="D19" s="32">
        <v>3319</v>
      </c>
      <c r="E19" s="32">
        <v>327</v>
      </c>
      <c r="F19" s="32">
        <v>2</v>
      </c>
      <c r="G19" s="31">
        <v>1</v>
      </c>
      <c r="H19" s="31">
        <v>80700</v>
      </c>
      <c r="I19" s="31" t="s">
        <v>17</v>
      </c>
      <c r="J19" s="31">
        <v>80040504</v>
      </c>
      <c r="K19" s="80" t="s">
        <v>1282</v>
      </c>
      <c r="L19" s="18" t="s">
        <v>1288</v>
      </c>
      <c r="M19" s="41">
        <v>159900</v>
      </c>
      <c r="N19" s="30">
        <v>0.9</v>
      </c>
      <c r="O19" s="33">
        <f t="shared" si="0"/>
        <v>15989.999999999996</v>
      </c>
      <c r="P19" s="28" t="s">
        <v>0</v>
      </c>
    </row>
    <row r="20" spans="1:16" x14ac:dyDescent="0.3">
      <c r="A20" s="32" t="s">
        <v>3213</v>
      </c>
      <c r="B20" s="40">
        <v>46108</v>
      </c>
      <c r="C20" s="40">
        <v>46113</v>
      </c>
      <c r="D20" s="32">
        <v>3319</v>
      </c>
      <c r="E20" s="32">
        <v>327</v>
      </c>
      <c r="F20" s="32">
        <v>2</v>
      </c>
      <c r="G20" s="31">
        <v>1</v>
      </c>
      <c r="H20" s="31">
        <v>80700</v>
      </c>
      <c r="I20" s="31" t="s">
        <v>17</v>
      </c>
      <c r="J20" s="31">
        <v>80040513</v>
      </c>
      <c r="K20" s="80" t="s">
        <v>1282</v>
      </c>
      <c r="L20" s="18" t="s">
        <v>1289</v>
      </c>
      <c r="M20" s="41">
        <v>159900</v>
      </c>
      <c r="N20" s="30">
        <v>0.9</v>
      </c>
      <c r="O20" s="33">
        <f t="shared" si="0"/>
        <v>15989.999999999996</v>
      </c>
      <c r="P20" s="28" t="s">
        <v>0</v>
      </c>
    </row>
    <row r="21" spans="1:16" x14ac:dyDescent="0.3">
      <c r="A21" s="32" t="s">
        <v>3213</v>
      </c>
      <c r="B21" s="40">
        <v>46108</v>
      </c>
      <c r="C21" s="40">
        <v>46113</v>
      </c>
      <c r="D21" s="32">
        <v>3319</v>
      </c>
      <c r="E21" s="32">
        <v>327</v>
      </c>
      <c r="F21" s="32">
        <v>2</v>
      </c>
      <c r="G21" s="31">
        <v>1</v>
      </c>
      <c r="H21" s="31">
        <v>80700</v>
      </c>
      <c r="I21" s="31" t="s">
        <v>17</v>
      </c>
      <c r="J21" s="31">
        <v>80040522</v>
      </c>
      <c r="K21" s="80" t="s">
        <v>1282</v>
      </c>
      <c r="L21" s="18" t="s">
        <v>1290</v>
      </c>
      <c r="M21" s="41">
        <v>159900</v>
      </c>
      <c r="N21" s="30">
        <v>0.9</v>
      </c>
      <c r="O21" s="33">
        <f t="shared" si="0"/>
        <v>15989.999999999996</v>
      </c>
      <c r="P21" s="28" t="s">
        <v>0</v>
      </c>
    </row>
    <row r="22" spans="1:16" x14ac:dyDescent="0.3">
      <c r="A22" s="32" t="s">
        <v>3213</v>
      </c>
      <c r="B22" s="40">
        <v>46108</v>
      </c>
      <c r="C22" s="40">
        <v>46113</v>
      </c>
      <c r="D22" s="32">
        <v>3319</v>
      </c>
      <c r="E22" s="32">
        <v>327</v>
      </c>
      <c r="F22" s="32">
        <v>2</v>
      </c>
      <c r="G22" s="31">
        <v>1</v>
      </c>
      <c r="H22" s="31">
        <v>81778</v>
      </c>
      <c r="I22" s="31" t="s">
        <v>17</v>
      </c>
      <c r="J22" s="31">
        <v>78770097</v>
      </c>
      <c r="K22" s="80" t="s">
        <v>1291</v>
      </c>
      <c r="L22" s="18" t="s">
        <v>1292</v>
      </c>
      <c r="M22" s="41">
        <v>159900</v>
      </c>
      <c r="N22" s="30">
        <v>0.9</v>
      </c>
      <c r="O22" s="33">
        <f t="shared" si="0"/>
        <v>15989.999999999996</v>
      </c>
      <c r="P22" s="28" t="s">
        <v>0</v>
      </c>
    </row>
    <row r="23" spans="1:16" x14ac:dyDescent="0.3">
      <c r="A23" s="32" t="s">
        <v>3213</v>
      </c>
      <c r="B23" s="40">
        <v>46108</v>
      </c>
      <c r="C23" s="40">
        <v>46113</v>
      </c>
      <c r="D23" s="32">
        <v>3319</v>
      </c>
      <c r="E23" s="32">
        <v>327</v>
      </c>
      <c r="F23" s="32">
        <v>2</v>
      </c>
      <c r="G23" s="31">
        <v>1</v>
      </c>
      <c r="H23" s="31">
        <v>81778</v>
      </c>
      <c r="I23" s="31" t="s">
        <v>17</v>
      </c>
      <c r="J23" s="31">
        <v>78770104</v>
      </c>
      <c r="K23" s="80" t="s">
        <v>1291</v>
      </c>
      <c r="L23" s="18" t="s">
        <v>1293</v>
      </c>
      <c r="M23" s="41">
        <v>159900</v>
      </c>
      <c r="N23" s="30">
        <v>0.9</v>
      </c>
      <c r="O23" s="33">
        <f t="shared" si="0"/>
        <v>15989.999999999996</v>
      </c>
      <c r="P23" s="28" t="s">
        <v>0</v>
      </c>
    </row>
    <row r="24" spans="1:16" x14ac:dyDescent="0.3">
      <c r="A24" s="32" t="s">
        <v>3213</v>
      </c>
      <c r="B24" s="40">
        <v>46108</v>
      </c>
      <c r="C24" s="40">
        <v>46113</v>
      </c>
      <c r="D24" s="32">
        <v>3319</v>
      </c>
      <c r="E24" s="32">
        <v>327</v>
      </c>
      <c r="F24" s="32">
        <v>2</v>
      </c>
      <c r="G24" s="31">
        <v>1</v>
      </c>
      <c r="H24" s="31">
        <v>81778</v>
      </c>
      <c r="I24" s="31" t="s">
        <v>17</v>
      </c>
      <c r="J24" s="31">
        <v>78770113</v>
      </c>
      <c r="K24" s="80" t="s">
        <v>1291</v>
      </c>
      <c r="L24" s="18" t="s">
        <v>1294</v>
      </c>
      <c r="M24" s="41">
        <v>159900</v>
      </c>
      <c r="N24" s="30">
        <v>0.9</v>
      </c>
      <c r="O24" s="33">
        <f t="shared" si="0"/>
        <v>15989.999999999996</v>
      </c>
      <c r="P24" s="28" t="s">
        <v>0</v>
      </c>
    </row>
    <row r="25" spans="1:16" x14ac:dyDescent="0.3">
      <c r="A25" s="32" t="s">
        <v>3213</v>
      </c>
      <c r="B25" s="40">
        <v>46108</v>
      </c>
      <c r="C25" s="40">
        <v>46113</v>
      </c>
      <c r="D25" s="32">
        <v>3319</v>
      </c>
      <c r="E25" s="32">
        <v>327</v>
      </c>
      <c r="F25" s="32">
        <v>2</v>
      </c>
      <c r="G25" s="31">
        <v>1</v>
      </c>
      <c r="H25" s="31">
        <v>81778</v>
      </c>
      <c r="I25" s="31" t="s">
        <v>17</v>
      </c>
      <c r="J25" s="31">
        <v>78770122</v>
      </c>
      <c r="K25" s="80" t="s">
        <v>1291</v>
      </c>
      <c r="L25" s="18" t="s">
        <v>1295</v>
      </c>
      <c r="M25" s="41">
        <v>159900</v>
      </c>
      <c r="N25" s="30">
        <v>0.9</v>
      </c>
      <c r="O25" s="33">
        <f t="shared" si="0"/>
        <v>15989.999999999996</v>
      </c>
      <c r="P25" s="28" t="s">
        <v>0</v>
      </c>
    </row>
    <row r="26" spans="1:16" x14ac:dyDescent="0.3">
      <c r="A26" s="32" t="s">
        <v>3213</v>
      </c>
      <c r="B26" s="40">
        <v>46108</v>
      </c>
      <c r="C26" s="40">
        <v>46113</v>
      </c>
      <c r="D26" s="32">
        <v>3319</v>
      </c>
      <c r="E26" s="32">
        <v>327</v>
      </c>
      <c r="F26" s="32">
        <v>2</v>
      </c>
      <c r="G26" s="31">
        <v>1</v>
      </c>
      <c r="H26" s="31">
        <v>81778</v>
      </c>
      <c r="I26" s="31" t="s">
        <v>17</v>
      </c>
      <c r="J26" s="31">
        <v>78770131</v>
      </c>
      <c r="K26" s="80" t="s">
        <v>1291</v>
      </c>
      <c r="L26" s="18" t="s">
        <v>1296</v>
      </c>
      <c r="M26" s="41">
        <v>159900</v>
      </c>
      <c r="N26" s="30">
        <v>0.9</v>
      </c>
      <c r="O26" s="33">
        <f t="shared" si="0"/>
        <v>15989.999999999996</v>
      </c>
      <c r="P26" s="28" t="s">
        <v>0</v>
      </c>
    </row>
    <row r="27" spans="1:16" x14ac:dyDescent="0.3">
      <c r="A27" s="32" t="s">
        <v>3213</v>
      </c>
      <c r="B27" s="40">
        <v>46108</v>
      </c>
      <c r="C27" s="40">
        <v>46113</v>
      </c>
      <c r="D27" s="32">
        <v>3319</v>
      </c>
      <c r="E27" s="32">
        <v>327</v>
      </c>
      <c r="F27" s="32">
        <v>2</v>
      </c>
      <c r="G27" s="31">
        <v>1</v>
      </c>
      <c r="H27" s="31">
        <v>81778</v>
      </c>
      <c r="I27" s="31" t="s">
        <v>17</v>
      </c>
      <c r="J27" s="31">
        <v>78770140</v>
      </c>
      <c r="K27" s="80" t="s">
        <v>1297</v>
      </c>
      <c r="L27" s="18" t="s">
        <v>1298</v>
      </c>
      <c r="M27" s="41">
        <v>159900</v>
      </c>
      <c r="N27" s="30">
        <v>0.9</v>
      </c>
      <c r="O27" s="33">
        <f t="shared" si="0"/>
        <v>15989.999999999996</v>
      </c>
      <c r="P27" s="28" t="s">
        <v>0</v>
      </c>
    </row>
    <row r="28" spans="1:16" x14ac:dyDescent="0.3">
      <c r="A28" s="32" t="s">
        <v>3213</v>
      </c>
      <c r="B28" s="40">
        <v>46108</v>
      </c>
      <c r="C28" s="40">
        <v>46113</v>
      </c>
      <c r="D28" s="32">
        <v>3319</v>
      </c>
      <c r="E28" s="32">
        <v>327</v>
      </c>
      <c r="F28" s="32">
        <v>2</v>
      </c>
      <c r="G28" s="31">
        <v>1</v>
      </c>
      <c r="H28" s="31">
        <v>81778</v>
      </c>
      <c r="I28" s="31" t="s">
        <v>17</v>
      </c>
      <c r="J28" s="31">
        <v>78770159</v>
      </c>
      <c r="K28" s="80" t="s">
        <v>1297</v>
      </c>
      <c r="L28" s="18" t="s">
        <v>1299</v>
      </c>
      <c r="M28" s="41">
        <v>159900</v>
      </c>
      <c r="N28" s="30">
        <v>0.9</v>
      </c>
      <c r="O28" s="33">
        <f t="shared" si="0"/>
        <v>15989.999999999996</v>
      </c>
      <c r="P28" s="28" t="s">
        <v>0</v>
      </c>
    </row>
    <row r="29" spans="1:16" x14ac:dyDescent="0.3">
      <c r="A29" s="32" t="s">
        <v>3213</v>
      </c>
      <c r="B29" s="40">
        <v>46108</v>
      </c>
      <c r="C29" s="40">
        <v>46113</v>
      </c>
      <c r="D29" s="32">
        <v>3319</v>
      </c>
      <c r="E29" s="32">
        <v>327</v>
      </c>
      <c r="F29" s="32">
        <v>2</v>
      </c>
      <c r="G29" s="31">
        <v>1</v>
      </c>
      <c r="H29" s="31">
        <v>81778</v>
      </c>
      <c r="I29" s="31" t="s">
        <v>17</v>
      </c>
      <c r="J29" s="31">
        <v>78770168</v>
      </c>
      <c r="K29" s="80" t="s">
        <v>1297</v>
      </c>
      <c r="L29" s="18" t="s">
        <v>1300</v>
      </c>
      <c r="M29" s="41">
        <v>159900</v>
      </c>
      <c r="N29" s="30">
        <v>0.9</v>
      </c>
      <c r="O29" s="33">
        <f t="shared" si="0"/>
        <v>15989.999999999996</v>
      </c>
      <c r="P29" s="28" t="s">
        <v>0</v>
      </c>
    </row>
    <row r="30" spans="1:16" x14ac:dyDescent="0.3">
      <c r="A30" s="32" t="s">
        <v>3213</v>
      </c>
      <c r="B30" s="40">
        <v>46108</v>
      </c>
      <c r="C30" s="40">
        <v>46113</v>
      </c>
      <c r="D30" s="32">
        <v>3319</v>
      </c>
      <c r="E30" s="32">
        <v>327</v>
      </c>
      <c r="F30" s="32">
        <v>2</v>
      </c>
      <c r="G30" s="31">
        <v>1</v>
      </c>
      <c r="H30" s="31">
        <v>81778</v>
      </c>
      <c r="I30" s="31" t="s">
        <v>17</v>
      </c>
      <c r="J30" s="31">
        <v>78770177</v>
      </c>
      <c r="K30" s="80" t="s">
        <v>1297</v>
      </c>
      <c r="L30" s="18" t="s">
        <v>1301</v>
      </c>
      <c r="M30" s="41">
        <v>159900</v>
      </c>
      <c r="N30" s="30">
        <v>0.9</v>
      </c>
      <c r="O30" s="33">
        <f t="shared" si="0"/>
        <v>15989.999999999996</v>
      </c>
      <c r="P30" s="28" t="s">
        <v>0</v>
      </c>
    </row>
    <row r="31" spans="1:16" x14ac:dyDescent="0.3">
      <c r="A31" s="32" t="s">
        <v>3213</v>
      </c>
      <c r="B31" s="40">
        <v>46108</v>
      </c>
      <c r="C31" s="40">
        <v>46113</v>
      </c>
      <c r="D31" s="32">
        <v>3319</v>
      </c>
      <c r="E31" s="32">
        <v>327</v>
      </c>
      <c r="F31" s="32">
        <v>2</v>
      </c>
      <c r="G31" s="31">
        <v>1</v>
      </c>
      <c r="H31" s="31">
        <v>81778</v>
      </c>
      <c r="I31" s="31" t="s">
        <v>17</v>
      </c>
      <c r="J31" s="31">
        <v>78770186</v>
      </c>
      <c r="K31" s="80" t="s">
        <v>1297</v>
      </c>
      <c r="L31" s="18" t="s">
        <v>1302</v>
      </c>
      <c r="M31" s="41">
        <v>159900</v>
      </c>
      <c r="N31" s="30">
        <v>0.9</v>
      </c>
      <c r="O31" s="33">
        <f t="shared" si="0"/>
        <v>15989.999999999996</v>
      </c>
      <c r="P31" s="28" t="s">
        <v>0</v>
      </c>
    </row>
    <row r="32" spans="1:16" x14ac:dyDescent="0.3">
      <c r="A32" s="32" t="s">
        <v>3213</v>
      </c>
      <c r="B32" s="40">
        <v>46108</v>
      </c>
      <c r="C32" s="40">
        <v>46113</v>
      </c>
      <c r="D32" s="32">
        <v>3319</v>
      </c>
      <c r="E32" s="32">
        <v>327</v>
      </c>
      <c r="F32" s="32">
        <v>2</v>
      </c>
      <c r="G32" s="31">
        <v>1</v>
      </c>
      <c r="H32" s="31">
        <v>81433</v>
      </c>
      <c r="I32" s="31" t="s">
        <v>17</v>
      </c>
      <c r="J32" s="31">
        <v>79676438</v>
      </c>
      <c r="K32" s="80" t="s">
        <v>1303</v>
      </c>
      <c r="L32" s="18" t="s">
        <v>1304</v>
      </c>
      <c r="M32" s="41">
        <v>219900</v>
      </c>
      <c r="N32" s="30">
        <v>0.9</v>
      </c>
      <c r="O32" s="33">
        <f t="shared" si="0"/>
        <v>21989.999999999996</v>
      </c>
      <c r="P32" s="28" t="s">
        <v>0</v>
      </c>
    </row>
    <row r="33" spans="1:16" x14ac:dyDescent="0.3">
      <c r="A33" s="32" t="s">
        <v>3213</v>
      </c>
      <c r="B33" s="40">
        <v>46108</v>
      </c>
      <c r="C33" s="40">
        <v>46113</v>
      </c>
      <c r="D33" s="32">
        <v>3319</v>
      </c>
      <c r="E33" s="32">
        <v>327</v>
      </c>
      <c r="F33" s="32">
        <v>2</v>
      </c>
      <c r="G33" s="31">
        <v>1</v>
      </c>
      <c r="H33" s="31">
        <v>81433</v>
      </c>
      <c r="I33" s="31" t="s">
        <v>17</v>
      </c>
      <c r="J33" s="31">
        <v>79676447</v>
      </c>
      <c r="K33" s="80" t="s">
        <v>1303</v>
      </c>
      <c r="L33" s="18" t="s">
        <v>1305</v>
      </c>
      <c r="M33" s="41">
        <v>219900</v>
      </c>
      <c r="N33" s="30">
        <v>0.9</v>
      </c>
      <c r="O33" s="33">
        <f t="shared" si="0"/>
        <v>21989.999999999996</v>
      </c>
      <c r="P33" s="28" t="s">
        <v>0</v>
      </c>
    </row>
    <row r="34" spans="1:16" x14ac:dyDescent="0.3">
      <c r="A34" s="32" t="s">
        <v>3213</v>
      </c>
      <c r="B34" s="40">
        <v>46108</v>
      </c>
      <c r="C34" s="40">
        <v>46113</v>
      </c>
      <c r="D34" s="32">
        <v>3319</v>
      </c>
      <c r="E34" s="32">
        <v>327</v>
      </c>
      <c r="F34" s="32">
        <v>2</v>
      </c>
      <c r="G34" s="31">
        <v>1</v>
      </c>
      <c r="H34" s="31">
        <v>81433</v>
      </c>
      <c r="I34" s="31" t="s">
        <v>17</v>
      </c>
      <c r="J34" s="31">
        <v>79676456</v>
      </c>
      <c r="K34" s="80" t="s">
        <v>1303</v>
      </c>
      <c r="L34" s="18" t="s">
        <v>1306</v>
      </c>
      <c r="M34" s="41">
        <v>219900</v>
      </c>
      <c r="N34" s="30">
        <v>0.9</v>
      </c>
      <c r="O34" s="33">
        <f t="shared" si="0"/>
        <v>21989.999999999996</v>
      </c>
      <c r="P34" s="28" t="s">
        <v>0</v>
      </c>
    </row>
    <row r="35" spans="1:16" x14ac:dyDescent="0.3">
      <c r="A35" s="32" t="s">
        <v>3213</v>
      </c>
      <c r="B35" s="40">
        <v>46108</v>
      </c>
      <c r="C35" s="40">
        <v>46113</v>
      </c>
      <c r="D35" s="32">
        <v>3319</v>
      </c>
      <c r="E35" s="32">
        <v>327</v>
      </c>
      <c r="F35" s="32">
        <v>2</v>
      </c>
      <c r="G35" s="31">
        <v>1</v>
      </c>
      <c r="H35" s="31">
        <v>81433</v>
      </c>
      <c r="I35" s="31" t="s">
        <v>17</v>
      </c>
      <c r="J35" s="31">
        <v>79676465</v>
      </c>
      <c r="K35" s="80" t="s">
        <v>1303</v>
      </c>
      <c r="L35" s="18" t="s">
        <v>1307</v>
      </c>
      <c r="M35" s="41">
        <v>219900</v>
      </c>
      <c r="N35" s="30">
        <v>0.9</v>
      </c>
      <c r="O35" s="33">
        <f t="shared" si="0"/>
        <v>21989.999999999996</v>
      </c>
      <c r="P35" s="28" t="s">
        <v>0</v>
      </c>
    </row>
    <row r="36" spans="1:16" x14ac:dyDescent="0.3">
      <c r="A36" s="32" t="s">
        <v>3213</v>
      </c>
      <c r="B36" s="40">
        <v>46108</v>
      </c>
      <c r="C36" s="40">
        <v>46113</v>
      </c>
      <c r="D36" s="32">
        <v>3319</v>
      </c>
      <c r="E36" s="32">
        <v>327</v>
      </c>
      <c r="F36" s="32">
        <v>2</v>
      </c>
      <c r="G36" s="31">
        <v>1</v>
      </c>
      <c r="H36" s="31">
        <v>81433</v>
      </c>
      <c r="I36" s="31" t="s">
        <v>17</v>
      </c>
      <c r="J36" s="31">
        <v>79676474</v>
      </c>
      <c r="K36" s="80" t="s">
        <v>1303</v>
      </c>
      <c r="L36" s="18" t="s">
        <v>1308</v>
      </c>
      <c r="M36" s="41">
        <v>219900</v>
      </c>
      <c r="N36" s="30">
        <v>0.9</v>
      </c>
      <c r="O36" s="33">
        <f t="shared" si="0"/>
        <v>21989.999999999996</v>
      </c>
      <c r="P36" s="28" t="s">
        <v>0</v>
      </c>
    </row>
    <row r="37" spans="1:16" x14ac:dyDescent="0.3">
      <c r="A37" s="32" t="s">
        <v>3213</v>
      </c>
      <c r="B37" s="40">
        <v>46108</v>
      </c>
      <c r="C37" s="40">
        <v>46113</v>
      </c>
      <c r="D37" s="32">
        <v>3319</v>
      </c>
      <c r="E37" s="32">
        <v>327</v>
      </c>
      <c r="F37" s="32">
        <v>2</v>
      </c>
      <c r="G37" s="31">
        <v>1</v>
      </c>
      <c r="H37" s="31">
        <v>81433</v>
      </c>
      <c r="I37" s="31" t="s">
        <v>17</v>
      </c>
      <c r="J37" s="31">
        <v>79676483</v>
      </c>
      <c r="K37" s="80" t="s">
        <v>1303</v>
      </c>
      <c r="L37" s="18" t="s">
        <v>1309</v>
      </c>
      <c r="M37" s="41">
        <v>219900</v>
      </c>
      <c r="N37" s="30">
        <v>0.9</v>
      </c>
      <c r="O37" s="33">
        <f t="shared" si="0"/>
        <v>21989.999999999996</v>
      </c>
      <c r="P37" s="28" t="s">
        <v>0</v>
      </c>
    </row>
    <row r="38" spans="1:16" x14ac:dyDescent="0.3">
      <c r="A38" s="32" t="s">
        <v>3213</v>
      </c>
      <c r="B38" s="40">
        <v>46108</v>
      </c>
      <c r="C38" s="40">
        <v>46113</v>
      </c>
      <c r="D38" s="32">
        <v>3319</v>
      </c>
      <c r="E38" s="32">
        <v>327</v>
      </c>
      <c r="F38" s="32">
        <v>2</v>
      </c>
      <c r="G38" s="31">
        <v>1</v>
      </c>
      <c r="H38" s="31">
        <v>81433</v>
      </c>
      <c r="I38" s="31" t="s">
        <v>17</v>
      </c>
      <c r="J38" s="31">
        <v>79676492</v>
      </c>
      <c r="K38" s="80" t="s">
        <v>1303</v>
      </c>
      <c r="L38" s="18" t="s">
        <v>1310</v>
      </c>
      <c r="M38" s="41">
        <v>219900</v>
      </c>
      <c r="N38" s="30">
        <v>0.9</v>
      </c>
      <c r="O38" s="33">
        <f t="shared" si="0"/>
        <v>21989.999999999996</v>
      </c>
      <c r="P38" s="28" t="s">
        <v>0</v>
      </c>
    </row>
    <row r="39" spans="1:16" x14ac:dyDescent="0.3">
      <c r="A39" s="32" t="s">
        <v>3213</v>
      </c>
      <c r="B39" s="40">
        <v>46108</v>
      </c>
      <c r="C39" s="40">
        <v>46113</v>
      </c>
      <c r="D39" s="32">
        <v>3319</v>
      </c>
      <c r="E39" s="32">
        <v>327</v>
      </c>
      <c r="F39" s="32">
        <v>2</v>
      </c>
      <c r="G39" s="31">
        <v>1</v>
      </c>
      <c r="H39" s="31">
        <v>81433</v>
      </c>
      <c r="I39" s="31" t="s">
        <v>17</v>
      </c>
      <c r="J39" s="31">
        <v>79676509</v>
      </c>
      <c r="K39" s="80" t="s">
        <v>1303</v>
      </c>
      <c r="L39" s="18" t="s">
        <v>1311</v>
      </c>
      <c r="M39" s="41">
        <v>219900</v>
      </c>
      <c r="N39" s="30">
        <v>0.9</v>
      </c>
      <c r="O39" s="33">
        <f t="shared" si="0"/>
        <v>21989.999999999996</v>
      </c>
      <c r="P39" s="28" t="s">
        <v>0</v>
      </c>
    </row>
    <row r="40" spans="1:16" x14ac:dyDescent="0.3">
      <c r="A40" s="32" t="s">
        <v>3213</v>
      </c>
      <c r="B40" s="40">
        <v>46108</v>
      </c>
      <c r="C40" s="40">
        <v>46113</v>
      </c>
      <c r="D40" s="32">
        <v>3319</v>
      </c>
      <c r="E40" s="32">
        <v>327</v>
      </c>
      <c r="F40" s="32">
        <v>2</v>
      </c>
      <c r="G40" s="31">
        <v>1</v>
      </c>
      <c r="H40" s="31">
        <v>81433</v>
      </c>
      <c r="I40" s="31" t="s">
        <v>17</v>
      </c>
      <c r="J40" s="31">
        <v>79676518</v>
      </c>
      <c r="K40" s="80" t="s">
        <v>1303</v>
      </c>
      <c r="L40" s="18" t="s">
        <v>1312</v>
      </c>
      <c r="M40" s="41">
        <v>219900</v>
      </c>
      <c r="N40" s="30">
        <v>0.9</v>
      </c>
      <c r="O40" s="33">
        <f t="shared" si="0"/>
        <v>21989.999999999996</v>
      </c>
      <c r="P40" s="28" t="s">
        <v>0</v>
      </c>
    </row>
    <row r="41" spans="1:16" x14ac:dyDescent="0.3">
      <c r="A41" s="32" t="s">
        <v>3213</v>
      </c>
      <c r="B41" s="40">
        <v>46108</v>
      </c>
      <c r="C41" s="40">
        <v>46113</v>
      </c>
      <c r="D41" s="32">
        <v>3319</v>
      </c>
      <c r="E41" s="32">
        <v>327</v>
      </c>
      <c r="F41" s="32">
        <v>2</v>
      </c>
      <c r="G41" s="31">
        <v>1</v>
      </c>
      <c r="H41" s="31">
        <v>81433</v>
      </c>
      <c r="I41" s="31" t="s">
        <v>17</v>
      </c>
      <c r="J41" s="31">
        <v>79676527</v>
      </c>
      <c r="K41" s="80" t="s">
        <v>1303</v>
      </c>
      <c r="L41" s="18" t="s">
        <v>1313</v>
      </c>
      <c r="M41" s="41">
        <v>219900</v>
      </c>
      <c r="N41" s="30">
        <v>0.9</v>
      </c>
      <c r="O41" s="33">
        <f t="shared" si="0"/>
        <v>21989.999999999996</v>
      </c>
      <c r="P41" s="28" t="s">
        <v>0</v>
      </c>
    </row>
    <row r="42" spans="1:16" x14ac:dyDescent="0.3">
      <c r="A42" s="32" t="s">
        <v>3213</v>
      </c>
      <c r="B42" s="40">
        <v>46108</v>
      </c>
      <c r="C42" s="40">
        <v>46113</v>
      </c>
      <c r="D42" s="32">
        <v>3319</v>
      </c>
      <c r="E42" s="32">
        <v>327</v>
      </c>
      <c r="F42" s="32">
        <v>2</v>
      </c>
      <c r="G42" s="31">
        <v>1</v>
      </c>
      <c r="H42" s="31">
        <v>81433</v>
      </c>
      <c r="I42" s="31" t="s">
        <v>17</v>
      </c>
      <c r="J42" s="31">
        <v>79676536</v>
      </c>
      <c r="K42" s="80" t="s">
        <v>1314</v>
      </c>
      <c r="L42" s="18" t="s">
        <v>1315</v>
      </c>
      <c r="M42" s="41">
        <v>219900</v>
      </c>
      <c r="N42" s="30">
        <v>0.9</v>
      </c>
      <c r="O42" s="33">
        <f t="shared" si="0"/>
        <v>21989.999999999996</v>
      </c>
      <c r="P42" s="28" t="s">
        <v>0</v>
      </c>
    </row>
    <row r="43" spans="1:16" x14ac:dyDescent="0.3">
      <c r="A43" s="32" t="s">
        <v>3213</v>
      </c>
      <c r="B43" s="40">
        <v>46108</v>
      </c>
      <c r="C43" s="40">
        <v>46113</v>
      </c>
      <c r="D43" s="32">
        <v>3319</v>
      </c>
      <c r="E43" s="32">
        <v>327</v>
      </c>
      <c r="F43" s="32">
        <v>2</v>
      </c>
      <c r="G43" s="31">
        <v>1</v>
      </c>
      <c r="H43" s="31">
        <v>81433</v>
      </c>
      <c r="I43" s="31" t="s">
        <v>17</v>
      </c>
      <c r="J43" s="31">
        <v>79676545</v>
      </c>
      <c r="K43" s="80" t="s">
        <v>1314</v>
      </c>
      <c r="L43" s="18" t="s">
        <v>1316</v>
      </c>
      <c r="M43" s="41">
        <v>219900</v>
      </c>
      <c r="N43" s="30">
        <v>0.9</v>
      </c>
      <c r="O43" s="33">
        <f t="shared" si="0"/>
        <v>21989.999999999996</v>
      </c>
      <c r="P43" s="28" t="s">
        <v>0</v>
      </c>
    </row>
    <row r="44" spans="1:16" x14ac:dyDescent="0.3">
      <c r="A44" s="32" t="s">
        <v>3213</v>
      </c>
      <c r="B44" s="40">
        <v>46108</v>
      </c>
      <c r="C44" s="40">
        <v>46113</v>
      </c>
      <c r="D44" s="32">
        <v>3319</v>
      </c>
      <c r="E44" s="32">
        <v>327</v>
      </c>
      <c r="F44" s="32">
        <v>2</v>
      </c>
      <c r="G44" s="31">
        <v>1</v>
      </c>
      <c r="H44" s="31">
        <v>81433</v>
      </c>
      <c r="I44" s="31" t="s">
        <v>17</v>
      </c>
      <c r="J44" s="31">
        <v>79676554</v>
      </c>
      <c r="K44" s="80" t="s">
        <v>1314</v>
      </c>
      <c r="L44" s="18" t="s">
        <v>1317</v>
      </c>
      <c r="M44" s="41">
        <v>219900</v>
      </c>
      <c r="N44" s="30">
        <v>0.9</v>
      </c>
      <c r="O44" s="33">
        <f t="shared" si="0"/>
        <v>21989.999999999996</v>
      </c>
      <c r="P44" s="28" t="s">
        <v>0</v>
      </c>
    </row>
    <row r="45" spans="1:16" x14ac:dyDescent="0.3">
      <c r="A45" s="32" t="s">
        <v>3213</v>
      </c>
      <c r="B45" s="40">
        <v>46108</v>
      </c>
      <c r="C45" s="40">
        <v>46113</v>
      </c>
      <c r="D45" s="32">
        <v>3319</v>
      </c>
      <c r="E45" s="32">
        <v>327</v>
      </c>
      <c r="F45" s="32">
        <v>2</v>
      </c>
      <c r="G45" s="31">
        <v>1</v>
      </c>
      <c r="H45" s="31">
        <v>81433</v>
      </c>
      <c r="I45" s="31" t="s">
        <v>17</v>
      </c>
      <c r="J45" s="31">
        <v>79676563</v>
      </c>
      <c r="K45" s="80" t="s">
        <v>1314</v>
      </c>
      <c r="L45" s="18" t="s">
        <v>1318</v>
      </c>
      <c r="M45" s="41">
        <v>219900</v>
      </c>
      <c r="N45" s="30">
        <v>0.9</v>
      </c>
      <c r="O45" s="33">
        <f t="shared" si="0"/>
        <v>21989.999999999996</v>
      </c>
      <c r="P45" s="28" t="s">
        <v>0</v>
      </c>
    </row>
    <row r="46" spans="1:16" x14ac:dyDescent="0.3">
      <c r="A46" s="32" t="s">
        <v>3213</v>
      </c>
      <c r="B46" s="40">
        <v>46108</v>
      </c>
      <c r="C46" s="40">
        <v>46113</v>
      </c>
      <c r="D46" s="32">
        <v>3319</v>
      </c>
      <c r="E46" s="32">
        <v>327</v>
      </c>
      <c r="F46" s="32">
        <v>2</v>
      </c>
      <c r="G46" s="31">
        <v>1</v>
      </c>
      <c r="H46" s="31">
        <v>81433</v>
      </c>
      <c r="I46" s="31" t="s">
        <v>17</v>
      </c>
      <c r="J46" s="31">
        <v>79676572</v>
      </c>
      <c r="K46" s="80" t="s">
        <v>1314</v>
      </c>
      <c r="L46" s="18" t="s">
        <v>1319</v>
      </c>
      <c r="M46" s="41">
        <v>219900</v>
      </c>
      <c r="N46" s="30">
        <v>0.9</v>
      </c>
      <c r="O46" s="33">
        <f t="shared" si="0"/>
        <v>21989.999999999996</v>
      </c>
      <c r="P46" s="28" t="s">
        <v>0</v>
      </c>
    </row>
    <row r="47" spans="1:16" x14ac:dyDescent="0.3">
      <c r="A47" s="32" t="s">
        <v>3213</v>
      </c>
      <c r="B47" s="40">
        <v>46108</v>
      </c>
      <c r="C47" s="40">
        <v>46113</v>
      </c>
      <c r="D47" s="32">
        <v>3319</v>
      </c>
      <c r="E47" s="32">
        <v>327</v>
      </c>
      <c r="F47" s="32">
        <v>2</v>
      </c>
      <c r="G47" s="31">
        <v>1</v>
      </c>
      <c r="H47" s="31">
        <v>81433</v>
      </c>
      <c r="I47" s="31" t="s">
        <v>17</v>
      </c>
      <c r="J47" s="31">
        <v>79676581</v>
      </c>
      <c r="K47" s="80" t="s">
        <v>1314</v>
      </c>
      <c r="L47" s="18" t="s">
        <v>1320</v>
      </c>
      <c r="M47" s="41">
        <v>219900</v>
      </c>
      <c r="N47" s="30">
        <v>0.9</v>
      </c>
      <c r="O47" s="33">
        <f t="shared" si="0"/>
        <v>21989.999999999996</v>
      </c>
      <c r="P47" s="28" t="s">
        <v>0</v>
      </c>
    </row>
    <row r="48" spans="1:16" x14ac:dyDescent="0.3">
      <c r="A48" s="32" t="s">
        <v>3213</v>
      </c>
      <c r="B48" s="40">
        <v>46108</v>
      </c>
      <c r="C48" s="40">
        <v>46113</v>
      </c>
      <c r="D48" s="32">
        <v>3319</v>
      </c>
      <c r="E48" s="32">
        <v>327</v>
      </c>
      <c r="F48" s="32">
        <v>2</v>
      </c>
      <c r="G48" s="31">
        <v>1</v>
      </c>
      <c r="H48" s="31">
        <v>81433</v>
      </c>
      <c r="I48" s="31" t="s">
        <v>17</v>
      </c>
      <c r="J48" s="31">
        <v>79676590</v>
      </c>
      <c r="K48" s="80" t="s">
        <v>1314</v>
      </c>
      <c r="L48" s="18" t="s">
        <v>1321</v>
      </c>
      <c r="M48" s="41">
        <v>219900</v>
      </c>
      <c r="N48" s="30">
        <v>0.9</v>
      </c>
      <c r="O48" s="33">
        <f t="shared" si="0"/>
        <v>21989.999999999996</v>
      </c>
      <c r="P48" s="28" t="s">
        <v>0</v>
      </c>
    </row>
    <row r="49" spans="1:16" x14ac:dyDescent="0.3">
      <c r="A49" s="32" t="s">
        <v>3213</v>
      </c>
      <c r="B49" s="40">
        <v>46108</v>
      </c>
      <c r="C49" s="40">
        <v>46113</v>
      </c>
      <c r="D49" s="32">
        <v>3319</v>
      </c>
      <c r="E49" s="32">
        <v>327</v>
      </c>
      <c r="F49" s="32">
        <v>2</v>
      </c>
      <c r="G49" s="31">
        <v>1</v>
      </c>
      <c r="H49" s="31">
        <v>81433</v>
      </c>
      <c r="I49" s="31" t="s">
        <v>17</v>
      </c>
      <c r="J49" s="31">
        <v>79676607</v>
      </c>
      <c r="K49" s="80" t="s">
        <v>1314</v>
      </c>
      <c r="L49" s="18" t="s">
        <v>1322</v>
      </c>
      <c r="M49" s="41">
        <v>219900</v>
      </c>
      <c r="N49" s="30">
        <v>0.9</v>
      </c>
      <c r="O49" s="33">
        <f t="shared" si="0"/>
        <v>21989.999999999996</v>
      </c>
      <c r="P49" s="28" t="s">
        <v>0</v>
      </c>
    </row>
    <row r="50" spans="1:16" x14ac:dyDescent="0.3">
      <c r="A50" s="32" t="s">
        <v>3213</v>
      </c>
      <c r="B50" s="40">
        <v>46108</v>
      </c>
      <c r="C50" s="40">
        <v>46113</v>
      </c>
      <c r="D50" s="32">
        <v>3319</v>
      </c>
      <c r="E50" s="32">
        <v>327</v>
      </c>
      <c r="F50" s="32">
        <v>2</v>
      </c>
      <c r="G50" s="31">
        <v>1</v>
      </c>
      <c r="H50" s="31">
        <v>81433</v>
      </c>
      <c r="I50" s="31" t="s">
        <v>17</v>
      </c>
      <c r="J50" s="31">
        <v>79676616</v>
      </c>
      <c r="K50" s="80" t="s">
        <v>1314</v>
      </c>
      <c r="L50" s="18" t="s">
        <v>1323</v>
      </c>
      <c r="M50" s="41">
        <v>219900</v>
      </c>
      <c r="N50" s="30">
        <v>0.9</v>
      </c>
      <c r="O50" s="33">
        <f t="shared" si="0"/>
        <v>21989.999999999996</v>
      </c>
      <c r="P50" s="28" t="s">
        <v>0</v>
      </c>
    </row>
    <row r="51" spans="1:16" x14ac:dyDescent="0.3">
      <c r="A51" s="32" t="s">
        <v>3213</v>
      </c>
      <c r="B51" s="40">
        <v>46108</v>
      </c>
      <c r="C51" s="40">
        <v>46113</v>
      </c>
      <c r="D51" s="32">
        <v>3319</v>
      </c>
      <c r="E51" s="32">
        <v>327</v>
      </c>
      <c r="F51" s="32">
        <v>2</v>
      </c>
      <c r="G51" s="31">
        <v>1</v>
      </c>
      <c r="H51" s="31">
        <v>81433</v>
      </c>
      <c r="I51" s="31" t="s">
        <v>17</v>
      </c>
      <c r="J51" s="31">
        <v>79676625</v>
      </c>
      <c r="K51" s="80" t="s">
        <v>1314</v>
      </c>
      <c r="L51" s="18" t="s">
        <v>1324</v>
      </c>
      <c r="M51" s="41">
        <v>219900</v>
      </c>
      <c r="N51" s="30">
        <v>0.9</v>
      </c>
      <c r="O51" s="33">
        <f t="shared" si="0"/>
        <v>21989.999999999996</v>
      </c>
      <c r="P51" s="28" t="s">
        <v>0</v>
      </c>
    </row>
    <row r="52" spans="1:16" x14ac:dyDescent="0.3">
      <c r="A52" s="32" t="s">
        <v>3213</v>
      </c>
      <c r="B52" s="40">
        <v>46108</v>
      </c>
      <c r="C52" s="40">
        <v>46113</v>
      </c>
      <c r="D52" s="32">
        <v>3319</v>
      </c>
      <c r="E52" s="32">
        <v>327</v>
      </c>
      <c r="F52" s="32">
        <v>2</v>
      </c>
      <c r="G52" s="31">
        <v>1</v>
      </c>
      <c r="H52" s="31">
        <v>81778</v>
      </c>
      <c r="I52" s="31" t="s">
        <v>17</v>
      </c>
      <c r="J52" s="31">
        <v>78770597</v>
      </c>
      <c r="K52" s="80" t="s">
        <v>1325</v>
      </c>
      <c r="L52" s="18" t="s">
        <v>1326</v>
      </c>
      <c r="M52" s="41">
        <v>219900</v>
      </c>
      <c r="N52" s="30">
        <v>0.9</v>
      </c>
      <c r="O52" s="33">
        <f t="shared" si="0"/>
        <v>21989.999999999996</v>
      </c>
      <c r="P52" s="28" t="s">
        <v>0</v>
      </c>
    </row>
    <row r="53" spans="1:16" x14ac:dyDescent="0.3">
      <c r="A53" s="32" t="s">
        <v>3213</v>
      </c>
      <c r="B53" s="40">
        <v>46108</v>
      </c>
      <c r="C53" s="40">
        <v>46113</v>
      </c>
      <c r="D53" s="32">
        <v>3319</v>
      </c>
      <c r="E53" s="32">
        <v>327</v>
      </c>
      <c r="F53" s="32">
        <v>2</v>
      </c>
      <c r="G53" s="31">
        <v>1</v>
      </c>
      <c r="H53" s="31">
        <v>81778</v>
      </c>
      <c r="I53" s="31" t="s">
        <v>17</v>
      </c>
      <c r="J53" s="31">
        <v>78770604</v>
      </c>
      <c r="K53" s="80" t="s">
        <v>1325</v>
      </c>
      <c r="L53" s="18" t="s">
        <v>1327</v>
      </c>
      <c r="M53" s="41">
        <v>219900</v>
      </c>
      <c r="N53" s="30">
        <v>0.9</v>
      </c>
      <c r="O53" s="33">
        <f t="shared" si="0"/>
        <v>21989.999999999996</v>
      </c>
      <c r="P53" s="28" t="s">
        <v>0</v>
      </c>
    </row>
    <row r="54" spans="1:16" x14ac:dyDescent="0.3">
      <c r="A54" s="32" t="s">
        <v>3213</v>
      </c>
      <c r="B54" s="40">
        <v>46108</v>
      </c>
      <c r="C54" s="40">
        <v>46113</v>
      </c>
      <c r="D54" s="32">
        <v>3319</v>
      </c>
      <c r="E54" s="32">
        <v>327</v>
      </c>
      <c r="F54" s="32">
        <v>2</v>
      </c>
      <c r="G54" s="31">
        <v>1</v>
      </c>
      <c r="H54" s="31">
        <v>81778</v>
      </c>
      <c r="I54" s="31" t="s">
        <v>17</v>
      </c>
      <c r="J54" s="31">
        <v>78770613</v>
      </c>
      <c r="K54" s="80" t="s">
        <v>1325</v>
      </c>
      <c r="L54" s="18" t="s">
        <v>1328</v>
      </c>
      <c r="M54" s="41">
        <v>219900</v>
      </c>
      <c r="N54" s="30">
        <v>0.9</v>
      </c>
      <c r="O54" s="33">
        <f t="shared" si="0"/>
        <v>21989.999999999996</v>
      </c>
      <c r="P54" s="28" t="s">
        <v>0</v>
      </c>
    </row>
    <row r="55" spans="1:16" x14ac:dyDescent="0.3">
      <c r="A55" s="32" t="s">
        <v>3213</v>
      </c>
      <c r="B55" s="40">
        <v>46108</v>
      </c>
      <c r="C55" s="40">
        <v>46113</v>
      </c>
      <c r="D55" s="32">
        <v>3319</v>
      </c>
      <c r="E55" s="32">
        <v>327</v>
      </c>
      <c r="F55" s="32">
        <v>2</v>
      </c>
      <c r="G55" s="31">
        <v>1</v>
      </c>
      <c r="H55" s="31">
        <v>81778</v>
      </c>
      <c r="I55" s="31" t="s">
        <v>17</v>
      </c>
      <c r="J55" s="31">
        <v>78770622</v>
      </c>
      <c r="K55" s="80" t="s">
        <v>1325</v>
      </c>
      <c r="L55" s="18" t="s">
        <v>1329</v>
      </c>
      <c r="M55" s="41">
        <v>219900</v>
      </c>
      <c r="N55" s="30">
        <v>0.9</v>
      </c>
      <c r="O55" s="33">
        <f t="shared" si="0"/>
        <v>21989.999999999996</v>
      </c>
      <c r="P55" s="28" t="s">
        <v>0</v>
      </c>
    </row>
    <row r="56" spans="1:16" x14ac:dyDescent="0.3">
      <c r="A56" s="32" t="s">
        <v>3213</v>
      </c>
      <c r="B56" s="40">
        <v>46108</v>
      </c>
      <c r="C56" s="40">
        <v>46113</v>
      </c>
      <c r="D56" s="32">
        <v>3319</v>
      </c>
      <c r="E56" s="32">
        <v>327</v>
      </c>
      <c r="F56" s="32">
        <v>2</v>
      </c>
      <c r="G56" s="31">
        <v>1</v>
      </c>
      <c r="H56" s="31">
        <v>81778</v>
      </c>
      <c r="I56" s="31" t="s">
        <v>17</v>
      </c>
      <c r="J56" s="31">
        <v>78770631</v>
      </c>
      <c r="K56" s="80" t="s">
        <v>1325</v>
      </c>
      <c r="L56" s="18" t="s">
        <v>1330</v>
      </c>
      <c r="M56" s="41">
        <v>219900</v>
      </c>
      <c r="N56" s="30">
        <v>0.9</v>
      </c>
      <c r="O56" s="33">
        <f t="shared" si="0"/>
        <v>21989.999999999996</v>
      </c>
      <c r="P56" s="28" t="s">
        <v>0</v>
      </c>
    </row>
    <row r="57" spans="1:16" x14ac:dyDescent="0.3">
      <c r="A57" s="32" t="s">
        <v>3213</v>
      </c>
      <c r="B57" s="40">
        <v>46108</v>
      </c>
      <c r="C57" s="40">
        <v>46113</v>
      </c>
      <c r="D57" s="32">
        <v>3319</v>
      </c>
      <c r="E57" s="32">
        <v>327</v>
      </c>
      <c r="F57" s="32">
        <v>2</v>
      </c>
      <c r="G57" s="31">
        <v>1</v>
      </c>
      <c r="H57" s="31">
        <v>81778</v>
      </c>
      <c r="I57" s="31" t="s">
        <v>17</v>
      </c>
      <c r="J57" s="31">
        <v>78770640</v>
      </c>
      <c r="K57" s="80" t="s">
        <v>1325</v>
      </c>
      <c r="L57" s="18" t="s">
        <v>1331</v>
      </c>
      <c r="M57" s="41">
        <v>219900</v>
      </c>
      <c r="N57" s="30">
        <v>0.9</v>
      </c>
      <c r="O57" s="33">
        <f t="shared" si="0"/>
        <v>21989.999999999996</v>
      </c>
      <c r="P57" s="28" t="s">
        <v>0</v>
      </c>
    </row>
    <row r="58" spans="1:16" x14ac:dyDescent="0.3">
      <c r="A58" s="32" t="s">
        <v>3213</v>
      </c>
      <c r="B58" s="40">
        <v>46108</v>
      </c>
      <c r="C58" s="40">
        <v>46113</v>
      </c>
      <c r="D58" s="32">
        <v>3319</v>
      </c>
      <c r="E58" s="32">
        <v>327</v>
      </c>
      <c r="F58" s="32">
        <v>2</v>
      </c>
      <c r="G58" s="31">
        <v>1</v>
      </c>
      <c r="H58" s="31">
        <v>81778</v>
      </c>
      <c r="I58" s="31" t="s">
        <v>17</v>
      </c>
      <c r="J58" s="31">
        <v>78770659</v>
      </c>
      <c r="K58" s="80" t="s">
        <v>1325</v>
      </c>
      <c r="L58" s="18" t="s">
        <v>1332</v>
      </c>
      <c r="M58" s="41">
        <v>219900</v>
      </c>
      <c r="N58" s="30">
        <v>0.9</v>
      </c>
      <c r="O58" s="33">
        <f t="shared" si="0"/>
        <v>21989.999999999996</v>
      </c>
      <c r="P58" s="28" t="s">
        <v>0</v>
      </c>
    </row>
    <row r="59" spans="1:16" x14ac:dyDescent="0.3">
      <c r="A59" s="32" t="s">
        <v>3213</v>
      </c>
      <c r="B59" s="40">
        <v>46108</v>
      </c>
      <c r="C59" s="40">
        <v>46113</v>
      </c>
      <c r="D59" s="32">
        <v>3319</v>
      </c>
      <c r="E59" s="32">
        <v>327</v>
      </c>
      <c r="F59" s="32">
        <v>2</v>
      </c>
      <c r="G59" s="31">
        <v>1</v>
      </c>
      <c r="H59" s="31">
        <v>81778</v>
      </c>
      <c r="I59" s="31" t="s">
        <v>17</v>
      </c>
      <c r="J59" s="31">
        <v>78770668</v>
      </c>
      <c r="K59" s="80" t="s">
        <v>1325</v>
      </c>
      <c r="L59" s="18" t="s">
        <v>1333</v>
      </c>
      <c r="M59" s="41">
        <v>219900</v>
      </c>
      <c r="N59" s="30">
        <v>0.9</v>
      </c>
      <c r="O59" s="33">
        <f t="shared" si="0"/>
        <v>21989.999999999996</v>
      </c>
      <c r="P59" s="28" t="s">
        <v>0</v>
      </c>
    </row>
    <row r="60" spans="1:16" x14ac:dyDescent="0.3">
      <c r="A60" s="32" t="s">
        <v>3213</v>
      </c>
      <c r="B60" s="40">
        <v>46108</v>
      </c>
      <c r="C60" s="40">
        <v>46113</v>
      </c>
      <c r="D60" s="32">
        <v>3319</v>
      </c>
      <c r="E60" s="32">
        <v>327</v>
      </c>
      <c r="F60" s="32">
        <v>2</v>
      </c>
      <c r="G60" s="31">
        <v>1</v>
      </c>
      <c r="H60" s="31">
        <v>81778</v>
      </c>
      <c r="I60" s="31" t="s">
        <v>17</v>
      </c>
      <c r="J60" s="31">
        <v>78770677</v>
      </c>
      <c r="K60" s="80" t="s">
        <v>1325</v>
      </c>
      <c r="L60" s="18" t="s">
        <v>1334</v>
      </c>
      <c r="M60" s="41">
        <v>219900</v>
      </c>
      <c r="N60" s="30">
        <v>0.9</v>
      </c>
      <c r="O60" s="33">
        <f t="shared" si="0"/>
        <v>21989.999999999996</v>
      </c>
      <c r="P60" s="28" t="s">
        <v>0</v>
      </c>
    </row>
    <row r="61" spans="1:16" x14ac:dyDescent="0.3">
      <c r="A61" s="32" t="s">
        <v>3213</v>
      </c>
      <c r="B61" s="40">
        <v>46108</v>
      </c>
      <c r="C61" s="40">
        <v>46113</v>
      </c>
      <c r="D61" s="32">
        <v>3319</v>
      </c>
      <c r="E61" s="32">
        <v>327</v>
      </c>
      <c r="F61" s="32">
        <v>2</v>
      </c>
      <c r="G61" s="31">
        <v>1</v>
      </c>
      <c r="H61" s="31">
        <v>81778</v>
      </c>
      <c r="I61" s="31" t="s">
        <v>17</v>
      </c>
      <c r="J61" s="31">
        <v>78770686</v>
      </c>
      <c r="K61" s="80" t="s">
        <v>1325</v>
      </c>
      <c r="L61" s="18" t="s">
        <v>1335</v>
      </c>
      <c r="M61" s="41">
        <v>219900</v>
      </c>
      <c r="N61" s="30">
        <v>0.9</v>
      </c>
      <c r="O61" s="33">
        <f t="shared" si="0"/>
        <v>21989.999999999996</v>
      </c>
      <c r="P61" s="28" t="s">
        <v>0</v>
      </c>
    </row>
    <row r="62" spans="1:16" x14ac:dyDescent="0.3">
      <c r="A62" s="32" t="s">
        <v>3213</v>
      </c>
      <c r="B62" s="40">
        <v>46108</v>
      </c>
      <c r="C62" s="40">
        <v>46113</v>
      </c>
      <c r="D62" s="32">
        <v>3319</v>
      </c>
      <c r="E62" s="32">
        <v>327</v>
      </c>
      <c r="F62" s="32">
        <v>2</v>
      </c>
      <c r="G62" s="31">
        <v>1</v>
      </c>
      <c r="H62" s="31">
        <v>81778</v>
      </c>
      <c r="I62" s="31" t="s">
        <v>17</v>
      </c>
      <c r="J62" s="31">
        <v>78770793</v>
      </c>
      <c r="K62" s="80" t="s">
        <v>1336</v>
      </c>
      <c r="L62" s="18" t="s">
        <v>1337</v>
      </c>
      <c r="M62" s="41">
        <v>219900</v>
      </c>
      <c r="N62" s="30">
        <v>0.9</v>
      </c>
      <c r="O62" s="33">
        <f t="shared" si="0"/>
        <v>21989.999999999996</v>
      </c>
      <c r="P62" s="28" t="s">
        <v>0</v>
      </c>
    </row>
    <row r="63" spans="1:16" x14ac:dyDescent="0.3">
      <c r="A63" s="32" t="s">
        <v>3213</v>
      </c>
      <c r="B63" s="40">
        <v>46108</v>
      </c>
      <c r="C63" s="40">
        <v>46113</v>
      </c>
      <c r="D63" s="32">
        <v>3319</v>
      </c>
      <c r="E63" s="32">
        <v>327</v>
      </c>
      <c r="F63" s="32">
        <v>2</v>
      </c>
      <c r="G63" s="31">
        <v>1</v>
      </c>
      <c r="H63" s="31">
        <v>81778</v>
      </c>
      <c r="I63" s="31" t="s">
        <v>17</v>
      </c>
      <c r="J63" s="31">
        <v>78770800</v>
      </c>
      <c r="K63" s="80" t="s">
        <v>1336</v>
      </c>
      <c r="L63" s="18" t="s">
        <v>1338</v>
      </c>
      <c r="M63" s="41">
        <v>219900</v>
      </c>
      <c r="N63" s="30">
        <v>0.9</v>
      </c>
      <c r="O63" s="33">
        <f t="shared" si="0"/>
        <v>21989.999999999996</v>
      </c>
      <c r="P63" s="28" t="s">
        <v>0</v>
      </c>
    </row>
    <row r="64" spans="1:16" x14ac:dyDescent="0.3">
      <c r="A64" s="32" t="s">
        <v>3213</v>
      </c>
      <c r="B64" s="40">
        <v>46108</v>
      </c>
      <c r="C64" s="40">
        <v>46113</v>
      </c>
      <c r="D64" s="32">
        <v>3319</v>
      </c>
      <c r="E64" s="32">
        <v>327</v>
      </c>
      <c r="F64" s="32">
        <v>2</v>
      </c>
      <c r="G64" s="31">
        <v>1</v>
      </c>
      <c r="H64" s="31">
        <v>81778</v>
      </c>
      <c r="I64" s="31" t="s">
        <v>17</v>
      </c>
      <c r="J64" s="31">
        <v>78770819</v>
      </c>
      <c r="K64" s="80" t="s">
        <v>1336</v>
      </c>
      <c r="L64" s="18" t="s">
        <v>1339</v>
      </c>
      <c r="M64" s="41">
        <v>219900</v>
      </c>
      <c r="N64" s="30">
        <v>0.9</v>
      </c>
      <c r="O64" s="33">
        <f t="shared" si="0"/>
        <v>21989.999999999996</v>
      </c>
      <c r="P64" s="28" t="s">
        <v>0</v>
      </c>
    </row>
    <row r="65" spans="1:16" x14ac:dyDescent="0.3">
      <c r="A65" s="32" t="s">
        <v>3213</v>
      </c>
      <c r="B65" s="40">
        <v>46108</v>
      </c>
      <c r="C65" s="40">
        <v>46113</v>
      </c>
      <c r="D65" s="32">
        <v>3319</v>
      </c>
      <c r="E65" s="32">
        <v>327</v>
      </c>
      <c r="F65" s="32">
        <v>2</v>
      </c>
      <c r="G65" s="31">
        <v>1</v>
      </c>
      <c r="H65" s="31">
        <v>81778</v>
      </c>
      <c r="I65" s="31" t="s">
        <v>17</v>
      </c>
      <c r="J65" s="31">
        <v>78770828</v>
      </c>
      <c r="K65" s="80" t="s">
        <v>1336</v>
      </c>
      <c r="L65" s="18" t="s">
        <v>1340</v>
      </c>
      <c r="M65" s="41">
        <v>219900</v>
      </c>
      <c r="N65" s="30">
        <v>0.9</v>
      </c>
      <c r="O65" s="33">
        <f t="shared" si="0"/>
        <v>21989.999999999996</v>
      </c>
      <c r="P65" s="28" t="s">
        <v>0</v>
      </c>
    </row>
    <row r="66" spans="1:16" x14ac:dyDescent="0.3">
      <c r="A66" s="32" t="s">
        <v>3213</v>
      </c>
      <c r="B66" s="40">
        <v>46108</v>
      </c>
      <c r="C66" s="40">
        <v>46113</v>
      </c>
      <c r="D66" s="32">
        <v>3319</v>
      </c>
      <c r="E66" s="32">
        <v>327</v>
      </c>
      <c r="F66" s="32">
        <v>2</v>
      </c>
      <c r="G66" s="31">
        <v>1</v>
      </c>
      <c r="H66" s="31">
        <v>81778</v>
      </c>
      <c r="I66" s="31" t="s">
        <v>17</v>
      </c>
      <c r="J66" s="31">
        <v>78770837</v>
      </c>
      <c r="K66" s="80" t="s">
        <v>1336</v>
      </c>
      <c r="L66" s="18" t="s">
        <v>1341</v>
      </c>
      <c r="M66" s="41">
        <v>219900</v>
      </c>
      <c r="N66" s="30">
        <v>0.9</v>
      </c>
      <c r="O66" s="33">
        <f t="shared" ref="O66:O129" si="1">M66*(1-N66)</f>
        <v>21989.999999999996</v>
      </c>
      <c r="P66" s="28" t="s">
        <v>0</v>
      </c>
    </row>
    <row r="67" spans="1:16" x14ac:dyDescent="0.3">
      <c r="A67" s="32" t="s">
        <v>3213</v>
      </c>
      <c r="B67" s="40">
        <v>46108</v>
      </c>
      <c r="C67" s="40">
        <v>46113</v>
      </c>
      <c r="D67" s="32">
        <v>3319</v>
      </c>
      <c r="E67" s="32">
        <v>327</v>
      </c>
      <c r="F67" s="32">
        <v>2</v>
      </c>
      <c r="G67" s="31">
        <v>1</v>
      </c>
      <c r="H67" s="31">
        <v>81778</v>
      </c>
      <c r="I67" s="31" t="s">
        <v>17</v>
      </c>
      <c r="J67" s="31">
        <v>78770846</v>
      </c>
      <c r="K67" s="80" t="s">
        <v>1336</v>
      </c>
      <c r="L67" s="18" t="s">
        <v>1342</v>
      </c>
      <c r="M67" s="41">
        <v>219900</v>
      </c>
      <c r="N67" s="30">
        <v>0.9</v>
      </c>
      <c r="O67" s="33">
        <f t="shared" si="1"/>
        <v>21989.999999999996</v>
      </c>
      <c r="P67" s="28" t="s">
        <v>0</v>
      </c>
    </row>
    <row r="68" spans="1:16" x14ac:dyDescent="0.3">
      <c r="A68" s="32" t="s">
        <v>3213</v>
      </c>
      <c r="B68" s="40">
        <v>46108</v>
      </c>
      <c r="C68" s="40">
        <v>46113</v>
      </c>
      <c r="D68" s="32">
        <v>3319</v>
      </c>
      <c r="E68" s="32">
        <v>327</v>
      </c>
      <c r="F68" s="32">
        <v>2</v>
      </c>
      <c r="G68" s="31">
        <v>1</v>
      </c>
      <c r="H68" s="31">
        <v>81778</v>
      </c>
      <c r="I68" s="31" t="s">
        <v>17</v>
      </c>
      <c r="J68" s="31">
        <v>78770855</v>
      </c>
      <c r="K68" s="80" t="s">
        <v>1336</v>
      </c>
      <c r="L68" s="18" t="s">
        <v>1343</v>
      </c>
      <c r="M68" s="41">
        <v>219900</v>
      </c>
      <c r="N68" s="30">
        <v>0.9</v>
      </c>
      <c r="O68" s="33">
        <f t="shared" si="1"/>
        <v>21989.999999999996</v>
      </c>
      <c r="P68" s="28" t="s">
        <v>0</v>
      </c>
    </row>
    <row r="69" spans="1:16" x14ac:dyDescent="0.3">
      <c r="A69" s="32" t="s">
        <v>3213</v>
      </c>
      <c r="B69" s="40">
        <v>46108</v>
      </c>
      <c r="C69" s="40">
        <v>46113</v>
      </c>
      <c r="D69" s="32">
        <v>3319</v>
      </c>
      <c r="E69" s="32">
        <v>327</v>
      </c>
      <c r="F69" s="32">
        <v>2</v>
      </c>
      <c r="G69" s="31">
        <v>1</v>
      </c>
      <c r="H69" s="31">
        <v>81778</v>
      </c>
      <c r="I69" s="31" t="s">
        <v>17</v>
      </c>
      <c r="J69" s="31">
        <v>78770864</v>
      </c>
      <c r="K69" s="80" t="s">
        <v>1336</v>
      </c>
      <c r="L69" s="18" t="s">
        <v>1344</v>
      </c>
      <c r="M69" s="41">
        <v>219900</v>
      </c>
      <c r="N69" s="30">
        <v>0.9</v>
      </c>
      <c r="O69" s="33">
        <f t="shared" si="1"/>
        <v>21989.999999999996</v>
      </c>
      <c r="P69" s="28" t="s">
        <v>0</v>
      </c>
    </row>
    <row r="70" spans="1:16" x14ac:dyDescent="0.3">
      <c r="A70" s="32" t="s">
        <v>3213</v>
      </c>
      <c r="B70" s="40">
        <v>46108</v>
      </c>
      <c r="C70" s="40">
        <v>46113</v>
      </c>
      <c r="D70" s="32">
        <v>3319</v>
      </c>
      <c r="E70" s="32">
        <v>327</v>
      </c>
      <c r="F70" s="32">
        <v>2</v>
      </c>
      <c r="G70" s="31">
        <v>1</v>
      </c>
      <c r="H70" s="31">
        <v>81778</v>
      </c>
      <c r="I70" s="31" t="s">
        <v>17</v>
      </c>
      <c r="J70" s="31">
        <v>78770873</v>
      </c>
      <c r="K70" s="80" t="s">
        <v>1336</v>
      </c>
      <c r="L70" s="18" t="s">
        <v>1345</v>
      </c>
      <c r="M70" s="41">
        <v>219900</v>
      </c>
      <c r="N70" s="30">
        <v>0.9</v>
      </c>
      <c r="O70" s="33">
        <f t="shared" si="1"/>
        <v>21989.999999999996</v>
      </c>
      <c r="P70" s="28" t="s">
        <v>0</v>
      </c>
    </row>
    <row r="71" spans="1:16" x14ac:dyDescent="0.3">
      <c r="A71" s="32" t="s">
        <v>3213</v>
      </c>
      <c r="B71" s="40">
        <v>46108</v>
      </c>
      <c r="C71" s="40">
        <v>46113</v>
      </c>
      <c r="D71" s="32">
        <v>3319</v>
      </c>
      <c r="E71" s="32">
        <v>327</v>
      </c>
      <c r="F71" s="32">
        <v>2</v>
      </c>
      <c r="G71" s="31">
        <v>1</v>
      </c>
      <c r="H71" s="31">
        <v>81778</v>
      </c>
      <c r="I71" s="31" t="s">
        <v>17</v>
      </c>
      <c r="J71" s="31">
        <v>78770882</v>
      </c>
      <c r="K71" s="80" t="s">
        <v>1336</v>
      </c>
      <c r="L71" s="18" t="s">
        <v>1346</v>
      </c>
      <c r="M71" s="41">
        <v>219900</v>
      </c>
      <c r="N71" s="30">
        <v>0.9</v>
      </c>
      <c r="O71" s="33">
        <f t="shared" si="1"/>
        <v>21989.999999999996</v>
      </c>
      <c r="P71" s="28" t="s">
        <v>0</v>
      </c>
    </row>
    <row r="72" spans="1:16" x14ac:dyDescent="0.3">
      <c r="A72" s="32" t="s">
        <v>3213</v>
      </c>
      <c r="B72" s="40">
        <v>46108</v>
      </c>
      <c r="C72" s="40">
        <v>46113</v>
      </c>
      <c r="D72" s="32">
        <v>3319</v>
      </c>
      <c r="E72" s="32">
        <v>327</v>
      </c>
      <c r="F72" s="32">
        <v>2</v>
      </c>
      <c r="G72" s="31">
        <v>1</v>
      </c>
      <c r="H72" s="31">
        <v>81778</v>
      </c>
      <c r="I72" s="31" t="s">
        <v>17</v>
      </c>
      <c r="J72" s="31">
        <v>78770748</v>
      </c>
      <c r="K72" s="80" t="s">
        <v>1347</v>
      </c>
      <c r="L72" s="18" t="s">
        <v>1348</v>
      </c>
      <c r="M72" s="41">
        <v>219900</v>
      </c>
      <c r="N72" s="30">
        <v>0.9</v>
      </c>
      <c r="O72" s="33">
        <f t="shared" si="1"/>
        <v>21989.999999999996</v>
      </c>
      <c r="P72" s="28" t="s">
        <v>0</v>
      </c>
    </row>
    <row r="73" spans="1:16" x14ac:dyDescent="0.3">
      <c r="A73" s="32" t="s">
        <v>3213</v>
      </c>
      <c r="B73" s="40">
        <v>46108</v>
      </c>
      <c r="C73" s="40">
        <v>46113</v>
      </c>
      <c r="D73" s="32">
        <v>3319</v>
      </c>
      <c r="E73" s="32">
        <v>327</v>
      </c>
      <c r="F73" s="32">
        <v>2</v>
      </c>
      <c r="G73" s="31">
        <v>1</v>
      </c>
      <c r="H73" s="31">
        <v>81778</v>
      </c>
      <c r="I73" s="31" t="s">
        <v>17</v>
      </c>
      <c r="J73" s="31">
        <v>78770757</v>
      </c>
      <c r="K73" s="80" t="s">
        <v>1347</v>
      </c>
      <c r="L73" s="18" t="s">
        <v>1349</v>
      </c>
      <c r="M73" s="41">
        <v>219900</v>
      </c>
      <c r="N73" s="30">
        <v>0.9</v>
      </c>
      <c r="O73" s="33">
        <f t="shared" si="1"/>
        <v>21989.999999999996</v>
      </c>
      <c r="P73" s="28" t="s">
        <v>0</v>
      </c>
    </row>
    <row r="74" spans="1:16" x14ac:dyDescent="0.3">
      <c r="A74" s="32" t="s">
        <v>3213</v>
      </c>
      <c r="B74" s="40">
        <v>46108</v>
      </c>
      <c r="C74" s="40">
        <v>46113</v>
      </c>
      <c r="D74" s="32">
        <v>3319</v>
      </c>
      <c r="E74" s="32">
        <v>327</v>
      </c>
      <c r="F74" s="32">
        <v>2</v>
      </c>
      <c r="G74" s="31">
        <v>1</v>
      </c>
      <c r="H74" s="31">
        <v>81778</v>
      </c>
      <c r="I74" s="31" t="s">
        <v>17</v>
      </c>
      <c r="J74" s="31">
        <v>78770766</v>
      </c>
      <c r="K74" s="80" t="s">
        <v>1347</v>
      </c>
      <c r="L74" s="18" t="s">
        <v>1350</v>
      </c>
      <c r="M74" s="41">
        <v>219900</v>
      </c>
      <c r="N74" s="30">
        <v>0.9</v>
      </c>
      <c r="O74" s="33">
        <f t="shared" si="1"/>
        <v>21989.999999999996</v>
      </c>
      <c r="P74" s="28" t="s">
        <v>0</v>
      </c>
    </row>
    <row r="75" spans="1:16" x14ac:dyDescent="0.3">
      <c r="A75" s="32" t="s">
        <v>3213</v>
      </c>
      <c r="B75" s="40">
        <v>46108</v>
      </c>
      <c r="C75" s="40">
        <v>46113</v>
      </c>
      <c r="D75" s="32">
        <v>3319</v>
      </c>
      <c r="E75" s="32">
        <v>327</v>
      </c>
      <c r="F75" s="32">
        <v>2</v>
      </c>
      <c r="G75" s="31">
        <v>1</v>
      </c>
      <c r="H75" s="31">
        <v>81778</v>
      </c>
      <c r="I75" s="31" t="s">
        <v>17</v>
      </c>
      <c r="J75" s="31">
        <v>78770775</v>
      </c>
      <c r="K75" s="80" t="s">
        <v>1347</v>
      </c>
      <c r="L75" s="18" t="s">
        <v>1351</v>
      </c>
      <c r="M75" s="41">
        <v>219900</v>
      </c>
      <c r="N75" s="30">
        <v>0.9</v>
      </c>
      <c r="O75" s="33">
        <f t="shared" si="1"/>
        <v>21989.999999999996</v>
      </c>
      <c r="P75" s="28" t="s">
        <v>0</v>
      </c>
    </row>
    <row r="76" spans="1:16" x14ac:dyDescent="0.3">
      <c r="A76" s="32" t="s">
        <v>3213</v>
      </c>
      <c r="B76" s="40">
        <v>46108</v>
      </c>
      <c r="C76" s="40">
        <v>46113</v>
      </c>
      <c r="D76" s="32">
        <v>3319</v>
      </c>
      <c r="E76" s="32">
        <v>327</v>
      </c>
      <c r="F76" s="32">
        <v>2</v>
      </c>
      <c r="G76" s="31">
        <v>1</v>
      </c>
      <c r="H76" s="31">
        <v>81778</v>
      </c>
      <c r="I76" s="31" t="s">
        <v>17</v>
      </c>
      <c r="J76" s="31">
        <v>78770784</v>
      </c>
      <c r="K76" s="80" t="s">
        <v>1347</v>
      </c>
      <c r="L76" s="18" t="s">
        <v>1352</v>
      </c>
      <c r="M76" s="41">
        <v>219900</v>
      </c>
      <c r="N76" s="30">
        <v>0.9</v>
      </c>
      <c r="O76" s="33">
        <f t="shared" si="1"/>
        <v>21989.999999999996</v>
      </c>
      <c r="P76" s="28" t="s">
        <v>0</v>
      </c>
    </row>
    <row r="77" spans="1:16" x14ac:dyDescent="0.3">
      <c r="A77" s="32" t="s">
        <v>3213</v>
      </c>
      <c r="B77" s="40">
        <v>46108</v>
      </c>
      <c r="C77" s="40">
        <v>46113</v>
      </c>
      <c r="D77" s="32">
        <v>3319</v>
      </c>
      <c r="E77" s="32">
        <v>327</v>
      </c>
      <c r="F77" s="32">
        <v>2</v>
      </c>
      <c r="G77" s="31">
        <v>1</v>
      </c>
      <c r="H77" s="31">
        <v>81778</v>
      </c>
      <c r="I77" s="31" t="s">
        <v>17</v>
      </c>
      <c r="J77" s="31">
        <v>78770695</v>
      </c>
      <c r="K77" s="80" t="s">
        <v>1347</v>
      </c>
      <c r="L77" s="18" t="s">
        <v>1353</v>
      </c>
      <c r="M77" s="41">
        <v>219900</v>
      </c>
      <c r="N77" s="30">
        <v>0.9</v>
      </c>
      <c r="O77" s="33">
        <f t="shared" si="1"/>
        <v>21989.999999999996</v>
      </c>
      <c r="P77" s="28" t="s">
        <v>0</v>
      </c>
    </row>
    <row r="78" spans="1:16" x14ac:dyDescent="0.3">
      <c r="A78" s="32" t="s">
        <v>3213</v>
      </c>
      <c r="B78" s="40">
        <v>46108</v>
      </c>
      <c r="C78" s="40">
        <v>46113</v>
      </c>
      <c r="D78" s="32">
        <v>3319</v>
      </c>
      <c r="E78" s="32">
        <v>327</v>
      </c>
      <c r="F78" s="32">
        <v>2</v>
      </c>
      <c r="G78" s="31">
        <v>1</v>
      </c>
      <c r="H78" s="31">
        <v>81778</v>
      </c>
      <c r="I78" s="31" t="s">
        <v>17</v>
      </c>
      <c r="J78" s="31">
        <v>78770702</v>
      </c>
      <c r="K78" s="80" t="s">
        <v>1347</v>
      </c>
      <c r="L78" s="18" t="s">
        <v>1354</v>
      </c>
      <c r="M78" s="41">
        <v>219900</v>
      </c>
      <c r="N78" s="30">
        <v>0.9</v>
      </c>
      <c r="O78" s="33">
        <f t="shared" si="1"/>
        <v>21989.999999999996</v>
      </c>
      <c r="P78" s="28" t="s">
        <v>0</v>
      </c>
    </row>
    <row r="79" spans="1:16" x14ac:dyDescent="0.3">
      <c r="A79" s="32" t="s">
        <v>3213</v>
      </c>
      <c r="B79" s="40">
        <v>46108</v>
      </c>
      <c r="C79" s="40">
        <v>46113</v>
      </c>
      <c r="D79" s="32">
        <v>3319</v>
      </c>
      <c r="E79" s="32">
        <v>327</v>
      </c>
      <c r="F79" s="32">
        <v>2</v>
      </c>
      <c r="G79" s="31">
        <v>1</v>
      </c>
      <c r="H79" s="31">
        <v>81778</v>
      </c>
      <c r="I79" s="31" t="s">
        <v>17</v>
      </c>
      <c r="J79" s="31">
        <v>78770711</v>
      </c>
      <c r="K79" s="80" t="s">
        <v>1347</v>
      </c>
      <c r="L79" s="18" t="s">
        <v>1355</v>
      </c>
      <c r="M79" s="41">
        <v>219900</v>
      </c>
      <c r="N79" s="30">
        <v>0.9</v>
      </c>
      <c r="O79" s="33">
        <f t="shared" si="1"/>
        <v>21989.999999999996</v>
      </c>
      <c r="P79" s="28" t="s">
        <v>0</v>
      </c>
    </row>
    <row r="80" spans="1:16" x14ac:dyDescent="0.3">
      <c r="A80" s="32" t="s">
        <v>3213</v>
      </c>
      <c r="B80" s="40">
        <v>46108</v>
      </c>
      <c r="C80" s="40">
        <v>46113</v>
      </c>
      <c r="D80" s="32">
        <v>3319</v>
      </c>
      <c r="E80" s="32">
        <v>327</v>
      </c>
      <c r="F80" s="32">
        <v>2</v>
      </c>
      <c r="G80" s="31">
        <v>1</v>
      </c>
      <c r="H80" s="31">
        <v>81778</v>
      </c>
      <c r="I80" s="31" t="s">
        <v>17</v>
      </c>
      <c r="J80" s="31">
        <v>78770720</v>
      </c>
      <c r="K80" s="80" t="s">
        <v>1347</v>
      </c>
      <c r="L80" s="18" t="s">
        <v>1356</v>
      </c>
      <c r="M80" s="41">
        <v>219900</v>
      </c>
      <c r="N80" s="30">
        <v>0.9</v>
      </c>
      <c r="O80" s="33">
        <f t="shared" si="1"/>
        <v>21989.999999999996</v>
      </c>
      <c r="P80" s="28" t="s">
        <v>0</v>
      </c>
    </row>
    <row r="81" spans="1:16" x14ac:dyDescent="0.3">
      <c r="A81" s="32" t="s">
        <v>3213</v>
      </c>
      <c r="B81" s="40">
        <v>46108</v>
      </c>
      <c r="C81" s="40">
        <v>46113</v>
      </c>
      <c r="D81" s="32">
        <v>3319</v>
      </c>
      <c r="E81" s="32">
        <v>327</v>
      </c>
      <c r="F81" s="32">
        <v>2</v>
      </c>
      <c r="G81" s="31">
        <v>1</v>
      </c>
      <c r="H81" s="31">
        <v>81778</v>
      </c>
      <c r="I81" s="31" t="s">
        <v>17</v>
      </c>
      <c r="J81" s="31">
        <v>78770739</v>
      </c>
      <c r="K81" s="80" t="s">
        <v>1347</v>
      </c>
      <c r="L81" s="18" t="s">
        <v>1357</v>
      </c>
      <c r="M81" s="41">
        <v>219900</v>
      </c>
      <c r="N81" s="30">
        <v>0.9</v>
      </c>
      <c r="O81" s="33">
        <f t="shared" si="1"/>
        <v>21989.999999999996</v>
      </c>
      <c r="P81" s="28" t="s">
        <v>0</v>
      </c>
    </row>
    <row r="82" spans="1:16" x14ac:dyDescent="0.3">
      <c r="A82" s="32" t="s">
        <v>3213</v>
      </c>
      <c r="B82" s="40">
        <v>46108</v>
      </c>
      <c r="C82" s="40">
        <v>46113</v>
      </c>
      <c r="D82" s="32">
        <v>3319</v>
      </c>
      <c r="E82" s="32">
        <v>327</v>
      </c>
      <c r="F82" s="32">
        <v>2</v>
      </c>
      <c r="G82" s="31">
        <v>1</v>
      </c>
      <c r="H82" s="31">
        <v>81433</v>
      </c>
      <c r="I82" s="31" t="s">
        <v>17</v>
      </c>
      <c r="J82" s="31">
        <v>80898535</v>
      </c>
      <c r="K82" s="80" t="s">
        <v>1358</v>
      </c>
      <c r="L82" s="18" t="s">
        <v>1359</v>
      </c>
      <c r="M82" s="41">
        <v>219900</v>
      </c>
      <c r="N82" s="30">
        <v>0.9</v>
      </c>
      <c r="O82" s="33">
        <f t="shared" si="1"/>
        <v>21989.999999999996</v>
      </c>
      <c r="P82" s="28" t="s">
        <v>0</v>
      </c>
    </row>
    <row r="83" spans="1:16" x14ac:dyDescent="0.3">
      <c r="A83" s="32" t="s">
        <v>3213</v>
      </c>
      <c r="B83" s="40">
        <v>46108</v>
      </c>
      <c r="C83" s="40">
        <v>46113</v>
      </c>
      <c r="D83" s="32">
        <v>3319</v>
      </c>
      <c r="E83" s="32">
        <v>327</v>
      </c>
      <c r="F83" s="32">
        <v>2</v>
      </c>
      <c r="G83" s="31">
        <v>1</v>
      </c>
      <c r="H83" s="31">
        <v>81433</v>
      </c>
      <c r="I83" s="31" t="s">
        <v>17</v>
      </c>
      <c r="J83" s="31">
        <v>80898544</v>
      </c>
      <c r="K83" s="80" t="s">
        <v>1358</v>
      </c>
      <c r="L83" s="18" t="s">
        <v>1360</v>
      </c>
      <c r="M83" s="41">
        <v>219900</v>
      </c>
      <c r="N83" s="30">
        <v>0.9</v>
      </c>
      <c r="O83" s="33">
        <f t="shared" si="1"/>
        <v>21989.999999999996</v>
      </c>
      <c r="P83" s="28" t="s">
        <v>0</v>
      </c>
    </row>
    <row r="84" spans="1:16" x14ac:dyDescent="0.3">
      <c r="A84" s="32" t="s">
        <v>3213</v>
      </c>
      <c r="B84" s="40">
        <v>46108</v>
      </c>
      <c r="C84" s="40">
        <v>46113</v>
      </c>
      <c r="D84" s="32">
        <v>3319</v>
      </c>
      <c r="E84" s="32">
        <v>327</v>
      </c>
      <c r="F84" s="32">
        <v>2</v>
      </c>
      <c r="G84" s="31">
        <v>1</v>
      </c>
      <c r="H84" s="31">
        <v>81433</v>
      </c>
      <c r="I84" s="31" t="s">
        <v>17</v>
      </c>
      <c r="J84" s="31">
        <v>80898553</v>
      </c>
      <c r="K84" s="80" t="s">
        <v>1358</v>
      </c>
      <c r="L84" s="18" t="s">
        <v>1361</v>
      </c>
      <c r="M84" s="41">
        <v>219900</v>
      </c>
      <c r="N84" s="30">
        <v>0.9</v>
      </c>
      <c r="O84" s="33">
        <f t="shared" si="1"/>
        <v>21989.999999999996</v>
      </c>
      <c r="P84" s="28" t="s">
        <v>0</v>
      </c>
    </row>
    <row r="85" spans="1:16" x14ac:dyDescent="0.3">
      <c r="A85" s="32" t="s">
        <v>3213</v>
      </c>
      <c r="B85" s="40">
        <v>46108</v>
      </c>
      <c r="C85" s="40">
        <v>46113</v>
      </c>
      <c r="D85" s="32">
        <v>3319</v>
      </c>
      <c r="E85" s="32">
        <v>327</v>
      </c>
      <c r="F85" s="32">
        <v>2</v>
      </c>
      <c r="G85" s="31">
        <v>1</v>
      </c>
      <c r="H85" s="31">
        <v>81433</v>
      </c>
      <c r="I85" s="31" t="s">
        <v>17</v>
      </c>
      <c r="J85" s="31">
        <v>80898562</v>
      </c>
      <c r="K85" s="80" t="s">
        <v>1358</v>
      </c>
      <c r="L85" s="18" t="s">
        <v>1362</v>
      </c>
      <c r="M85" s="41">
        <v>219900</v>
      </c>
      <c r="N85" s="30">
        <v>0.9</v>
      </c>
      <c r="O85" s="33">
        <f t="shared" si="1"/>
        <v>21989.999999999996</v>
      </c>
      <c r="P85" s="28" t="s">
        <v>0</v>
      </c>
    </row>
    <row r="86" spans="1:16" x14ac:dyDescent="0.3">
      <c r="A86" s="32" t="s">
        <v>3213</v>
      </c>
      <c r="B86" s="40">
        <v>46108</v>
      </c>
      <c r="C86" s="40">
        <v>46113</v>
      </c>
      <c r="D86" s="32">
        <v>3319</v>
      </c>
      <c r="E86" s="32">
        <v>327</v>
      </c>
      <c r="F86" s="32">
        <v>2</v>
      </c>
      <c r="G86" s="31">
        <v>1</v>
      </c>
      <c r="H86" s="31">
        <v>81433</v>
      </c>
      <c r="I86" s="31" t="s">
        <v>17</v>
      </c>
      <c r="J86" s="31">
        <v>80898571</v>
      </c>
      <c r="K86" s="80" t="s">
        <v>1358</v>
      </c>
      <c r="L86" s="18" t="s">
        <v>1363</v>
      </c>
      <c r="M86" s="41">
        <v>219900</v>
      </c>
      <c r="N86" s="30">
        <v>0.9</v>
      </c>
      <c r="O86" s="33">
        <f t="shared" si="1"/>
        <v>21989.999999999996</v>
      </c>
      <c r="P86" s="28" t="s">
        <v>0</v>
      </c>
    </row>
    <row r="87" spans="1:16" x14ac:dyDescent="0.3">
      <c r="A87" s="32" t="s">
        <v>3213</v>
      </c>
      <c r="B87" s="40">
        <v>46108</v>
      </c>
      <c r="C87" s="40">
        <v>46113</v>
      </c>
      <c r="D87" s="32">
        <v>3319</v>
      </c>
      <c r="E87" s="32">
        <v>327</v>
      </c>
      <c r="F87" s="32">
        <v>2</v>
      </c>
      <c r="G87" s="31">
        <v>1</v>
      </c>
      <c r="H87" s="31">
        <v>81433</v>
      </c>
      <c r="I87" s="31" t="s">
        <v>17</v>
      </c>
      <c r="J87" s="31">
        <v>80898580</v>
      </c>
      <c r="K87" s="80" t="s">
        <v>1358</v>
      </c>
      <c r="L87" s="18" t="s">
        <v>1364</v>
      </c>
      <c r="M87" s="41">
        <v>219900</v>
      </c>
      <c r="N87" s="30">
        <v>0.9</v>
      </c>
      <c r="O87" s="33">
        <f t="shared" si="1"/>
        <v>21989.999999999996</v>
      </c>
      <c r="P87" s="28" t="s">
        <v>0</v>
      </c>
    </row>
    <row r="88" spans="1:16" x14ac:dyDescent="0.3">
      <c r="A88" s="32" t="s">
        <v>3213</v>
      </c>
      <c r="B88" s="40">
        <v>46108</v>
      </c>
      <c r="C88" s="40">
        <v>46113</v>
      </c>
      <c r="D88" s="32">
        <v>3319</v>
      </c>
      <c r="E88" s="32">
        <v>327</v>
      </c>
      <c r="F88" s="32">
        <v>2</v>
      </c>
      <c r="G88" s="31">
        <v>1</v>
      </c>
      <c r="H88" s="31">
        <v>81433</v>
      </c>
      <c r="I88" s="31" t="s">
        <v>17</v>
      </c>
      <c r="J88" s="31">
        <v>80898599</v>
      </c>
      <c r="K88" s="80" t="s">
        <v>1358</v>
      </c>
      <c r="L88" s="18" t="s">
        <v>1365</v>
      </c>
      <c r="M88" s="41">
        <v>219900</v>
      </c>
      <c r="N88" s="30">
        <v>0.9</v>
      </c>
      <c r="O88" s="33">
        <f t="shared" si="1"/>
        <v>21989.999999999996</v>
      </c>
      <c r="P88" s="28" t="s">
        <v>0</v>
      </c>
    </row>
    <row r="89" spans="1:16" x14ac:dyDescent="0.3">
      <c r="A89" s="32" t="s">
        <v>3213</v>
      </c>
      <c r="B89" s="40">
        <v>46108</v>
      </c>
      <c r="C89" s="40">
        <v>46113</v>
      </c>
      <c r="D89" s="32">
        <v>3319</v>
      </c>
      <c r="E89" s="32">
        <v>327</v>
      </c>
      <c r="F89" s="32">
        <v>2</v>
      </c>
      <c r="G89" s="31">
        <v>1</v>
      </c>
      <c r="H89" s="31">
        <v>81433</v>
      </c>
      <c r="I89" s="31" t="s">
        <v>17</v>
      </c>
      <c r="J89" s="31">
        <v>80898606</v>
      </c>
      <c r="K89" s="80" t="s">
        <v>1358</v>
      </c>
      <c r="L89" s="18" t="s">
        <v>1366</v>
      </c>
      <c r="M89" s="41">
        <v>219900</v>
      </c>
      <c r="N89" s="30">
        <v>0.9</v>
      </c>
      <c r="O89" s="33">
        <f t="shared" si="1"/>
        <v>21989.999999999996</v>
      </c>
      <c r="P89" s="28" t="s">
        <v>0</v>
      </c>
    </row>
    <row r="90" spans="1:16" x14ac:dyDescent="0.3">
      <c r="A90" s="32" t="s">
        <v>3213</v>
      </c>
      <c r="B90" s="40">
        <v>46108</v>
      </c>
      <c r="C90" s="40">
        <v>46113</v>
      </c>
      <c r="D90" s="32">
        <v>3319</v>
      </c>
      <c r="E90" s="32">
        <v>327</v>
      </c>
      <c r="F90" s="32">
        <v>2</v>
      </c>
      <c r="G90" s="31">
        <v>1</v>
      </c>
      <c r="H90" s="31">
        <v>81433</v>
      </c>
      <c r="I90" s="31" t="s">
        <v>17</v>
      </c>
      <c r="J90" s="31">
        <v>80898615</v>
      </c>
      <c r="K90" s="80" t="s">
        <v>1358</v>
      </c>
      <c r="L90" s="18" t="s">
        <v>1367</v>
      </c>
      <c r="M90" s="41">
        <v>219900</v>
      </c>
      <c r="N90" s="30">
        <v>0.9</v>
      </c>
      <c r="O90" s="33">
        <f t="shared" si="1"/>
        <v>21989.999999999996</v>
      </c>
      <c r="P90" s="28" t="s">
        <v>0</v>
      </c>
    </row>
    <row r="91" spans="1:16" x14ac:dyDescent="0.3">
      <c r="A91" s="32" t="s">
        <v>3213</v>
      </c>
      <c r="B91" s="40">
        <v>46108</v>
      </c>
      <c r="C91" s="40">
        <v>46113</v>
      </c>
      <c r="D91" s="32">
        <v>3319</v>
      </c>
      <c r="E91" s="32">
        <v>327</v>
      </c>
      <c r="F91" s="32">
        <v>2</v>
      </c>
      <c r="G91" s="31">
        <v>1</v>
      </c>
      <c r="H91" s="31">
        <v>81433</v>
      </c>
      <c r="I91" s="31" t="s">
        <v>17</v>
      </c>
      <c r="J91" s="31">
        <v>80898624</v>
      </c>
      <c r="K91" s="80" t="s">
        <v>1358</v>
      </c>
      <c r="L91" s="18" t="s">
        <v>1368</v>
      </c>
      <c r="M91" s="41">
        <v>219900</v>
      </c>
      <c r="N91" s="30">
        <v>0.9</v>
      </c>
      <c r="O91" s="33">
        <f t="shared" si="1"/>
        <v>21989.999999999996</v>
      </c>
      <c r="P91" s="28" t="s">
        <v>0</v>
      </c>
    </row>
    <row r="92" spans="1:16" x14ac:dyDescent="0.3">
      <c r="A92" s="32" t="s">
        <v>3213</v>
      </c>
      <c r="B92" s="40">
        <v>46108</v>
      </c>
      <c r="C92" s="40">
        <v>46113</v>
      </c>
      <c r="D92" s="32">
        <v>3319</v>
      </c>
      <c r="E92" s="32">
        <v>327</v>
      </c>
      <c r="F92" s="32">
        <v>2</v>
      </c>
      <c r="G92" s="31">
        <v>1</v>
      </c>
      <c r="H92" s="31">
        <v>81778</v>
      </c>
      <c r="I92" s="31" t="s">
        <v>17</v>
      </c>
      <c r="J92" s="31">
        <v>78769992</v>
      </c>
      <c r="K92" s="80" t="s">
        <v>1369</v>
      </c>
      <c r="L92" s="18" t="s">
        <v>1370</v>
      </c>
      <c r="M92" s="41">
        <v>199900</v>
      </c>
      <c r="N92" s="30">
        <v>0.9</v>
      </c>
      <c r="O92" s="33">
        <f t="shared" si="1"/>
        <v>19989.999999999996</v>
      </c>
      <c r="P92" s="28" t="s">
        <v>0</v>
      </c>
    </row>
    <row r="93" spans="1:16" x14ac:dyDescent="0.3">
      <c r="A93" s="32" t="s">
        <v>3213</v>
      </c>
      <c r="B93" s="40">
        <v>46108</v>
      </c>
      <c r="C93" s="40">
        <v>46113</v>
      </c>
      <c r="D93" s="32">
        <v>3319</v>
      </c>
      <c r="E93" s="32">
        <v>327</v>
      </c>
      <c r="F93" s="32">
        <v>2</v>
      </c>
      <c r="G93" s="31">
        <v>1</v>
      </c>
      <c r="H93" s="31">
        <v>81778</v>
      </c>
      <c r="I93" s="31" t="s">
        <v>17</v>
      </c>
      <c r="J93" s="31">
        <v>78770006</v>
      </c>
      <c r="K93" s="80" t="s">
        <v>1369</v>
      </c>
      <c r="L93" s="18" t="s">
        <v>1371</v>
      </c>
      <c r="M93" s="41">
        <v>199900</v>
      </c>
      <c r="N93" s="30">
        <v>0.9</v>
      </c>
      <c r="O93" s="33">
        <f t="shared" si="1"/>
        <v>19989.999999999996</v>
      </c>
      <c r="P93" s="28" t="s">
        <v>0</v>
      </c>
    </row>
    <row r="94" spans="1:16" x14ac:dyDescent="0.3">
      <c r="A94" s="32" t="s">
        <v>3213</v>
      </c>
      <c r="B94" s="40">
        <v>46108</v>
      </c>
      <c r="C94" s="40">
        <v>46113</v>
      </c>
      <c r="D94" s="32">
        <v>3319</v>
      </c>
      <c r="E94" s="32">
        <v>327</v>
      </c>
      <c r="F94" s="32">
        <v>2</v>
      </c>
      <c r="G94" s="31">
        <v>1</v>
      </c>
      <c r="H94" s="31">
        <v>81778</v>
      </c>
      <c r="I94" s="31" t="s">
        <v>17</v>
      </c>
      <c r="J94" s="31">
        <v>78770015</v>
      </c>
      <c r="K94" s="80" t="s">
        <v>1369</v>
      </c>
      <c r="L94" s="18" t="s">
        <v>1372</v>
      </c>
      <c r="M94" s="41">
        <v>199900</v>
      </c>
      <c r="N94" s="30">
        <v>0.9</v>
      </c>
      <c r="O94" s="33">
        <f t="shared" si="1"/>
        <v>19989.999999999996</v>
      </c>
      <c r="P94" s="28" t="s">
        <v>0</v>
      </c>
    </row>
    <row r="95" spans="1:16" x14ac:dyDescent="0.3">
      <c r="A95" s="32" t="s">
        <v>3213</v>
      </c>
      <c r="B95" s="40">
        <v>46108</v>
      </c>
      <c r="C95" s="40">
        <v>46113</v>
      </c>
      <c r="D95" s="32">
        <v>3319</v>
      </c>
      <c r="E95" s="32">
        <v>327</v>
      </c>
      <c r="F95" s="32">
        <v>2</v>
      </c>
      <c r="G95" s="31">
        <v>1</v>
      </c>
      <c r="H95" s="31">
        <v>81778</v>
      </c>
      <c r="I95" s="31" t="s">
        <v>17</v>
      </c>
      <c r="J95" s="31">
        <v>78770024</v>
      </c>
      <c r="K95" s="80" t="s">
        <v>1369</v>
      </c>
      <c r="L95" s="18" t="s">
        <v>1373</v>
      </c>
      <c r="M95" s="41">
        <v>199900</v>
      </c>
      <c r="N95" s="30">
        <v>0.9</v>
      </c>
      <c r="O95" s="33">
        <f t="shared" si="1"/>
        <v>19989.999999999996</v>
      </c>
      <c r="P95" s="28" t="s">
        <v>0</v>
      </c>
    </row>
    <row r="96" spans="1:16" x14ac:dyDescent="0.3">
      <c r="A96" s="32" t="s">
        <v>3213</v>
      </c>
      <c r="B96" s="40">
        <v>46108</v>
      </c>
      <c r="C96" s="40">
        <v>46113</v>
      </c>
      <c r="D96" s="32">
        <v>3319</v>
      </c>
      <c r="E96" s="32">
        <v>327</v>
      </c>
      <c r="F96" s="32">
        <v>2</v>
      </c>
      <c r="G96" s="31">
        <v>1</v>
      </c>
      <c r="H96" s="31">
        <v>81778</v>
      </c>
      <c r="I96" s="31" t="s">
        <v>17</v>
      </c>
      <c r="J96" s="31">
        <v>78770033</v>
      </c>
      <c r="K96" s="80" t="s">
        <v>1369</v>
      </c>
      <c r="L96" s="18" t="s">
        <v>1374</v>
      </c>
      <c r="M96" s="41">
        <v>199900</v>
      </c>
      <c r="N96" s="30">
        <v>0.9</v>
      </c>
      <c r="O96" s="33">
        <f t="shared" si="1"/>
        <v>19989.999999999996</v>
      </c>
      <c r="P96" s="28" t="s">
        <v>0</v>
      </c>
    </row>
    <row r="97" spans="1:16" x14ac:dyDescent="0.3">
      <c r="A97" s="32" t="s">
        <v>3213</v>
      </c>
      <c r="B97" s="40">
        <v>46108</v>
      </c>
      <c r="C97" s="40">
        <v>46113</v>
      </c>
      <c r="D97" s="32">
        <v>3319</v>
      </c>
      <c r="E97" s="32">
        <v>327</v>
      </c>
      <c r="F97" s="32">
        <v>2</v>
      </c>
      <c r="G97" s="31">
        <v>1</v>
      </c>
      <c r="H97" s="31">
        <v>81778</v>
      </c>
      <c r="I97" s="31" t="s">
        <v>17</v>
      </c>
      <c r="J97" s="31">
        <v>78770042</v>
      </c>
      <c r="K97" s="80" t="s">
        <v>1369</v>
      </c>
      <c r="L97" s="18" t="s">
        <v>1375</v>
      </c>
      <c r="M97" s="41">
        <v>199900</v>
      </c>
      <c r="N97" s="30">
        <v>0.9</v>
      </c>
      <c r="O97" s="33">
        <f t="shared" si="1"/>
        <v>19989.999999999996</v>
      </c>
      <c r="P97" s="28" t="s">
        <v>0</v>
      </c>
    </row>
    <row r="98" spans="1:16" x14ac:dyDescent="0.3">
      <c r="A98" s="32" t="s">
        <v>3213</v>
      </c>
      <c r="B98" s="40">
        <v>46108</v>
      </c>
      <c r="C98" s="40">
        <v>46113</v>
      </c>
      <c r="D98" s="32">
        <v>3319</v>
      </c>
      <c r="E98" s="32">
        <v>327</v>
      </c>
      <c r="F98" s="32">
        <v>2</v>
      </c>
      <c r="G98" s="31">
        <v>1</v>
      </c>
      <c r="H98" s="31">
        <v>81778</v>
      </c>
      <c r="I98" s="31" t="s">
        <v>17</v>
      </c>
      <c r="J98" s="31">
        <v>78770051</v>
      </c>
      <c r="K98" s="80" t="s">
        <v>1369</v>
      </c>
      <c r="L98" s="18" t="s">
        <v>1376</v>
      </c>
      <c r="M98" s="41">
        <v>199900</v>
      </c>
      <c r="N98" s="30">
        <v>0.9</v>
      </c>
      <c r="O98" s="33">
        <f t="shared" si="1"/>
        <v>19989.999999999996</v>
      </c>
      <c r="P98" s="28" t="s">
        <v>0</v>
      </c>
    </row>
    <row r="99" spans="1:16" x14ac:dyDescent="0.3">
      <c r="A99" s="32" t="s">
        <v>3213</v>
      </c>
      <c r="B99" s="40">
        <v>46108</v>
      </c>
      <c r="C99" s="40">
        <v>46113</v>
      </c>
      <c r="D99" s="32">
        <v>3319</v>
      </c>
      <c r="E99" s="32">
        <v>327</v>
      </c>
      <c r="F99" s="32">
        <v>2</v>
      </c>
      <c r="G99" s="31">
        <v>1</v>
      </c>
      <c r="H99" s="31">
        <v>81778</v>
      </c>
      <c r="I99" s="31" t="s">
        <v>17</v>
      </c>
      <c r="J99" s="31">
        <v>78770060</v>
      </c>
      <c r="K99" s="80" t="s">
        <v>1369</v>
      </c>
      <c r="L99" s="18" t="s">
        <v>1377</v>
      </c>
      <c r="M99" s="41">
        <v>199900</v>
      </c>
      <c r="N99" s="30">
        <v>0.9</v>
      </c>
      <c r="O99" s="33">
        <f t="shared" si="1"/>
        <v>19989.999999999996</v>
      </c>
      <c r="P99" s="28" t="s">
        <v>0</v>
      </c>
    </row>
    <row r="100" spans="1:16" x14ac:dyDescent="0.3">
      <c r="A100" s="32" t="s">
        <v>3213</v>
      </c>
      <c r="B100" s="40">
        <v>46108</v>
      </c>
      <c r="C100" s="40">
        <v>46113</v>
      </c>
      <c r="D100" s="32">
        <v>3319</v>
      </c>
      <c r="E100" s="32">
        <v>327</v>
      </c>
      <c r="F100" s="32">
        <v>2</v>
      </c>
      <c r="G100" s="31">
        <v>1</v>
      </c>
      <c r="H100" s="31">
        <v>81778</v>
      </c>
      <c r="I100" s="31" t="s">
        <v>17</v>
      </c>
      <c r="J100" s="31">
        <v>78770079</v>
      </c>
      <c r="K100" s="80" t="s">
        <v>1369</v>
      </c>
      <c r="L100" s="18" t="s">
        <v>1378</v>
      </c>
      <c r="M100" s="41">
        <v>199900</v>
      </c>
      <c r="N100" s="30">
        <v>0.9</v>
      </c>
      <c r="O100" s="33">
        <f t="shared" si="1"/>
        <v>19989.999999999996</v>
      </c>
      <c r="P100" s="28" t="s">
        <v>0</v>
      </c>
    </row>
    <row r="101" spans="1:16" x14ac:dyDescent="0.3">
      <c r="A101" s="32" t="s">
        <v>3213</v>
      </c>
      <c r="B101" s="40">
        <v>46108</v>
      </c>
      <c r="C101" s="40">
        <v>46113</v>
      </c>
      <c r="D101" s="32">
        <v>3319</v>
      </c>
      <c r="E101" s="32">
        <v>327</v>
      </c>
      <c r="F101" s="32">
        <v>2</v>
      </c>
      <c r="G101" s="31">
        <v>1</v>
      </c>
      <c r="H101" s="31">
        <v>81778</v>
      </c>
      <c r="I101" s="31" t="s">
        <v>17</v>
      </c>
      <c r="J101" s="31">
        <v>78770088</v>
      </c>
      <c r="K101" s="80" t="s">
        <v>1369</v>
      </c>
      <c r="L101" s="18" t="s">
        <v>1379</v>
      </c>
      <c r="M101" s="41">
        <v>199900</v>
      </c>
      <c r="N101" s="30">
        <v>0.9</v>
      </c>
      <c r="O101" s="33">
        <f t="shared" si="1"/>
        <v>19989.999999999996</v>
      </c>
      <c r="P101" s="28" t="s">
        <v>0</v>
      </c>
    </row>
    <row r="102" spans="1:16" x14ac:dyDescent="0.3">
      <c r="A102" s="32" t="s">
        <v>3213</v>
      </c>
      <c r="B102" s="40">
        <v>46108</v>
      </c>
      <c r="C102" s="40">
        <v>46113</v>
      </c>
      <c r="D102" s="32">
        <v>3319</v>
      </c>
      <c r="E102" s="32">
        <v>327</v>
      </c>
      <c r="F102" s="32">
        <v>2</v>
      </c>
      <c r="G102" s="31">
        <v>1</v>
      </c>
      <c r="H102" s="31">
        <v>81433</v>
      </c>
      <c r="I102" s="31" t="s">
        <v>17</v>
      </c>
      <c r="J102" s="31">
        <v>73615586</v>
      </c>
      <c r="K102" s="80" t="s">
        <v>1380</v>
      </c>
      <c r="L102" s="18" t="s">
        <v>1381</v>
      </c>
      <c r="M102" s="41">
        <v>219900</v>
      </c>
      <c r="N102" s="30">
        <v>0.9</v>
      </c>
      <c r="O102" s="33">
        <f t="shared" si="1"/>
        <v>21989.999999999996</v>
      </c>
      <c r="P102" s="28" t="s">
        <v>0</v>
      </c>
    </row>
    <row r="103" spans="1:16" x14ac:dyDescent="0.3">
      <c r="A103" s="32" t="s">
        <v>3213</v>
      </c>
      <c r="B103" s="40">
        <v>46108</v>
      </c>
      <c r="C103" s="40">
        <v>46113</v>
      </c>
      <c r="D103" s="32">
        <v>3319</v>
      </c>
      <c r="E103" s="32">
        <v>327</v>
      </c>
      <c r="F103" s="32">
        <v>2</v>
      </c>
      <c r="G103" s="31">
        <v>1</v>
      </c>
      <c r="H103" s="31">
        <v>81433</v>
      </c>
      <c r="I103" s="31" t="s">
        <v>17</v>
      </c>
      <c r="J103" s="31">
        <v>73615568</v>
      </c>
      <c r="K103" s="80" t="s">
        <v>1380</v>
      </c>
      <c r="L103" s="18" t="s">
        <v>1382</v>
      </c>
      <c r="M103" s="41">
        <v>219900</v>
      </c>
      <c r="N103" s="30">
        <v>0.9</v>
      </c>
      <c r="O103" s="33">
        <f t="shared" si="1"/>
        <v>21989.999999999996</v>
      </c>
      <c r="P103" s="28" t="s">
        <v>0</v>
      </c>
    </row>
    <row r="104" spans="1:16" x14ac:dyDescent="0.3">
      <c r="A104" s="32" t="s">
        <v>3213</v>
      </c>
      <c r="B104" s="40">
        <v>46108</v>
      </c>
      <c r="C104" s="40">
        <v>46113</v>
      </c>
      <c r="D104" s="32">
        <v>3319</v>
      </c>
      <c r="E104" s="32">
        <v>327</v>
      </c>
      <c r="F104" s="32">
        <v>2</v>
      </c>
      <c r="G104" s="31">
        <v>1</v>
      </c>
      <c r="H104" s="31">
        <v>81433</v>
      </c>
      <c r="I104" s="31" t="s">
        <v>17</v>
      </c>
      <c r="J104" s="31">
        <v>73615620</v>
      </c>
      <c r="K104" s="80" t="s">
        <v>1380</v>
      </c>
      <c r="L104" s="18" t="s">
        <v>1383</v>
      </c>
      <c r="M104" s="41">
        <v>219900</v>
      </c>
      <c r="N104" s="30">
        <v>0.9</v>
      </c>
      <c r="O104" s="33">
        <f t="shared" si="1"/>
        <v>21989.999999999996</v>
      </c>
      <c r="P104" s="28" t="s">
        <v>0</v>
      </c>
    </row>
    <row r="105" spans="1:16" x14ac:dyDescent="0.3">
      <c r="A105" s="32" t="s">
        <v>3213</v>
      </c>
      <c r="B105" s="40">
        <v>46108</v>
      </c>
      <c r="C105" s="40">
        <v>46113</v>
      </c>
      <c r="D105" s="32">
        <v>3319</v>
      </c>
      <c r="E105" s="32">
        <v>327</v>
      </c>
      <c r="F105" s="32">
        <v>2</v>
      </c>
      <c r="G105" s="31">
        <v>1</v>
      </c>
      <c r="H105" s="31">
        <v>81433</v>
      </c>
      <c r="I105" s="31" t="s">
        <v>17</v>
      </c>
      <c r="J105" s="31">
        <v>73615657</v>
      </c>
      <c r="K105" s="80" t="s">
        <v>1380</v>
      </c>
      <c r="L105" s="18" t="s">
        <v>1384</v>
      </c>
      <c r="M105" s="41">
        <v>219900</v>
      </c>
      <c r="N105" s="30">
        <v>0.9</v>
      </c>
      <c r="O105" s="33">
        <f t="shared" si="1"/>
        <v>21989.999999999996</v>
      </c>
      <c r="P105" s="28" t="s">
        <v>0</v>
      </c>
    </row>
    <row r="106" spans="1:16" x14ac:dyDescent="0.3">
      <c r="A106" s="32" t="s">
        <v>3213</v>
      </c>
      <c r="B106" s="40">
        <v>46108</v>
      </c>
      <c r="C106" s="40">
        <v>46113</v>
      </c>
      <c r="D106" s="32">
        <v>3319</v>
      </c>
      <c r="E106" s="32">
        <v>327</v>
      </c>
      <c r="F106" s="32">
        <v>2</v>
      </c>
      <c r="G106" s="31">
        <v>1</v>
      </c>
      <c r="H106" s="31">
        <v>81433</v>
      </c>
      <c r="I106" s="31" t="s">
        <v>17</v>
      </c>
      <c r="J106" s="31">
        <v>73615648</v>
      </c>
      <c r="K106" s="80" t="s">
        <v>1380</v>
      </c>
      <c r="L106" s="18" t="s">
        <v>1385</v>
      </c>
      <c r="M106" s="41">
        <v>219900</v>
      </c>
      <c r="N106" s="30">
        <v>0.9</v>
      </c>
      <c r="O106" s="33">
        <f t="shared" si="1"/>
        <v>21989.999999999996</v>
      </c>
      <c r="P106" s="28" t="s">
        <v>0</v>
      </c>
    </row>
    <row r="107" spans="1:16" x14ac:dyDescent="0.3">
      <c r="A107" s="32" t="s">
        <v>3213</v>
      </c>
      <c r="B107" s="40">
        <v>46108</v>
      </c>
      <c r="C107" s="40">
        <v>46113</v>
      </c>
      <c r="D107" s="32">
        <v>3319</v>
      </c>
      <c r="E107" s="32">
        <v>327</v>
      </c>
      <c r="F107" s="32">
        <v>2</v>
      </c>
      <c r="G107" s="31">
        <v>1</v>
      </c>
      <c r="H107" s="31">
        <v>81433</v>
      </c>
      <c r="I107" s="31" t="s">
        <v>17</v>
      </c>
      <c r="J107" s="31">
        <v>73615602</v>
      </c>
      <c r="K107" s="80" t="s">
        <v>1380</v>
      </c>
      <c r="L107" s="18" t="s">
        <v>1386</v>
      </c>
      <c r="M107" s="41">
        <v>219900</v>
      </c>
      <c r="N107" s="30">
        <v>0.9</v>
      </c>
      <c r="O107" s="33">
        <f t="shared" si="1"/>
        <v>21989.999999999996</v>
      </c>
      <c r="P107" s="28" t="s">
        <v>0</v>
      </c>
    </row>
    <row r="108" spans="1:16" x14ac:dyDescent="0.3">
      <c r="A108" s="32" t="s">
        <v>3213</v>
      </c>
      <c r="B108" s="40">
        <v>46108</v>
      </c>
      <c r="C108" s="40">
        <v>46113</v>
      </c>
      <c r="D108" s="32">
        <v>3319</v>
      </c>
      <c r="E108" s="32">
        <v>327</v>
      </c>
      <c r="F108" s="32">
        <v>2</v>
      </c>
      <c r="G108" s="31">
        <v>1</v>
      </c>
      <c r="H108" s="31">
        <v>81433</v>
      </c>
      <c r="I108" s="31" t="s">
        <v>17</v>
      </c>
      <c r="J108" s="31">
        <v>73615639</v>
      </c>
      <c r="K108" s="80" t="s">
        <v>1380</v>
      </c>
      <c r="L108" s="18" t="s">
        <v>1387</v>
      </c>
      <c r="M108" s="41">
        <v>219900</v>
      </c>
      <c r="N108" s="30">
        <v>0.9</v>
      </c>
      <c r="O108" s="33">
        <f t="shared" si="1"/>
        <v>21989.999999999996</v>
      </c>
      <c r="P108" s="28" t="s">
        <v>0</v>
      </c>
    </row>
    <row r="109" spans="1:16" x14ac:dyDescent="0.3">
      <c r="A109" s="32" t="s">
        <v>3213</v>
      </c>
      <c r="B109" s="40">
        <v>46108</v>
      </c>
      <c r="C109" s="40">
        <v>46113</v>
      </c>
      <c r="D109" s="32">
        <v>3319</v>
      </c>
      <c r="E109" s="32">
        <v>327</v>
      </c>
      <c r="F109" s="32">
        <v>2</v>
      </c>
      <c r="G109" s="31">
        <v>1</v>
      </c>
      <c r="H109" s="31">
        <v>81433</v>
      </c>
      <c r="I109" s="31" t="s">
        <v>17</v>
      </c>
      <c r="J109" s="31">
        <v>73615611</v>
      </c>
      <c r="K109" s="80" t="s">
        <v>1380</v>
      </c>
      <c r="L109" s="18" t="s">
        <v>1388</v>
      </c>
      <c r="M109" s="41">
        <v>219900</v>
      </c>
      <c r="N109" s="30">
        <v>0.9</v>
      </c>
      <c r="O109" s="33">
        <f t="shared" si="1"/>
        <v>21989.999999999996</v>
      </c>
      <c r="P109" s="28" t="s">
        <v>0</v>
      </c>
    </row>
    <row r="110" spans="1:16" x14ac:dyDescent="0.3">
      <c r="A110" s="32" t="s">
        <v>3213</v>
      </c>
      <c r="B110" s="40">
        <v>46108</v>
      </c>
      <c r="C110" s="40">
        <v>46113</v>
      </c>
      <c r="D110" s="32">
        <v>3319</v>
      </c>
      <c r="E110" s="32">
        <v>327</v>
      </c>
      <c r="F110" s="32">
        <v>2</v>
      </c>
      <c r="G110" s="31">
        <v>1</v>
      </c>
      <c r="H110" s="31">
        <v>81433</v>
      </c>
      <c r="I110" s="31" t="s">
        <v>17</v>
      </c>
      <c r="J110" s="31">
        <v>73615595</v>
      </c>
      <c r="K110" s="80" t="s">
        <v>1380</v>
      </c>
      <c r="L110" s="18" t="s">
        <v>1389</v>
      </c>
      <c r="M110" s="41">
        <v>219900</v>
      </c>
      <c r="N110" s="30">
        <v>0.9</v>
      </c>
      <c r="O110" s="33">
        <f t="shared" si="1"/>
        <v>21989.999999999996</v>
      </c>
      <c r="P110" s="28" t="s">
        <v>0</v>
      </c>
    </row>
    <row r="111" spans="1:16" x14ac:dyDescent="0.3">
      <c r="A111" s="32" t="s">
        <v>3213</v>
      </c>
      <c r="B111" s="40">
        <v>46108</v>
      </c>
      <c r="C111" s="40">
        <v>46113</v>
      </c>
      <c r="D111" s="32">
        <v>3319</v>
      </c>
      <c r="E111" s="32">
        <v>327</v>
      </c>
      <c r="F111" s="32">
        <v>2</v>
      </c>
      <c r="G111" s="31">
        <v>1</v>
      </c>
      <c r="H111" s="31">
        <v>81433</v>
      </c>
      <c r="I111" s="31" t="s">
        <v>17</v>
      </c>
      <c r="J111" s="31">
        <v>73615577</v>
      </c>
      <c r="K111" s="80" t="s">
        <v>1380</v>
      </c>
      <c r="L111" s="18" t="s">
        <v>1390</v>
      </c>
      <c r="M111" s="41">
        <v>219900</v>
      </c>
      <c r="N111" s="30">
        <v>0.9</v>
      </c>
      <c r="O111" s="33">
        <f t="shared" si="1"/>
        <v>21989.999999999996</v>
      </c>
      <c r="P111" s="28" t="s">
        <v>0</v>
      </c>
    </row>
    <row r="112" spans="1:16" x14ac:dyDescent="0.3">
      <c r="A112" s="32" t="s">
        <v>3213</v>
      </c>
      <c r="B112" s="40">
        <v>46108</v>
      </c>
      <c r="C112" s="40">
        <v>46113</v>
      </c>
      <c r="D112" s="32">
        <v>3319</v>
      </c>
      <c r="E112" s="32">
        <v>327</v>
      </c>
      <c r="F112" s="32">
        <v>2</v>
      </c>
      <c r="G112" s="31">
        <v>1</v>
      </c>
      <c r="H112" s="31">
        <v>81433</v>
      </c>
      <c r="I112" s="31" t="s">
        <v>17</v>
      </c>
      <c r="J112" s="31">
        <v>81119759</v>
      </c>
      <c r="K112" s="80" t="s">
        <v>1391</v>
      </c>
      <c r="L112" s="18" t="s">
        <v>1392</v>
      </c>
      <c r="M112" s="41">
        <v>219900</v>
      </c>
      <c r="N112" s="30">
        <v>0.9</v>
      </c>
      <c r="O112" s="33">
        <f t="shared" si="1"/>
        <v>21989.999999999996</v>
      </c>
      <c r="P112" s="28" t="s">
        <v>0</v>
      </c>
    </row>
    <row r="113" spans="1:16" x14ac:dyDescent="0.3">
      <c r="A113" s="32" t="s">
        <v>3213</v>
      </c>
      <c r="B113" s="40">
        <v>46108</v>
      </c>
      <c r="C113" s="40">
        <v>46113</v>
      </c>
      <c r="D113" s="32">
        <v>3319</v>
      </c>
      <c r="E113" s="32">
        <v>327</v>
      </c>
      <c r="F113" s="32">
        <v>2</v>
      </c>
      <c r="G113" s="31">
        <v>1</v>
      </c>
      <c r="H113" s="31">
        <v>81433</v>
      </c>
      <c r="I113" s="31" t="s">
        <v>17</v>
      </c>
      <c r="J113" s="31">
        <v>81119768</v>
      </c>
      <c r="K113" s="80" t="s">
        <v>1391</v>
      </c>
      <c r="L113" s="18" t="s">
        <v>1393</v>
      </c>
      <c r="M113" s="41">
        <v>219900</v>
      </c>
      <c r="N113" s="30">
        <v>0.9</v>
      </c>
      <c r="O113" s="33">
        <f t="shared" si="1"/>
        <v>21989.999999999996</v>
      </c>
      <c r="P113" s="28" t="s">
        <v>0</v>
      </c>
    </row>
    <row r="114" spans="1:16" x14ac:dyDescent="0.3">
      <c r="A114" s="32" t="s">
        <v>3213</v>
      </c>
      <c r="B114" s="40">
        <v>46108</v>
      </c>
      <c r="C114" s="40">
        <v>46113</v>
      </c>
      <c r="D114" s="32">
        <v>3319</v>
      </c>
      <c r="E114" s="32">
        <v>327</v>
      </c>
      <c r="F114" s="32">
        <v>2</v>
      </c>
      <c r="G114" s="31">
        <v>1</v>
      </c>
      <c r="H114" s="31">
        <v>81433</v>
      </c>
      <c r="I114" s="31" t="s">
        <v>17</v>
      </c>
      <c r="J114" s="31">
        <v>81119777</v>
      </c>
      <c r="K114" s="80" t="s">
        <v>1391</v>
      </c>
      <c r="L114" s="18" t="s">
        <v>1394</v>
      </c>
      <c r="M114" s="41">
        <v>219900</v>
      </c>
      <c r="N114" s="30">
        <v>0.9</v>
      </c>
      <c r="O114" s="33">
        <f t="shared" si="1"/>
        <v>21989.999999999996</v>
      </c>
      <c r="P114" s="28" t="s">
        <v>0</v>
      </c>
    </row>
    <row r="115" spans="1:16" x14ac:dyDescent="0.3">
      <c r="A115" s="32" t="s">
        <v>3213</v>
      </c>
      <c r="B115" s="40">
        <v>46108</v>
      </c>
      <c r="C115" s="40">
        <v>46113</v>
      </c>
      <c r="D115" s="32">
        <v>3319</v>
      </c>
      <c r="E115" s="32">
        <v>327</v>
      </c>
      <c r="F115" s="32">
        <v>2</v>
      </c>
      <c r="G115" s="31">
        <v>1</v>
      </c>
      <c r="H115" s="31">
        <v>81433</v>
      </c>
      <c r="I115" s="31" t="s">
        <v>17</v>
      </c>
      <c r="J115" s="31">
        <v>81119786</v>
      </c>
      <c r="K115" s="80" t="s">
        <v>1391</v>
      </c>
      <c r="L115" s="18" t="s">
        <v>1395</v>
      </c>
      <c r="M115" s="41">
        <v>219900</v>
      </c>
      <c r="N115" s="30">
        <v>0.9</v>
      </c>
      <c r="O115" s="33">
        <f t="shared" si="1"/>
        <v>21989.999999999996</v>
      </c>
      <c r="P115" s="28" t="s">
        <v>0</v>
      </c>
    </row>
    <row r="116" spans="1:16" x14ac:dyDescent="0.3">
      <c r="A116" s="32" t="s">
        <v>3213</v>
      </c>
      <c r="B116" s="40">
        <v>46108</v>
      </c>
      <c r="C116" s="40">
        <v>46113</v>
      </c>
      <c r="D116" s="32">
        <v>3319</v>
      </c>
      <c r="E116" s="32">
        <v>327</v>
      </c>
      <c r="F116" s="32">
        <v>2</v>
      </c>
      <c r="G116" s="31">
        <v>1</v>
      </c>
      <c r="H116" s="31">
        <v>81433</v>
      </c>
      <c r="I116" s="31" t="s">
        <v>17</v>
      </c>
      <c r="J116" s="31">
        <v>81119795</v>
      </c>
      <c r="K116" s="80" t="s">
        <v>1391</v>
      </c>
      <c r="L116" s="18" t="s">
        <v>1396</v>
      </c>
      <c r="M116" s="41">
        <v>219900</v>
      </c>
      <c r="N116" s="30">
        <v>0.9</v>
      </c>
      <c r="O116" s="33">
        <f t="shared" si="1"/>
        <v>21989.999999999996</v>
      </c>
      <c r="P116" s="28" t="s">
        <v>0</v>
      </c>
    </row>
    <row r="117" spans="1:16" x14ac:dyDescent="0.3">
      <c r="A117" s="32" t="s">
        <v>3213</v>
      </c>
      <c r="B117" s="40">
        <v>46108</v>
      </c>
      <c r="C117" s="40">
        <v>46113</v>
      </c>
      <c r="D117" s="32">
        <v>3319</v>
      </c>
      <c r="E117" s="32">
        <v>327</v>
      </c>
      <c r="F117" s="32">
        <v>2</v>
      </c>
      <c r="G117" s="31">
        <v>1</v>
      </c>
      <c r="H117" s="31">
        <v>81433</v>
      </c>
      <c r="I117" s="31" t="s">
        <v>17</v>
      </c>
      <c r="J117" s="31">
        <v>81119802</v>
      </c>
      <c r="K117" s="80" t="s">
        <v>1391</v>
      </c>
      <c r="L117" s="18" t="s">
        <v>1397</v>
      </c>
      <c r="M117" s="41">
        <v>219900</v>
      </c>
      <c r="N117" s="30">
        <v>0.9</v>
      </c>
      <c r="O117" s="33">
        <f t="shared" si="1"/>
        <v>21989.999999999996</v>
      </c>
      <c r="P117" s="28" t="s">
        <v>0</v>
      </c>
    </row>
    <row r="118" spans="1:16" x14ac:dyDescent="0.3">
      <c r="A118" s="32" t="s">
        <v>3213</v>
      </c>
      <c r="B118" s="40">
        <v>46108</v>
      </c>
      <c r="C118" s="40">
        <v>46113</v>
      </c>
      <c r="D118" s="32">
        <v>3319</v>
      </c>
      <c r="E118" s="32">
        <v>327</v>
      </c>
      <c r="F118" s="32">
        <v>2</v>
      </c>
      <c r="G118" s="31">
        <v>1</v>
      </c>
      <c r="H118" s="31">
        <v>81433</v>
      </c>
      <c r="I118" s="31" t="s">
        <v>17</v>
      </c>
      <c r="J118" s="31">
        <v>81119811</v>
      </c>
      <c r="K118" s="80" t="s">
        <v>1391</v>
      </c>
      <c r="L118" s="18" t="s">
        <v>1398</v>
      </c>
      <c r="M118" s="41">
        <v>219900</v>
      </c>
      <c r="N118" s="30">
        <v>0.9</v>
      </c>
      <c r="O118" s="33">
        <f t="shared" si="1"/>
        <v>21989.999999999996</v>
      </c>
      <c r="P118" s="28" t="s">
        <v>0</v>
      </c>
    </row>
    <row r="119" spans="1:16" x14ac:dyDescent="0.3">
      <c r="A119" s="32" t="s">
        <v>3213</v>
      </c>
      <c r="B119" s="40">
        <v>46108</v>
      </c>
      <c r="C119" s="40">
        <v>46113</v>
      </c>
      <c r="D119" s="32">
        <v>3319</v>
      </c>
      <c r="E119" s="32">
        <v>327</v>
      </c>
      <c r="F119" s="32">
        <v>2</v>
      </c>
      <c r="G119" s="31">
        <v>1</v>
      </c>
      <c r="H119" s="31">
        <v>81433</v>
      </c>
      <c r="I119" s="31" t="s">
        <v>17</v>
      </c>
      <c r="J119" s="31">
        <v>81119820</v>
      </c>
      <c r="K119" s="80" t="s">
        <v>1391</v>
      </c>
      <c r="L119" s="18" t="s">
        <v>1399</v>
      </c>
      <c r="M119" s="41">
        <v>219900</v>
      </c>
      <c r="N119" s="30">
        <v>0.9</v>
      </c>
      <c r="O119" s="33">
        <f t="shared" si="1"/>
        <v>21989.999999999996</v>
      </c>
      <c r="P119" s="28" t="s">
        <v>0</v>
      </c>
    </row>
    <row r="120" spans="1:16" x14ac:dyDescent="0.3">
      <c r="A120" s="32" t="s">
        <v>3213</v>
      </c>
      <c r="B120" s="40">
        <v>46108</v>
      </c>
      <c r="C120" s="40">
        <v>46113</v>
      </c>
      <c r="D120" s="32">
        <v>3319</v>
      </c>
      <c r="E120" s="32">
        <v>327</v>
      </c>
      <c r="F120" s="32">
        <v>2</v>
      </c>
      <c r="G120" s="31">
        <v>1</v>
      </c>
      <c r="H120" s="31">
        <v>81433</v>
      </c>
      <c r="I120" s="31" t="s">
        <v>17</v>
      </c>
      <c r="J120" s="31">
        <v>81119839</v>
      </c>
      <c r="K120" s="80" t="s">
        <v>1391</v>
      </c>
      <c r="L120" s="18" t="s">
        <v>1400</v>
      </c>
      <c r="M120" s="41">
        <v>219900</v>
      </c>
      <c r="N120" s="30">
        <v>0.9</v>
      </c>
      <c r="O120" s="33">
        <f t="shared" si="1"/>
        <v>21989.999999999996</v>
      </c>
      <c r="P120" s="28" t="s">
        <v>0</v>
      </c>
    </row>
    <row r="121" spans="1:16" x14ac:dyDescent="0.3">
      <c r="A121" s="32" t="s">
        <v>3213</v>
      </c>
      <c r="B121" s="40">
        <v>46108</v>
      </c>
      <c r="C121" s="40">
        <v>46113</v>
      </c>
      <c r="D121" s="32">
        <v>3319</v>
      </c>
      <c r="E121" s="32">
        <v>327</v>
      </c>
      <c r="F121" s="32">
        <v>2</v>
      </c>
      <c r="G121" s="31">
        <v>1</v>
      </c>
      <c r="H121" s="31">
        <v>81433</v>
      </c>
      <c r="I121" s="31" t="s">
        <v>17</v>
      </c>
      <c r="J121" s="31">
        <v>81119848</v>
      </c>
      <c r="K121" s="80" t="s">
        <v>1391</v>
      </c>
      <c r="L121" s="18" t="s">
        <v>1401</v>
      </c>
      <c r="M121" s="41">
        <v>219900</v>
      </c>
      <c r="N121" s="30">
        <v>0.9</v>
      </c>
      <c r="O121" s="33">
        <f t="shared" si="1"/>
        <v>21989.999999999996</v>
      </c>
      <c r="P121" s="28" t="s">
        <v>0</v>
      </c>
    </row>
    <row r="122" spans="1:16" x14ac:dyDescent="0.3">
      <c r="A122" s="32" t="s">
        <v>3213</v>
      </c>
      <c r="B122" s="40">
        <v>46108</v>
      </c>
      <c r="C122" s="40">
        <v>46113</v>
      </c>
      <c r="D122" s="32">
        <v>3319</v>
      </c>
      <c r="E122" s="32">
        <v>327</v>
      </c>
      <c r="F122" s="32">
        <v>2</v>
      </c>
      <c r="G122" s="31">
        <v>1</v>
      </c>
      <c r="H122" s="31">
        <v>81433</v>
      </c>
      <c r="I122" s="31" t="s">
        <v>17</v>
      </c>
      <c r="J122" s="31">
        <v>66162258</v>
      </c>
      <c r="K122" s="80" t="s">
        <v>1402</v>
      </c>
      <c r="L122" s="18" t="s">
        <v>1403</v>
      </c>
      <c r="M122" s="41">
        <v>259900</v>
      </c>
      <c r="N122" s="30">
        <v>0.9</v>
      </c>
      <c r="O122" s="33">
        <f t="shared" si="1"/>
        <v>25989.999999999993</v>
      </c>
      <c r="P122" s="28" t="s">
        <v>0</v>
      </c>
    </row>
    <row r="123" spans="1:16" x14ac:dyDescent="0.3">
      <c r="A123" s="32" t="s">
        <v>3213</v>
      </c>
      <c r="B123" s="40">
        <v>46108</v>
      </c>
      <c r="C123" s="40">
        <v>46113</v>
      </c>
      <c r="D123" s="32">
        <v>3319</v>
      </c>
      <c r="E123" s="32">
        <v>327</v>
      </c>
      <c r="F123" s="32">
        <v>2</v>
      </c>
      <c r="G123" s="31">
        <v>1</v>
      </c>
      <c r="H123" s="31">
        <v>81433</v>
      </c>
      <c r="I123" s="31" t="s">
        <v>17</v>
      </c>
      <c r="J123" s="31">
        <v>66162267</v>
      </c>
      <c r="K123" s="80" t="s">
        <v>1402</v>
      </c>
      <c r="L123" s="18" t="s">
        <v>1404</v>
      </c>
      <c r="M123" s="41">
        <v>259900</v>
      </c>
      <c r="N123" s="30">
        <v>0.9</v>
      </c>
      <c r="O123" s="33">
        <f t="shared" si="1"/>
        <v>25989.999999999993</v>
      </c>
      <c r="P123" s="28" t="s">
        <v>0</v>
      </c>
    </row>
    <row r="124" spans="1:16" x14ac:dyDescent="0.3">
      <c r="A124" s="32" t="s">
        <v>3213</v>
      </c>
      <c r="B124" s="40">
        <v>46108</v>
      </c>
      <c r="C124" s="40">
        <v>46113</v>
      </c>
      <c r="D124" s="32">
        <v>3319</v>
      </c>
      <c r="E124" s="32">
        <v>327</v>
      </c>
      <c r="F124" s="32">
        <v>2</v>
      </c>
      <c r="G124" s="31">
        <v>1</v>
      </c>
      <c r="H124" s="31">
        <v>81433</v>
      </c>
      <c r="I124" s="31" t="s">
        <v>17</v>
      </c>
      <c r="J124" s="31">
        <v>66162276</v>
      </c>
      <c r="K124" s="80" t="s">
        <v>1402</v>
      </c>
      <c r="L124" s="18" t="s">
        <v>1405</v>
      </c>
      <c r="M124" s="41">
        <v>259900</v>
      </c>
      <c r="N124" s="30">
        <v>0.9</v>
      </c>
      <c r="O124" s="33">
        <f t="shared" si="1"/>
        <v>25989.999999999993</v>
      </c>
      <c r="P124" s="28" t="s">
        <v>0</v>
      </c>
    </row>
    <row r="125" spans="1:16" x14ac:dyDescent="0.3">
      <c r="A125" s="32" t="s">
        <v>3213</v>
      </c>
      <c r="B125" s="40">
        <v>46108</v>
      </c>
      <c r="C125" s="40">
        <v>46113</v>
      </c>
      <c r="D125" s="32">
        <v>3319</v>
      </c>
      <c r="E125" s="32">
        <v>327</v>
      </c>
      <c r="F125" s="32">
        <v>2</v>
      </c>
      <c r="G125" s="31">
        <v>1</v>
      </c>
      <c r="H125" s="31">
        <v>81433</v>
      </c>
      <c r="I125" s="31" t="s">
        <v>17</v>
      </c>
      <c r="J125" s="31">
        <v>66162294</v>
      </c>
      <c r="K125" s="80" t="s">
        <v>1402</v>
      </c>
      <c r="L125" s="18" t="s">
        <v>1406</v>
      </c>
      <c r="M125" s="41">
        <v>259900</v>
      </c>
      <c r="N125" s="30">
        <v>0.9</v>
      </c>
      <c r="O125" s="33">
        <f t="shared" si="1"/>
        <v>25989.999999999993</v>
      </c>
      <c r="P125" s="28" t="s">
        <v>0</v>
      </c>
    </row>
    <row r="126" spans="1:16" x14ac:dyDescent="0.3">
      <c r="A126" s="32" t="s">
        <v>3213</v>
      </c>
      <c r="B126" s="40">
        <v>46108</v>
      </c>
      <c r="C126" s="40">
        <v>46113</v>
      </c>
      <c r="D126" s="32">
        <v>3319</v>
      </c>
      <c r="E126" s="32">
        <v>327</v>
      </c>
      <c r="F126" s="32">
        <v>2</v>
      </c>
      <c r="G126" s="31">
        <v>1</v>
      </c>
      <c r="H126" s="31">
        <v>81433</v>
      </c>
      <c r="I126" s="31" t="s">
        <v>17</v>
      </c>
      <c r="J126" s="31">
        <v>66146525</v>
      </c>
      <c r="K126" s="80" t="s">
        <v>1407</v>
      </c>
      <c r="L126" s="18" t="s">
        <v>1408</v>
      </c>
      <c r="M126" s="41">
        <v>259900</v>
      </c>
      <c r="N126" s="30">
        <v>0.9</v>
      </c>
      <c r="O126" s="33">
        <f t="shared" si="1"/>
        <v>25989.999999999993</v>
      </c>
      <c r="P126" s="28" t="s">
        <v>0</v>
      </c>
    </row>
    <row r="127" spans="1:16" x14ac:dyDescent="0.3">
      <c r="A127" s="32" t="s">
        <v>3213</v>
      </c>
      <c r="B127" s="40">
        <v>46108</v>
      </c>
      <c r="C127" s="40">
        <v>46113</v>
      </c>
      <c r="D127" s="32">
        <v>3319</v>
      </c>
      <c r="E127" s="32">
        <v>327</v>
      </c>
      <c r="F127" s="32">
        <v>2</v>
      </c>
      <c r="G127" s="31">
        <v>1</v>
      </c>
      <c r="H127" s="31">
        <v>81433</v>
      </c>
      <c r="I127" s="31" t="s">
        <v>17</v>
      </c>
      <c r="J127" s="31">
        <v>66146507</v>
      </c>
      <c r="K127" s="80" t="s">
        <v>1407</v>
      </c>
      <c r="L127" s="18" t="s">
        <v>1409</v>
      </c>
      <c r="M127" s="41">
        <v>259900</v>
      </c>
      <c r="N127" s="30">
        <v>0.9</v>
      </c>
      <c r="O127" s="33">
        <f t="shared" si="1"/>
        <v>25989.999999999993</v>
      </c>
      <c r="P127" s="28" t="s">
        <v>0</v>
      </c>
    </row>
    <row r="128" spans="1:16" x14ac:dyDescent="0.3">
      <c r="A128" s="32" t="s">
        <v>3213</v>
      </c>
      <c r="B128" s="40">
        <v>46108</v>
      </c>
      <c r="C128" s="40">
        <v>46113</v>
      </c>
      <c r="D128" s="32">
        <v>3319</v>
      </c>
      <c r="E128" s="32">
        <v>327</v>
      </c>
      <c r="F128" s="32">
        <v>2</v>
      </c>
      <c r="G128" s="31">
        <v>1</v>
      </c>
      <c r="H128" s="31">
        <v>81433</v>
      </c>
      <c r="I128" s="31" t="s">
        <v>17</v>
      </c>
      <c r="J128" s="31">
        <v>66146516</v>
      </c>
      <c r="K128" s="80" t="s">
        <v>1407</v>
      </c>
      <c r="L128" s="18" t="s">
        <v>1410</v>
      </c>
      <c r="M128" s="41">
        <v>259900</v>
      </c>
      <c r="N128" s="30">
        <v>0.9</v>
      </c>
      <c r="O128" s="33">
        <f t="shared" si="1"/>
        <v>25989.999999999993</v>
      </c>
      <c r="P128" s="28" t="s">
        <v>0</v>
      </c>
    </row>
    <row r="129" spans="1:16" x14ac:dyDescent="0.3">
      <c r="A129" s="32" t="s">
        <v>3213</v>
      </c>
      <c r="B129" s="40">
        <v>46108</v>
      </c>
      <c r="C129" s="40">
        <v>46113</v>
      </c>
      <c r="D129" s="32">
        <v>3319</v>
      </c>
      <c r="E129" s="32">
        <v>327</v>
      </c>
      <c r="F129" s="32">
        <v>2</v>
      </c>
      <c r="G129" s="31">
        <v>1</v>
      </c>
      <c r="H129" s="31">
        <v>81433</v>
      </c>
      <c r="I129" s="31" t="s">
        <v>17</v>
      </c>
      <c r="J129" s="31">
        <v>66146490</v>
      </c>
      <c r="K129" s="80" t="s">
        <v>1407</v>
      </c>
      <c r="L129" s="18" t="s">
        <v>1411</v>
      </c>
      <c r="M129" s="41">
        <v>259900</v>
      </c>
      <c r="N129" s="30">
        <v>0.9</v>
      </c>
      <c r="O129" s="33">
        <f t="shared" si="1"/>
        <v>25989.999999999993</v>
      </c>
      <c r="P129" s="28" t="s">
        <v>0</v>
      </c>
    </row>
    <row r="130" spans="1:16" x14ac:dyDescent="0.3">
      <c r="A130" s="32" t="s">
        <v>3213</v>
      </c>
      <c r="B130" s="40">
        <v>46108</v>
      </c>
      <c r="C130" s="40">
        <v>46113</v>
      </c>
      <c r="D130" s="32">
        <v>3319</v>
      </c>
      <c r="E130" s="32">
        <v>327</v>
      </c>
      <c r="F130" s="32">
        <v>2</v>
      </c>
      <c r="G130" s="31">
        <v>1</v>
      </c>
      <c r="H130" s="31">
        <v>81433</v>
      </c>
      <c r="I130" s="31" t="s">
        <v>17</v>
      </c>
      <c r="J130" s="31">
        <v>66651470</v>
      </c>
      <c r="K130" s="80" t="s">
        <v>18</v>
      </c>
      <c r="L130" s="18" t="s">
        <v>1412</v>
      </c>
      <c r="M130" s="41">
        <v>239900</v>
      </c>
      <c r="N130" s="30">
        <v>0.9</v>
      </c>
      <c r="O130" s="33">
        <f t="shared" ref="O130:O193" si="2">M130*(1-N130)</f>
        <v>23989.999999999996</v>
      </c>
      <c r="P130" s="28" t="s">
        <v>0</v>
      </c>
    </row>
    <row r="131" spans="1:16" x14ac:dyDescent="0.3">
      <c r="A131" s="32" t="s">
        <v>3213</v>
      </c>
      <c r="B131" s="40">
        <v>46108</v>
      </c>
      <c r="C131" s="40">
        <v>46113</v>
      </c>
      <c r="D131" s="32">
        <v>3319</v>
      </c>
      <c r="E131" s="32">
        <v>327</v>
      </c>
      <c r="F131" s="32">
        <v>2</v>
      </c>
      <c r="G131" s="31">
        <v>1</v>
      </c>
      <c r="H131" s="31">
        <v>81433</v>
      </c>
      <c r="I131" s="31" t="s">
        <v>17</v>
      </c>
      <c r="J131" s="31">
        <v>66651452</v>
      </c>
      <c r="K131" s="80" t="s">
        <v>18</v>
      </c>
      <c r="L131" s="18" t="s">
        <v>1413</v>
      </c>
      <c r="M131" s="41">
        <v>239900</v>
      </c>
      <c r="N131" s="30">
        <v>0.9</v>
      </c>
      <c r="O131" s="33">
        <f t="shared" si="2"/>
        <v>23989.999999999996</v>
      </c>
      <c r="P131" s="28" t="s">
        <v>0</v>
      </c>
    </row>
    <row r="132" spans="1:16" x14ac:dyDescent="0.3">
      <c r="A132" s="32" t="s">
        <v>3213</v>
      </c>
      <c r="B132" s="40">
        <v>46108</v>
      </c>
      <c r="C132" s="40">
        <v>46113</v>
      </c>
      <c r="D132" s="32">
        <v>3319</v>
      </c>
      <c r="E132" s="32">
        <v>327</v>
      </c>
      <c r="F132" s="32">
        <v>2</v>
      </c>
      <c r="G132" s="31">
        <v>1</v>
      </c>
      <c r="H132" s="31">
        <v>81433</v>
      </c>
      <c r="I132" s="31" t="s">
        <v>17</v>
      </c>
      <c r="J132" s="31">
        <v>67293776</v>
      </c>
      <c r="K132" s="80" t="s">
        <v>31</v>
      </c>
      <c r="L132" s="18" t="s">
        <v>1414</v>
      </c>
      <c r="M132" s="41">
        <v>259900</v>
      </c>
      <c r="N132" s="30">
        <v>0.9</v>
      </c>
      <c r="O132" s="33">
        <f t="shared" si="2"/>
        <v>25989.999999999993</v>
      </c>
      <c r="P132" s="28" t="s">
        <v>0</v>
      </c>
    </row>
    <row r="133" spans="1:16" x14ac:dyDescent="0.3">
      <c r="A133" s="32" t="s">
        <v>3213</v>
      </c>
      <c r="B133" s="40">
        <v>46108</v>
      </c>
      <c r="C133" s="40">
        <v>46113</v>
      </c>
      <c r="D133" s="32">
        <v>3319</v>
      </c>
      <c r="E133" s="32">
        <v>327</v>
      </c>
      <c r="F133" s="32">
        <v>2</v>
      </c>
      <c r="G133" s="31">
        <v>1</v>
      </c>
      <c r="H133" s="31">
        <v>81433</v>
      </c>
      <c r="I133" s="31" t="s">
        <v>17</v>
      </c>
      <c r="J133" s="31">
        <v>67293785</v>
      </c>
      <c r="K133" s="80" t="s">
        <v>31</v>
      </c>
      <c r="L133" s="18" t="s">
        <v>1415</v>
      </c>
      <c r="M133" s="41">
        <v>259900</v>
      </c>
      <c r="N133" s="30">
        <v>0.9</v>
      </c>
      <c r="O133" s="33">
        <f t="shared" si="2"/>
        <v>25989.999999999993</v>
      </c>
      <c r="P133" s="28" t="s">
        <v>0</v>
      </c>
    </row>
    <row r="134" spans="1:16" x14ac:dyDescent="0.3">
      <c r="A134" s="32" t="s">
        <v>3213</v>
      </c>
      <c r="B134" s="40">
        <v>46108</v>
      </c>
      <c r="C134" s="40">
        <v>46113</v>
      </c>
      <c r="D134" s="32">
        <v>3319</v>
      </c>
      <c r="E134" s="32">
        <v>327</v>
      </c>
      <c r="F134" s="32">
        <v>2</v>
      </c>
      <c r="G134" s="31">
        <v>1</v>
      </c>
      <c r="H134" s="31">
        <v>81433</v>
      </c>
      <c r="I134" s="31" t="s">
        <v>17</v>
      </c>
      <c r="J134" s="31">
        <v>67293810</v>
      </c>
      <c r="K134" s="80" t="s">
        <v>31</v>
      </c>
      <c r="L134" s="18" t="s">
        <v>1416</v>
      </c>
      <c r="M134" s="41">
        <v>259900</v>
      </c>
      <c r="N134" s="30">
        <v>0.9</v>
      </c>
      <c r="O134" s="33">
        <f t="shared" si="2"/>
        <v>25989.999999999993</v>
      </c>
      <c r="P134" s="28" t="s">
        <v>0</v>
      </c>
    </row>
    <row r="135" spans="1:16" x14ac:dyDescent="0.3">
      <c r="A135" s="32" t="s">
        <v>3213</v>
      </c>
      <c r="B135" s="40">
        <v>46108</v>
      </c>
      <c r="C135" s="40">
        <v>46113</v>
      </c>
      <c r="D135" s="32">
        <v>3319</v>
      </c>
      <c r="E135" s="32">
        <v>327</v>
      </c>
      <c r="F135" s="32">
        <v>2</v>
      </c>
      <c r="G135" s="31">
        <v>1</v>
      </c>
      <c r="H135" s="31">
        <v>81433</v>
      </c>
      <c r="I135" s="31" t="s">
        <v>17</v>
      </c>
      <c r="J135" s="31">
        <v>66651443</v>
      </c>
      <c r="K135" s="80" t="s">
        <v>18</v>
      </c>
      <c r="L135" s="18" t="s">
        <v>1417</v>
      </c>
      <c r="M135" s="41">
        <v>239900</v>
      </c>
      <c r="N135" s="30">
        <v>0.9</v>
      </c>
      <c r="O135" s="33">
        <f t="shared" si="2"/>
        <v>23989.999999999996</v>
      </c>
      <c r="P135" s="28" t="s">
        <v>0</v>
      </c>
    </row>
    <row r="136" spans="1:16" x14ac:dyDescent="0.3">
      <c r="A136" s="32" t="s">
        <v>3213</v>
      </c>
      <c r="B136" s="40">
        <v>46108</v>
      </c>
      <c r="C136" s="40">
        <v>46113</v>
      </c>
      <c r="D136" s="32">
        <v>3319</v>
      </c>
      <c r="E136" s="32">
        <v>327</v>
      </c>
      <c r="F136" s="32">
        <v>2</v>
      </c>
      <c r="G136" s="31">
        <v>1</v>
      </c>
      <c r="H136" s="31">
        <v>81433</v>
      </c>
      <c r="I136" s="31" t="s">
        <v>17</v>
      </c>
      <c r="J136" s="31">
        <v>66651461</v>
      </c>
      <c r="K136" s="80" t="s">
        <v>18</v>
      </c>
      <c r="L136" s="18" t="s">
        <v>1418</v>
      </c>
      <c r="M136" s="41">
        <v>239900</v>
      </c>
      <c r="N136" s="30">
        <v>0.9</v>
      </c>
      <c r="O136" s="33">
        <f t="shared" si="2"/>
        <v>23989.999999999996</v>
      </c>
      <c r="P136" s="28" t="s">
        <v>0</v>
      </c>
    </row>
    <row r="137" spans="1:16" x14ac:dyDescent="0.3">
      <c r="A137" s="32" t="s">
        <v>3213</v>
      </c>
      <c r="B137" s="40">
        <v>46108</v>
      </c>
      <c r="C137" s="40">
        <v>46113</v>
      </c>
      <c r="D137" s="32">
        <v>3319</v>
      </c>
      <c r="E137" s="32">
        <v>327</v>
      </c>
      <c r="F137" s="32">
        <v>2</v>
      </c>
      <c r="G137" s="31">
        <v>1</v>
      </c>
      <c r="H137" s="31">
        <v>81433</v>
      </c>
      <c r="I137" s="31" t="s">
        <v>17</v>
      </c>
      <c r="J137" s="31">
        <v>66651489</v>
      </c>
      <c r="K137" s="80" t="s">
        <v>18</v>
      </c>
      <c r="L137" s="18" t="s">
        <v>1419</v>
      </c>
      <c r="M137" s="41">
        <v>239900</v>
      </c>
      <c r="N137" s="30">
        <v>0.9</v>
      </c>
      <c r="O137" s="33">
        <f t="shared" si="2"/>
        <v>23989.999999999996</v>
      </c>
      <c r="P137" s="28" t="s">
        <v>0</v>
      </c>
    </row>
    <row r="138" spans="1:16" x14ac:dyDescent="0.3">
      <c r="A138" s="32" t="s">
        <v>3213</v>
      </c>
      <c r="B138" s="40">
        <v>46108</v>
      </c>
      <c r="C138" s="40">
        <v>46113</v>
      </c>
      <c r="D138" s="32">
        <v>3319</v>
      </c>
      <c r="E138" s="32">
        <v>327</v>
      </c>
      <c r="F138" s="32">
        <v>2</v>
      </c>
      <c r="G138" s="31">
        <v>1</v>
      </c>
      <c r="H138" s="31">
        <v>81433</v>
      </c>
      <c r="I138" s="31" t="s">
        <v>17</v>
      </c>
      <c r="J138" s="31">
        <v>66146534</v>
      </c>
      <c r="K138" s="80" t="s">
        <v>1407</v>
      </c>
      <c r="L138" s="18" t="s">
        <v>1420</v>
      </c>
      <c r="M138" s="41">
        <v>259900</v>
      </c>
      <c r="N138" s="30">
        <v>0.9</v>
      </c>
      <c r="O138" s="33">
        <f t="shared" si="2"/>
        <v>25989.999999999993</v>
      </c>
      <c r="P138" s="28" t="s">
        <v>0</v>
      </c>
    </row>
    <row r="139" spans="1:16" x14ac:dyDescent="0.3">
      <c r="A139" s="32" t="s">
        <v>3213</v>
      </c>
      <c r="B139" s="40">
        <v>46108</v>
      </c>
      <c r="C139" s="40">
        <v>46113</v>
      </c>
      <c r="D139" s="32">
        <v>3319</v>
      </c>
      <c r="E139" s="32">
        <v>327</v>
      </c>
      <c r="F139" s="32">
        <v>2</v>
      </c>
      <c r="G139" s="31">
        <v>1</v>
      </c>
      <c r="H139" s="31">
        <v>81433</v>
      </c>
      <c r="I139" s="31" t="s">
        <v>17</v>
      </c>
      <c r="J139" s="31">
        <v>66162285</v>
      </c>
      <c r="K139" s="80" t="s">
        <v>1402</v>
      </c>
      <c r="L139" s="18" t="s">
        <v>1421</v>
      </c>
      <c r="M139" s="41">
        <v>259900</v>
      </c>
      <c r="N139" s="30">
        <v>0.9</v>
      </c>
      <c r="O139" s="33">
        <f t="shared" si="2"/>
        <v>25989.999999999993</v>
      </c>
      <c r="P139" s="28" t="s">
        <v>0</v>
      </c>
    </row>
    <row r="140" spans="1:16" x14ac:dyDescent="0.3">
      <c r="A140" s="32" t="s">
        <v>3213</v>
      </c>
      <c r="B140" s="40">
        <v>46108</v>
      </c>
      <c r="C140" s="40">
        <v>46113</v>
      </c>
      <c r="D140" s="32">
        <v>3319</v>
      </c>
      <c r="E140" s="32">
        <v>327</v>
      </c>
      <c r="F140" s="32">
        <v>2</v>
      </c>
      <c r="G140" s="31">
        <v>1</v>
      </c>
      <c r="H140" s="31">
        <v>81433</v>
      </c>
      <c r="I140" s="31" t="s">
        <v>17</v>
      </c>
      <c r="J140" s="31">
        <v>67293794</v>
      </c>
      <c r="K140" s="80" t="s">
        <v>31</v>
      </c>
      <c r="L140" s="18" t="s">
        <v>1422</v>
      </c>
      <c r="M140" s="41">
        <v>259900</v>
      </c>
      <c r="N140" s="30">
        <v>0.9</v>
      </c>
      <c r="O140" s="33">
        <f t="shared" si="2"/>
        <v>25989.999999999993</v>
      </c>
      <c r="P140" s="28" t="s">
        <v>0</v>
      </c>
    </row>
    <row r="141" spans="1:16" x14ac:dyDescent="0.3">
      <c r="A141" s="32" t="s">
        <v>3213</v>
      </c>
      <c r="B141" s="40">
        <v>46108</v>
      </c>
      <c r="C141" s="40">
        <v>46113</v>
      </c>
      <c r="D141" s="32">
        <v>3319</v>
      </c>
      <c r="E141" s="32">
        <v>327</v>
      </c>
      <c r="F141" s="32">
        <v>2</v>
      </c>
      <c r="G141" s="31">
        <v>1</v>
      </c>
      <c r="H141" s="31">
        <v>81433</v>
      </c>
      <c r="I141" s="31" t="s">
        <v>17</v>
      </c>
      <c r="J141" s="31">
        <v>67293801</v>
      </c>
      <c r="K141" s="80" t="s">
        <v>31</v>
      </c>
      <c r="L141" s="18" t="s">
        <v>1423</v>
      </c>
      <c r="M141" s="41">
        <v>259900</v>
      </c>
      <c r="N141" s="30">
        <v>0.9</v>
      </c>
      <c r="O141" s="33">
        <f t="shared" si="2"/>
        <v>25989.999999999993</v>
      </c>
      <c r="P141" s="28" t="s">
        <v>0</v>
      </c>
    </row>
    <row r="142" spans="1:16" x14ac:dyDescent="0.3">
      <c r="A142" s="32" t="s">
        <v>3213</v>
      </c>
      <c r="B142" s="40">
        <v>46108</v>
      </c>
      <c r="C142" s="40">
        <v>46113</v>
      </c>
      <c r="D142" s="32">
        <v>3319</v>
      </c>
      <c r="E142" s="32">
        <v>327</v>
      </c>
      <c r="F142" s="32">
        <v>2</v>
      </c>
      <c r="G142" s="31">
        <v>1</v>
      </c>
      <c r="H142" s="31">
        <v>81433</v>
      </c>
      <c r="I142" s="31" t="s">
        <v>17</v>
      </c>
      <c r="J142" s="31">
        <v>80040380</v>
      </c>
      <c r="K142" s="80" t="s">
        <v>1424</v>
      </c>
      <c r="L142" s="18" t="s">
        <v>1425</v>
      </c>
      <c r="M142" s="41">
        <v>259900</v>
      </c>
      <c r="N142" s="30">
        <v>0.9</v>
      </c>
      <c r="O142" s="33">
        <f t="shared" si="2"/>
        <v>25989.999999999993</v>
      </c>
      <c r="P142" s="28" t="s">
        <v>0</v>
      </c>
    </row>
    <row r="143" spans="1:16" x14ac:dyDescent="0.3">
      <c r="A143" s="32" t="s">
        <v>3213</v>
      </c>
      <c r="B143" s="40">
        <v>46108</v>
      </c>
      <c r="C143" s="40">
        <v>46113</v>
      </c>
      <c r="D143" s="32">
        <v>3319</v>
      </c>
      <c r="E143" s="32">
        <v>327</v>
      </c>
      <c r="F143" s="32">
        <v>2</v>
      </c>
      <c r="G143" s="31">
        <v>1</v>
      </c>
      <c r="H143" s="31">
        <v>81433</v>
      </c>
      <c r="I143" s="31" t="s">
        <v>17</v>
      </c>
      <c r="J143" s="31">
        <v>80040291</v>
      </c>
      <c r="K143" s="80" t="s">
        <v>1424</v>
      </c>
      <c r="L143" s="18" t="s">
        <v>1426</v>
      </c>
      <c r="M143" s="41">
        <v>259900</v>
      </c>
      <c r="N143" s="30">
        <v>0.9</v>
      </c>
      <c r="O143" s="33">
        <f t="shared" si="2"/>
        <v>25989.999999999993</v>
      </c>
      <c r="P143" s="28" t="s">
        <v>0</v>
      </c>
    </row>
    <row r="144" spans="1:16" x14ac:dyDescent="0.3">
      <c r="A144" s="32" t="s">
        <v>3213</v>
      </c>
      <c r="B144" s="40">
        <v>46108</v>
      </c>
      <c r="C144" s="40">
        <v>46113</v>
      </c>
      <c r="D144" s="32">
        <v>3319</v>
      </c>
      <c r="E144" s="32">
        <v>327</v>
      </c>
      <c r="F144" s="32">
        <v>2</v>
      </c>
      <c r="G144" s="31">
        <v>1</v>
      </c>
      <c r="H144" s="31">
        <v>81433</v>
      </c>
      <c r="I144" s="31" t="s">
        <v>17</v>
      </c>
      <c r="J144" s="31">
        <v>80040308</v>
      </c>
      <c r="K144" s="80" t="s">
        <v>1424</v>
      </c>
      <c r="L144" s="18" t="s">
        <v>1427</v>
      </c>
      <c r="M144" s="41">
        <v>259900</v>
      </c>
      <c r="N144" s="30">
        <v>0.9</v>
      </c>
      <c r="O144" s="33">
        <f t="shared" si="2"/>
        <v>25989.999999999993</v>
      </c>
      <c r="P144" s="28" t="s">
        <v>0</v>
      </c>
    </row>
    <row r="145" spans="1:16" x14ac:dyDescent="0.3">
      <c r="A145" s="32" t="s">
        <v>3213</v>
      </c>
      <c r="B145" s="40">
        <v>46108</v>
      </c>
      <c r="C145" s="40">
        <v>46113</v>
      </c>
      <c r="D145" s="32">
        <v>3319</v>
      </c>
      <c r="E145" s="32">
        <v>327</v>
      </c>
      <c r="F145" s="32">
        <v>2</v>
      </c>
      <c r="G145" s="31">
        <v>1</v>
      </c>
      <c r="H145" s="31">
        <v>81433</v>
      </c>
      <c r="I145" s="31" t="s">
        <v>17</v>
      </c>
      <c r="J145" s="31">
        <v>80040317</v>
      </c>
      <c r="K145" s="80" t="s">
        <v>1424</v>
      </c>
      <c r="L145" s="18" t="s">
        <v>1428</v>
      </c>
      <c r="M145" s="41">
        <v>259900</v>
      </c>
      <c r="N145" s="30">
        <v>0.9</v>
      </c>
      <c r="O145" s="33">
        <f t="shared" si="2"/>
        <v>25989.999999999993</v>
      </c>
      <c r="P145" s="28" t="s">
        <v>0</v>
      </c>
    </row>
    <row r="146" spans="1:16" x14ac:dyDescent="0.3">
      <c r="A146" s="32" t="s">
        <v>3213</v>
      </c>
      <c r="B146" s="40">
        <v>46108</v>
      </c>
      <c r="C146" s="40">
        <v>46113</v>
      </c>
      <c r="D146" s="32">
        <v>3319</v>
      </c>
      <c r="E146" s="32">
        <v>327</v>
      </c>
      <c r="F146" s="32">
        <v>2</v>
      </c>
      <c r="G146" s="31">
        <v>1</v>
      </c>
      <c r="H146" s="31">
        <v>81433</v>
      </c>
      <c r="I146" s="31" t="s">
        <v>17</v>
      </c>
      <c r="J146" s="31">
        <v>80040326</v>
      </c>
      <c r="K146" s="80" t="s">
        <v>1424</v>
      </c>
      <c r="L146" s="18" t="s">
        <v>1429</v>
      </c>
      <c r="M146" s="41">
        <v>259900</v>
      </c>
      <c r="N146" s="30">
        <v>0.9</v>
      </c>
      <c r="O146" s="33">
        <f t="shared" si="2"/>
        <v>25989.999999999993</v>
      </c>
      <c r="P146" s="28" t="s">
        <v>0</v>
      </c>
    </row>
    <row r="147" spans="1:16" x14ac:dyDescent="0.3">
      <c r="A147" s="32" t="s">
        <v>3213</v>
      </c>
      <c r="B147" s="40">
        <v>46108</v>
      </c>
      <c r="C147" s="40">
        <v>46113</v>
      </c>
      <c r="D147" s="32">
        <v>3319</v>
      </c>
      <c r="E147" s="32">
        <v>327</v>
      </c>
      <c r="F147" s="32">
        <v>2</v>
      </c>
      <c r="G147" s="31">
        <v>1</v>
      </c>
      <c r="H147" s="31">
        <v>81433</v>
      </c>
      <c r="I147" s="31" t="s">
        <v>17</v>
      </c>
      <c r="J147" s="31">
        <v>80040335</v>
      </c>
      <c r="K147" s="80" t="s">
        <v>1424</v>
      </c>
      <c r="L147" s="18" t="s">
        <v>1430</v>
      </c>
      <c r="M147" s="41">
        <v>259900</v>
      </c>
      <c r="N147" s="30">
        <v>0.9</v>
      </c>
      <c r="O147" s="33">
        <f t="shared" si="2"/>
        <v>25989.999999999993</v>
      </c>
      <c r="P147" s="28" t="s">
        <v>0</v>
      </c>
    </row>
    <row r="148" spans="1:16" x14ac:dyDescent="0.3">
      <c r="A148" s="32" t="s">
        <v>3213</v>
      </c>
      <c r="B148" s="40">
        <v>46108</v>
      </c>
      <c r="C148" s="40">
        <v>46113</v>
      </c>
      <c r="D148" s="32">
        <v>3319</v>
      </c>
      <c r="E148" s="32">
        <v>327</v>
      </c>
      <c r="F148" s="32">
        <v>2</v>
      </c>
      <c r="G148" s="31">
        <v>1</v>
      </c>
      <c r="H148" s="31">
        <v>81433</v>
      </c>
      <c r="I148" s="31" t="s">
        <v>17</v>
      </c>
      <c r="J148" s="31">
        <v>80040344</v>
      </c>
      <c r="K148" s="80" t="s">
        <v>1424</v>
      </c>
      <c r="L148" s="18" t="s">
        <v>1431</v>
      </c>
      <c r="M148" s="41">
        <v>259900</v>
      </c>
      <c r="N148" s="30">
        <v>0.9</v>
      </c>
      <c r="O148" s="33">
        <f t="shared" si="2"/>
        <v>25989.999999999993</v>
      </c>
      <c r="P148" s="28" t="s">
        <v>0</v>
      </c>
    </row>
    <row r="149" spans="1:16" x14ac:dyDescent="0.3">
      <c r="A149" s="32" t="s">
        <v>3213</v>
      </c>
      <c r="B149" s="40">
        <v>46108</v>
      </c>
      <c r="C149" s="40">
        <v>46113</v>
      </c>
      <c r="D149" s="32">
        <v>3319</v>
      </c>
      <c r="E149" s="32">
        <v>327</v>
      </c>
      <c r="F149" s="32">
        <v>2</v>
      </c>
      <c r="G149" s="31">
        <v>1</v>
      </c>
      <c r="H149" s="31">
        <v>81433</v>
      </c>
      <c r="I149" s="31" t="s">
        <v>17</v>
      </c>
      <c r="J149" s="31">
        <v>80040362</v>
      </c>
      <c r="K149" s="80" t="s">
        <v>1424</v>
      </c>
      <c r="L149" s="18" t="s">
        <v>1432</v>
      </c>
      <c r="M149" s="41">
        <v>259900</v>
      </c>
      <c r="N149" s="30">
        <v>0.9</v>
      </c>
      <c r="O149" s="33">
        <f t="shared" si="2"/>
        <v>25989.999999999993</v>
      </c>
      <c r="P149" s="28" t="s">
        <v>0</v>
      </c>
    </row>
    <row r="150" spans="1:16" x14ac:dyDescent="0.3">
      <c r="A150" s="32" t="s">
        <v>3213</v>
      </c>
      <c r="B150" s="40">
        <v>46108</v>
      </c>
      <c r="C150" s="40">
        <v>46113</v>
      </c>
      <c r="D150" s="32">
        <v>3319</v>
      </c>
      <c r="E150" s="32">
        <v>327</v>
      </c>
      <c r="F150" s="32">
        <v>2</v>
      </c>
      <c r="G150" s="31">
        <v>1</v>
      </c>
      <c r="H150" s="31">
        <v>81433</v>
      </c>
      <c r="I150" s="31" t="s">
        <v>17</v>
      </c>
      <c r="J150" s="31">
        <v>80040371</v>
      </c>
      <c r="K150" s="80" t="s">
        <v>1424</v>
      </c>
      <c r="L150" s="18" t="s">
        <v>1433</v>
      </c>
      <c r="M150" s="41">
        <v>259900</v>
      </c>
      <c r="N150" s="30">
        <v>0.9</v>
      </c>
      <c r="O150" s="33">
        <f t="shared" si="2"/>
        <v>25989.999999999993</v>
      </c>
      <c r="P150" s="28" t="s">
        <v>0</v>
      </c>
    </row>
    <row r="151" spans="1:16" x14ac:dyDescent="0.3">
      <c r="A151" s="32" t="s">
        <v>3213</v>
      </c>
      <c r="B151" s="40">
        <v>46108</v>
      </c>
      <c r="C151" s="40">
        <v>46113</v>
      </c>
      <c r="D151" s="32">
        <v>3319</v>
      </c>
      <c r="E151" s="32">
        <v>327</v>
      </c>
      <c r="F151" s="32">
        <v>2</v>
      </c>
      <c r="G151" s="31">
        <v>1</v>
      </c>
      <c r="H151" s="31">
        <v>81433</v>
      </c>
      <c r="I151" s="31" t="s">
        <v>17</v>
      </c>
      <c r="J151" s="31">
        <v>80040353</v>
      </c>
      <c r="K151" s="80" t="s">
        <v>1424</v>
      </c>
      <c r="L151" s="18" t="s">
        <v>1434</v>
      </c>
      <c r="M151" s="41">
        <v>259900</v>
      </c>
      <c r="N151" s="30">
        <v>0.9</v>
      </c>
      <c r="O151" s="33">
        <f t="shared" si="2"/>
        <v>25989.999999999993</v>
      </c>
      <c r="P151" s="28" t="s">
        <v>0</v>
      </c>
    </row>
    <row r="152" spans="1:16" x14ac:dyDescent="0.3">
      <c r="A152" s="32" t="s">
        <v>3213</v>
      </c>
      <c r="B152" s="40">
        <v>46108</v>
      </c>
      <c r="C152" s="40">
        <v>46113</v>
      </c>
      <c r="D152" s="32">
        <v>3319</v>
      </c>
      <c r="E152" s="32">
        <v>327</v>
      </c>
      <c r="F152" s="32">
        <v>2</v>
      </c>
      <c r="G152" s="31">
        <v>1</v>
      </c>
      <c r="H152" s="31">
        <v>81433</v>
      </c>
      <c r="I152" s="31" t="s">
        <v>17</v>
      </c>
      <c r="J152" s="31">
        <v>80040399</v>
      </c>
      <c r="K152" s="80" t="s">
        <v>1435</v>
      </c>
      <c r="L152" s="18" t="s">
        <v>1436</v>
      </c>
      <c r="M152" s="41">
        <v>239900</v>
      </c>
      <c r="N152" s="30">
        <v>0.9</v>
      </c>
      <c r="O152" s="33">
        <f t="shared" si="2"/>
        <v>23989.999999999996</v>
      </c>
      <c r="P152" s="28" t="s">
        <v>0</v>
      </c>
    </row>
    <row r="153" spans="1:16" x14ac:dyDescent="0.3">
      <c r="A153" s="32" t="s">
        <v>3213</v>
      </c>
      <c r="B153" s="40">
        <v>46108</v>
      </c>
      <c r="C153" s="40">
        <v>46113</v>
      </c>
      <c r="D153" s="32">
        <v>3319</v>
      </c>
      <c r="E153" s="32">
        <v>327</v>
      </c>
      <c r="F153" s="32">
        <v>2</v>
      </c>
      <c r="G153" s="31">
        <v>1</v>
      </c>
      <c r="H153" s="31">
        <v>81433</v>
      </c>
      <c r="I153" s="31" t="s">
        <v>17</v>
      </c>
      <c r="J153" s="31">
        <v>80040406</v>
      </c>
      <c r="K153" s="80" t="s">
        <v>1435</v>
      </c>
      <c r="L153" s="18" t="s">
        <v>1437</v>
      </c>
      <c r="M153" s="41">
        <v>239900</v>
      </c>
      <c r="N153" s="30">
        <v>0.9</v>
      </c>
      <c r="O153" s="33">
        <f t="shared" si="2"/>
        <v>23989.999999999996</v>
      </c>
      <c r="P153" s="28" t="s">
        <v>0</v>
      </c>
    </row>
    <row r="154" spans="1:16" x14ac:dyDescent="0.3">
      <c r="A154" s="32" t="s">
        <v>3213</v>
      </c>
      <c r="B154" s="40">
        <v>46108</v>
      </c>
      <c r="C154" s="40">
        <v>46113</v>
      </c>
      <c r="D154" s="32">
        <v>3319</v>
      </c>
      <c r="E154" s="32">
        <v>327</v>
      </c>
      <c r="F154" s="32">
        <v>2</v>
      </c>
      <c r="G154" s="31">
        <v>1</v>
      </c>
      <c r="H154" s="31">
        <v>81433</v>
      </c>
      <c r="I154" s="31" t="s">
        <v>17</v>
      </c>
      <c r="J154" s="31">
        <v>80040415</v>
      </c>
      <c r="K154" s="80" t="s">
        <v>1435</v>
      </c>
      <c r="L154" s="18" t="s">
        <v>1438</v>
      </c>
      <c r="M154" s="41">
        <v>239900</v>
      </c>
      <c r="N154" s="30">
        <v>0.9</v>
      </c>
      <c r="O154" s="33">
        <f t="shared" si="2"/>
        <v>23989.999999999996</v>
      </c>
      <c r="P154" s="28" t="s">
        <v>0</v>
      </c>
    </row>
    <row r="155" spans="1:16" x14ac:dyDescent="0.3">
      <c r="A155" s="32" t="s">
        <v>3213</v>
      </c>
      <c r="B155" s="40">
        <v>46108</v>
      </c>
      <c r="C155" s="40">
        <v>46113</v>
      </c>
      <c r="D155" s="32">
        <v>3319</v>
      </c>
      <c r="E155" s="32">
        <v>327</v>
      </c>
      <c r="F155" s="32">
        <v>2</v>
      </c>
      <c r="G155" s="31">
        <v>1</v>
      </c>
      <c r="H155" s="31">
        <v>81433</v>
      </c>
      <c r="I155" s="31" t="s">
        <v>17</v>
      </c>
      <c r="J155" s="31">
        <v>80040424</v>
      </c>
      <c r="K155" s="80" t="s">
        <v>1435</v>
      </c>
      <c r="L155" s="18" t="s">
        <v>1439</v>
      </c>
      <c r="M155" s="41">
        <v>239900</v>
      </c>
      <c r="N155" s="30">
        <v>0.9</v>
      </c>
      <c r="O155" s="33">
        <f t="shared" si="2"/>
        <v>23989.999999999996</v>
      </c>
      <c r="P155" s="28" t="s">
        <v>0</v>
      </c>
    </row>
    <row r="156" spans="1:16" x14ac:dyDescent="0.3">
      <c r="A156" s="32" t="s">
        <v>3213</v>
      </c>
      <c r="B156" s="40">
        <v>46108</v>
      </c>
      <c r="C156" s="40">
        <v>46113</v>
      </c>
      <c r="D156" s="32">
        <v>3319</v>
      </c>
      <c r="E156" s="32">
        <v>327</v>
      </c>
      <c r="F156" s="32">
        <v>2</v>
      </c>
      <c r="G156" s="31">
        <v>1</v>
      </c>
      <c r="H156" s="31">
        <v>81433</v>
      </c>
      <c r="I156" s="31" t="s">
        <v>17</v>
      </c>
      <c r="J156" s="31">
        <v>80040433</v>
      </c>
      <c r="K156" s="80" t="s">
        <v>1435</v>
      </c>
      <c r="L156" s="18" t="s">
        <v>1440</v>
      </c>
      <c r="M156" s="41">
        <v>239900</v>
      </c>
      <c r="N156" s="30">
        <v>0.9</v>
      </c>
      <c r="O156" s="33">
        <f t="shared" si="2"/>
        <v>23989.999999999996</v>
      </c>
      <c r="P156" s="28" t="s">
        <v>0</v>
      </c>
    </row>
    <row r="157" spans="1:16" x14ac:dyDescent="0.3">
      <c r="A157" s="32" t="s">
        <v>3213</v>
      </c>
      <c r="B157" s="40">
        <v>46108</v>
      </c>
      <c r="C157" s="40">
        <v>46113</v>
      </c>
      <c r="D157" s="32">
        <v>3319</v>
      </c>
      <c r="E157" s="32">
        <v>327</v>
      </c>
      <c r="F157" s="32">
        <v>2</v>
      </c>
      <c r="G157" s="31">
        <v>1</v>
      </c>
      <c r="H157" s="31">
        <v>81433</v>
      </c>
      <c r="I157" s="31" t="s">
        <v>17</v>
      </c>
      <c r="J157" s="31">
        <v>80040442</v>
      </c>
      <c r="K157" s="80" t="s">
        <v>1435</v>
      </c>
      <c r="L157" s="18" t="s">
        <v>1441</v>
      </c>
      <c r="M157" s="41">
        <v>239900</v>
      </c>
      <c r="N157" s="30">
        <v>0.9</v>
      </c>
      <c r="O157" s="33">
        <f t="shared" si="2"/>
        <v>23989.999999999996</v>
      </c>
      <c r="P157" s="28" t="s">
        <v>0</v>
      </c>
    </row>
    <row r="158" spans="1:16" x14ac:dyDescent="0.3">
      <c r="A158" s="32" t="s">
        <v>3213</v>
      </c>
      <c r="B158" s="40">
        <v>46108</v>
      </c>
      <c r="C158" s="40">
        <v>46113</v>
      </c>
      <c r="D158" s="32">
        <v>3319</v>
      </c>
      <c r="E158" s="32">
        <v>327</v>
      </c>
      <c r="F158" s="32">
        <v>2</v>
      </c>
      <c r="G158" s="31">
        <v>1</v>
      </c>
      <c r="H158" s="31">
        <v>81433</v>
      </c>
      <c r="I158" s="31" t="s">
        <v>17</v>
      </c>
      <c r="J158" s="31">
        <v>80040451</v>
      </c>
      <c r="K158" s="80" t="s">
        <v>1435</v>
      </c>
      <c r="L158" s="18" t="s">
        <v>1442</v>
      </c>
      <c r="M158" s="41">
        <v>239900</v>
      </c>
      <c r="N158" s="30">
        <v>0.9</v>
      </c>
      <c r="O158" s="33">
        <f t="shared" si="2"/>
        <v>23989.999999999996</v>
      </c>
      <c r="P158" s="28" t="s">
        <v>0</v>
      </c>
    </row>
    <row r="159" spans="1:16" x14ac:dyDescent="0.3">
      <c r="A159" s="32" t="s">
        <v>3213</v>
      </c>
      <c r="B159" s="40">
        <v>46108</v>
      </c>
      <c r="C159" s="40">
        <v>46113</v>
      </c>
      <c r="D159" s="32">
        <v>3319</v>
      </c>
      <c r="E159" s="32">
        <v>327</v>
      </c>
      <c r="F159" s="32">
        <v>2</v>
      </c>
      <c r="G159" s="31">
        <v>1</v>
      </c>
      <c r="H159" s="31">
        <v>81433</v>
      </c>
      <c r="I159" s="31" t="s">
        <v>17</v>
      </c>
      <c r="J159" s="31">
        <v>80040460</v>
      </c>
      <c r="K159" s="80" t="s">
        <v>1435</v>
      </c>
      <c r="L159" s="18" t="s">
        <v>1443</v>
      </c>
      <c r="M159" s="41">
        <v>239900</v>
      </c>
      <c r="N159" s="30">
        <v>0.9</v>
      </c>
      <c r="O159" s="33">
        <f t="shared" si="2"/>
        <v>23989.999999999996</v>
      </c>
      <c r="P159" s="28" t="s">
        <v>0</v>
      </c>
    </row>
    <row r="160" spans="1:16" x14ac:dyDescent="0.3">
      <c r="A160" s="32" t="s">
        <v>3213</v>
      </c>
      <c r="B160" s="40">
        <v>46108</v>
      </c>
      <c r="C160" s="40">
        <v>46113</v>
      </c>
      <c r="D160" s="32">
        <v>3319</v>
      </c>
      <c r="E160" s="32">
        <v>327</v>
      </c>
      <c r="F160" s="32">
        <v>2</v>
      </c>
      <c r="G160" s="31">
        <v>1</v>
      </c>
      <c r="H160" s="31">
        <v>81433</v>
      </c>
      <c r="I160" s="31" t="s">
        <v>17</v>
      </c>
      <c r="J160" s="31">
        <v>80040479</v>
      </c>
      <c r="K160" s="80" t="s">
        <v>1435</v>
      </c>
      <c r="L160" s="18" t="s">
        <v>1444</v>
      </c>
      <c r="M160" s="41">
        <v>239900</v>
      </c>
      <c r="N160" s="30">
        <v>0.9</v>
      </c>
      <c r="O160" s="33">
        <f t="shared" si="2"/>
        <v>23989.999999999996</v>
      </c>
      <c r="P160" s="28" t="s">
        <v>0</v>
      </c>
    </row>
    <row r="161" spans="1:16" x14ac:dyDescent="0.3">
      <c r="A161" s="32" t="s">
        <v>3213</v>
      </c>
      <c r="B161" s="40">
        <v>46108</v>
      </c>
      <c r="C161" s="40">
        <v>46113</v>
      </c>
      <c r="D161" s="32">
        <v>3319</v>
      </c>
      <c r="E161" s="32">
        <v>327</v>
      </c>
      <c r="F161" s="32">
        <v>2</v>
      </c>
      <c r="G161" s="31">
        <v>1</v>
      </c>
      <c r="H161" s="31">
        <v>81433</v>
      </c>
      <c r="I161" s="31" t="s">
        <v>17</v>
      </c>
      <c r="J161" s="31">
        <v>80040488</v>
      </c>
      <c r="K161" s="80" t="s">
        <v>1435</v>
      </c>
      <c r="L161" s="18" t="s">
        <v>1445</v>
      </c>
      <c r="M161" s="41">
        <v>239900</v>
      </c>
      <c r="N161" s="30">
        <v>0.9</v>
      </c>
      <c r="O161" s="33">
        <f t="shared" si="2"/>
        <v>23989.999999999996</v>
      </c>
      <c r="P161" s="28" t="s">
        <v>0</v>
      </c>
    </row>
    <row r="162" spans="1:16" x14ac:dyDescent="0.3">
      <c r="A162" s="32" t="s">
        <v>3213</v>
      </c>
      <c r="B162" s="40">
        <v>46108</v>
      </c>
      <c r="C162" s="40">
        <v>46113</v>
      </c>
      <c r="D162" s="32">
        <v>3319</v>
      </c>
      <c r="E162" s="32">
        <v>327</v>
      </c>
      <c r="F162" s="32">
        <v>2</v>
      </c>
      <c r="G162" s="31">
        <v>1</v>
      </c>
      <c r="H162" s="31">
        <v>81433</v>
      </c>
      <c r="I162" s="31" t="s">
        <v>17</v>
      </c>
      <c r="J162" s="31">
        <v>80040095</v>
      </c>
      <c r="K162" s="80" t="s">
        <v>1446</v>
      </c>
      <c r="L162" s="18" t="s">
        <v>1447</v>
      </c>
      <c r="M162" s="41">
        <v>259900</v>
      </c>
      <c r="N162" s="30">
        <v>0.9</v>
      </c>
      <c r="O162" s="33">
        <f t="shared" si="2"/>
        <v>25989.999999999993</v>
      </c>
      <c r="P162" s="28" t="s">
        <v>0</v>
      </c>
    </row>
    <row r="163" spans="1:16" x14ac:dyDescent="0.3">
      <c r="A163" s="32" t="s">
        <v>3213</v>
      </c>
      <c r="B163" s="40">
        <v>46108</v>
      </c>
      <c r="C163" s="40">
        <v>46113</v>
      </c>
      <c r="D163" s="32">
        <v>3319</v>
      </c>
      <c r="E163" s="32">
        <v>327</v>
      </c>
      <c r="F163" s="32">
        <v>2</v>
      </c>
      <c r="G163" s="31">
        <v>1</v>
      </c>
      <c r="H163" s="31">
        <v>81433</v>
      </c>
      <c r="I163" s="31" t="s">
        <v>17</v>
      </c>
      <c r="J163" s="31">
        <v>80040102</v>
      </c>
      <c r="K163" s="80" t="s">
        <v>1446</v>
      </c>
      <c r="L163" s="18" t="s">
        <v>1448</v>
      </c>
      <c r="M163" s="41">
        <v>259900</v>
      </c>
      <c r="N163" s="30">
        <v>0.9</v>
      </c>
      <c r="O163" s="33">
        <f t="shared" si="2"/>
        <v>25989.999999999993</v>
      </c>
      <c r="P163" s="28" t="s">
        <v>0</v>
      </c>
    </row>
    <row r="164" spans="1:16" x14ac:dyDescent="0.3">
      <c r="A164" s="32" t="s">
        <v>3213</v>
      </c>
      <c r="B164" s="40">
        <v>46108</v>
      </c>
      <c r="C164" s="40">
        <v>46113</v>
      </c>
      <c r="D164" s="32">
        <v>3319</v>
      </c>
      <c r="E164" s="32">
        <v>327</v>
      </c>
      <c r="F164" s="32">
        <v>2</v>
      </c>
      <c r="G164" s="31">
        <v>1</v>
      </c>
      <c r="H164" s="31">
        <v>81433</v>
      </c>
      <c r="I164" s="31" t="s">
        <v>17</v>
      </c>
      <c r="J164" s="31">
        <v>80040111</v>
      </c>
      <c r="K164" s="80" t="s">
        <v>1446</v>
      </c>
      <c r="L164" s="18" t="s">
        <v>1449</v>
      </c>
      <c r="M164" s="41">
        <v>259900</v>
      </c>
      <c r="N164" s="30">
        <v>0.9</v>
      </c>
      <c r="O164" s="33">
        <f t="shared" si="2"/>
        <v>25989.999999999993</v>
      </c>
      <c r="P164" s="28" t="s">
        <v>0</v>
      </c>
    </row>
    <row r="165" spans="1:16" x14ac:dyDescent="0.3">
      <c r="A165" s="32" t="s">
        <v>3213</v>
      </c>
      <c r="B165" s="40">
        <v>46108</v>
      </c>
      <c r="C165" s="40">
        <v>46113</v>
      </c>
      <c r="D165" s="32">
        <v>3319</v>
      </c>
      <c r="E165" s="32">
        <v>327</v>
      </c>
      <c r="F165" s="32">
        <v>2</v>
      </c>
      <c r="G165" s="31">
        <v>1</v>
      </c>
      <c r="H165" s="31">
        <v>81433</v>
      </c>
      <c r="I165" s="31" t="s">
        <v>17</v>
      </c>
      <c r="J165" s="31">
        <v>80040120</v>
      </c>
      <c r="K165" s="80" t="s">
        <v>1446</v>
      </c>
      <c r="L165" s="18" t="s">
        <v>1450</v>
      </c>
      <c r="M165" s="41">
        <v>259900</v>
      </c>
      <c r="N165" s="30">
        <v>0.9</v>
      </c>
      <c r="O165" s="33">
        <f t="shared" si="2"/>
        <v>25989.999999999993</v>
      </c>
      <c r="P165" s="28" t="s">
        <v>0</v>
      </c>
    </row>
    <row r="166" spans="1:16" x14ac:dyDescent="0.3">
      <c r="A166" s="32" t="s">
        <v>3213</v>
      </c>
      <c r="B166" s="40">
        <v>46108</v>
      </c>
      <c r="C166" s="40">
        <v>46113</v>
      </c>
      <c r="D166" s="32">
        <v>3319</v>
      </c>
      <c r="E166" s="32">
        <v>327</v>
      </c>
      <c r="F166" s="32">
        <v>2</v>
      </c>
      <c r="G166" s="31">
        <v>1</v>
      </c>
      <c r="H166" s="31">
        <v>81433</v>
      </c>
      <c r="I166" s="31" t="s">
        <v>17</v>
      </c>
      <c r="J166" s="31">
        <v>80040139</v>
      </c>
      <c r="K166" s="80" t="s">
        <v>1446</v>
      </c>
      <c r="L166" s="18" t="s">
        <v>1451</v>
      </c>
      <c r="M166" s="41">
        <v>259900</v>
      </c>
      <c r="N166" s="30">
        <v>0.9</v>
      </c>
      <c r="O166" s="33">
        <f t="shared" si="2"/>
        <v>25989.999999999993</v>
      </c>
      <c r="P166" s="28" t="s">
        <v>0</v>
      </c>
    </row>
    <row r="167" spans="1:16" x14ac:dyDescent="0.3">
      <c r="A167" s="32" t="s">
        <v>3213</v>
      </c>
      <c r="B167" s="40">
        <v>46108</v>
      </c>
      <c r="C167" s="40">
        <v>46113</v>
      </c>
      <c r="D167" s="32">
        <v>3319</v>
      </c>
      <c r="E167" s="32">
        <v>327</v>
      </c>
      <c r="F167" s="32">
        <v>2</v>
      </c>
      <c r="G167" s="31">
        <v>1</v>
      </c>
      <c r="H167" s="31">
        <v>81433</v>
      </c>
      <c r="I167" s="31" t="s">
        <v>17</v>
      </c>
      <c r="J167" s="31">
        <v>80040148</v>
      </c>
      <c r="K167" s="80" t="s">
        <v>1446</v>
      </c>
      <c r="L167" s="18" t="s">
        <v>1452</v>
      </c>
      <c r="M167" s="41">
        <v>259900</v>
      </c>
      <c r="N167" s="30">
        <v>0.9</v>
      </c>
      <c r="O167" s="33">
        <f t="shared" si="2"/>
        <v>25989.999999999993</v>
      </c>
      <c r="P167" s="28" t="s">
        <v>0</v>
      </c>
    </row>
    <row r="168" spans="1:16" x14ac:dyDescent="0.3">
      <c r="A168" s="32" t="s">
        <v>3213</v>
      </c>
      <c r="B168" s="40">
        <v>46108</v>
      </c>
      <c r="C168" s="40">
        <v>46113</v>
      </c>
      <c r="D168" s="32">
        <v>3319</v>
      </c>
      <c r="E168" s="32">
        <v>327</v>
      </c>
      <c r="F168" s="32">
        <v>2</v>
      </c>
      <c r="G168" s="31">
        <v>1</v>
      </c>
      <c r="H168" s="31">
        <v>81433</v>
      </c>
      <c r="I168" s="31" t="s">
        <v>17</v>
      </c>
      <c r="J168" s="31">
        <v>80040157</v>
      </c>
      <c r="K168" s="80" t="s">
        <v>1446</v>
      </c>
      <c r="L168" s="18" t="s">
        <v>1453</v>
      </c>
      <c r="M168" s="41">
        <v>259900</v>
      </c>
      <c r="N168" s="30">
        <v>0.9</v>
      </c>
      <c r="O168" s="33">
        <f t="shared" si="2"/>
        <v>25989.999999999993</v>
      </c>
      <c r="P168" s="28" t="s">
        <v>0</v>
      </c>
    </row>
    <row r="169" spans="1:16" x14ac:dyDescent="0.3">
      <c r="A169" s="32" t="s">
        <v>3213</v>
      </c>
      <c r="B169" s="40">
        <v>46108</v>
      </c>
      <c r="C169" s="40">
        <v>46113</v>
      </c>
      <c r="D169" s="32">
        <v>3319</v>
      </c>
      <c r="E169" s="32">
        <v>327</v>
      </c>
      <c r="F169" s="32">
        <v>2</v>
      </c>
      <c r="G169" s="31">
        <v>1</v>
      </c>
      <c r="H169" s="31">
        <v>81433</v>
      </c>
      <c r="I169" s="31" t="s">
        <v>17</v>
      </c>
      <c r="J169" s="31">
        <v>80040166</v>
      </c>
      <c r="K169" s="80" t="s">
        <v>1446</v>
      </c>
      <c r="L169" s="18" t="s">
        <v>1454</v>
      </c>
      <c r="M169" s="41">
        <v>259900</v>
      </c>
      <c r="N169" s="30">
        <v>0.9</v>
      </c>
      <c r="O169" s="33">
        <f t="shared" si="2"/>
        <v>25989.999999999993</v>
      </c>
      <c r="P169" s="28" t="s">
        <v>0</v>
      </c>
    </row>
    <row r="170" spans="1:16" x14ac:dyDescent="0.3">
      <c r="A170" s="32" t="s">
        <v>3213</v>
      </c>
      <c r="B170" s="40">
        <v>46108</v>
      </c>
      <c r="C170" s="40">
        <v>46113</v>
      </c>
      <c r="D170" s="32">
        <v>3319</v>
      </c>
      <c r="E170" s="32">
        <v>327</v>
      </c>
      <c r="F170" s="32">
        <v>2</v>
      </c>
      <c r="G170" s="31">
        <v>1</v>
      </c>
      <c r="H170" s="31">
        <v>81433</v>
      </c>
      <c r="I170" s="31" t="s">
        <v>17</v>
      </c>
      <c r="J170" s="31">
        <v>80040175</v>
      </c>
      <c r="K170" s="80" t="s">
        <v>1446</v>
      </c>
      <c r="L170" s="18" t="s">
        <v>1455</v>
      </c>
      <c r="M170" s="41">
        <v>259900</v>
      </c>
      <c r="N170" s="30">
        <v>0.9</v>
      </c>
      <c r="O170" s="33">
        <f t="shared" si="2"/>
        <v>25989.999999999993</v>
      </c>
      <c r="P170" s="28" t="s">
        <v>0</v>
      </c>
    </row>
    <row r="171" spans="1:16" x14ac:dyDescent="0.3">
      <c r="A171" s="32" t="s">
        <v>3213</v>
      </c>
      <c r="B171" s="40">
        <v>46108</v>
      </c>
      <c r="C171" s="40">
        <v>46113</v>
      </c>
      <c r="D171" s="32">
        <v>3319</v>
      </c>
      <c r="E171" s="32">
        <v>327</v>
      </c>
      <c r="F171" s="32">
        <v>2</v>
      </c>
      <c r="G171" s="31">
        <v>1</v>
      </c>
      <c r="H171" s="31">
        <v>81433</v>
      </c>
      <c r="I171" s="31" t="s">
        <v>17</v>
      </c>
      <c r="J171" s="31">
        <v>80040184</v>
      </c>
      <c r="K171" s="80" t="s">
        <v>1446</v>
      </c>
      <c r="L171" s="18" t="s">
        <v>1456</v>
      </c>
      <c r="M171" s="41">
        <v>259900</v>
      </c>
      <c r="N171" s="30">
        <v>0.9</v>
      </c>
      <c r="O171" s="33">
        <f t="shared" si="2"/>
        <v>25989.999999999993</v>
      </c>
      <c r="P171" s="28" t="s">
        <v>0</v>
      </c>
    </row>
    <row r="172" spans="1:16" x14ac:dyDescent="0.3">
      <c r="A172" s="32" t="s">
        <v>3213</v>
      </c>
      <c r="B172" s="40">
        <v>46108</v>
      </c>
      <c r="C172" s="40">
        <v>46113</v>
      </c>
      <c r="D172" s="32">
        <v>3319</v>
      </c>
      <c r="E172" s="32">
        <v>327</v>
      </c>
      <c r="F172" s="32">
        <v>2</v>
      </c>
      <c r="G172" s="31">
        <v>1</v>
      </c>
      <c r="H172" s="31">
        <v>81433</v>
      </c>
      <c r="I172" s="31" t="s">
        <v>17</v>
      </c>
      <c r="J172" s="31">
        <v>80040193</v>
      </c>
      <c r="K172" s="80" t="s">
        <v>1457</v>
      </c>
      <c r="L172" s="18" t="s">
        <v>1458</v>
      </c>
      <c r="M172" s="41">
        <v>259900</v>
      </c>
      <c r="N172" s="30">
        <v>0.9</v>
      </c>
      <c r="O172" s="33">
        <f t="shared" si="2"/>
        <v>25989.999999999993</v>
      </c>
      <c r="P172" s="28" t="s">
        <v>0</v>
      </c>
    </row>
    <row r="173" spans="1:16" x14ac:dyDescent="0.3">
      <c r="A173" s="32" t="s">
        <v>3213</v>
      </c>
      <c r="B173" s="40">
        <v>46108</v>
      </c>
      <c r="C173" s="40">
        <v>46113</v>
      </c>
      <c r="D173" s="32">
        <v>3319</v>
      </c>
      <c r="E173" s="32">
        <v>327</v>
      </c>
      <c r="F173" s="32">
        <v>2</v>
      </c>
      <c r="G173" s="31">
        <v>1</v>
      </c>
      <c r="H173" s="31">
        <v>81433</v>
      </c>
      <c r="I173" s="31" t="s">
        <v>17</v>
      </c>
      <c r="J173" s="31">
        <v>80040200</v>
      </c>
      <c r="K173" s="80" t="s">
        <v>1457</v>
      </c>
      <c r="L173" s="18" t="s">
        <v>1459</v>
      </c>
      <c r="M173" s="41">
        <v>259900</v>
      </c>
      <c r="N173" s="30">
        <v>0.9</v>
      </c>
      <c r="O173" s="33">
        <f t="shared" si="2"/>
        <v>25989.999999999993</v>
      </c>
      <c r="P173" s="28" t="s">
        <v>0</v>
      </c>
    </row>
    <row r="174" spans="1:16" x14ac:dyDescent="0.3">
      <c r="A174" s="32" t="s">
        <v>3213</v>
      </c>
      <c r="B174" s="40">
        <v>46108</v>
      </c>
      <c r="C174" s="40">
        <v>46113</v>
      </c>
      <c r="D174" s="32">
        <v>3319</v>
      </c>
      <c r="E174" s="32">
        <v>327</v>
      </c>
      <c r="F174" s="32">
        <v>2</v>
      </c>
      <c r="G174" s="31">
        <v>1</v>
      </c>
      <c r="H174" s="31">
        <v>81433</v>
      </c>
      <c r="I174" s="31" t="s">
        <v>17</v>
      </c>
      <c r="J174" s="31">
        <v>80040219</v>
      </c>
      <c r="K174" s="80" t="s">
        <v>1457</v>
      </c>
      <c r="L174" s="18" t="s">
        <v>1460</v>
      </c>
      <c r="M174" s="41">
        <v>259900</v>
      </c>
      <c r="N174" s="30">
        <v>0.9</v>
      </c>
      <c r="O174" s="33">
        <f t="shared" si="2"/>
        <v>25989.999999999993</v>
      </c>
      <c r="P174" s="28" t="s">
        <v>0</v>
      </c>
    </row>
    <row r="175" spans="1:16" x14ac:dyDescent="0.3">
      <c r="A175" s="32" t="s">
        <v>3213</v>
      </c>
      <c r="B175" s="40">
        <v>46108</v>
      </c>
      <c r="C175" s="40">
        <v>46113</v>
      </c>
      <c r="D175" s="32">
        <v>3319</v>
      </c>
      <c r="E175" s="32">
        <v>327</v>
      </c>
      <c r="F175" s="32">
        <v>2</v>
      </c>
      <c r="G175" s="31">
        <v>1</v>
      </c>
      <c r="H175" s="31">
        <v>81433</v>
      </c>
      <c r="I175" s="31" t="s">
        <v>17</v>
      </c>
      <c r="J175" s="31">
        <v>80040228</v>
      </c>
      <c r="K175" s="80" t="s">
        <v>1457</v>
      </c>
      <c r="L175" s="18" t="s">
        <v>1461</v>
      </c>
      <c r="M175" s="41">
        <v>259900</v>
      </c>
      <c r="N175" s="30">
        <v>0.9</v>
      </c>
      <c r="O175" s="33">
        <f t="shared" si="2"/>
        <v>25989.999999999993</v>
      </c>
      <c r="P175" s="28" t="s">
        <v>0</v>
      </c>
    </row>
    <row r="176" spans="1:16" x14ac:dyDescent="0.3">
      <c r="A176" s="32" t="s">
        <v>3213</v>
      </c>
      <c r="B176" s="40">
        <v>46108</v>
      </c>
      <c r="C176" s="40">
        <v>46113</v>
      </c>
      <c r="D176" s="32">
        <v>3319</v>
      </c>
      <c r="E176" s="32">
        <v>327</v>
      </c>
      <c r="F176" s="32">
        <v>2</v>
      </c>
      <c r="G176" s="31">
        <v>1</v>
      </c>
      <c r="H176" s="31">
        <v>81433</v>
      </c>
      <c r="I176" s="31" t="s">
        <v>17</v>
      </c>
      <c r="J176" s="31">
        <v>80040237</v>
      </c>
      <c r="K176" s="80" t="s">
        <v>1457</v>
      </c>
      <c r="L176" s="18" t="s">
        <v>1462</v>
      </c>
      <c r="M176" s="41">
        <v>259900</v>
      </c>
      <c r="N176" s="30">
        <v>0.9</v>
      </c>
      <c r="O176" s="33">
        <f t="shared" si="2"/>
        <v>25989.999999999993</v>
      </c>
      <c r="P176" s="28" t="s">
        <v>0</v>
      </c>
    </row>
    <row r="177" spans="1:16" x14ac:dyDescent="0.3">
      <c r="A177" s="32" t="s">
        <v>3213</v>
      </c>
      <c r="B177" s="40">
        <v>46108</v>
      </c>
      <c r="C177" s="40">
        <v>46113</v>
      </c>
      <c r="D177" s="32">
        <v>3319</v>
      </c>
      <c r="E177" s="32">
        <v>327</v>
      </c>
      <c r="F177" s="32">
        <v>2</v>
      </c>
      <c r="G177" s="31">
        <v>1</v>
      </c>
      <c r="H177" s="31">
        <v>81433</v>
      </c>
      <c r="I177" s="31" t="s">
        <v>17</v>
      </c>
      <c r="J177" s="31">
        <v>80040246</v>
      </c>
      <c r="K177" s="80" t="s">
        <v>1457</v>
      </c>
      <c r="L177" s="18" t="s">
        <v>1463</v>
      </c>
      <c r="M177" s="41">
        <v>259900</v>
      </c>
      <c r="N177" s="30">
        <v>0.9</v>
      </c>
      <c r="O177" s="33">
        <f t="shared" si="2"/>
        <v>25989.999999999993</v>
      </c>
      <c r="P177" s="28" t="s">
        <v>0</v>
      </c>
    </row>
    <row r="178" spans="1:16" x14ac:dyDescent="0.3">
      <c r="A178" s="32" t="s">
        <v>3213</v>
      </c>
      <c r="B178" s="40">
        <v>46108</v>
      </c>
      <c r="C178" s="40">
        <v>46113</v>
      </c>
      <c r="D178" s="32">
        <v>3319</v>
      </c>
      <c r="E178" s="32">
        <v>327</v>
      </c>
      <c r="F178" s="32">
        <v>2</v>
      </c>
      <c r="G178" s="31">
        <v>1</v>
      </c>
      <c r="H178" s="31">
        <v>81433</v>
      </c>
      <c r="I178" s="31" t="s">
        <v>17</v>
      </c>
      <c r="J178" s="31">
        <v>80040255</v>
      </c>
      <c r="K178" s="80" t="s">
        <v>1457</v>
      </c>
      <c r="L178" s="18" t="s">
        <v>1464</v>
      </c>
      <c r="M178" s="41">
        <v>259900</v>
      </c>
      <c r="N178" s="30">
        <v>0.9</v>
      </c>
      <c r="O178" s="33">
        <f t="shared" si="2"/>
        <v>25989.999999999993</v>
      </c>
      <c r="P178" s="28" t="s">
        <v>0</v>
      </c>
    </row>
    <row r="179" spans="1:16" x14ac:dyDescent="0.3">
      <c r="A179" s="32" t="s">
        <v>3213</v>
      </c>
      <c r="B179" s="40">
        <v>46108</v>
      </c>
      <c r="C179" s="40">
        <v>46113</v>
      </c>
      <c r="D179" s="32">
        <v>3319</v>
      </c>
      <c r="E179" s="32">
        <v>327</v>
      </c>
      <c r="F179" s="32">
        <v>2</v>
      </c>
      <c r="G179" s="31">
        <v>1</v>
      </c>
      <c r="H179" s="31">
        <v>81433</v>
      </c>
      <c r="I179" s="31" t="s">
        <v>17</v>
      </c>
      <c r="J179" s="31">
        <v>80040264</v>
      </c>
      <c r="K179" s="80" t="s">
        <v>1457</v>
      </c>
      <c r="L179" s="18" t="s">
        <v>1465</v>
      </c>
      <c r="M179" s="41">
        <v>259900</v>
      </c>
      <c r="N179" s="30">
        <v>0.9</v>
      </c>
      <c r="O179" s="33">
        <f t="shared" si="2"/>
        <v>25989.999999999993</v>
      </c>
      <c r="P179" s="28" t="s">
        <v>0</v>
      </c>
    </row>
    <row r="180" spans="1:16" x14ac:dyDescent="0.3">
      <c r="A180" s="32" t="s">
        <v>3213</v>
      </c>
      <c r="B180" s="40">
        <v>46108</v>
      </c>
      <c r="C180" s="40">
        <v>46113</v>
      </c>
      <c r="D180" s="32">
        <v>3319</v>
      </c>
      <c r="E180" s="32">
        <v>327</v>
      </c>
      <c r="F180" s="32">
        <v>2</v>
      </c>
      <c r="G180" s="31">
        <v>1</v>
      </c>
      <c r="H180" s="31">
        <v>81433</v>
      </c>
      <c r="I180" s="31" t="s">
        <v>17</v>
      </c>
      <c r="J180" s="31">
        <v>80040273</v>
      </c>
      <c r="K180" s="80" t="s">
        <v>1457</v>
      </c>
      <c r="L180" s="18" t="s">
        <v>1466</v>
      </c>
      <c r="M180" s="41">
        <v>259900</v>
      </c>
      <c r="N180" s="30">
        <v>0.9</v>
      </c>
      <c r="O180" s="33">
        <f t="shared" si="2"/>
        <v>25989.999999999993</v>
      </c>
      <c r="P180" s="28" t="s">
        <v>0</v>
      </c>
    </row>
    <row r="181" spans="1:16" x14ac:dyDescent="0.3">
      <c r="A181" s="32" t="s">
        <v>3213</v>
      </c>
      <c r="B181" s="40">
        <v>46108</v>
      </c>
      <c r="C181" s="40">
        <v>46113</v>
      </c>
      <c r="D181" s="32">
        <v>3319</v>
      </c>
      <c r="E181" s="32">
        <v>327</v>
      </c>
      <c r="F181" s="32">
        <v>2</v>
      </c>
      <c r="G181" s="31">
        <v>1</v>
      </c>
      <c r="H181" s="31">
        <v>81433</v>
      </c>
      <c r="I181" s="31" t="s">
        <v>17</v>
      </c>
      <c r="J181" s="31">
        <v>80040282</v>
      </c>
      <c r="K181" s="80" t="s">
        <v>1457</v>
      </c>
      <c r="L181" s="18" t="s">
        <v>1467</v>
      </c>
      <c r="M181" s="41">
        <v>259900</v>
      </c>
      <c r="N181" s="30">
        <v>0.9</v>
      </c>
      <c r="O181" s="33">
        <f t="shared" si="2"/>
        <v>25989.999999999993</v>
      </c>
      <c r="P181" s="28" t="s">
        <v>0</v>
      </c>
    </row>
    <row r="182" spans="1:16" x14ac:dyDescent="0.3">
      <c r="A182" s="32" t="s">
        <v>3213</v>
      </c>
      <c r="B182" s="40">
        <v>46108</v>
      </c>
      <c r="C182" s="40">
        <v>46113</v>
      </c>
      <c r="D182" s="32">
        <v>3319</v>
      </c>
      <c r="E182" s="32">
        <v>327</v>
      </c>
      <c r="F182" s="32">
        <v>2</v>
      </c>
      <c r="G182" s="31">
        <v>1</v>
      </c>
      <c r="H182" s="31">
        <v>81433</v>
      </c>
      <c r="I182" s="31" t="s">
        <v>17</v>
      </c>
      <c r="J182" s="31">
        <v>27042728</v>
      </c>
      <c r="K182" s="80" t="s">
        <v>1468</v>
      </c>
      <c r="L182" s="18" t="s">
        <v>1469</v>
      </c>
      <c r="M182" s="41">
        <v>239900</v>
      </c>
      <c r="N182" s="30">
        <v>0.9</v>
      </c>
      <c r="O182" s="33">
        <f t="shared" si="2"/>
        <v>23989.999999999996</v>
      </c>
      <c r="P182" s="28" t="s">
        <v>0</v>
      </c>
    </row>
    <row r="183" spans="1:16" x14ac:dyDescent="0.3">
      <c r="A183" s="32" t="s">
        <v>3213</v>
      </c>
      <c r="B183" s="40">
        <v>46108</v>
      </c>
      <c r="C183" s="40">
        <v>46113</v>
      </c>
      <c r="D183" s="32">
        <v>3319</v>
      </c>
      <c r="E183" s="32">
        <v>327</v>
      </c>
      <c r="F183" s="32">
        <v>2</v>
      </c>
      <c r="G183" s="31">
        <v>1</v>
      </c>
      <c r="H183" s="31">
        <v>81433</v>
      </c>
      <c r="I183" s="31" t="s">
        <v>17</v>
      </c>
      <c r="J183" s="31">
        <v>27042700</v>
      </c>
      <c r="K183" s="80" t="s">
        <v>1468</v>
      </c>
      <c r="L183" s="18" t="s">
        <v>1470</v>
      </c>
      <c r="M183" s="41">
        <v>239900</v>
      </c>
      <c r="N183" s="30">
        <v>0.9</v>
      </c>
      <c r="O183" s="33">
        <f t="shared" si="2"/>
        <v>23989.999999999996</v>
      </c>
      <c r="P183" s="28" t="s">
        <v>0</v>
      </c>
    </row>
    <row r="184" spans="1:16" x14ac:dyDescent="0.3">
      <c r="A184" s="32" t="s">
        <v>3213</v>
      </c>
      <c r="B184" s="40">
        <v>46108</v>
      </c>
      <c r="C184" s="40">
        <v>46113</v>
      </c>
      <c r="D184" s="32">
        <v>3319</v>
      </c>
      <c r="E184" s="32">
        <v>327</v>
      </c>
      <c r="F184" s="32">
        <v>2</v>
      </c>
      <c r="G184" s="31">
        <v>1</v>
      </c>
      <c r="H184" s="31">
        <v>81433</v>
      </c>
      <c r="I184" s="31" t="s">
        <v>17</v>
      </c>
      <c r="J184" s="31">
        <v>27042737</v>
      </c>
      <c r="K184" s="80" t="s">
        <v>1468</v>
      </c>
      <c r="L184" s="18" t="s">
        <v>1471</v>
      </c>
      <c r="M184" s="41">
        <v>239900</v>
      </c>
      <c r="N184" s="30">
        <v>0.9</v>
      </c>
      <c r="O184" s="33">
        <f t="shared" si="2"/>
        <v>23989.999999999996</v>
      </c>
      <c r="P184" s="28" t="s">
        <v>0</v>
      </c>
    </row>
    <row r="185" spans="1:16" x14ac:dyDescent="0.3">
      <c r="A185" s="32" t="s">
        <v>3213</v>
      </c>
      <c r="B185" s="40">
        <v>46108</v>
      </c>
      <c r="C185" s="40">
        <v>46113</v>
      </c>
      <c r="D185" s="32">
        <v>3319</v>
      </c>
      <c r="E185" s="32">
        <v>327</v>
      </c>
      <c r="F185" s="32">
        <v>2</v>
      </c>
      <c r="G185" s="31">
        <v>1</v>
      </c>
      <c r="H185" s="31">
        <v>81433</v>
      </c>
      <c r="I185" s="31" t="s">
        <v>17</v>
      </c>
      <c r="J185" s="31">
        <v>27042693</v>
      </c>
      <c r="K185" s="80" t="s">
        <v>1468</v>
      </c>
      <c r="L185" s="18" t="s">
        <v>1472</v>
      </c>
      <c r="M185" s="41">
        <v>239900</v>
      </c>
      <c r="N185" s="30">
        <v>0.9</v>
      </c>
      <c r="O185" s="33">
        <f t="shared" si="2"/>
        <v>23989.999999999996</v>
      </c>
      <c r="P185" s="28" t="s">
        <v>0</v>
      </c>
    </row>
    <row r="186" spans="1:16" x14ac:dyDescent="0.3">
      <c r="A186" s="32" t="s">
        <v>3213</v>
      </c>
      <c r="B186" s="40">
        <v>46108</v>
      </c>
      <c r="C186" s="40">
        <v>46113</v>
      </c>
      <c r="D186" s="32">
        <v>3319</v>
      </c>
      <c r="E186" s="32">
        <v>327</v>
      </c>
      <c r="F186" s="32">
        <v>2</v>
      </c>
      <c r="G186" s="31">
        <v>1</v>
      </c>
      <c r="H186" s="31">
        <v>81433</v>
      </c>
      <c r="I186" s="31" t="s">
        <v>17</v>
      </c>
      <c r="J186" s="31">
        <v>27042719</v>
      </c>
      <c r="K186" s="80" t="s">
        <v>1468</v>
      </c>
      <c r="L186" s="18" t="s">
        <v>1473</v>
      </c>
      <c r="M186" s="41">
        <v>239900</v>
      </c>
      <c r="N186" s="30">
        <v>0.9</v>
      </c>
      <c r="O186" s="33">
        <f t="shared" si="2"/>
        <v>23989.999999999996</v>
      </c>
      <c r="P186" s="28" t="s">
        <v>0</v>
      </c>
    </row>
    <row r="187" spans="1:16" x14ac:dyDescent="0.3">
      <c r="A187" s="32" t="s">
        <v>3213</v>
      </c>
      <c r="B187" s="40">
        <v>46108</v>
      </c>
      <c r="C187" s="40">
        <v>46113</v>
      </c>
      <c r="D187" s="32">
        <v>3319</v>
      </c>
      <c r="E187" s="32">
        <v>327</v>
      </c>
      <c r="F187" s="32">
        <v>2</v>
      </c>
      <c r="G187" s="31">
        <v>1</v>
      </c>
      <c r="H187" s="31">
        <v>81433</v>
      </c>
      <c r="I187" s="31" t="s">
        <v>17</v>
      </c>
      <c r="J187" s="31">
        <v>80898633</v>
      </c>
      <c r="K187" s="80" t="s">
        <v>1474</v>
      </c>
      <c r="L187" s="18" t="s">
        <v>1475</v>
      </c>
      <c r="M187" s="41">
        <v>239900</v>
      </c>
      <c r="N187" s="30">
        <v>0.9</v>
      </c>
      <c r="O187" s="33">
        <f t="shared" si="2"/>
        <v>23989.999999999996</v>
      </c>
      <c r="P187" s="28" t="s">
        <v>0</v>
      </c>
    </row>
    <row r="188" spans="1:16" x14ac:dyDescent="0.3">
      <c r="A188" s="32" t="s">
        <v>3213</v>
      </c>
      <c r="B188" s="40">
        <v>46108</v>
      </c>
      <c r="C188" s="40">
        <v>46113</v>
      </c>
      <c r="D188" s="32">
        <v>3319</v>
      </c>
      <c r="E188" s="32">
        <v>327</v>
      </c>
      <c r="F188" s="32">
        <v>2</v>
      </c>
      <c r="G188" s="31">
        <v>1</v>
      </c>
      <c r="H188" s="31">
        <v>81433</v>
      </c>
      <c r="I188" s="31" t="s">
        <v>17</v>
      </c>
      <c r="J188" s="31">
        <v>80898642</v>
      </c>
      <c r="K188" s="80" t="s">
        <v>1474</v>
      </c>
      <c r="L188" s="18" t="s">
        <v>1476</v>
      </c>
      <c r="M188" s="41">
        <v>239900</v>
      </c>
      <c r="N188" s="30">
        <v>0.9</v>
      </c>
      <c r="O188" s="33">
        <f t="shared" si="2"/>
        <v>23989.999999999996</v>
      </c>
      <c r="P188" s="28" t="s">
        <v>0</v>
      </c>
    </row>
    <row r="189" spans="1:16" x14ac:dyDescent="0.3">
      <c r="A189" s="32" t="s">
        <v>3213</v>
      </c>
      <c r="B189" s="40">
        <v>46108</v>
      </c>
      <c r="C189" s="40">
        <v>46113</v>
      </c>
      <c r="D189" s="32">
        <v>3319</v>
      </c>
      <c r="E189" s="32">
        <v>327</v>
      </c>
      <c r="F189" s="32">
        <v>2</v>
      </c>
      <c r="G189" s="31">
        <v>1</v>
      </c>
      <c r="H189" s="31">
        <v>81433</v>
      </c>
      <c r="I189" s="31" t="s">
        <v>17</v>
      </c>
      <c r="J189" s="31">
        <v>80898651</v>
      </c>
      <c r="K189" s="80" t="s">
        <v>1474</v>
      </c>
      <c r="L189" s="18" t="s">
        <v>1477</v>
      </c>
      <c r="M189" s="41">
        <v>239900</v>
      </c>
      <c r="N189" s="30">
        <v>0.9</v>
      </c>
      <c r="O189" s="33">
        <f t="shared" si="2"/>
        <v>23989.999999999996</v>
      </c>
      <c r="P189" s="28" t="s">
        <v>0</v>
      </c>
    </row>
    <row r="190" spans="1:16" x14ac:dyDescent="0.3">
      <c r="A190" s="32" t="s">
        <v>3213</v>
      </c>
      <c r="B190" s="40">
        <v>46108</v>
      </c>
      <c r="C190" s="40">
        <v>46113</v>
      </c>
      <c r="D190" s="32">
        <v>3319</v>
      </c>
      <c r="E190" s="32">
        <v>327</v>
      </c>
      <c r="F190" s="32">
        <v>2</v>
      </c>
      <c r="G190" s="31">
        <v>1</v>
      </c>
      <c r="H190" s="31">
        <v>81433</v>
      </c>
      <c r="I190" s="31" t="s">
        <v>17</v>
      </c>
      <c r="J190" s="31">
        <v>80898660</v>
      </c>
      <c r="K190" s="80" t="s">
        <v>1474</v>
      </c>
      <c r="L190" s="18" t="s">
        <v>1478</v>
      </c>
      <c r="M190" s="41">
        <v>239900</v>
      </c>
      <c r="N190" s="30">
        <v>0.9</v>
      </c>
      <c r="O190" s="33">
        <f t="shared" si="2"/>
        <v>23989.999999999996</v>
      </c>
      <c r="P190" s="28" t="s">
        <v>0</v>
      </c>
    </row>
    <row r="191" spans="1:16" x14ac:dyDescent="0.3">
      <c r="A191" s="32" t="s">
        <v>3213</v>
      </c>
      <c r="B191" s="40">
        <v>46108</v>
      </c>
      <c r="C191" s="40">
        <v>46113</v>
      </c>
      <c r="D191" s="32">
        <v>3319</v>
      </c>
      <c r="E191" s="32">
        <v>327</v>
      </c>
      <c r="F191" s="32">
        <v>2</v>
      </c>
      <c r="G191" s="31">
        <v>1</v>
      </c>
      <c r="H191" s="31">
        <v>81433</v>
      </c>
      <c r="I191" s="31" t="s">
        <v>17</v>
      </c>
      <c r="J191" s="31">
        <v>80898679</v>
      </c>
      <c r="K191" s="80" t="s">
        <v>1474</v>
      </c>
      <c r="L191" s="18" t="s">
        <v>1479</v>
      </c>
      <c r="M191" s="41">
        <v>239900</v>
      </c>
      <c r="N191" s="30">
        <v>0.9</v>
      </c>
      <c r="O191" s="33">
        <f t="shared" si="2"/>
        <v>23989.999999999996</v>
      </c>
      <c r="P191" s="28" t="s">
        <v>0</v>
      </c>
    </row>
    <row r="192" spans="1:16" x14ac:dyDescent="0.3">
      <c r="A192" s="32" t="s">
        <v>3213</v>
      </c>
      <c r="B192" s="40">
        <v>46108</v>
      </c>
      <c r="C192" s="40">
        <v>46113</v>
      </c>
      <c r="D192" s="32">
        <v>3319</v>
      </c>
      <c r="E192" s="32">
        <v>327</v>
      </c>
      <c r="F192" s="32">
        <v>2</v>
      </c>
      <c r="G192" s="31">
        <v>1</v>
      </c>
      <c r="H192" s="31">
        <v>81433</v>
      </c>
      <c r="I192" s="31" t="s">
        <v>17</v>
      </c>
      <c r="J192" s="31">
        <v>80898688</v>
      </c>
      <c r="K192" s="80" t="s">
        <v>1474</v>
      </c>
      <c r="L192" s="18" t="s">
        <v>1480</v>
      </c>
      <c r="M192" s="41">
        <v>239900</v>
      </c>
      <c r="N192" s="30">
        <v>0.9</v>
      </c>
      <c r="O192" s="33">
        <f t="shared" si="2"/>
        <v>23989.999999999996</v>
      </c>
      <c r="P192" s="28" t="s">
        <v>0</v>
      </c>
    </row>
    <row r="193" spans="1:16" x14ac:dyDescent="0.3">
      <c r="A193" s="32" t="s">
        <v>3213</v>
      </c>
      <c r="B193" s="40">
        <v>46108</v>
      </c>
      <c r="C193" s="40">
        <v>46113</v>
      </c>
      <c r="D193" s="32">
        <v>3319</v>
      </c>
      <c r="E193" s="32">
        <v>327</v>
      </c>
      <c r="F193" s="32">
        <v>2</v>
      </c>
      <c r="G193" s="31">
        <v>1</v>
      </c>
      <c r="H193" s="31">
        <v>81433</v>
      </c>
      <c r="I193" s="31" t="s">
        <v>17</v>
      </c>
      <c r="J193" s="31">
        <v>80898697</v>
      </c>
      <c r="K193" s="80" t="s">
        <v>1474</v>
      </c>
      <c r="L193" s="18" t="s">
        <v>1481</v>
      </c>
      <c r="M193" s="41">
        <v>239900</v>
      </c>
      <c r="N193" s="30">
        <v>0.9</v>
      </c>
      <c r="O193" s="33">
        <f t="shared" si="2"/>
        <v>23989.999999999996</v>
      </c>
      <c r="P193" s="28" t="s">
        <v>0</v>
      </c>
    </row>
    <row r="194" spans="1:16" x14ac:dyDescent="0.3">
      <c r="A194" s="32" t="s">
        <v>3213</v>
      </c>
      <c r="B194" s="40">
        <v>46108</v>
      </c>
      <c r="C194" s="40">
        <v>46113</v>
      </c>
      <c r="D194" s="32">
        <v>3319</v>
      </c>
      <c r="E194" s="32">
        <v>327</v>
      </c>
      <c r="F194" s="32">
        <v>2</v>
      </c>
      <c r="G194" s="31">
        <v>1</v>
      </c>
      <c r="H194" s="31">
        <v>81433</v>
      </c>
      <c r="I194" s="31" t="s">
        <v>17</v>
      </c>
      <c r="J194" s="31">
        <v>80898704</v>
      </c>
      <c r="K194" s="80" t="s">
        <v>1474</v>
      </c>
      <c r="L194" s="18" t="s">
        <v>1482</v>
      </c>
      <c r="M194" s="41">
        <v>239900</v>
      </c>
      <c r="N194" s="30">
        <v>0.9</v>
      </c>
      <c r="O194" s="33">
        <f t="shared" ref="O194:O257" si="3">M194*(1-N194)</f>
        <v>23989.999999999996</v>
      </c>
      <c r="P194" s="28" t="s">
        <v>0</v>
      </c>
    </row>
    <row r="195" spans="1:16" x14ac:dyDescent="0.3">
      <c r="A195" s="32" t="s">
        <v>3213</v>
      </c>
      <c r="B195" s="40">
        <v>46108</v>
      </c>
      <c r="C195" s="40">
        <v>46113</v>
      </c>
      <c r="D195" s="32">
        <v>3319</v>
      </c>
      <c r="E195" s="32">
        <v>327</v>
      </c>
      <c r="F195" s="32">
        <v>2</v>
      </c>
      <c r="G195" s="31">
        <v>1</v>
      </c>
      <c r="H195" s="31">
        <v>81433</v>
      </c>
      <c r="I195" s="31" t="s">
        <v>17</v>
      </c>
      <c r="J195" s="31">
        <v>80898713</v>
      </c>
      <c r="K195" s="80" t="s">
        <v>1474</v>
      </c>
      <c r="L195" s="18" t="s">
        <v>1483</v>
      </c>
      <c r="M195" s="41">
        <v>239900</v>
      </c>
      <c r="N195" s="30">
        <v>0.9</v>
      </c>
      <c r="O195" s="33">
        <f t="shared" si="3"/>
        <v>23989.999999999996</v>
      </c>
      <c r="P195" s="28" t="s">
        <v>0</v>
      </c>
    </row>
    <row r="196" spans="1:16" x14ac:dyDescent="0.3">
      <c r="A196" s="32" t="s">
        <v>3213</v>
      </c>
      <c r="B196" s="40">
        <v>46108</v>
      </c>
      <c r="C196" s="40">
        <v>46113</v>
      </c>
      <c r="D196" s="32">
        <v>3319</v>
      </c>
      <c r="E196" s="32">
        <v>327</v>
      </c>
      <c r="F196" s="32">
        <v>2</v>
      </c>
      <c r="G196" s="31">
        <v>1</v>
      </c>
      <c r="H196" s="31">
        <v>81433</v>
      </c>
      <c r="I196" s="31" t="s">
        <v>17</v>
      </c>
      <c r="J196" s="31">
        <v>80898722</v>
      </c>
      <c r="K196" s="80" t="s">
        <v>1474</v>
      </c>
      <c r="L196" s="18" t="s">
        <v>1484</v>
      </c>
      <c r="M196" s="41">
        <v>239900</v>
      </c>
      <c r="N196" s="30">
        <v>0.9</v>
      </c>
      <c r="O196" s="33">
        <f t="shared" si="3"/>
        <v>23989.999999999996</v>
      </c>
      <c r="P196" s="28" t="s">
        <v>0</v>
      </c>
    </row>
    <row r="197" spans="1:16" x14ac:dyDescent="0.3">
      <c r="A197" s="32" t="s">
        <v>3213</v>
      </c>
      <c r="B197" s="40">
        <v>46108</v>
      </c>
      <c r="C197" s="40">
        <v>46113</v>
      </c>
      <c r="D197" s="32">
        <v>3319</v>
      </c>
      <c r="E197" s="32">
        <v>327</v>
      </c>
      <c r="F197" s="32">
        <v>2</v>
      </c>
      <c r="G197" s="31">
        <v>1</v>
      </c>
      <c r="H197" s="31">
        <v>81778</v>
      </c>
      <c r="I197" s="31" t="s">
        <v>17</v>
      </c>
      <c r="J197" s="31">
        <v>78771096</v>
      </c>
      <c r="K197" s="80" t="s">
        <v>1485</v>
      </c>
      <c r="L197" s="18" t="s">
        <v>1486</v>
      </c>
      <c r="M197" s="41">
        <v>239900</v>
      </c>
      <c r="N197" s="30">
        <v>0.9</v>
      </c>
      <c r="O197" s="33">
        <f t="shared" si="3"/>
        <v>23989.999999999996</v>
      </c>
      <c r="P197" s="28" t="s">
        <v>0</v>
      </c>
    </row>
    <row r="198" spans="1:16" x14ac:dyDescent="0.3">
      <c r="A198" s="32" t="s">
        <v>3213</v>
      </c>
      <c r="B198" s="40">
        <v>46108</v>
      </c>
      <c r="C198" s="40">
        <v>46113</v>
      </c>
      <c r="D198" s="32">
        <v>3319</v>
      </c>
      <c r="E198" s="32">
        <v>327</v>
      </c>
      <c r="F198" s="32">
        <v>2</v>
      </c>
      <c r="G198" s="31">
        <v>1</v>
      </c>
      <c r="H198" s="31">
        <v>81778</v>
      </c>
      <c r="I198" s="31" t="s">
        <v>17</v>
      </c>
      <c r="J198" s="31">
        <v>78771103</v>
      </c>
      <c r="K198" s="80" t="s">
        <v>1485</v>
      </c>
      <c r="L198" s="18" t="s">
        <v>1487</v>
      </c>
      <c r="M198" s="41">
        <v>239900</v>
      </c>
      <c r="N198" s="30">
        <v>0.9</v>
      </c>
      <c r="O198" s="33">
        <f t="shared" si="3"/>
        <v>23989.999999999996</v>
      </c>
      <c r="P198" s="28" t="s">
        <v>0</v>
      </c>
    </row>
    <row r="199" spans="1:16" x14ac:dyDescent="0.3">
      <c r="A199" s="32" t="s">
        <v>3213</v>
      </c>
      <c r="B199" s="40">
        <v>46108</v>
      </c>
      <c r="C199" s="40">
        <v>46113</v>
      </c>
      <c r="D199" s="32">
        <v>3319</v>
      </c>
      <c r="E199" s="32">
        <v>327</v>
      </c>
      <c r="F199" s="32">
        <v>2</v>
      </c>
      <c r="G199" s="31">
        <v>1</v>
      </c>
      <c r="H199" s="31">
        <v>81778</v>
      </c>
      <c r="I199" s="31" t="s">
        <v>17</v>
      </c>
      <c r="J199" s="31">
        <v>78771112</v>
      </c>
      <c r="K199" s="80" t="s">
        <v>1485</v>
      </c>
      <c r="L199" s="18" t="s">
        <v>1488</v>
      </c>
      <c r="M199" s="41">
        <v>239900</v>
      </c>
      <c r="N199" s="30">
        <v>0.9</v>
      </c>
      <c r="O199" s="33">
        <f t="shared" si="3"/>
        <v>23989.999999999996</v>
      </c>
      <c r="P199" s="28" t="s">
        <v>0</v>
      </c>
    </row>
    <row r="200" spans="1:16" x14ac:dyDescent="0.3">
      <c r="A200" s="32" t="s">
        <v>3213</v>
      </c>
      <c r="B200" s="40">
        <v>46108</v>
      </c>
      <c r="C200" s="40">
        <v>46113</v>
      </c>
      <c r="D200" s="32">
        <v>3319</v>
      </c>
      <c r="E200" s="32">
        <v>327</v>
      </c>
      <c r="F200" s="32">
        <v>2</v>
      </c>
      <c r="G200" s="31">
        <v>1</v>
      </c>
      <c r="H200" s="31">
        <v>81778</v>
      </c>
      <c r="I200" s="31" t="s">
        <v>17</v>
      </c>
      <c r="J200" s="31">
        <v>78771121</v>
      </c>
      <c r="K200" s="80" t="s">
        <v>1485</v>
      </c>
      <c r="L200" s="18" t="s">
        <v>1489</v>
      </c>
      <c r="M200" s="41">
        <v>239900</v>
      </c>
      <c r="N200" s="30">
        <v>0.9</v>
      </c>
      <c r="O200" s="33">
        <f t="shared" si="3"/>
        <v>23989.999999999996</v>
      </c>
      <c r="P200" s="28" t="s">
        <v>0</v>
      </c>
    </row>
    <row r="201" spans="1:16" x14ac:dyDescent="0.3">
      <c r="A201" s="32" t="s">
        <v>3213</v>
      </c>
      <c r="B201" s="40">
        <v>46108</v>
      </c>
      <c r="C201" s="40">
        <v>46113</v>
      </c>
      <c r="D201" s="32">
        <v>3319</v>
      </c>
      <c r="E201" s="32">
        <v>327</v>
      </c>
      <c r="F201" s="32">
        <v>2</v>
      </c>
      <c r="G201" s="31">
        <v>1</v>
      </c>
      <c r="H201" s="31">
        <v>81778</v>
      </c>
      <c r="I201" s="31" t="s">
        <v>17</v>
      </c>
      <c r="J201" s="31">
        <v>78771130</v>
      </c>
      <c r="K201" s="80" t="s">
        <v>1485</v>
      </c>
      <c r="L201" s="18" t="s">
        <v>1490</v>
      </c>
      <c r="M201" s="41">
        <v>239900</v>
      </c>
      <c r="N201" s="30">
        <v>0.9</v>
      </c>
      <c r="O201" s="33">
        <f t="shared" si="3"/>
        <v>23989.999999999996</v>
      </c>
      <c r="P201" s="28" t="s">
        <v>0</v>
      </c>
    </row>
    <row r="202" spans="1:16" x14ac:dyDescent="0.3">
      <c r="A202" s="32" t="s">
        <v>3213</v>
      </c>
      <c r="B202" s="40">
        <v>46108</v>
      </c>
      <c r="C202" s="40">
        <v>46113</v>
      </c>
      <c r="D202" s="32">
        <v>3319</v>
      </c>
      <c r="E202" s="32">
        <v>327</v>
      </c>
      <c r="F202" s="32">
        <v>2</v>
      </c>
      <c r="G202" s="31">
        <v>1</v>
      </c>
      <c r="H202" s="31">
        <v>81778</v>
      </c>
      <c r="I202" s="31" t="s">
        <v>17</v>
      </c>
      <c r="J202" s="31">
        <v>78771149</v>
      </c>
      <c r="K202" s="80" t="s">
        <v>1485</v>
      </c>
      <c r="L202" s="18" t="s">
        <v>1491</v>
      </c>
      <c r="M202" s="41">
        <v>239900</v>
      </c>
      <c r="N202" s="30">
        <v>0.9</v>
      </c>
      <c r="O202" s="33">
        <f t="shared" si="3"/>
        <v>23989.999999999996</v>
      </c>
      <c r="P202" s="28" t="s">
        <v>0</v>
      </c>
    </row>
    <row r="203" spans="1:16" x14ac:dyDescent="0.3">
      <c r="A203" s="32" t="s">
        <v>3213</v>
      </c>
      <c r="B203" s="40">
        <v>46108</v>
      </c>
      <c r="C203" s="40">
        <v>46113</v>
      </c>
      <c r="D203" s="32">
        <v>3319</v>
      </c>
      <c r="E203" s="32">
        <v>327</v>
      </c>
      <c r="F203" s="32">
        <v>2</v>
      </c>
      <c r="G203" s="31">
        <v>1</v>
      </c>
      <c r="H203" s="31">
        <v>81778</v>
      </c>
      <c r="I203" s="31" t="s">
        <v>17</v>
      </c>
      <c r="J203" s="31">
        <v>78771158</v>
      </c>
      <c r="K203" s="80" t="s">
        <v>1485</v>
      </c>
      <c r="L203" s="18" t="s">
        <v>1492</v>
      </c>
      <c r="M203" s="41">
        <v>239900</v>
      </c>
      <c r="N203" s="30">
        <v>0.9</v>
      </c>
      <c r="O203" s="33">
        <f t="shared" si="3"/>
        <v>23989.999999999996</v>
      </c>
      <c r="P203" s="28" t="s">
        <v>0</v>
      </c>
    </row>
    <row r="204" spans="1:16" x14ac:dyDescent="0.3">
      <c r="A204" s="32" t="s">
        <v>3213</v>
      </c>
      <c r="B204" s="40">
        <v>46108</v>
      </c>
      <c r="C204" s="40">
        <v>46113</v>
      </c>
      <c r="D204" s="32">
        <v>3319</v>
      </c>
      <c r="E204" s="32">
        <v>327</v>
      </c>
      <c r="F204" s="32">
        <v>2</v>
      </c>
      <c r="G204" s="31">
        <v>1</v>
      </c>
      <c r="H204" s="31">
        <v>81778</v>
      </c>
      <c r="I204" s="31" t="s">
        <v>17</v>
      </c>
      <c r="J204" s="31">
        <v>78771167</v>
      </c>
      <c r="K204" s="80" t="s">
        <v>1485</v>
      </c>
      <c r="L204" s="18" t="s">
        <v>1493</v>
      </c>
      <c r="M204" s="41">
        <v>239900</v>
      </c>
      <c r="N204" s="30">
        <v>0.9</v>
      </c>
      <c r="O204" s="33">
        <f t="shared" si="3"/>
        <v>23989.999999999996</v>
      </c>
      <c r="P204" s="28" t="s">
        <v>0</v>
      </c>
    </row>
    <row r="205" spans="1:16" x14ac:dyDescent="0.3">
      <c r="A205" s="32" t="s">
        <v>3213</v>
      </c>
      <c r="B205" s="40">
        <v>46108</v>
      </c>
      <c r="C205" s="40">
        <v>46113</v>
      </c>
      <c r="D205" s="32">
        <v>3319</v>
      </c>
      <c r="E205" s="32">
        <v>327</v>
      </c>
      <c r="F205" s="32">
        <v>2</v>
      </c>
      <c r="G205" s="31">
        <v>1</v>
      </c>
      <c r="H205" s="31">
        <v>81778</v>
      </c>
      <c r="I205" s="31" t="s">
        <v>17</v>
      </c>
      <c r="J205" s="31">
        <v>78771176</v>
      </c>
      <c r="K205" s="80" t="s">
        <v>1485</v>
      </c>
      <c r="L205" s="18" t="s">
        <v>1494</v>
      </c>
      <c r="M205" s="41">
        <v>239900</v>
      </c>
      <c r="N205" s="30">
        <v>0.9</v>
      </c>
      <c r="O205" s="33">
        <f t="shared" si="3"/>
        <v>23989.999999999996</v>
      </c>
      <c r="P205" s="28" t="s">
        <v>0</v>
      </c>
    </row>
    <row r="206" spans="1:16" x14ac:dyDescent="0.3">
      <c r="A206" s="32" t="s">
        <v>3213</v>
      </c>
      <c r="B206" s="40">
        <v>46108</v>
      </c>
      <c r="C206" s="40">
        <v>46113</v>
      </c>
      <c r="D206" s="32">
        <v>3319</v>
      </c>
      <c r="E206" s="32">
        <v>327</v>
      </c>
      <c r="F206" s="32">
        <v>2</v>
      </c>
      <c r="G206" s="31">
        <v>1</v>
      </c>
      <c r="H206" s="31">
        <v>81778</v>
      </c>
      <c r="I206" s="31" t="s">
        <v>17</v>
      </c>
      <c r="J206" s="31">
        <v>78771185</v>
      </c>
      <c r="K206" s="80" t="s">
        <v>1485</v>
      </c>
      <c r="L206" s="18" t="s">
        <v>1495</v>
      </c>
      <c r="M206" s="41">
        <v>239900</v>
      </c>
      <c r="N206" s="30">
        <v>0.9</v>
      </c>
      <c r="O206" s="33">
        <f t="shared" si="3"/>
        <v>23989.999999999996</v>
      </c>
      <c r="P206" s="28" t="s">
        <v>0</v>
      </c>
    </row>
    <row r="207" spans="1:16" x14ac:dyDescent="0.3">
      <c r="A207" s="32" t="s">
        <v>3213</v>
      </c>
      <c r="B207" s="40">
        <v>46108</v>
      </c>
      <c r="C207" s="40">
        <v>46113</v>
      </c>
      <c r="D207" s="32">
        <v>3319</v>
      </c>
      <c r="E207" s="32">
        <v>327</v>
      </c>
      <c r="F207" s="32">
        <v>2</v>
      </c>
      <c r="G207" s="31">
        <v>1</v>
      </c>
      <c r="H207" s="31">
        <v>81778</v>
      </c>
      <c r="I207" s="31" t="s">
        <v>17</v>
      </c>
      <c r="J207" s="31">
        <v>80071212</v>
      </c>
      <c r="K207" s="80" t="s">
        <v>1496</v>
      </c>
      <c r="L207" s="18" t="s">
        <v>1497</v>
      </c>
      <c r="M207" s="41">
        <v>239900</v>
      </c>
      <c r="N207" s="30">
        <v>0.9</v>
      </c>
      <c r="O207" s="33">
        <f t="shared" si="3"/>
        <v>23989.999999999996</v>
      </c>
      <c r="P207" s="28" t="s">
        <v>0</v>
      </c>
    </row>
    <row r="208" spans="1:16" x14ac:dyDescent="0.3">
      <c r="A208" s="32" t="s">
        <v>3213</v>
      </c>
      <c r="B208" s="40">
        <v>46108</v>
      </c>
      <c r="C208" s="40">
        <v>46113</v>
      </c>
      <c r="D208" s="32">
        <v>3319</v>
      </c>
      <c r="E208" s="32">
        <v>327</v>
      </c>
      <c r="F208" s="32">
        <v>2</v>
      </c>
      <c r="G208" s="31">
        <v>1</v>
      </c>
      <c r="H208" s="31">
        <v>81778</v>
      </c>
      <c r="I208" s="31" t="s">
        <v>17</v>
      </c>
      <c r="J208" s="31">
        <v>80071221</v>
      </c>
      <c r="K208" s="80" t="s">
        <v>1496</v>
      </c>
      <c r="L208" s="18" t="s">
        <v>1498</v>
      </c>
      <c r="M208" s="41">
        <v>239900</v>
      </c>
      <c r="N208" s="30">
        <v>0.9</v>
      </c>
      <c r="O208" s="33">
        <f t="shared" si="3"/>
        <v>23989.999999999996</v>
      </c>
      <c r="P208" s="28" t="s">
        <v>0</v>
      </c>
    </row>
    <row r="209" spans="1:16" x14ac:dyDescent="0.3">
      <c r="A209" s="32" t="s">
        <v>3213</v>
      </c>
      <c r="B209" s="40">
        <v>46108</v>
      </c>
      <c r="C209" s="40">
        <v>46113</v>
      </c>
      <c r="D209" s="32">
        <v>3319</v>
      </c>
      <c r="E209" s="32">
        <v>327</v>
      </c>
      <c r="F209" s="32">
        <v>2</v>
      </c>
      <c r="G209" s="31">
        <v>1</v>
      </c>
      <c r="H209" s="31">
        <v>81778</v>
      </c>
      <c r="I209" s="31" t="s">
        <v>17</v>
      </c>
      <c r="J209" s="31">
        <v>80071230</v>
      </c>
      <c r="K209" s="80" t="s">
        <v>1496</v>
      </c>
      <c r="L209" s="18" t="s">
        <v>1499</v>
      </c>
      <c r="M209" s="41">
        <v>239900</v>
      </c>
      <c r="N209" s="30">
        <v>0.9</v>
      </c>
      <c r="O209" s="33">
        <f t="shared" si="3"/>
        <v>23989.999999999996</v>
      </c>
      <c r="P209" s="28" t="s">
        <v>0</v>
      </c>
    </row>
    <row r="210" spans="1:16" x14ac:dyDescent="0.3">
      <c r="A210" s="32" t="s">
        <v>3213</v>
      </c>
      <c r="B210" s="40">
        <v>46108</v>
      </c>
      <c r="C210" s="40">
        <v>46113</v>
      </c>
      <c r="D210" s="32">
        <v>3319</v>
      </c>
      <c r="E210" s="32">
        <v>327</v>
      </c>
      <c r="F210" s="32">
        <v>2</v>
      </c>
      <c r="G210" s="31">
        <v>1</v>
      </c>
      <c r="H210" s="31">
        <v>81778</v>
      </c>
      <c r="I210" s="31" t="s">
        <v>17</v>
      </c>
      <c r="J210" s="31">
        <v>80071249</v>
      </c>
      <c r="K210" s="80" t="s">
        <v>1496</v>
      </c>
      <c r="L210" s="18" t="s">
        <v>1500</v>
      </c>
      <c r="M210" s="41">
        <v>239900</v>
      </c>
      <c r="N210" s="30">
        <v>0.9</v>
      </c>
      <c r="O210" s="33">
        <f t="shared" si="3"/>
        <v>23989.999999999996</v>
      </c>
      <c r="P210" s="28" t="s">
        <v>0</v>
      </c>
    </row>
    <row r="211" spans="1:16" x14ac:dyDescent="0.3">
      <c r="A211" s="32" t="s">
        <v>3213</v>
      </c>
      <c r="B211" s="40">
        <v>46108</v>
      </c>
      <c r="C211" s="40">
        <v>46113</v>
      </c>
      <c r="D211" s="32">
        <v>3319</v>
      </c>
      <c r="E211" s="32">
        <v>327</v>
      </c>
      <c r="F211" s="32">
        <v>2</v>
      </c>
      <c r="G211" s="31">
        <v>1</v>
      </c>
      <c r="H211" s="31">
        <v>81778</v>
      </c>
      <c r="I211" s="31" t="s">
        <v>17</v>
      </c>
      <c r="J211" s="31">
        <v>80071258</v>
      </c>
      <c r="K211" s="80" t="s">
        <v>1496</v>
      </c>
      <c r="L211" s="18" t="s">
        <v>1501</v>
      </c>
      <c r="M211" s="41">
        <v>239900</v>
      </c>
      <c r="N211" s="30">
        <v>0.9</v>
      </c>
      <c r="O211" s="33">
        <f t="shared" si="3"/>
        <v>23989.999999999996</v>
      </c>
      <c r="P211" s="28" t="s">
        <v>0</v>
      </c>
    </row>
    <row r="212" spans="1:16" x14ac:dyDescent="0.3">
      <c r="A212" s="32" t="s">
        <v>3213</v>
      </c>
      <c r="B212" s="40">
        <v>46108</v>
      </c>
      <c r="C212" s="40">
        <v>46113</v>
      </c>
      <c r="D212" s="32">
        <v>3319</v>
      </c>
      <c r="E212" s="32">
        <v>327</v>
      </c>
      <c r="F212" s="32">
        <v>2</v>
      </c>
      <c r="G212" s="31">
        <v>1</v>
      </c>
      <c r="H212" s="31">
        <v>81778</v>
      </c>
      <c r="I212" s="31" t="s">
        <v>17</v>
      </c>
      <c r="J212" s="31">
        <v>80071267</v>
      </c>
      <c r="K212" s="80" t="s">
        <v>1496</v>
      </c>
      <c r="L212" s="18" t="s">
        <v>1502</v>
      </c>
      <c r="M212" s="41">
        <v>239900</v>
      </c>
      <c r="N212" s="30">
        <v>0.9</v>
      </c>
      <c r="O212" s="33">
        <f t="shared" si="3"/>
        <v>23989.999999999996</v>
      </c>
      <c r="P212" s="28" t="s">
        <v>0</v>
      </c>
    </row>
    <row r="213" spans="1:16" x14ac:dyDescent="0.3">
      <c r="A213" s="32" t="s">
        <v>3213</v>
      </c>
      <c r="B213" s="40">
        <v>46108</v>
      </c>
      <c r="C213" s="40">
        <v>46113</v>
      </c>
      <c r="D213" s="32">
        <v>3319</v>
      </c>
      <c r="E213" s="32">
        <v>327</v>
      </c>
      <c r="F213" s="32">
        <v>2</v>
      </c>
      <c r="G213" s="31">
        <v>1</v>
      </c>
      <c r="H213" s="31">
        <v>81778</v>
      </c>
      <c r="I213" s="31" t="s">
        <v>17</v>
      </c>
      <c r="J213" s="31">
        <v>80071276</v>
      </c>
      <c r="K213" s="80" t="s">
        <v>1496</v>
      </c>
      <c r="L213" s="18" t="s">
        <v>1503</v>
      </c>
      <c r="M213" s="41">
        <v>239900</v>
      </c>
      <c r="N213" s="30">
        <v>0.9</v>
      </c>
      <c r="O213" s="33">
        <f t="shared" si="3"/>
        <v>23989.999999999996</v>
      </c>
      <c r="P213" s="28" t="s">
        <v>0</v>
      </c>
    </row>
    <row r="214" spans="1:16" x14ac:dyDescent="0.3">
      <c r="A214" s="32" t="s">
        <v>3213</v>
      </c>
      <c r="B214" s="40">
        <v>46108</v>
      </c>
      <c r="C214" s="40">
        <v>46113</v>
      </c>
      <c r="D214" s="32">
        <v>3319</v>
      </c>
      <c r="E214" s="32">
        <v>327</v>
      </c>
      <c r="F214" s="32">
        <v>2</v>
      </c>
      <c r="G214" s="31">
        <v>1</v>
      </c>
      <c r="H214" s="31">
        <v>81778</v>
      </c>
      <c r="I214" s="31" t="s">
        <v>17</v>
      </c>
      <c r="J214" s="31">
        <v>80071285</v>
      </c>
      <c r="K214" s="80" t="s">
        <v>1496</v>
      </c>
      <c r="L214" s="18" t="s">
        <v>1504</v>
      </c>
      <c r="M214" s="41">
        <v>239900</v>
      </c>
      <c r="N214" s="30">
        <v>0.9</v>
      </c>
      <c r="O214" s="33">
        <f t="shared" si="3"/>
        <v>23989.999999999996</v>
      </c>
      <c r="P214" s="28" t="s">
        <v>0</v>
      </c>
    </row>
    <row r="215" spans="1:16" x14ac:dyDescent="0.3">
      <c r="A215" s="32" t="s">
        <v>3213</v>
      </c>
      <c r="B215" s="40">
        <v>46108</v>
      </c>
      <c r="C215" s="40">
        <v>46113</v>
      </c>
      <c r="D215" s="32">
        <v>3319</v>
      </c>
      <c r="E215" s="32">
        <v>327</v>
      </c>
      <c r="F215" s="32">
        <v>2</v>
      </c>
      <c r="G215" s="31">
        <v>1</v>
      </c>
      <c r="H215" s="31">
        <v>81778</v>
      </c>
      <c r="I215" s="31" t="s">
        <v>17</v>
      </c>
      <c r="J215" s="31">
        <v>80071294</v>
      </c>
      <c r="K215" s="80" t="s">
        <v>1496</v>
      </c>
      <c r="L215" s="18" t="s">
        <v>1505</v>
      </c>
      <c r="M215" s="41">
        <v>239900</v>
      </c>
      <c r="N215" s="30">
        <v>0.9</v>
      </c>
      <c r="O215" s="33">
        <f t="shared" si="3"/>
        <v>23989.999999999996</v>
      </c>
      <c r="P215" s="28" t="s">
        <v>0</v>
      </c>
    </row>
    <row r="216" spans="1:16" x14ac:dyDescent="0.3">
      <c r="A216" s="32" t="s">
        <v>3213</v>
      </c>
      <c r="B216" s="40">
        <v>46108</v>
      </c>
      <c r="C216" s="40">
        <v>46113</v>
      </c>
      <c r="D216" s="32">
        <v>3319</v>
      </c>
      <c r="E216" s="32">
        <v>327</v>
      </c>
      <c r="F216" s="32">
        <v>2</v>
      </c>
      <c r="G216" s="31">
        <v>1</v>
      </c>
      <c r="H216" s="31">
        <v>81778</v>
      </c>
      <c r="I216" s="31" t="s">
        <v>17</v>
      </c>
      <c r="J216" s="31">
        <v>80071301</v>
      </c>
      <c r="K216" s="80" t="s">
        <v>1496</v>
      </c>
      <c r="L216" s="18" t="s">
        <v>1506</v>
      </c>
      <c r="M216" s="41">
        <v>239900</v>
      </c>
      <c r="N216" s="30">
        <v>0.9</v>
      </c>
      <c r="O216" s="33">
        <f t="shared" si="3"/>
        <v>23989.999999999996</v>
      </c>
      <c r="P216" s="28" t="s">
        <v>0</v>
      </c>
    </row>
    <row r="217" spans="1:16" x14ac:dyDescent="0.3">
      <c r="A217" s="32" t="s">
        <v>3213</v>
      </c>
      <c r="B217" s="40">
        <v>46108</v>
      </c>
      <c r="C217" s="40">
        <v>46113</v>
      </c>
      <c r="D217" s="32">
        <v>3319</v>
      </c>
      <c r="E217" s="32">
        <v>327</v>
      </c>
      <c r="F217" s="32">
        <v>2</v>
      </c>
      <c r="G217" s="31">
        <v>1</v>
      </c>
      <c r="H217" s="31">
        <v>81778</v>
      </c>
      <c r="I217" s="31" t="s">
        <v>17</v>
      </c>
      <c r="J217" s="31">
        <v>80071310</v>
      </c>
      <c r="K217" s="80" t="s">
        <v>1507</v>
      </c>
      <c r="L217" s="18" t="s">
        <v>1508</v>
      </c>
      <c r="M217" s="41">
        <v>239900</v>
      </c>
      <c r="N217" s="30">
        <v>0.9</v>
      </c>
      <c r="O217" s="33">
        <f t="shared" si="3"/>
        <v>23989.999999999996</v>
      </c>
      <c r="P217" s="28" t="s">
        <v>0</v>
      </c>
    </row>
    <row r="218" spans="1:16" x14ac:dyDescent="0.3">
      <c r="A218" s="32" t="s">
        <v>3213</v>
      </c>
      <c r="B218" s="40">
        <v>46108</v>
      </c>
      <c r="C218" s="40">
        <v>46113</v>
      </c>
      <c r="D218" s="32">
        <v>3319</v>
      </c>
      <c r="E218" s="32">
        <v>327</v>
      </c>
      <c r="F218" s="32">
        <v>2</v>
      </c>
      <c r="G218" s="31">
        <v>1</v>
      </c>
      <c r="H218" s="31">
        <v>81778</v>
      </c>
      <c r="I218" s="31" t="s">
        <v>17</v>
      </c>
      <c r="J218" s="31">
        <v>80071329</v>
      </c>
      <c r="K218" s="80" t="s">
        <v>1507</v>
      </c>
      <c r="L218" s="18" t="s">
        <v>1509</v>
      </c>
      <c r="M218" s="41">
        <v>239900</v>
      </c>
      <c r="N218" s="30">
        <v>0.9</v>
      </c>
      <c r="O218" s="33">
        <f t="shared" si="3"/>
        <v>23989.999999999996</v>
      </c>
      <c r="P218" s="28" t="s">
        <v>0</v>
      </c>
    </row>
    <row r="219" spans="1:16" x14ac:dyDescent="0.3">
      <c r="A219" s="32" t="s">
        <v>3213</v>
      </c>
      <c r="B219" s="40">
        <v>46108</v>
      </c>
      <c r="C219" s="40">
        <v>46113</v>
      </c>
      <c r="D219" s="32">
        <v>3319</v>
      </c>
      <c r="E219" s="32">
        <v>327</v>
      </c>
      <c r="F219" s="32">
        <v>2</v>
      </c>
      <c r="G219" s="31">
        <v>1</v>
      </c>
      <c r="H219" s="31">
        <v>81778</v>
      </c>
      <c r="I219" s="31" t="s">
        <v>17</v>
      </c>
      <c r="J219" s="31">
        <v>80071338</v>
      </c>
      <c r="K219" s="80" t="s">
        <v>1507</v>
      </c>
      <c r="L219" s="18" t="s">
        <v>1510</v>
      </c>
      <c r="M219" s="41">
        <v>239900</v>
      </c>
      <c r="N219" s="30">
        <v>0.9</v>
      </c>
      <c r="O219" s="33">
        <f t="shared" si="3"/>
        <v>23989.999999999996</v>
      </c>
      <c r="P219" s="28" t="s">
        <v>0</v>
      </c>
    </row>
    <row r="220" spans="1:16" x14ac:dyDescent="0.3">
      <c r="A220" s="32" t="s">
        <v>3213</v>
      </c>
      <c r="B220" s="40">
        <v>46108</v>
      </c>
      <c r="C220" s="40">
        <v>46113</v>
      </c>
      <c r="D220" s="32">
        <v>3319</v>
      </c>
      <c r="E220" s="32">
        <v>327</v>
      </c>
      <c r="F220" s="32">
        <v>2</v>
      </c>
      <c r="G220" s="31">
        <v>1</v>
      </c>
      <c r="H220" s="31">
        <v>81778</v>
      </c>
      <c r="I220" s="31" t="s">
        <v>17</v>
      </c>
      <c r="J220" s="31">
        <v>80071347</v>
      </c>
      <c r="K220" s="80" t="s">
        <v>1507</v>
      </c>
      <c r="L220" s="18" t="s">
        <v>1511</v>
      </c>
      <c r="M220" s="41">
        <v>239900</v>
      </c>
      <c r="N220" s="30">
        <v>0.9</v>
      </c>
      <c r="O220" s="33">
        <f t="shared" si="3"/>
        <v>23989.999999999996</v>
      </c>
      <c r="P220" s="28" t="s">
        <v>0</v>
      </c>
    </row>
    <row r="221" spans="1:16" x14ac:dyDescent="0.3">
      <c r="A221" s="32" t="s">
        <v>3213</v>
      </c>
      <c r="B221" s="40">
        <v>46108</v>
      </c>
      <c r="C221" s="40">
        <v>46113</v>
      </c>
      <c r="D221" s="32">
        <v>3319</v>
      </c>
      <c r="E221" s="32">
        <v>327</v>
      </c>
      <c r="F221" s="32">
        <v>2</v>
      </c>
      <c r="G221" s="31">
        <v>1</v>
      </c>
      <c r="H221" s="31">
        <v>81778</v>
      </c>
      <c r="I221" s="31" t="s">
        <v>17</v>
      </c>
      <c r="J221" s="31">
        <v>80071356</v>
      </c>
      <c r="K221" s="80" t="s">
        <v>1507</v>
      </c>
      <c r="L221" s="18" t="s">
        <v>1512</v>
      </c>
      <c r="M221" s="41">
        <v>239900</v>
      </c>
      <c r="N221" s="30">
        <v>0.9</v>
      </c>
      <c r="O221" s="33">
        <f t="shared" si="3"/>
        <v>23989.999999999996</v>
      </c>
      <c r="P221" s="28" t="s">
        <v>0</v>
      </c>
    </row>
    <row r="222" spans="1:16" x14ac:dyDescent="0.3">
      <c r="A222" s="32" t="s">
        <v>3213</v>
      </c>
      <c r="B222" s="40">
        <v>46108</v>
      </c>
      <c r="C222" s="40">
        <v>46113</v>
      </c>
      <c r="D222" s="32">
        <v>3319</v>
      </c>
      <c r="E222" s="32">
        <v>327</v>
      </c>
      <c r="F222" s="32">
        <v>2</v>
      </c>
      <c r="G222" s="31">
        <v>1</v>
      </c>
      <c r="H222" s="31">
        <v>81778</v>
      </c>
      <c r="I222" s="31" t="s">
        <v>17</v>
      </c>
      <c r="J222" s="31">
        <v>80071365</v>
      </c>
      <c r="K222" s="80" t="s">
        <v>1507</v>
      </c>
      <c r="L222" s="18" t="s">
        <v>1513</v>
      </c>
      <c r="M222" s="41">
        <v>239900</v>
      </c>
      <c r="N222" s="30">
        <v>0.9</v>
      </c>
      <c r="O222" s="33">
        <f t="shared" si="3"/>
        <v>23989.999999999996</v>
      </c>
      <c r="P222" s="28" t="s">
        <v>0</v>
      </c>
    </row>
    <row r="223" spans="1:16" x14ac:dyDescent="0.3">
      <c r="A223" s="32" t="s">
        <v>3213</v>
      </c>
      <c r="B223" s="40">
        <v>46108</v>
      </c>
      <c r="C223" s="40">
        <v>46113</v>
      </c>
      <c r="D223" s="32">
        <v>3319</v>
      </c>
      <c r="E223" s="32">
        <v>327</v>
      </c>
      <c r="F223" s="32">
        <v>2</v>
      </c>
      <c r="G223" s="31">
        <v>1</v>
      </c>
      <c r="H223" s="31">
        <v>81778</v>
      </c>
      <c r="I223" s="31" t="s">
        <v>17</v>
      </c>
      <c r="J223" s="31">
        <v>80071374</v>
      </c>
      <c r="K223" s="80" t="s">
        <v>1507</v>
      </c>
      <c r="L223" s="18" t="s">
        <v>1514</v>
      </c>
      <c r="M223" s="41">
        <v>239900</v>
      </c>
      <c r="N223" s="30">
        <v>0.9</v>
      </c>
      <c r="O223" s="33">
        <f t="shared" si="3"/>
        <v>23989.999999999996</v>
      </c>
      <c r="P223" s="28" t="s">
        <v>0</v>
      </c>
    </row>
    <row r="224" spans="1:16" x14ac:dyDescent="0.3">
      <c r="A224" s="32" t="s">
        <v>3213</v>
      </c>
      <c r="B224" s="40">
        <v>46108</v>
      </c>
      <c r="C224" s="40">
        <v>46113</v>
      </c>
      <c r="D224" s="32">
        <v>3319</v>
      </c>
      <c r="E224" s="32">
        <v>327</v>
      </c>
      <c r="F224" s="32">
        <v>2</v>
      </c>
      <c r="G224" s="31">
        <v>1</v>
      </c>
      <c r="H224" s="31">
        <v>81778</v>
      </c>
      <c r="I224" s="31" t="s">
        <v>17</v>
      </c>
      <c r="J224" s="31">
        <v>80071383</v>
      </c>
      <c r="K224" s="80" t="s">
        <v>1507</v>
      </c>
      <c r="L224" s="18" t="s">
        <v>1515</v>
      </c>
      <c r="M224" s="41">
        <v>239900</v>
      </c>
      <c r="N224" s="30">
        <v>0.9</v>
      </c>
      <c r="O224" s="33">
        <f t="shared" si="3"/>
        <v>23989.999999999996</v>
      </c>
      <c r="P224" s="28" t="s">
        <v>0</v>
      </c>
    </row>
    <row r="225" spans="1:16" x14ac:dyDescent="0.3">
      <c r="A225" s="32" t="s">
        <v>3213</v>
      </c>
      <c r="B225" s="40">
        <v>46108</v>
      </c>
      <c r="C225" s="40">
        <v>46113</v>
      </c>
      <c r="D225" s="32">
        <v>3319</v>
      </c>
      <c r="E225" s="32">
        <v>327</v>
      </c>
      <c r="F225" s="32">
        <v>2</v>
      </c>
      <c r="G225" s="31">
        <v>1</v>
      </c>
      <c r="H225" s="31">
        <v>81778</v>
      </c>
      <c r="I225" s="31" t="s">
        <v>17</v>
      </c>
      <c r="J225" s="31">
        <v>80071392</v>
      </c>
      <c r="K225" s="80" t="s">
        <v>1507</v>
      </c>
      <c r="L225" s="18" t="s">
        <v>1516</v>
      </c>
      <c r="M225" s="41">
        <v>239900</v>
      </c>
      <c r="N225" s="30">
        <v>0.9</v>
      </c>
      <c r="O225" s="33">
        <f t="shared" si="3"/>
        <v>23989.999999999996</v>
      </c>
      <c r="P225" s="28" t="s">
        <v>0</v>
      </c>
    </row>
    <row r="226" spans="1:16" x14ac:dyDescent="0.3">
      <c r="A226" s="32" t="s">
        <v>3213</v>
      </c>
      <c r="B226" s="40">
        <v>46108</v>
      </c>
      <c r="C226" s="40">
        <v>46113</v>
      </c>
      <c r="D226" s="32">
        <v>3319</v>
      </c>
      <c r="E226" s="32">
        <v>327</v>
      </c>
      <c r="F226" s="32">
        <v>2</v>
      </c>
      <c r="G226" s="31">
        <v>1</v>
      </c>
      <c r="H226" s="31">
        <v>81778</v>
      </c>
      <c r="I226" s="31" t="s">
        <v>17</v>
      </c>
      <c r="J226" s="31">
        <v>80071409</v>
      </c>
      <c r="K226" s="80" t="s">
        <v>1507</v>
      </c>
      <c r="L226" s="18" t="s">
        <v>1517</v>
      </c>
      <c r="M226" s="41">
        <v>239900</v>
      </c>
      <c r="N226" s="30">
        <v>0.9</v>
      </c>
      <c r="O226" s="33">
        <f t="shared" si="3"/>
        <v>23989.999999999996</v>
      </c>
      <c r="P226" s="28" t="s">
        <v>0</v>
      </c>
    </row>
    <row r="227" spans="1:16" x14ac:dyDescent="0.3">
      <c r="A227" s="32" t="s">
        <v>3213</v>
      </c>
      <c r="B227" s="40">
        <v>46108</v>
      </c>
      <c r="C227" s="40">
        <v>46113</v>
      </c>
      <c r="D227" s="32">
        <v>3319</v>
      </c>
      <c r="E227" s="32">
        <v>327</v>
      </c>
      <c r="F227" s="32">
        <v>2</v>
      </c>
      <c r="G227" s="31">
        <v>1</v>
      </c>
      <c r="H227" s="31">
        <v>81433</v>
      </c>
      <c r="I227" s="31" t="s">
        <v>17</v>
      </c>
      <c r="J227" s="31">
        <v>81119553</v>
      </c>
      <c r="K227" s="80" t="s">
        <v>1518</v>
      </c>
      <c r="L227" s="18" t="s">
        <v>1519</v>
      </c>
      <c r="M227" s="41">
        <v>239900</v>
      </c>
      <c r="N227" s="30">
        <v>0.9</v>
      </c>
      <c r="O227" s="33">
        <f t="shared" si="3"/>
        <v>23989.999999999996</v>
      </c>
      <c r="P227" s="28" t="s">
        <v>0</v>
      </c>
    </row>
    <row r="228" spans="1:16" x14ac:dyDescent="0.3">
      <c r="A228" s="32" t="s">
        <v>3213</v>
      </c>
      <c r="B228" s="40">
        <v>46108</v>
      </c>
      <c r="C228" s="40">
        <v>46113</v>
      </c>
      <c r="D228" s="32">
        <v>3319</v>
      </c>
      <c r="E228" s="32">
        <v>327</v>
      </c>
      <c r="F228" s="32">
        <v>2</v>
      </c>
      <c r="G228" s="31">
        <v>1</v>
      </c>
      <c r="H228" s="31">
        <v>81433</v>
      </c>
      <c r="I228" s="31" t="s">
        <v>17</v>
      </c>
      <c r="J228" s="31">
        <v>81119562</v>
      </c>
      <c r="K228" s="80" t="s">
        <v>1518</v>
      </c>
      <c r="L228" s="18" t="s">
        <v>1520</v>
      </c>
      <c r="M228" s="41">
        <v>239900</v>
      </c>
      <c r="N228" s="30">
        <v>0.9</v>
      </c>
      <c r="O228" s="33">
        <f t="shared" si="3"/>
        <v>23989.999999999996</v>
      </c>
      <c r="P228" s="28" t="s">
        <v>0</v>
      </c>
    </row>
    <row r="229" spans="1:16" x14ac:dyDescent="0.3">
      <c r="A229" s="32" t="s">
        <v>3213</v>
      </c>
      <c r="B229" s="40">
        <v>46108</v>
      </c>
      <c r="C229" s="40">
        <v>46113</v>
      </c>
      <c r="D229" s="32">
        <v>3319</v>
      </c>
      <c r="E229" s="32">
        <v>327</v>
      </c>
      <c r="F229" s="32">
        <v>2</v>
      </c>
      <c r="G229" s="31">
        <v>1</v>
      </c>
      <c r="H229" s="31">
        <v>81433</v>
      </c>
      <c r="I229" s="31" t="s">
        <v>17</v>
      </c>
      <c r="J229" s="31">
        <v>81119571</v>
      </c>
      <c r="K229" s="80" t="s">
        <v>1518</v>
      </c>
      <c r="L229" s="18" t="s">
        <v>1521</v>
      </c>
      <c r="M229" s="41">
        <v>239900</v>
      </c>
      <c r="N229" s="30">
        <v>0.9</v>
      </c>
      <c r="O229" s="33">
        <f t="shared" si="3"/>
        <v>23989.999999999996</v>
      </c>
      <c r="P229" s="28" t="s">
        <v>0</v>
      </c>
    </row>
    <row r="230" spans="1:16" x14ac:dyDescent="0.3">
      <c r="A230" s="32" t="s">
        <v>3213</v>
      </c>
      <c r="B230" s="40">
        <v>46108</v>
      </c>
      <c r="C230" s="40">
        <v>46113</v>
      </c>
      <c r="D230" s="32">
        <v>3319</v>
      </c>
      <c r="E230" s="32">
        <v>327</v>
      </c>
      <c r="F230" s="32">
        <v>2</v>
      </c>
      <c r="G230" s="31">
        <v>1</v>
      </c>
      <c r="H230" s="31">
        <v>81433</v>
      </c>
      <c r="I230" s="31" t="s">
        <v>17</v>
      </c>
      <c r="J230" s="31">
        <v>81119580</v>
      </c>
      <c r="K230" s="80" t="s">
        <v>1518</v>
      </c>
      <c r="L230" s="18" t="s">
        <v>1522</v>
      </c>
      <c r="M230" s="41">
        <v>239900</v>
      </c>
      <c r="N230" s="30">
        <v>0.9</v>
      </c>
      <c r="O230" s="33">
        <f t="shared" si="3"/>
        <v>23989.999999999996</v>
      </c>
      <c r="P230" s="28" t="s">
        <v>0</v>
      </c>
    </row>
    <row r="231" spans="1:16" x14ac:dyDescent="0.3">
      <c r="A231" s="32" t="s">
        <v>3213</v>
      </c>
      <c r="B231" s="40">
        <v>46108</v>
      </c>
      <c r="C231" s="40">
        <v>46113</v>
      </c>
      <c r="D231" s="32">
        <v>3319</v>
      </c>
      <c r="E231" s="32">
        <v>327</v>
      </c>
      <c r="F231" s="32">
        <v>2</v>
      </c>
      <c r="G231" s="31">
        <v>1</v>
      </c>
      <c r="H231" s="31">
        <v>81433</v>
      </c>
      <c r="I231" s="31" t="s">
        <v>17</v>
      </c>
      <c r="J231" s="31">
        <v>81119599</v>
      </c>
      <c r="K231" s="80" t="s">
        <v>1518</v>
      </c>
      <c r="L231" s="18" t="s">
        <v>1523</v>
      </c>
      <c r="M231" s="41">
        <v>239900</v>
      </c>
      <c r="N231" s="30">
        <v>0.9</v>
      </c>
      <c r="O231" s="33">
        <f t="shared" si="3"/>
        <v>23989.999999999996</v>
      </c>
      <c r="P231" s="28" t="s">
        <v>0</v>
      </c>
    </row>
    <row r="232" spans="1:16" x14ac:dyDescent="0.3">
      <c r="A232" s="32" t="s">
        <v>3213</v>
      </c>
      <c r="B232" s="40">
        <v>46108</v>
      </c>
      <c r="C232" s="40">
        <v>46113</v>
      </c>
      <c r="D232" s="32">
        <v>3319</v>
      </c>
      <c r="E232" s="32">
        <v>327</v>
      </c>
      <c r="F232" s="32">
        <v>2</v>
      </c>
      <c r="G232" s="31">
        <v>1</v>
      </c>
      <c r="H232" s="31">
        <v>81433</v>
      </c>
      <c r="I232" s="31" t="s">
        <v>17</v>
      </c>
      <c r="J232" s="31">
        <v>81119606</v>
      </c>
      <c r="K232" s="80" t="s">
        <v>1518</v>
      </c>
      <c r="L232" s="18" t="s">
        <v>1524</v>
      </c>
      <c r="M232" s="41">
        <v>239900</v>
      </c>
      <c r="N232" s="30">
        <v>0.9</v>
      </c>
      <c r="O232" s="33">
        <f t="shared" si="3"/>
        <v>23989.999999999996</v>
      </c>
      <c r="P232" s="28" t="s">
        <v>0</v>
      </c>
    </row>
    <row r="233" spans="1:16" x14ac:dyDescent="0.3">
      <c r="A233" s="32" t="s">
        <v>3213</v>
      </c>
      <c r="B233" s="40">
        <v>46108</v>
      </c>
      <c r="C233" s="40">
        <v>46113</v>
      </c>
      <c r="D233" s="32">
        <v>3319</v>
      </c>
      <c r="E233" s="32">
        <v>327</v>
      </c>
      <c r="F233" s="32">
        <v>2</v>
      </c>
      <c r="G233" s="31">
        <v>1</v>
      </c>
      <c r="H233" s="31">
        <v>81433</v>
      </c>
      <c r="I233" s="31" t="s">
        <v>17</v>
      </c>
      <c r="J233" s="31">
        <v>81119615</v>
      </c>
      <c r="K233" s="80" t="s">
        <v>1518</v>
      </c>
      <c r="L233" s="18" t="s">
        <v>1525</v>
      </c>
      <c r="M233" s="41">
        <v>239900</v>
      </c>
      <c r="N233" s="30">
        <v>0.9</v>
      </c>
      <c r="O233" s="33">
        <f t="shared" si="3"/>
        <v>23989.999999999996</v>
      </c>
      <c r="P233" s="28" t="s">
        <v>0</v>
      </c>
    </row>
    <row r="234" spans="1:16" x14ac:dyDescent="0.3">
      <c r="A234" s="32" t="s">
        <v>3213</v>
      </c>
      <c r="B234" s="40">
        <v>46108</v>
      </c>
      <c r="C234" s="40">
        <v>46113</v>
      </c>
      <c r="D234" s="32">
        <v>3319</v>
      </c>
      <c r="E234" s="32">
        <v>327</v>
      </c>
      <c r="F234" s="32">
        <v>2</v>
      </c>
      <c r="G234" s="31">
        <v>1</v>
      </c>
      <c r="H234" s="31">
        <v>81433</v>
      </c>
      <c r="I234" s="31" t="s">
        <v>17</v>
      </c>
      <c r="J234" s="31">
        <v>81119624</v>
      </c>
      <c r="K234" s="80" t="s">
        <v>1518</v>
      </c>
      <c r="L234" s="18" t="s">
        <v>1526</v>
      </c>
      <c r="M234" s="41">
        <v>239900</v>
      </c>
      <c r="N234" s="30">
        <v>0.9</v>
      </c>
      <c r="O234" s="33">
        <f t="shared" si="3"/>
        <v>23989.999999999996</v>
      </c>
      <c r="P234" s="28" t="s">
        <v>0</v>
      </c>
    </row>
    <row r="235" spans="1:16" x14ac:dyDescent="0.3">
      <c r="A235" s="32" t="s">
        <v>3213</v>
      </c>
      <c r="B235" s="40">
        <v>46108</v>
      </c>
      <c r="C235" s="40">
        <v>46113</v>
      </c>
      <c r="D235" s="32">
        <v>3319</v>
      </c>
      <c r="E235" s="32">
        <v>327</v>
      </c>
      <c r="F235" s="32">
        <v>2</v>
      </c>
      <c r="G235" s="31">
        <v>1</v>
      </c>
      <c r="H235" s="31">
        <v>81433</v>
      </c>
      <c r="I235" s="31" t="s">
        <v>17</v>
      </c>
      <c r="J235" s="31">
        <v>81119633</v>
      </c>
      <c r="K235" s="80" t="s">
        <v>1518</v>
      </c>
      <c r="L235" s="18" t="s">
        <v>1527</v>
      </c>
      <c r="M235" s="41">
        <v>239900</v>
      </c>
      <c r="N235" s="30">
        <v>0.9</v>
      </c>
      <c r="O235" s="33">
        <f t="shared" si="3"/>
        <v>23989.999999999996</v>
      </c>
      <c r="P235" s="28" t="s">
        <v>0</v>
      </c>
    </row>
    <row r="236" spans="1:16" x14ac:dyDescent="0.3">
      <c r="A236" s="32" t="s">
        <v>3213</v>
      </c>
      <c r="B236" s="40">
        <v>46108</v>
      </c>
      <c r="C236" s="40">
        <v>46113</v>
      </c>
      <c r="D236" s="32">
        <v>3319</v>
      </c>
      <c r="E236" s="32">
        <v>327</v>
      </c>
      <c r="F236" s="32">
        <v>2</v>
      </c>
      <c r="G236" s="31">
        <v>1</v>
      </c>
      <c r="H236" s="31">
        <v>81433</v>
      </c>
      <c r="I236" s="31" t="s">
        <v>17</v>
      </c>
      <c r="J236" s="31">
        <v>81119642</v>
      </c>
      <c r="K236" s="80" t="s">
        <v>1518</v>
      </c>
      <c r="L236" s="18" t="s">
        <v>1528</v>
      </c>
      <c r="M236" s="41">
        <v>239900</v>
      </c>
      <c r="N236" s="30">
        <v>0.9</v>
      </c>
      <c r="O236" s="33">
        <f t="shared" si="3"/>
        <v>23989.999999999996</v>
      </c>
      <c r="P236" s="28" t="s">
        <v>0</v>
      </c>
    </row>
    <row r="237" spans="1:16" x14ac:dyDescent="0.3">
      <c r="A237" s="32" t="s">
        <v>3213</v>
      </c>
      <c r="B237" s="40">
        <v>46108</v>
      </c>
      <c r="C237" s="40">
        <v>46113</v>
      </c>
      <c r="D237" s="32">
        <v>3319</v>
      </c>
      <c r="E237" s="32">
        <v>327</v>
      </c>
      <c r="F237" s="32">
        <v>2</v>
      </c>
      <c r="G237" s="31">
        <v>2</v>
      </c>
      <c r="H237" s="31">
        <v>81778</v>
      </c>
      <c r="I237" s="31" t="s">
        <v>17</v>
      </c>
      <c r="J237" s="31">
        <v>78770542</v>
      </c>
      <c r="K237" s="80" t="s">
        <v>1541</v>
      </c>
      <c r="L237" s="18" t="s">
        <v>1542</v>
      </c>
      <c r="M237" s="41">
        <v>399900</v>
      </c>
      <c r="N237" s="30">
        <v>0.9</v>
      </c>
      <c r="O237" s="33">
        <f t="shared" si="3"/>
        <v>39989.999999999993</v>
      </c>
      <c r="P237" s="28" t="s">
        <v>0</v>
      </c>
    </row>
    <row r="238" spans="1:16" x14ac:dyDescent="0.3">
      <c r="A238" s="32" t="s">
        <v>3213</v>
      </c>
      <c r="B238" s="40">
        <v>46108</v>
      </c>
      <c r="C238" s="40">
        <v>46113</v>
      </c>
      <c r="D238" s="32">
        <v>3319</v>
      </c>
      <c r="E238" s="32">
        <v>327</v>
      </c>
      <c r="F238" s="32">
        <v>2</v>
      </c>
      <c r="G238" s="31">
        <v>2</v>
      </c>
      <c r="H238" s="31">
        <v>81778</v>
      </c>
      <c r="I238" s="31" t="s">
        <v>17</v>
      </c>
      <c r="J238" s="31">
        <v>78770551</v>
      </c>
      <c r="K238" s="80" t="s">
        <v>1541</v>
      </c>
      <c r="L238" s="18" t="s">
        <v>1543</v>
      </c>
      <c r="M238" s="41">
        <v>399900</v>
      </c>
      <c r="N238" s="30">
        <v>0.9</v>
      </c>
      <c r="O238" s="33">
        <f t="shared" si="3"/>
        <v>39989.999999999993</v>
      </c>
      <c r="P238" s="28" t="s">
        <v>0</v>
      </c>
    </row>
    <row r="239" spans="1:16" x14ac:dyDescent="0.3">
      <c r="A239" s="32" t="s">
        <v>3213</v>
      </c>
      <c r="B239" s="40">
        <v>46108</v>
      </c>
      <c r="C239" s="40">
        <v>46113</v>
      </c>
      <c r="D239" s="32">
        <v>3319</v>
      </c>
      <c r="E239" s="32">
        <v>327</v>
      </c>
      <c r="F239" s="32">
        <v>2</v>
      </c>
      <c r="G239" s="31">
        <v>2</v>
      </c>
      <c r="H239" s="31">
        <v>81778</v>
      </c>
      <c r="I239" s="31" t="s">
        <v>17</v>
      </c>
      <c r="J239" s="31">
        <v>78770560</v>
      </c>
      <c r="K239" s="80" t="s">
        <v>1541</v>
      </c>
      <c r="L239" s="18" t="s">
        <v>1544</v>
      </c>
      <c r="M239" s="41">
        <v>399900</v>
      </c>
      <c r="N239" s="30">
        <v>0.9</v>
      </c>
      <c r="O239" s="33">
        <f t="shared" si="3"/>
        <v>39989.999999999993</v>
      </c>
      <c r="P239" s="28" t="s">
        <v>0</v>
      </c>
    </row>
    <row r="240" spans="1:16" x14ac:dyDescent="0.3">
      <c r="A240" s="32" t="s">
        <v>3213</v>
      </c>
      <c r="B240" s="40">
        <v>46108</v>
      </c>
      <c r="C240" s="40">
        <v>46113</v>
      </c>
      <c r="D240" s="32">
        <v>3319</v>
      </c>
      <c r="E240" s="32">
        <v>327</v>
      </c>
      <c r="F240" s="32">
        <v>2</v>
      </c>
      <c r="G240" s="31">
        <v>2</v>
      </c>
      <c r="H240" s="31">
        <v>81778</v>
      </c>
      <c r="I240" s="31" t="s">
        <v>17</v>
      </c>
      <c r="J240" s="31">
        <v>78770579</v>
      </c>
      <c r="K240" s="80" t="s">
        <v>1541</v>
      </c>
      <c r="L240" s="18" t="s">
        <v>1545</v>
      </c>
      <c r="M240" s="41">
        <v>399900</v>
      </c>
      <c r="N240" s="30">
        <v>0.9</v>
      </c>
      <c r="O240" s="33">
        <f t="shared" si="3"/>
        <v>39989.999999999993</v>
      </c>
      <c r="P240" s="28" t="s">
        <v>0</v>
      </c>
    </row>
    <row r="241" spans="1:16" x14ac:dyDescent="0.3">
      <c r="A241" s="32" t="s">
        <v>3213</v>
      </c>
      <c r="B241" s="40">
        <v>46108</v>
      </c>
      <c r="C241" s="40">
        <v>46113</v>
      </c>
      <c r="D241" s="32">
        <v>3319</v>
      </c>
      <c r="E241" s="32">
        <v>327</v>
      </c>
      <c r="F241" s="32">
        <v>2</v>
      </c>
      <c r="G241" s="31">
        <v>2</v>
      </c>
      <c r="H241" s="31">
        <v>81778</v>
      </c>
      <c r="I241" s="31" t="s">
        <v>17</v>
      </c>
      <c r="J241" s="31">
        <v>78770588</v>
      </c>
      <c r="K241" s="80" t="s">
        <v>1541</v>
      </c>
      <c r="L241" s="18" t="s">
        <v>1546</v>
      </c>
      <c r="M241" s="41">
        <v>399900</v>
      </c>
      <c r="N241" s="30">
        <v>0.9</v>
      </c>
      <c r="O241" s="33">
        <f t="shared" si="3"/>
        <v>39989.999999999993</v>
      </c>
      <c r="P241" s="28" t="s">
        <v>0</v>
      </c>
    </row>
    <row r="242" spans="1:16" x14ac:dyDescent="0.3">
      <c r="A242" s="32" t="s">
        <v>3213</v>
      </c>
      <c r="B242" s="40">
        <v>46108</v>
      </c>
      <c r="C242" s="40">
        <v>46113</v>
      </c>
      <c r="D242" s="32">
        <v>3319</v>
      </c>
      <c r="E242" s="32">
        <v>327</v>
      </c>
      <c r="F242" s="32">
        <v>2</v>
      </c>
      <c r="G242" s="31">
        <v>2</v>
      </c>
      <c r="H242" s="31">
        <v>81778</v>
      </c>
      <c r="I242" s="31" t="s">
        <v>17</v>
      </c>
      <c r="J242" s="31">
        <v>78770891</v>
      </c>
      <c r="K242" s="80" t="s">
        <v>1547</v>
      </c>
      <c r="L242" s="18" t="s">
        <v>1548</v>
      </c>
      <c r="M242" s="41">
        <v>319900</v>
      </c>
      <c r="N242" s="30">
        <v>0.9</v>
      </c>
      <c r="O242" s="33">
        <f t="shared" si="3"/>
        <v>31989.999999999993</v>
      </c>
      <c r="P242" s="28" t="s">
        <v>0</v>
      </c>
    </row>
    <row r="243" spans="1:16" x14ac:dyDescent="0.3">
      <c r="A243" s="32" t="s">
        <v>3213</v>
      </c>
      <c r="B243" s="40">
        <v>46108</v>
      </c>
      <c r="C243" s="40">
        <v>46113</v>
      </c>
      <c r="D243" s="32">
        <v>3319</v>
      </c>
      <c r="E243" s="32">
        <v>327</v>
      </c>
      <c r="F243" s="32">
        <v>2</v>
      </c>
      <c r="G243" s="31">
        <v>2</v>
      </c>
      <c r="H243" s="31">
        <v>81778</v>
      </c>
      <c r="I243" s="31" t="s">
        <v>17</v>
      </c>
      <c r="J243" s="31">
        <v>78770908</v>
      </c>
      <c r="K243" s="80" t="s">
        <v>1547</v>
      </c>
      <c r="L243" s="18" t="s">
        <v>1549</v>
      </c>
      <c r="M243" s="41">
        <v>319900</v>
      </c>
      <c r="N243" s="30">
        <v>0.9</v>
      </c>
      <c r="O243" s="33">
        <f t="shared" si="3"/>
        <v>31989.999999999993</v>
      </c>
      <c r="P243" s="28" t="s">
        <v>0</v>
      </c>
    </row>
    <row r="244" spans="1:16" x14ac:dyDescent="0.3">
      <c r="A244" s="32" t="s">
        <v>3213</v>
      </c>
      <c r="B244" s="40">
        <v>46108</v>
      </c>
      <c r="C244" s="40">
        <v>46113</v>
      </c>
      <c r="D244" s="32">
        <v>3319</v>
      </c>
      <c r="E244" s="32">
        <v>327</v>
      </c>
      <c r="F244" s="32">
        <v>2</v>
      </c>
      <c r="G244" s="31">
        <v>2</v>
      </c>
      <c r="H244" s="31">
        <v>81778</v>
      </c>
      <c r="I244" s="31" t="s">
        <v>17</v>
      </c>
      <c r="J244" s="31">
        <v>78770917</v>
      </c>
      <c r="K244" s="80" t="s">
        <v>1547</v>
      </c>
      <c r="L244" s="18" t="s">
        <v>1550</v>
      </c>
      <c r="M244" s="41">
        <v>319900</v>
      </c>
      <c r="N244" s="30">
        <v>0.9</v>
      </c>
      <c r="O244" s="33">
        <f t="shared" si="3"/>
        <v>31989.999999999993</v>
      </c>
      <c r="P244" s="28" t="s">
        <v>0</v>
      </c>
    </row>
    <row r="245" spans="1:16" x14ac:dyDescent="0.3">
      <c r="A245" s="32" t="s">
        <v>3213</v>
      </c>
      <c r="B245" s="40">
        <v>46108</v>
      </c>
      <c r="C245" s="40">
        <v>46113</v>
      </c>
      <c r="D245" s="32">
        <v>3319</v>
      </c>
      <c r="E245" s="32">
        <v>327</v>
      </c>
      <c r="F245" s="32">
        <v>2</v>
      </c>
      <c r="G245" s="31">
        <v>2</v>
      </c>
      <c r="H245" s="31">
        <v>81778</v>
      </c>
      <c r="I245" s="31" t="s">
        <v>17</v>
      </c>
      <c r="J245" s="31">
        <v>78770926</v>
      </c>
      <c r="K245" s="80" t="s">
        <v>1547</v>
      </c>
      <c r="L245" s="18" t="s">
        <v>1551</v>
      </c>
      <c r="M245" s="41">
        <v>319900</v>
      </c>
      <c r="N245" s="30">
        <v>0.9</v>
      </c>
      <c r="O245" s="33">
        <f t="shared" si="3"/>
        <v>31989.999999999993</v>
      </c>
      <c r="P245" s="28" t="s">
        <v>0</v>
      </c>
    </row>
    <row r="246" spans="1:16" x14ac:dyDescent="0.3">
      <c r="A246" s="32" t="s">
        <v>3213</v>
      </c>
      <c r="B246" s="40">
        <v>46108</v>
      </c>
      <c r="C246" s="40">
        <v>46113</v>
      </c>
      <c r="D246" s="32">
        <v>3319</v>
      </c>
      <c r="E246" s="32">
        <v>327</v>
      </c>
      <c r="F246" s="32">
        <v>2</v>
      </c>
      <c r="G246" s="31">
        <v>2</v>
      </c>
      <c r="H246" s="31">
        <v>81778</v>
      </c>
      <c r="I246" s="31" t="s">
        <v>17</v>
      </c>
      <c r="J246" s="31">
        <v>78770935</v>
      </c>
      <c r="K246" s="80" t="s">
        <v>1547</v>
      </c>
      <c r="L246" s="18" t="s">
        <v>1552</v>
      </c>
      <c r="M246" s="41">
        <v>319900</v>
      </c>
      <c r="N246" s="30">
        <v>0.9</v>
      </c>
      <c r="O246" s="33">
        <f t="shared" si="3"/>
        <v>31989.999999999993</v>
      </c>
      <c r="P246" s="28" t="s">
        <v>0</v>
      </c>
    </row>
    <row r="247" spans="1:16" x14ac:dyDescent="0.3">
      <c r="A247" s="32" t="s">
        <v>3213</v>
      </c>
      <c r="B247" s="40">
        <v>46108</v>
      </c>
      <c r="C247" s="40">
        <v>46113</v>
      </c>
      <c r="D247" s="32">
        <v>3319</v>
      </c>
      <c r="E247" s="32">
        <v>327</v>
      </c>
      <c r="F247" s="32">
        <v>2</v>
      </c>
      <c r="G247" s="31">
        <v>2</v>
      </c>
      <c r="H247" s="31">
        <v>81778</v>
      </c>
      <c r="I247" s="31" t="s">
        <v>17</v>
      </c>
      <c r="J247" s="31">
        <v>78770944</v>
      </c>
      <c r="K247" s="80" t="s">
        <v>1547</v>
      </c>
      <c r="L247" s="18" t="s">
        <v>1553</v>
      </c>
      <c r="M247" s="41">
        <v>319900</v>
      </c>
      <c r="N247" s="30">
        <v>0.9</v>
      </c>
      <c r="O247" s="33">
        <f t="shared" si="3"/>
        <v>31989.999999999993</v>
      </c>
      <c r="P247" s="28" t="s">
        <v>0</v>
      </c>
    </row>
    <row r="248" spans="1:16" x14ac:dyDescent="0.3">
      <c r="A248" s="32" t="s">
        <v>3213</v>
      </c>
      <c r="B248" s="40">
        <v>46108</v>
      </c>
      <c r="C248" s="40">
        <v>46113</v>
      </c>
      <c r="D248" s="32">
        <v>3319</v>
      </c>
      <c r="E248" s="32">
        <v>327</v>
      </c>
      <c r="F248" s="32">
        <v>2</v>
      </c>
      <c r="G248" s="31">
        <v>2</v>
      </c>
      <c r="H248" s="31">
        <v>81778</v>
      </c>
      <c r="I248" s="31" t="s">
        <v>17</v>
      </c>
      <c r="J248" s="31">
        <v>78770953</v>
      </c>
      <c r="K248" s="80" t="s">
        <v>1547</v>
      </c>
      <c r="L248" s="18" t="s">
        <v>1554</v>
      </c>
      <c r="M248" s="41">
        <v>319900</v>
      </c>
      <c r="N248" s="30">
        <v>0.9</v>
      </c>
      <c r="O248" s="33">
        <f t="shared" si="3"/>
        <v>31989.999999999993</v>
      </c>
      <c r="P248" s="28" t="s">
        <v>0</v>
      </c>
    </row>
    <row r="249" spans="1:16" x14ac:dyDescent="0.3">
      <c r="A249" s="32" t="s">
        <v>3213</v>
      </c>
      <c r="B249" s="40">
        <v>46108</v>
      </c>
      <c r="C249" s="40">
        <v>46113</v>
      </c>
      <c r="D249" s="32">
        <v>3319</v>
      </c>
      <c r="E249" s="32">
        <v>327</v>
      </c>
      <c r="F249" s="32">
        <v>2</v>
      </c>
      <c r="G249" s="31">
        <v>2</v>
      </c>
      <c r="H249" s="31">
        <v>81778</v>
      </c>
      <c r="I249" s="31" t="s">
        <v>17</v>
      </c>
      <c r="J249" s="31">
        <v>78770962</v>
      </c>
      <c r="K249" s="80" t="s">
        <v>1547</v>
      </c>
      <c r="L249" s="18" t="s">
        <v>1555</v>
      </c>
      <c r="M249" s="41">
        <v>319900</v>
      </c>
      <c r="N249" s="30">
        <v>0.9</v>
      </c>
      <c r="O249" s="33">
        <f t="shared" si="3"/>
        <v>31989.999999999993</v>
      </c>
      <c r="P249" s="28" t="s">
        <v>0</v>
      </c>
    </row>
    <row r="250" spans="1:16" x14ac:dyDescent="0.3">
      <c r="A250" s="32" t="s">
        <v>3213</v>
      </c>
      <c r="B250" s="40">
        <v>46108</v>
      </c>
      <c r="C250" s="40">
        <v>46113</v>
      </c>
      <c r="D250" s="32">
        <v>3319</v>
      </c>
      <c r="E250" s="32">
        <v>327</v>
      </c>
      <c r="F250" s="32">
        <v>2</v>
      </c>
      <c r="G250" s="31">
        <v>2</v>
      </c>
      <c r="H250" s="31">
        <v>81778</v>
      </c>
      <c r="I250" s="31" t="s">
        <v>17</v>
      </c>
      <c r="J250" s="31">
        <v>78770971</v>
      </c>
      <c r="K250" s="80" t="s">
        <v>1547</v>
      </c>
      <c r="L250" s="18" t="s">
        <v>1556</v>
      </c>
      <c r="M250" s="41">
        <v>319900</v>
      </c>
      <c r="N250" s="30">
        <v>0.9</v>
      </c>
      <c r="O250" s="33">
        <f t="shared" si="3"/>
        <v>31989.999999999993</v>
      </c>
      <c r="P250" s="28" t="s">
        <v>0</v>
      </c>
    </row>
    <row r="251" spans="1:16" x14ac:dyDescent="0.3">
      <c r="A251" s="32" t="s">
        <v>3213</v>
      </c>
      <c r="B251" s="40">
        <v>46108</v>
      </c>
      <c r="C251" s="40">
        <v>46113</v>
      </c>
      <c r="D251" s="32">
        <v>3319</v>
      </c>
      <c r="E251" s="32">
        <v>327</v>
      </c>
      <c r="F251" s="32">
        <v>2</v>
      </c>
      <c r="G251" s="31">
        <v>2</v>
      </c>
      <c r="H251" s="31">
        <v>81778</v>
      </c>
      <c r="I251" s="31" t="s">
        <v>17</v>
      </c>
      <c r="J251" s="31">
        <v>78770980</v>
      </c>
      <c r="K251" s="80" t="s">
        <v>1547</v>
      </c>
      <c r="L251" s="18" t="s">
        <v>1557</v>
      </c>
      <c r="M251" s="41">
        <v>319900</v>
      </c>
      <c r="N251" s="30">
        <v>0.9</v>
      </c>
      <c r="O251" s="33">
        <f t="shared" si="3"/>
        <v>31989.999999999993</v>
      </c>
      <c r="P251" s="28" t="s">
        <v>0</v>
      </c>
    </row>
    <row r="252" spans="1:16" x14ac:dyDescent="0.3">
      <c r="A252" s="32" t="s">
        <v>3213</v>
      </c>
      <c r="B252" s="40">
        <v>46108</v>
      </c>
      <c r="C252" s="40">
        <v>46113</v>
      </c>
      <c r="D252" s="32">
        <v>3319</v>
      </c>
      <c r="E252" s="32">
        <v>327</v>
      </c>
      <c r="F252" s="32">
        <v>2</v>
      </c>
      <c r="G252" s="31">
        <v>1</v>
      </c>
      <c r="H252" s="31">
        <v>80700</v>
      </c>
      <c r="I252" s="31" t="s">
        <v>17</v>
      </c>
      <c r="J252" s="31">
        <v>41136654</v>
      </c>
      <c r="K252" s="80" t="s">
        <v>1609</v>
      </c>
      <c r="L252" s="18" t="s">
        <v>1610</v>
      </c>
      <c r="M252" s="41">
        <v>159900</v>
      </c>
      <c r="N252" s="30">
        <v>0.9</v>
      </c>
      <c r="O252" s="33">
        <f t="shared" si="3"/>
        <v>15989.999999999996</v>
      </c>
      <c r="P252" s="16" t="s">
        <v>0</v>
      </c>
    </row>
    <row r="253" spans="1:16" x14ac:dyDescent="0.3">
      <c r="A253" s="32" t="s">
        <v>3213</v>
      </c>
      <c r="B253" s="40">
        <v>46108</v>
      </c>
      <c r="C253" s="40">
        <v>46113</v>
      </c>
      <c r="D253" s="32">
        <v>3319</v>
      </c>
      <c r="E253" s="32">
        <v>327</v>
      </c>
      <c r="F253" s="32">
        <v>2</v>
      </c>
      <c r="G253" s="31">
        <v>1</v>
      </c>
      <c r="H253" s="31">
        <v>80700</v>
      </c>
      <c r="I253" s="31" t="s">
        <v>17</v>
      </c>
      <c r="J253" s="31">
        <v>41136645</v>
      </c>
      <c r="K253" s="80" t="s">
        <v>1609</v>
      </c>
      <c r="L253" s="18" t="s">
        <v>1611</v>
      </c>
      <c r="M253" s="41">
        <v>159900</v>
      </c>
      <c r="N253" s="30">
        <v>0.9</v>
      </c>
      <c r="O253" s="33">
        <f t="shared" si="3"/>
        <v>15989.999999999996</v>
      </c>
      <c r="P253" s="16" t="s">
        <v>0</v>
      </c>
    </row>
    <row r="254" spans="1:16" x14ac:dyDescent="0.3">
      <c r="A254" s="32" t="s">
        <v>3213</v>
      </c>
      <c r="B254" s="40">
        <v>46108</v>
      </c>
      <c r="C254" s="40">
        <v>46113</v>
      </c>
      <c r="D254" s="32">
        <v>3319</v>
      </c>
      <c r="E254" s="32">
        <v>327</v>
      </c>
      <c r="F254" s="32">
        <v>2</v>
      </c>
      <c r="G254" s="31">
        <v>1</v>
      </c>
      <c r="H254" s="31">
        <v>80700</v>
      </c>
      <c r="I254" s="31" t="s">
        <v>17</v>
      </c>
      <c r="J254" s="31">
        <v>41136663</v>
      </c>
      <c r="K254" s="80" t="s">
        <v>1609</v>
      </c>
      <c r="L254" s="18" t="s">
        <v>1612</v>
      </c>
      <c r="M254" s="41">
        <v>159900</v>
      </c>
      <c r="N254" s="30">
        <v>0.9</v>
      </c>
      <c r="O254" s="33">
        <f t="shared" si="3"/>
        <v>15989.999999999996</v>
      </c>
      <c r="P254" s="16" t="s">
        <v>0</v>
      </c>
    </row>
    <row r="255" spans="1:16" x14ac:dyDescent="0.3">
      <c r="A255" s="32" t="s">
        <v>3213</v>
      </c>
      <c r="B255" s="40">
        <v>46108</v>
      </c>
      <c r="C255" s="40">
        <v>46113</v>
      </c>
      <c r="D255" s="32">
        <v>3319</v>
      </c>
      <c r="E255" s="32">
        <v>327</v>
      </c>
      <c r="F255" s="32">
        <v>2</v>
      </c>
      <c r="G255" s="31">
        <v>1</v>
      </c>
      <c r="H255" s="31">
        <v>80700</v>
      </c>
      <c r="I255" s="31" t="s">
        <v>17</v>
      </c>
      <c r="J255" s="31">
        <v>41136672</v>
      </c>
      <c r="K255" s="80" t="s">
        <v>1609</v>
      </c>
      <c r="L255" s="18" t="s">
        <v>1613</v>
      </c>
      <c r="M255" s="41">
        <v>159900</v>
      </c>
      <c r="N255" s="30">
        <v>0.9</v>
      </c>
      <c r="O255" s="33">
        <f t="shared" si="3"/>
        <v>15989.999999999996</v>
      </c>
      <c r="P255" s="16" t="s">
        <v>0</v>
      </c>
    </row>
    <row r="256" spans="1:16" x14ac:dyDescent="0.3">
      <c r="A256" s="32" t="s">
        <v>3213</v>
      </c>
      <c r="B256" s="40">
        <v>46108</v>
      </c>
      <c r="C256" s="40">
        <v>46113</v>
      </c>
      <c r="D256" s="27">
        <v>3319</v>
      </c>
      <c r="E256" s="32">
        <v>327</v>
      </c>
      <c r="F256" s="27">
        <v>2</v>
      </c>
      <c r="G256" s="28">
        <v>2</v>
      </c>
      <c r="H256" s="28">
        <v>81778</v>
      </c>
      <c r="I256" s="28" t="s">
        <v>17</v>
      </c>
      <c r="J256" s="28">
        <v>12072689</v>
      </c>
      <c r="K256" s="38" t="s">
        <v>1998</v>
      </c>
      <c r="L256" t="s">
        <v>1999</v>
      </c>
      <c r="M256" s="39">
        <v>259900</v>
      </c>
      <c r="N256" s="30">
        <v>0.9</v>
      </c>
      <c r="O256" s="33">
        <f t="shared" si="3"/>
        <v>25989.999999999993</v>
      </c>
      <c r="P256" s="28" t="s">
        <v>0</v>
      </c>
    </row>
    <row r="257" spans="1:16" x14ac:dyDescent="0.3">
      <c r="A257" s="32" t="s">
        <v>3213</v>
      </c>
      <c r="B257" s="40">
        <v>46108</v>
      </c>
      <c r="C257" s="40">
        <v>46113</v>
      </c>
      <c r="D257" s="27">
        <v>3319</v>
      </c>
      <c r="E257" s="32">
        <v>327</v>
      </c>
      <c r="F257" s="27">
        <v>2</v>
      </c>
      <c r="G257" s="28">
        <v>2</v>
      </c>
      <c r="H257" s="28">
        <v>81778</v>
      </c>
      <c r="I257" s="28" t="s">
        <v>17</v>
      </c>
      <c r="J257" s="28">
        <v>12072732</v>
      </c>
      <c r="K257" s="38" t="s">
        <v>1998</v>
      </c>
      <c r="L257" t="s">
        <v>2000</v>
      </c>
      <c r="M257" s="39">
        <v>259900</v>
      </c>
      <c r="N257" s="30">
        <v>0.9</v>
      </c>
      <c r="O257" s="33">
        <f t="shared" si="3"/>
        <v>25989.999999999993</v>
      </c>
      <c r="P257" s="28" t="s">
        <v>0</v>
      </c>
    </row>
    <row r="258" spans="1:16" x14ac:dyDescent="0.3">
      <c r="A258" s="32" t="s">
        <v>3213</v>
      </c>
      <c r="B258" s="40">
        <v>46108</v>
      </c>
      <c r="C258" s="40">
        <v>46113</v>
      </c>
      <c r="D258" s="27">
        <v>3319</v>
      </c>
      <c r="E258" s="32">
        <v>327</v>
      </c>
      <c r="F258" s="27">
        <v>2</v>
      </c>
      <c r="G258" s="28">
        <v>2</v>
      </c>
      <c r="H258" s="28">
        <v>81778</v>
      </c>
      <c r="I258" s="28" t="s">
        <v>17</v>
      </c>
      <c r="J258" s="28">
        <v>12072741</v>
      </c>
      <c r="K258" s="38" t="s">
        <v>1998</v>
      </c>
      <c r="L258" t="s">
        <v>2001</v>
      </c>
      <c r="M258" s="39">
        <v>259900</v>
      </c>
      <c r="N258" s="30">
        <v>0.9</v>
      </c>
      <c r="O258" s="33">
        <f t="shared" ref="O258:O275" si="4">M258*(1-N258)</f>
        <v>25989.999999999993</v>
      </c>
      <c r="P258" s="28" t="s">
        <v>0</v>
      </c>
    </row>
    <row r="259" spans="1:16" x14ac:dyDescent="0.3">
      <c r="A259" s="32" t="s">
        <v>3213</v>
      </c>
      <c r="B259" s="40">
        <v>46108</v>
      </c>
      <c r="C259" s="40">
        <v>46113</v>
      </c>
      <c r="D259" s="27">
        <v>3319</v>
      </c>
      <c r="E259" s="32">
        <v>327</v>
      </c>
      <c r="F259" s="27">
        <v>2</v>
      </c>
      <c r="G259" s="28">
        <v>2</v>
      </c>
      <c r="H259" s="28">
        <v>81778</v>
      </c>
      <c r="I259" s="28" t="s">
        <v>17</v>
      </c>
      <c r="J259" s="28">
        <v>12072750</v>
      </c>
      <c r="K259" s="38" t="s">
        <v>1998</v>
      </c>
      <c r="L259" t="s">
        <v>2002</v>
      </c>
      <c r="M259" s="39">
        <v>259900</v>
      </c>
      <c r="N259" s="30">
        <v>0.9</v>
      </c>
      <c r="O259" s="33">
        <f t="shared" si="4"/>
        <v>25989.999999999993</v>
      </c>
      <c r="P259" s="28" t="s">
        <v>0</v>
      </c>
    </row>
    <row r="260" spans="1:16" x14ac:dyDescent="0.3">
      <c r="A260" s="32" t="s">
        <v>3213</v>
      </c>
      <c r="B260" s="40">
        <v>46108</v>
      </c>
      <c r="C260" s="40">
        <v>46113</v>
      </c>
      <c r="D260" s="27">
        <v>3319</v>
      </c>
      <c r="E260" s="32">
        <v>327</v>
      </c>
      <c r="F260" s="27">
        <v>2</v>
      </c>
      <c r="G260" s="28">
        <v>2</v>
      </c>
      <c r="H260" s="28">
        <v>81778</v>
      </c>
      <c r="I260" s="28" t="s">
        <v>17</v>
      </c>
      <c r="J260" s="28">
        <v>12072769</v>
      </c>
      <c r="K260" s="38" t="s">
        <v>1998</v>
      </c>
      <c r="L260" t="s">
        <v>2003</v>
      </c>
      <c r="M260" s="39">
        <v>259900</v>
      </c>
      <c r="N260" s="30">
        <v>0.9</v>
      </c>
      <c r="O260" s="33">
        <f t="shared" si="4"/>
        <v>25989.999999999993</v>
      </c>
      <c r="P260" s="28" t="s">
        <v>0</v>
      </c>
    </row>
    <row r="261" spans="1:16" x14ac:dyDescent="0.3">
      <c r="A261" s="32" t="s">
        <v>3213</v>
      </c>
      <c r="B261" s="40">
        <v>46108</v>
      </c>
      <c r="C261" s="40">
        <v>46113</v>
      </c>
      <c r="D261" s="27">
        <v>3319</v>
      </c>
      <c r="E261" s="32">
        <v>327</v>
      </c>
      <c r="F261" s="27">
        <v>2</v>
      </c>
      <c r="G261" s="28">
        <v>2</v>
      </c>
      <c r="H261" s="28">
        <v>81778</v>
      </c>
      <c r="I261" s="28" t="s">
        <v>17</v>
      </c>
      <c r="J261" s="28">
        <v>12072778</v>
      </c>
      <c r="K261" s="38" t="s">
        <v>1998</v>
      </c>
      <c r="L261" t="s">
        <v>2004</v>
      </c>
      <c r="M261" s="39">
        <v>259900</v>
      </c>
      <c r="N261" s="30">
        <v>0.9</v>
      </c>
      <c r="O261" s="33">
        <f t="shared" si="4"/>
        <v>25989.999999999993</v>
      </c>
      <c r="P261" s="28" t="s">
        <v>0</v>
      </c>
    </row>
    <row r="262" spans="1:16" x14ac:dyDescent="0.3">
      <c r="A262" s="32" t="s">
        <v>3213</v>
      </c>
      <c r="B262" s="40">
        <v>46108</v>
      </c>
      <c r="C262" s="40">
        <v>46113</v>
      </c>
      <c r="D262" s="27">
        <v>3319</v>
      </c>
      <c r="E262" s="32">
        <v>327</v>
      </c>
      <c r="F262" s="27">
        <v>2</v>
      </c>
      <c r="G262" s="28">
        <v>2</v>
      </c>
      <c r="H262" s="28">
        <v>81778</v>
      </c>
      <c r="I262" s="28" t="s">
        <v>17</v>
      </c>
      <c r="J262" s="28">
        <v>12072698</v>
      </c>
      <c r="K262" s="38" t="s">
        <v>1998</v>
      </c>
      <c r="L262" t="s">
        <v>2005</v>
      </c>
      <c r="M262" s="39">
        <v>259900</v>
      </c>
      <c r="N262" s="30">
        <v>0.9</v>
      </c>
      <c r="O262" s="33">
        <f t="shared" si="4"/>
        <v>25989.999999999993</v>
      </c>
      <c r="P262" s="28" t="s">
        <v>0</v>
      </c>
    </row>
    <row r="263" spans="1:16" x14ac:dyDescent="0.3">
      <c r="A263" s="32" t="s">
        <v>3213</v>
      </c>
      <c r="B263" s="40">
        <v>46108</v>
      </c>
      <c r="C263" s="40">
        <v>46113</v>
      </c>
      <c r="D263" s="27">
        <v>3319</v>
      </c>
      <c r="E263" s="32">
        <v>327</v>
      </c>
      <c r="F263" s="27">
        <v>2</v>
      </c>
      <c r="G263" s="28">
        <v>2</v>
      </c>
      <c r="H263" s="28">
        <v>81778</v>
      </c>
      <c r="I263" s="28" t="s">
        <v>17</v>
      </c>
      <c r="J263" s="28">
        <v>12072705</v>
      </c>
      <c r="K263" s="38" t="s">
        <v>1998</v>
      </c>
      <c r="L263" t="s">
        <v>2006</v>
      </c>
      <c r="M263" s="39">
        <v>259900</v>
      </c>
      <c r="N263" s="30">
        <v>0.9</v>
      </c>
      <c r="O263" s="33">
        <f t="shared" si="4"/>
        <v>25989.999999999993</v>
      </c>
      <c r="P263" s="28" t="s">
        <v>0</v>
      </c>
    </row>
    <row r="264" spans="1:16" x14ac:dyDescent="0.3">
      <c r="A264" s="32" t="s">
        <v>3213</v>
      </c>
      <c r="B264" s="40">
        <v>46108</v>
      </c>
      <c r="C264" s="40">
        <v>46113</v>
      </c>
      <c r="D264" s="27">
        <v>3319</v>
      </c>
      <c r="E264" s="32">
        <v>327</v>
      </c>
      <c r="F264" s="27">
        <v>2</v>
      </c>
      <c r="G264" s="28">
        <v>2</v>
      </c>
      <c r="H264" s="28">
        <v>81778</v>
      </c>
      <c r="I264" s="28" t="s">
        <v>17</v>
      </c>
      <c r="J264" s="28">
        <v>12072714</v>
      </c>
      <c r="K264" s="38" t="s">
        <v>1998</v>
      </c>
      <c r="L264" t="s">
        <v>2007</v>
      </c>
      <c r="M264" s="39">
        <v>259900</v>
      </c>
      <c r="N264" s="30">
        <v>0.9</v>
      </c>
      <c r="O264" s="33">
        <f t="shared" si="4"/>
        <v>25989.999999999993</v>
      </c>
      <c r="P264" s="28" t="s">
        <v>0</v>
      </c>
    </row>
    <row r="265" spans="1:16" x14ac:dyDescent="0.3">
      <c r="A265" s="32" t="s">
        <v>3213</v>
      </c>
      <c r="B265" s="40">
        <v>46108</v>
      </c>
      <c r="C265" s="40">
        <v>46113</v>
      </c>
      <c r="D265" s="27">
        <v>3319</v>
      </c>
      <c r="E265" s="32">
        <v>327</v>
      </c>
      <c r="F265" s="27">
        <v>2</v>
      </c>
      <c r="G265" s="28">
        <v>2</v>
      </c>
      <c r="H265" s="28">
        <v>81778</v>
      </c>
      <c r="I265" s="28" t="s">
        <v>17</v>
      </c>
      <c r="J265" s="28">
        <v>12072723</v>
      </c>
      <c r="K265" s="38" t="s">
        <v>1998</v>
      </c>
      <c r="L265" t="s">
        <v>2008</v>
      </c>
      <c r="M265" s="39">
        <v>259900</v>
      </c>
      <c r="N265" s="30">
        <v>0.9</v>
      </c>
      <c r="O265" s="33">
        <f t="shared" si="4"/>
        <v>25989.999999999993</v>
      </c>
      <c r="P265" s="28" t="s">
        <v>0</v>
      </c>
    </row>
    <row r="266" spans="1:16" x14ac:dyDescent="0.3">
      <c r="A266" s="32" t="s">
        <v>3213</v>
      </c>
      <c r="B266" s="40">
        <v>46108</v>
      </c>
      <c r="C266" s="40">
        <v>46113</v>
      </c>
      <c r="D266" s="27">
        <v>3319</v>
      </c>
      <c r="E266" s="32">
        <v>327</v>
      </c>
      <c r="F266" s="27">
        <v>2</v>
      </c>
      <c r="G266" s="28">
        <v>1</v>
      </c>
      <c r="H266" s="28">
        <v>81433</v>
      </c>
      <c r="I266" s="28" t="s">
        <v>17</v>
      </c>
      <c r="J266" s="28">
        <v>15909850</v>
      </c>
      <c r="K266" s="38" t="s">
        <v>1954</v>
      </c>
      <c r="L266" t="s">
        <v>1955</v>
      </c>
      <c r="M266" s="39">
        <v>259900</v>
      </c>
      <c r="N266" s="30">
        <v>0.9</v>
      </c>
      <c r="O266" s="33">
        <f t="shared" si="4"/>
        <v>25989.999999999993</v>
      </c>
      <c r="P266" s="28" t="s">
        <v>0</v>
      </c>
    </row>
    <row r="267" spans="1:16" x14ac:dyDescent="0.3">
      <c r="A267" s="32" t="s">
        <v>3213</v>
      </c>
      <c r="B267" s="40">
        <v>46108</v>
      </c>
      <c r="C267" s="40">
        <v>46113</v>
      </c>
      <c r="D267" s="27">
        <v>3319</v>
      </c>
      <c r="E267" s="32">
        <v>327</v>
      </c>
      <c r="F267" s="27">
        <v>2</v>
      </c>
      <c r="G267" s="28">
        <v>1</v>
      </c>
      <c r="H267" s="28">
        <v>81433</v>
      </c>
      <c r="I267" s="28" t="s">
        <v>17</v>
      </c>
      <c r="J267" s="28">
        <v>15909869</v>
      </c>
      <c r="K267" s="38" t="s">
        <v>1954</v>
      </c>
      <c r="L267" t="s">
        <v>1956</v>
      </c>
      <c r="M267" s="39">
        <v>259900</v>
      </c>
      <c r="N267" s="30">
        <v>0.9</v>
      </c>
      <c r="O267" s="33">
        <f t="shared" si="4"/>
        <v>25989.999999999993</v>
      </c>
      <c r="P267" s="28" t="s">
        <v>0</v>
      </c>
    </row>
    <row r="268" spans="1:16" x14ac:dyDescent="0.3">
      <c r="A268" s="32" t="s">
        <v>3213</v>
      </c>
      <c r="B268" s="40">
        <v>46108</v>
      </c>
      <c r="C268" s="40">
        <v>46113</v>
      </c>
      <c r="D268" s="27">
        <v>3319</v>
      </c>
      <c r="E268" s="32">
        <v>327</v>
      </c>
      <c r="F268" s="27">
        <v>2</v>
      </c>
      <c r="G268" s="28">
        <v>1</v>
      </c>
      <c r="H268" s="28">
        <v>81433</v>
      </c>
      <c r="I268" s="28" t="s">
        <v>17</v>
      </c>
      <c r="J268" s="28">
        <v>15909878</v>
      </c>
      <c r="K268" s="38" t="s">
        <v>1954</v>
      </c>
      <c r="L268" t="s">
        <v>1957</v>
      </c>
      <c r="M268" s="39">
        <v>259900</v>
      </c>
      <c r="N268" s="30">
        <v>0.9</v>
      </c>
      <c r="O268" s="33">
        <f t="shared" si="4"/>
        <v>25989.999999999993</v>
      </c>
      <c r="P268" s="28" t="s">
        <v>0</v>
      </c>
    </row>
    <row r="269" spans="1:16" x14ac:dyDescent="0.3">
      <c r="A269" s="32" t="s">
        <v>3213</v>
      </c>
      <c r="B269" s="40">
        <v>46108</v>
      </c>
      <c r="C269" s="40">
        <v>46113</v>
      </c>
      <c r="D269" s="27">
        <v>3319</v>
      </c>
      <c r="E269" s="32">
        <v>327</v>
      </c>
      <c r="F269" s="27">
        <v>2</v>
      </c>
      <c r="G269" s="28">
        <v>1</v>
      </c>
      <c r="H269" s="28">
        <v>81433</v>
      </c>
      <c r="I269" s="28" t="s">
        <v>17</v>
      </c>
      <c r="J269" s="28">
        <v>15909887</v>
      </c>
      <c r="K269" s="38" t="s">
        <v>1954</v>
      </c>
      <c r="L269" t="s">
        <v>1958</v>
      </c>
      <c r="M269" s="39">
        <v>259900</v>
      </c>
      <c r="N269" s="30">
        <v>0.9</v>
      </c>
      <c r="O269" s="33">
        <f t="shared" si="4"/>
        <v>25989.999999999993</v>
      </c>
      <c r="P269" s="28" t="s">
        <v>0</v>
      </c>
    </row>
    <row r="270" spans="1:16" x14ac:dyDescent="0.3">
      <c r="A270" s="32" t="s">
        <v>3213</v>
      </c>
      <c r="B270" s="40">
        <v>46108</v>
      </c>
      <c r="C270" s="40">
        <v>46113</v>
      </c>
      <c r="D270" s="27">
        <v>3319</v>
      </c>
      <c r="E270" s="32">
        <v>327</v>
      </c>
      <c r="F270" s="27">
        <v>2</v>
      </c>
      <c r="G270" s="28">
        <v>1</v>
      </c>
      <c r="H270" s="28">
        <v>81433</v>
      </c>
      <c r="I270" s="28" t="s">
        <v>17</v>
      </c>
      <c r="J270" s="28">
        <v>15909896</v>
      </c>
      <c r="K270" s="38" t="s">
        <v>1954</v>
      </c>
      <c r="L270" t="s">
        <v>1959</v>
      </c>
      <c r="M270" s="39">
        <v>259900</v>
      </c>
      <c r="N270" s="30">
        <v>0.9</v>
      </c>
      <c r="O270" s="33">
        <f t="shared" si="4"/>
        <v>25989.999999999993</v>
      </c>
      <c r="P270" s="28" t="s">
        <v>0</v>
      </c>
    </row>
    <row r="271" spans="1:16" x14ac:dyDescent="0.3">
      <c r="A271" s="32" t="s">
        <v>3213</v>
      </c>
      <c r="B271" s="40">
        <v>46108</v>
      </c>
      <c r="C271" s="40">
        <v>46113</v>
      </c>
      <c r="D271" s="27">
        <v>3319</v>
      </c>
      <c r="E271" s="32">
        <v>327</v>
      </c>
      <c r="F271" s="27">
        <v>2</v>
      </c>
      <c r="G271" s="28">
        <v>1</v>
      </c>
      <c r="H271" s="28">
        <v>81433</v>
      </c>
      <c r="I271" s="28" t="s">
        <v>17</v>
      </c>
      <c r="J271" s="28">
        <v>15909903</v>
      </c>
      <c r="K271" s="38" t="s">
        <v>1954</v>
      </c>
      <c r="L271" t="s">
        <v>1960</v>
      </c>
      <c r="M271" s="39">
        <v>259900</v>
      </c>
      <c r="N271" s="30">
        <v>0.9</v>
      </c>
      <c r="O271" s="33">
        <f t="shared" si="4"/>
        <v>25989.999999999993</v>
      </c>
      <c r="P271" s="28" t="s">
        <v>0</v>
      </c>
    </row>
    <row r="272" spans="1:16" x14ac:dyDescent="0.3">
      <c r="A272" s="32" t="s">
        <v>3213</v>
      </c>
      <c r="B272" s="40">
        <v>46108</v>
      </c>
      <c r="C272" s="40">
        <v>46113</v>
      </c>
      <c r="D272" s="27">
        <v>3319</v>
      </c>
      <c r="E272" s="32">
        <v>327</v>
      </c>
      <c r="F272" s="27">
        <v>2</v>
      </c>
      <c r="G272" s="28">
        <v>1</v>
      </c>
      <c r="H272" s="28">
        <v>81433</v>
      </c>
      <c r="I272" s="28" t="s">
        <v>17</v>
      </c>
      <c r="J272" s="28">
        <v>15909912</v>
      </c>
      <c r="K272" s="38" t="s">
        <v>1954</v>
      </c>
      <c r="L272" t="s">
        <v>1961</v>
      </c>
      <c r="M272" s="39">
        <v>259900</v>
      </c>
      <c r="N272" s="30">
        <v>0.9</v>
      </c>
      <c r="O272" s="33">
        <f t="shared" si="4"/>
        <v>25989.999999999993</v>
      </c>
      <c r="P272" s="28" t="s">
        <v>0</v>
      </c>
    </row>
    <row r="273" spans="1:16" x14ac:dyDescent="0.3">
      <c r="A273" s="32" t="s">
        <v>3213</v>
      </c>
      <c r="B273" s="40">
        <v>46108</v>
      </c>
      <c r="C273" s="40">
        <v>46113</v>
      </c>
      <c r="D273" s="27">
        <v>3319</v>
      </c>
      <c r="E273" s="32">
        <v>327</v>
      </c>
      <c r="F273" s="27">
        <v>2</v>
      </c>
      <c r="G273" s="28">
        <v>1</v>
      </c>
      <c r="H273" s="28">
        <v>81433</v>
      </c>
      <c r="I273" s="28" t="s">
        <v>17</v>
      </c>
      <c r="J273" s="28">
        <v>15909921</v>
      </c>
      <c r="K273" s="38" t="s">
        <v>1954</v>
      </c>
      <c r="L273" t="s">
        <v>1962</v>
      </c>
      <c r="M273" s="39">
        <v>259900</v>
      </c>
      <c r="N273" s="30">
        <v>0.9</v>
      </c>
      <c r="O273" s="33">
        <f t="shared" si="4"/>
        <v>25989.999999999993</v>
      </c>
      <c r="P273" s="28" t="s">
        <v>0</v>
      </c>
    </row>
    <row r="274" spans="1:16" x14ac:dyDescent="0.3">
      <c r="A274" s="32" t="s">
        <v>3213</v>
      </c>
      <c r="B274" s="40">
        <v>46108</v>
      </c>
      <c r="C274" s="40">
        <v>46113</v>
      </c>
      <c r="D274" s="27">
        <v>3319</v>
      </c>
      <c r="E274" s="32">
        <v>327</v>
      </c>
      <c r="F274" s="27">
        <v>2</v>
      </c>
      <c r="G274" s="28">
        <v>1</v>
      </c>
      <c r="H274" s="28">
        <v>81433</v>
      </c>
      <c r="I274" s="28" t="s">
        <v>17</v>
      </c>
      <c r="J274" s="28">
        <v>15909930</v>
      </c>
      <c r="K274" s="38" t="s">
        <v>1954</v>
      </c>
      <c r="L274" t="s">
        <v>1963</v>
      </c>
      <c r="M274" s="39">
        <v>259900</v>
      </c>
      <c r="N274" s="30">
        <v>0.9</v>
      </c>
      <c r="O274" s="33">
        <f t="shared" si="4"/>
        <v>25989.999999999993</v>
      </c>
      <c r="P274" s="28" t="s">
        <v>0</v>
      </c>
    </row>
    <row r="275" spans="1:16" x14ac:dyDescent="0.3">
      <c r="A275" s="32" t="s">
        <v>3213</v>
      </c>
      <c r="B275" s="40">
        <v>46108</v>
      </c>
      <c r="C275" s="40">
        <v>46113</v>
      </c>
      <c r="D275" s="27">
        <v>3319</v>
      </c>
      <c r="E275" s="32">
        <v>327</v>
      </c>
      <c r="F275" s="27">
        <v>2</v>
      </c>
      <c r="G275" s="28">
        <v>1</v>
      </c>
      <c r="H275" s="28">
        <v>81433</v>
      </c>
      <c r="I275" s="28" t="s">
        <v>17</v>
      </c>
      <c r="J275" s="28">
        <v>15909949</v>
      </c>
      <c r="K275" s="38" t="s">
        <v>1954</v>
      </c>
      <c r="L275" t="s">
        <v>1964</v>
      </c>
      <c r="M275" s="39">
        <v>259900</v>
      </c>
      <c r="N275" s="30">
        <v>0.9</v>
      </c>
      <c r="O275" s="33">
        <f t="shared" si="4"/>
        <v>25989.999999999993</v>
      </c>
      <c r="P275" s="28" t="s">
        <v>0</v>
      </c>
    </row>
    <row r="276" spans="1:16" customFormat="1" x14ac:dyDescent="0.3">
      <c r="A276" s="32" t="s">
        <v>3213</v>
      </c>
      <c r="B276" s="26">
        <v>46108</v>
      </c>
      <c r="C276" s="26">
        <v>46113</v>
      </c>
      <c r="D276" s="27">
        <v>3319</v>
      </c>
      <c r="E276" s="25">
        <v>327</v>
      </c>
      <c r="F276" s="25">
        <v>2</v>
      </c>
      <c r="G276" s="28">
        <v>1</v>
      </c>
      <c r="H276" s="28">
        <v>80700</v>
      </c>
      <c r="I276" s="28" t="s">
        <v>17</v>
      </c>
      <c r="J276" s="28">
        <v>82228488</v>
      </c>
      <c r="K276" s="38" t="s">
        <v>2220</v>
      </c>
      <c r="L276" t="s">
        <v>2221</v>
      </c>
      <c r="M276" s="39">
        <v>199900</v>
      </c>
      <c r="N276" s="30">
        <v>0.9</v>
      </c>
      <c r="O276" s="33">
        <f t="shared" ref="O276:O339" si="5">M276*(1-N276)</f>
        <v>19989.999999999996</v>
      </c>
      <c r="P276" s="28" t="s">
        <v>0</v>
      </c>
    </row>
    <row r="277" spans="1:16" customFormat="1" x14ac:dyDescent="0.3">
      <c r="A277" s="32" t="s">
        <v>3213</v>
      </c>
      <c r="B277" s="26">
        <v>46108</v>
      </c>
      <c r="C277" s="26">
        <v>46113</v>
      </c>
      <c r="D277" s="27">
        <v>3319</v>
      </c>
      <c r="E277" s="25">
        <v>327</v>
      </c>
      <c r="F277" s="25">
        <v>2</v>
      </c>
      <c r="G277" s="28">
        <v>1</v>
      </c>
      <c r="H277" s="28">
        <v>80700</v>
      </c>
      <c r="I277" s="28" t="s">
        <v>17</v>
      </c>
      <c r="J277" s="28">
        <v>82228497</v>
      </c>
      <c r="K277" s="38" t="s">
        <v>2220</v>
      </c>
      <c r="L277" t="s">
        <v>2222</v>
      </c>
      <c r="M277" s="39">
        <v>199900</v>
      </c>
      <c r="N277" s="30">
        <v>0.9</v>
      </c>
      <c r="O277" s="33">
        <f t="shared" si="5"/>
        <v>19989.999999999996</v>
      </c>
      <c r="P277" s="28" t="s">
        <v>0</v>
      </c>
    </row>
    <row r="278" spans="1:16" customFormat="1" x14ac:dyDescent="0.3">
      <c r="A278" s="32" t="s">
        <v>3213</v>
      </c>
      <c r="B278" s="26">
        <v>46108</v>
      </c>
      <c r="C278" s="26">
        <v>46113</v>
      </c>
      <c r="D278" s="27">
        <v>3319</v>
      </c>
      <c r="E278" s="25">
        <v>327</v>
      </c>
      <c r="F278" s="25">
        <v>2</v>
      </c>
      <c r="G278" s="28">
        <v>1</v>
      </c>
      <c r="H278" s="28">
        <v>80700</v>
      </c>
      <c r="I278" s="28" t="s">
        <v>17</v>
      </c>
      <c r="J278" s="28">
        <v>82228504</v>
      </c>
      <c r="K278" s="38" t="s">
        <v>2220</v>
      </c>
      <c r="L278" t="s">
        <v>2223</v>
      </c>
      <c r="M278" s="39">
        <v>199900</v>
      </c>
      <c r="N278" s="30">
        <v>0.9</v>
      </c>
      <c r="O278" s="33">
        <f t="shared" si="5"/>
        <v>19989.999999999996</v>
      </c>
      <c r="P278" s="28" t="s">
        <v>0</v>
      </c>
    </row>
    <row r="279" spans="1:16" customFormat="1" x14ac:dyDescent="0.3">
      <c r="A279" s="32" t="s">
        <v>3213</v>
      </c>
      <c r="B279" s="26">
        <v>46108</v>
      </c>
      <c r="C279" s="26">
        <v>46113</v>
      </c>
      <c r="D279" s="27">
        <v>3319</v>
      </c>
      <c r="E279" s="25">
        <v>327</v>
      </c>
      <c r="F279" s="25">
        <v>2</v>
      </c>
      <c r="G279" s="28">
        <v>1</v>
      </c>
      <c r="H279" s="28">
        <v>80700</v>
      </c>
      <c r="I279" s="28" t="s">
        <v>17</v>
      </c>
      <c r="J279" s="28">
        <v>82228513</v>
      </c>
      <c r="K279" s="38" t="s">
        <v>2220</v>
      </c>
      <c r="L279" t="s">
        <v>2224</v>
      </c>
      <c r="M279" s="39">
        <v>199900</v>
      </c>
      <c r="N279" s="30">
        <v>0.9</v>
      </c>
      <c r="O279" s="33">
        <f t="shared" si="5"/>
        <v>19989.999999999996</v>
      </c>
      <c r="P279" s="28" t="s">
        <v>0</v>
      </c>
    </row>
    <row r="280" spans="1:16" customFormat="1" x14ac:dyDescent="0.3">
      <c r="A280" s="32" t="s">
        <v>3213</v>
      </c>
      <c r="B280" s="26">
        <v>46108</v>
      </c>
      <c r="C280" s="26">
        <v>46113</v>
      </c>
      <c r="D280" s="27">
        <v>3319</v>
      </c>
      <c r="E280" s="25">
        <v>327</v>
      </c>
      <c r="F280" s="25">
        <v>2</v>
      </c>
      <c r="G280" s="28">
        <v>1</v>
      </c>
      <c r="H280" s="28">
        <v>80700</v>
      </c>
      <c r="I280" s="28" t="s">
        <v>17</v>
      </c>
      <c r="J280" s="28">
        <v>82228522</v>
      </c>
      <c r="K280" s="38" t="s">
        <v>2220</v>
      </c>
      <c r="L280" t="s">
        <v>2225</v>
      </c>
      <c r="M280" s="39">
        <v>199900</v>
      </c>
      <c r="N280" s="30">
        <v>0.9</v>
      </c>
      <c r="O280" s="33">
        <f t="shared" si="5"/>
        <v>19989.999999999996</v>
      </c>
      <c r="P280" s="28" t="s">
        <v>0</v>
      </c>
    </row>
    <row r="281" spans="1:16" customFormat="1" x14ac:dyDescent="0.3">
      <c r="A281" s="32" t="s">
        <v>3213</v>
      </c>
      <c r="B281" s="26">
        <v>46108</v>
      </c>
      <c r="C281" s="26">
        <v>46113</v>
      </c>
      <c r="D281" s="27">
        <v>3319</v>
      </c>
      <c r="E281" s="25">
        <v>327</v>
      </c>
      <c r="F281" s="25">
        <v>2</v>
      </c>
      <c r="G281" s="28">
        <v>1</v>
      </c>
      <c r="H281" s="28">
        <v>80700</v>
      </c>
      <c r="I281" s="28" t="s">
        <v>17</v>
      </c>
      <c r="J281" s="28">
        <v>82228531</v>
      </c>
      <c r="K281" s="38" t="s">
        <v>2220</v>
      </c>
      <c r="L281" t="s">
        <v>2226</v>
      </c>
      <c r="M281" s="39">
        <v>199900</v>
      </c>
      <c r="N281" s="30">
        <v>0.9</v>
      </c>
      <c r="O281" s="33">
        <f t="shared" si="5"/>
        <v>19989.999999999996</v>
      </c>
      <c r="P281" s="28" t="s">
        <v>0</v>
      </c>
    </row>
    <row r="282" spans="1:16" customFormat="1" x14ac:dyDescent="0.3">
      <c r="A282" s="32" t="s">
        <v>3213</v>
      </c>
      <c r="B282" s="26">
        <v>46108</v>
      </c>
      <c r="C282" s="26">
        <v>46113</v>
      </c>
      <c r="D282" s="27">
        <v>3319</v>
      </c>
      <c r="E282" s="25">
        <v>327</v>
      </c>
      <c r="F282" s="25">
        <v>2</v>
      </c>
      <c r="G282" s="28">
        <v>1</v>
      </c>
      <c r="H282" s="28">
        <v>80700</v>
      </c>
      <c r="I282" s="28" t="s">
        <v>17</v>
      </c>
      <c r="J282" s="28">
        <v>82228540</v>
      </c>
      <c r="K282" s="38" t="s">
        <v>2220</v>
      </c>
      <c r="L282" t="s">
        <v>2227</v>
      </c>
      <c r="M282" s="39">
        <v>199900</v>
      </c>
      <c r="N282" s="30">
        <v>0.9</v>
      </c>
      <c r="O282" s="33">
        <f t="shared" si="5"/>
        <v>19989.999999999996</v>
      </c>
      <c r="P282" s="28" t="s">
        <v>0</v>
      </c>
    </row>
    <row r="283" spans="1:16" customFormat="1" x14ac:dyDescent="0.3">
      <c r="A283" s="32" t="s">
        <v>3213</v>
      </c>
      <c r="B283" s="26">
        <v>46108</v>
      </c>
      <c r="C283" s="26">
        <v>46113</v>
      </c>
      <c r="D283" s="27">
        <v>3319</v>
      </c>
      <c r="E283" s="25">
        <v>327</v>
      </c>
      <c r="F283" s="25">
        <v>2</v>
      </c>
      <c r="G283" s="28">
        <v>1</v>
      </c>
      <c r="H283" s="28">
        <v>80700</v>
      </c>
      <c r="I283" s="28" t="s">
        <v>17</v>
      </c>
      <c r="J283" s="28">
        <v>82228559</v>
      </c>
      <c r="K283" s="38" t="s">
        <v>2220</v>
      </c>
      <c r="L283" t="s">
        <v>2228</v>
      </c>
      <c r="M283" s="39">
        <v>199900</v>
      </c>
      <c r="N283" s="30">
        <v>0.9</v>
      </c>
      <c r="O283" s="33">
        <f t="shared" si="5"/>
        <v>19989.999999999996</v>
      </c>
      <c r="P283" s="28" t="s">
        <v>0</v>
      </c>
    </row>
    <row r="284" spans="1:16" customFormat="1" x14ac:dyDescent="0.3">
      <c r="A284" s="32" t="s">
        <v>3213</v>
      </c>
      <c r="B284" s="26">
        <v>46108</v>
      </c>
      <c r="C284" s="26">
        <v>46113</v>
      </c>
      <c r="D284" s="27">
        <v>3319</v>
      </c>
      <c r="E284" s="25">
        <v>327</v>
      </c>
      <c r="F284" s="25">
        <v>2</v>
      </c>
      <c r="G284" s="28">
        <v>1</v>
      </c>
      <c r="H284" s="28">
        <v>80700</v>
      </c>
      <c r="I284" s="28" t="s">
        <v>17</v>
      </c>
      <c r="J284" s="28">
        <v>82228568</v>
      </c>
      <c r="K284" s="38" t="s">
        <v>2220</v>
      </c>
      <c r="L284" t="s">
        <v>2229</v>
      </c>
      <c r="M284" s="39">
        <v>199900</v>
      </c>
      <c r="N284" s="30">
        <v>0.9</v>
      </c>
      <c r="O284" s="33">
        <f t="shared" si="5"/>
        <v>19989.999999999996</v>
      </c>
      <c r="P284" s="28" t="s">
        <v>0</v>
      </c>
    </row>
    <row r="285" spans="1:16" customFormat="1" x14ac:dyDescent="0.3">
      <c r="A285" s="32" t="s">
        <v>3213</v>
      </c>
      <c r="B285" s="26">
        <v>46108</v>
      </c>
      <c r="C285" s="26">
        <v>46113</v>
      </c>
      <c r="D285" s="27">
        <v>3319</v>
      </c>
      <c r="E285" s="25">
        <v>327</v>
      </c>
      <c r="F285" s="25">
        <v>2</v>
      </c>
      <c r="G285" s="28">
        <v>1</v>
      </c>
      <c r="H285" s="28">
        <v>80700</v>
      </c>
      <c r="I285" s="28" t="s">
        <v>17</v>
      </c>
      <c r="J285" s="28">
        <v>82228577</v>
      </c>
      <c r="K285" s="38" t="s">
        <v>2220</v>
      </c>
      <c r="L285" t="s">
        <v>2230</v>
      </c>
      <c r="M285" s="39">
        <v>199900</v>
      </c>
      <c r="N285" s="30">
        <v>0.9</v>
      </c>
      <c r="O285" s="33">
        <f t="shared" si="5"/>
        <v>19989.999999999996</v>
      </c>
      <c r="P285" s="28" t="s">
        <v>0</v>
      </c>
    </row>
    <row r="286" spans="1:16" x14ac:dyDescent="0.3">
      <c r="A286" s="32" t="s">
        <v>3213</v>
      </c>
      <c r="B286" s="40">
        <v>46108</v>
      </c>
      <c r="C286" s="40">
        <v>46113</v>
      </c>
      <c r="D286" s="27">
        <v>3319</v>
      </c>
      <c r="E286" s="32">
        <v>327</v>
      </c>
      <c r="F286" s="27">
        <v>2</v>
      </c>
      <c r="G286" s="28">
        <v>1</v>
      </c>
      <c r="H286" s="28">
        <v>81778</v>
      </c>
      <c r="I286" s="28" t="s">
        <v>17</v>
      </c>
      <c r="J286" s="28">
        <v>14187212</v>
      </c>
      <c r="K286" s="38" t="s">
        <v>1868</v>
      </c>
      <c r="L286" t="s">
        <v>1869</v>
      </c>
      <c r="M286" s="37">
        <v>159900</v>
      </c>
      <c r="N286" s="30">
        <v>0.9</v>
      </c>
      <c r="O286" s="33">
        <f t="shared" si="5"/>
        <v>15989.999999999996</v>
      </c>
      <c r="P286" s="28" t="s">
        <v>0</v>
      </c>
    </row>
    <row r="287" spans="1:16" x14ac:dyDescent="0.3">
      <c r="A287" s="32" t="s">
        <v>3213</v>
      </c>
      <c r="B287" s="40">
        <v>46108</v>
      </c>
      <c r="C287" s="40">
        <v>46113</v>
      </c>
      <c r="D287" s="27">
        <v>3319</v>
      </c>
      <c r="E287" s="32">
        <v>327</v>
      </c>
      <c r="F287" s="27">
        <v>2</v>
      </c>
      <c r="G287" s="28">
        <v>1</v>
      </c>
      <c r="H287" s="28">
        <v>81778</v>
      </c>
      <c r="I287" s="28" t="s">
        <v>17</v>
      </c>
      <c r="J287" s="28">
        <v>14187221</v>
      </c>
      <c r="K287" s="38" t="s">
        <v>1868</v>
      </c>
      <c r="L287" t="s">
        <v>1870</v>
      </c>
      <c r="M287" s="37">
        <v>159900</v>
      </c>
      <c r="N287" s="30">
        <v>0.9</v>
      </c>
      <c r="O287" s="33">
        <f t="shared" si="5"/>
        <v>15989.999999999996</v>
      </c>
      <c r="P287" s="28" t="s">
        <v>0</v>
      </c>
    </row>
    <row r="288" spans="1:16" x14ac:dyDescent="0.3">
      <c r="A288" s="32" t="s">
        <v>3213</v>
      </c>
      <c r="B288" s="40">
        <v>46108</v>
      </c>
      <c r="C288" s="40">
        <v>46113</v>
      </c>
      <c r="D288" s="27">
        <v>3319</v>
      </c>
      <c r="E288" s="32">
        <v>327</v>
      </c>
      <c r="F288" s="27">
        <v>2</v>
      </c>
      <c r="G288" s="28">
        <v>1</v>
      </c>
      <c r="H288" s="28">
        <v>81778</v>
      </c>
      <c r="I288" s="28" t="s">
        <v>17</v>
      </c>
      <c r="J288" s="28">
        <v>14187230</v>
      </c>
      <c r="K288" s="38" t="s">
        <v>1868</v>
      </c>
      <c r="L288" t="s">
        <v>1871</v>
      </c>
      <c r="M288" s="37">
        <v>159900</v>
      </c>
      <c r="N288" s="30">
        <v>0.9</v>
      </c>
      <c r="O288" s="33">
        <f t="shared" si="5"/>
        <v>15989.999999999996</v>
      </c>
      <c r="P288" s="28" t="s">
        <v>0</v>
      </c>
    </row>
    <row r="289" spans="1:16" x14ac:dyDescent="0.3">
      <c r="A289" s="32" t="s">
        <v>3213</v>
      </c>
      <c r="B289" s="40">
        <v>46108</v>
      </c>
      <c r="C289" s="40">
        <v>46113</v>
      </c>
      <c r="D289" s="27">
        <v>3319</v>
      </c>
      <c r="E289" s="32">
        <v>327</v>
      </c>
      <c r="F289" s="27">
        <v>2</v>
      </c>
      <c r="G289" s="28">
        <v>1</v>
      </c>
      <c r="H289" s="28">
        <v>81778</v>
      </c>
      <c r="I289" s="28" t="s">
        <v>17</v>
      </c>
      <c r="J289" s="28">
        <v>14187249</v>
      </c>
      <c r="K289" s="38" t="s">
        <v>1868</v>
      </c>
      <c r="L289" t="s">
        <v>1872</v>
      </c>
      <c r="M289" s="37">
        <v>159900</v>
      </c>
      <c r="N289" s="30">
        <v>0.9</v>
      </c>
      <c r="O289" s="33">
        <f t="shared" si="5"/>
        <v>15989.999999999996</v>
      </c>
      <c r="P289" s="28" t="s">
        <v>0</v>
      </c>
    </row>
    <row r="290" spans="1:16" x14ac:dyDescent="0.3">
      <c r="A290" s="32" t="s">
        <v>3213</v>
      </c>
      <c r="B290" s="40">
        <v>46108</v>
      </c>
      <c r="C290" s="40">
        <v>46113</v>
      </c>
      <c r="D290" s="27">
        <v>3319</v>
      </c>
      <c r="E290" s="32">
        <v>327</v>
      </c>
      <c r="F290" s="27">
        <v>2</v>
      </c>
      <c r="G290" s="28">
        <v>1</v>
      </c>
      <c r="H290" s="28">
        <v>81778</v>
      </c>
      <c r="I290" s="28" t="s">
        <v>17</v>
      </c>
      <c r="J290" s="28">
        <v>14187258</v>
      </c>
      <c r="K290" s="38" t="s">
        <v>1868</v>
      </c>
      <c r="L290" t="s">
        <v>1873</v>
      </c>
      <c r="M290" s="37">
        <v>159900</v>
      </c>
      <c r="N290" s="30">
        <v>0.9</v>
      </c>
      <c r="O290" s="33">
        <f t="shared" si="5"/>
        <v>15989.999999999996</v>
      </c>
      <c r="P290" s="28" t="s">
        <v>0</v>
      </c>
    </row>
    <row r="291" spans="1:16" x14ac:dyDescent="0.3">
      <c r="A291" s="32" t="s">
        <v>3213</v>
      </c>
      <c r="B291" s="40">
        <v>46108</v>
      </c>
      <c r="C291" s="40">
        <v>46113</v>
      </c>
      <c r="D291" s="27">
        <v>3319</v>
      </c>
      <c r="E291" s="32">
        <v>327</v>
      </c>
      <c r="F291" s="27">
        <v>2</v>
      </c>
      <c r="G291" s="28">
        <v>1</v>
      </c>
      <c r="H291" s="28">
        <v>81778</v>
      </c>
      <c r="I291" s="28" t="s">
        <v>17</v>
      </c>
      <c r="J291" s="28">
        <v>14187267</v>
      </c>
      <c r="K291" s="38" t="s">
        <v>1868</v>
      </c>
      <c r="L291" t="s">
        <v>1874</v>
      </c>
      <c r="M291" s="37">
        <v>159900</v>
      </c>
      <c r="N291" s="30">
        <v>0.9</v>
      </c>
      <c r="O291" s="33">
        <f t="shared" si="5"/>
        <v>15989.999999999996</v>
      </c>
      <c r="P291" s="28" t="s">
        <v>0</v>
      </c>
    </row>
    <row r="292" spans="1:16" x14ac:dyDescent="0.3">
      <c r="A292" s="32" t="s">
        <v>3213</v>
      </c>
      <c r="B292" s="40">
        <v>46108</v>
      </c>
      <c r="C292" s="40">
        <v>46113</v>
      </c>
      <c r="D292" s="27">
        <v>3319</v>
      </c>
      <c r="E292" s="32">
        <v>327</v>
      </c>
      <c r="F292" s="27">
        <v>2</v>
      </c>
      <c r="G292" s="28">
        <v>1</v>
      </c>
      <c r="H292" s="28">
        <v>81778</v>
      </c>
      <c r="I292" s="28" t="s">
        <v>17</v>
      </c>
      <c r="J292" s="28">
        <v>14187276</v>
      </c>
      <c r="K292" s="38" t="s">
        <v>1868</v>
      </c>
      <c r="L292" t="s">
        <v>1875</v>
      </c>
      <c r="M292" s="37">
        <v>159900</v>
      </c>
      <c r="N292" s="30">
        <v>0.9</v>
      </c>
      <c r="O292" s="33">
        <f t="shared" si="5"/>
        <v>15989.999999999996</v>
      </c>
      <c r="P292" s="28" t="s">
        <v>0</v>
      </c>
    </row>
    <row r="293" spans="1:16" x14ac:dyDescent="0.3">
      <c r="A293" s="32" t="s">
        <v>3213</v>
      </c>
      <c r="B293" s="40">
        <v>46108</v>
      </c>
      <c r="C293" s="40">
        <v>46113</v>
      </c>
      <c r="D293" s="27">
        <v>3319</v>
      </c>
      <c r="E293" s="32">
        <v>327</v>
      </c>
      <c r="F293" s="27">
        <v>2</v>
      </c>
      <c r="G293" s="28">
        <v>1</v>
      </c>
      <c r="H293" s="28">
        <v>81778</v>
      </c>
      <c r="I293" s="28" t="s">
        <v>17</v>
      </c>
      <c r="J293" s="28">
        <v>14187285</v>
      </c>
      <c r="K293" s="38" t="s">
        <v>1868</v>
      </c>
      <c r="L293" t="s">
        <v>1876</v>
      </c>
      <c r="M293" s="37">
        <v>159900</v>
      </c>
      <c r="N293" s="30">
        <v>0.9</v>
      </c>
      <c r="O293" s="33">
        <f t="shared" si="5"/>
        <v>15989.999999999996</v>
      </c>
      <c r="P293" s="28" t="s">
        <v>0</v>
      </c>
    </row>
    <row r="294" spans="1:16" x14ac:dyDescent="0.3">
      <c r="A294" s="32" t="s">
        <v>3213</v>
      </c>
      <c r="B294" s="40">
        <v>46108</v>
      </c>
      <c r="C294" s="40">
        <v>46113</v>
      </c>
      <c r="D294" s="27">
        <v>3319</v>
      </c>
      <c r="E294" s="32">
        <v>327</v>
      </c>
      <c r="F294" s="27">
        <v>2</v>
      </c>
      <c r="G294" s="28">
        <v>1</v>
      </c>
      <c r="H294" s="28">
        <v>81778</v>
      </c>
      <c r="I294" s="28" t="s">
        <v>17</v>
      </c>
      <c r="J294" s="28">
        <v>14187294</v>
      </c>
      <c r="K294" s="38" t="s">
        <v>1868</v>
      </c>
      <c r="L294" t="s">
        <v>1877</v>
      </c>
      <c r="M294" s="37">
        <v>159900</v>
      </c>
      <c r="N294" s="30">
        <v>0.9</v>
      </c>
      <c r="O294" s="33">
        <f t="shared" si="5"/>
        <v>15989.999999999996</v>
      </c>
      <c r="P294" s="28" t="s">
        <v>0</v>
      </c>
    </row>
    <row r="295" spans="1:16" x14ac:dyDescent="0.3">
      <c r="A295" s="32" t="s">
        <v>3213</v>
      </c>
      <c r="B295" s="40">
        <v>46108</v>
      </c>
      <c r="C295" s="40">
        <v>46113</v>
      </c>
      <c r="D295" s="27">
        <v>3319</v>
      </c>
      <c r="E295" s="32">
        <v>327</v>
      </c>
      <c r="F295" s="27">
        <v>2</v>
      </c>
      <c r="G295" s="28">
        <v>1</v>
      </c>
      <c r="H295" s="28">
        <v>81778</v>
      </c>
      <c r="I295" s="28" t="s">
        <v>17</v>
      </c>
      <c r="J295" s="28">
        <v>14187301</v>
      </c>
      <c r="K295" s="38" t="s">
        <v>1868</v>
      </c>
      <c r="L295" t="s">
        <v>1878</v>
      </c>
      <c r="M295" s="37">
        <v>159900</v>
      </c>
      <c r="N295" s="30">
        <v>0.9</v>
      </c>
      <c r="O295" s="33">
        <f t="shared" si="5"/>
        <v>15989.999999999996</v>
      </c>
      <c r="P295" s="28" t="s">
        <v>0</v>
      </c>
    </row>
    <row r="296" spans="1:16" x14ac:dyDescent="0.3">
      <c r="A296" s="32" t="s">
        <v>3213</v>
      </c>
      <c r="B296" s="40">
        <v>46108</v>
      </c>
      <c r="C296" s="40">
        <v>46113</v>
      </c>
      <c r="D296" s="27">
        <v>3319</v>
      </c>
      <c r="E296" s="32">
        <v>327</v>
      </c>
      <c r="F296" s="27">
        <v>2</v>
      </c>
      <c r="G296" s="28">
        <v>1</v>
      </c>
      <c r="H296" s="28">
        <v>81778</v>
      </c>
      <c r="I296" s="28" t="s">
        <v>17</v>
      </c>
      <c r="J296" s="28">
        <v>13838985</v>
      </c>
      <c r="K296" s="38" t="s">
        <v>1965</v>
      </c>
      <c r="L296" t="s">
        <v>1966</v>
      </c>
      <c r="M296" s="37">
        <v>199900</v>
      </c>
      <c r="N296" s="30">
        <v>0.9</v>
      </c>
      <c r="O296" s="33">
        <f t="shared" si="5"/>
        <v>19989.999999999996</v>
      </c>
      <c r="P296" s="28" t="s">
        <v>0</v>
      </c>
    </row>
    <row r="297" spans="1:16" x14ac:dyDescent="0.3">
      <c r="A297" s="32" t="s">
        <v>3213</v>
      </c>
      <c r="B297" s="40">
        <v>46108</v>
      </c>
      <c r="C297" s="40">
        <v>46113</v>
      </c>
      <c r="D297" s="27">
        <v>3319</v>
      </c>
      <c r="E297" s="32">
        <v>327</v>
      </c>
      <c r="F297" s="27">
        <v>2</v>
      </c>
      <c r="G297" s="28">
        <v>1</v>
      </c>
      <c r="H297" s="28">
        <v>81778</v>
      </c>
      <c r="I297" s="28" t="s">
        <v>17</v>
      </c>
      <c r="J297" s="28">
        <v>13838994</v>
      </c>
      <c r="K297" s="38" t="s">
        <v>1965</v>
      </c>
      <c r="L297" t="s">
        <v>1967</v>
      </c>
      <c r="M297" s="37">
        <v>199900</v>
      </c>
      <c r="N297" s="30">
        <v>0.9</v>
      </c>
      <c r="O297" s="33">
        <f t="shared" si="5"/>
        <v>19989.999999999996</v>
      </c>
      <c r="P297" s="28" t="s">
        <v>0</v>
      </c>
    </row>
    <row r="298" spans="1:16" x14ac:dyDescent="0.3">
      <c r="A298" s="32" t="s">
        <v>3213</v>
      </c>
      <c r="B298" s="40">
        <v>46108</v>
      </c>
      <c r="C298" s="40">
        <v>46113</v>
      </c>
      <c r="D298" s="27">
        <v>3319</v>
      </c>
      <c r="E298" s="32">
        <v>327</v>
      </c>
      <c r="F298" s="27">
        <v>2</v>
      </c>
      <c r="G298" s="28">
        <v>1</v>
      </c>
      <c r="H298" s="28">
        <v>81778</v>
      </c>
      <c r="I298" s="28" t="s">
        <v>17</v>
      </c>
      <c r="J298" s="28">
        <v>13839000</v>
      </c>
      <c r="K298" s="38" t="s">
        <v>1965</v>
      </c>
      <c r="L298" t="s">
        <v>1968</v>
      </c>
      <c r="M298" s="37">
        <v>199900</v>
      </c>
      <c r="N298" s="30">
        <v>0.9</v>
      </c>
      <c r="O298" s="33">
        <f t="shared" si="5"/>
        <v>19989.999999999996</v>
      </c>
      <c r="P298" s="28" t="s">
        <v>0</v>
      </c>
    </row>
    <row r="299" spans="1:16" x14ac:dyDescent="0.3">
      <c r="A299" s="32" t="s">
        <v>3213</v>
      </c>
      <c r="B299" s="40">
        <v>46108</v>
      </c>
      <c r="C299" s="40">
        <v>46113</v>
      </c>
      <c r="D299" s="27">
        <v>3319</v>
      </c>
      <c r="E299" s="32">
        <v>327</v>
      </c>
      <c r="F299" s="27">
        <v>2</v>
      </c>
      <c r="G299" s="28">
        <v>1</v>
      </c>
      <c r="H299" s="28">
        <v>81778</v>
      </c>
      <c r="I299" s="28" t="s">
        <v>17</v>
      </c>
      <c r="J299" s="28">
        <v>13839019</v>
      </c>
      <c r="K299" s="38" t="s">
        <v>1965</v>
      </c>
      <c r="L299" t="s">
        <v>1969</v>
      </c>
      <c r="M299" s="37">
        <v>199900</v>
      </c>
      <c r="N299" s="30">
        <v>0.9</v>
      </c>
      <c r="O299" s="33">
        <f t="shared" si="5"/>
        <v>19989.999999999996</v>
      </c>
      <c r="P299" s="28" t="s">
        <v>0</v>
      </c>
    </row>
    <row r="300" spans="1:16" x14ac:dyDescent="0.3">
      <c r="A300" s="32" t="s">
        <v>3213</v>
      </c>
      <c r="B300" s="40">
        <v>46108</v>
      </c>
      <c r="C300" s="40">
        <v>46113</v>
      </c>
      <c r="D300" s="27">
        <v>3319</v>
      </c>
      <c r="E300" s="32">
        <v>327</v>
      </c>
      <c r="F300" s="27">
        <v>2</v>
      </c>
      <c r="G300" s="28">
        <v>1</v>
      </c>
      <c r="H300" s="28">
        <v>81778</v>
      </c>
      <c r="I300" s="28" t="s">
        <v>17</v>
      </c>
      <c r="J300" s="28">
        <v>13839028</v>
      </c>
      <c r="K300" s="38" t="s">
        <v>1965</v>
      </c>
      <c r="L300" t="s">
        <v>1970</v>
      </c>
      <c r="M300" s="37">
        <v>199900</v>
      </c>
      <c r="N300" s="30">
        <v>0.9</v>
      </c>
      <c r="O300" s="33">
        <f t="shared" si="5"/>
        <v>19989.999999999996</v>
      </c>
      <c r="P300" s="28" t="s">
        <v>0</v>
      </c>
    </row>
    <row r="301" spans="1:16" x14ac:dyDescent="0.3">
      <c r="A301" s="32" t="s">
        <v>3213</v>
      </c>
      <c r="B301" s="40">
        <v>46108</v>
      </c>
      <c r="C301" s="40">
        <v>46113</v>
      </c>
      <c r="D301" s="27">
        <v>3319</v>
      </c>
      <c r="E301" s="32">
        <v>327</v>
      </c>
      <c r="F301" s="27">
        <v>2</v>
      </c>
      <c r="G301" s="28">
        <v>1</v>
      </c>
      <c r="H301" s="28">
        <v>81778</v>
      </c>
      <c r="I301" s="28" t="s">
        <v>17</v>
      </c>
      <c r="J301" s="28">
        <v>13839037</v>
      </c>
      <c r="K301" s="38" t="s">
        <v>1965</v>
      </c>
      <c r="L301" t="s">
        <v>1971</v>
      </c>
      <c r="M301" s="37">
        <v>199900</v>
      </c>
      <c r="N301" s="30">
        <v>0.9</v>
      </c>
      <c r="O301" s="33">
        <f t="shared" si="5"/>
        <v>19989.999999999996</v>
      </c>
      <c r="P301" s="28" t="s">
        <v>0</v>
      </c>
    </row>
    <row r="302" spans="1:16" x14ac:dyDescent="0.3">
      <c r="A302" s="32" t="s">
        <v>3213</v>
      </c>
      <c r="B302" s="40">
        <v>46108</v>
      </c>
      <c r="C302" s="40">
        <v>46113</v>
      </c>
      <c r="D302" s="27">
        <v>3319</v>
      </c>
      <c r="E302" s="32">
        <v>327</v>
      </c>
      <c r="F302" s="27">
        <v>2</v>
      </c>
      <c r="G302" s="28">
        <v>1</v>
      </c>
      <c r="H302" s="28">
        <v>81778</v>
      </c>
      <c r="I302" s="28" t="s">
        <v>17</v>
      </c>
      <c r="J302" s="28">
        <v>13839046</v>
      </c>
      <c r="K302" s="38" t="s">
        <v>1965</v>
      </c>
      <c r="L302" t="s">
        <v>1972</v>
      </c>
      <c r="M302" s="37">
        <v>199900</v>
      </c>
      <c r="N302" s="30">
        <v>0.9</v>
      </c>
      <c r="O302" s="33">
        <f t="shared" si="5"/>
        <v>19989.999999999996</v>
      </c>
      <c r="P302" s="28" t="s">
        <v>0</v>
      </c>
    </row>
    <row r="303" spans="1:16" x14ac:dyDescent="0.3">
      <c r="A303" s="32" t="s">
        <v>3213</v>
      </c>
      <c r="B303" s="40">
        <v>46108</v>
      </c>
      <c r="C303" s="40">
        <v>46113</v>
      </c>
      <c r="D303" s="27">
        <v>3319</v>
      </c>
      <c r="E303" s="32">
        <v>327</v>
      </c>
      <c r="F303" s="27">
        <v>2</v>
      </c>
      <c r="G303" s="28">
        <v>1</v>
      </c>
      <c r="H303" s="28">
        <v>81778</v>
      </c>
      <c r="I303" s="28" t="s">
        <v>17</v>
      </c>
      <c r="J303" s="28">
        <v>13839055</v>
      </c>
      <c r="K303" s="38" t="s">
        <v>1965</v>
      </c>
      <c r="L303" t="s">
        <v>1973</v>
      </c>
      <c r="M303" s="37">
        <v>199900</v>
      </c>
      <c r="N303" s="30">
        <v>0.9</v>
      </c>
      <c r="O303" s="33">
        <f t="shared" si="5"/>
        <v>19989.999999999996</v>
      </c>
      <c r="P303" s="28" t="s">
        <v>0</v>
      </c>
    </row>
    <row r="304" spans="1:16" x14ac:dyDescent="0.3">
      <c r="A304" s="32" t="s">
        <v>3213</v>
      </c>
      <c r="B304" s="40">
        <v>46108</v>
      </c>
      <c r="C304" s="40">
        <v>46113</v>
      </c>
      <c r="D304" s="27">
        <v>3319</v>
      </c>
      <c r="E304" s="32">
        <v>327</v>
      </c>
      <c r="F304" s="27">
        <v>2</v>
      </c>
      <c r="G304" s="28">
        <v>1</v>
      </c>
      <c r="H304" s="28">
        <v>81778</v>
      </c>
      <c r="I304" s="28" t="s">
        <v>17</v>
      </c>
      <c r="J304" s="28">
        <v>13839064</v>
      </c>
      <c r="K304" s="38" t="s">
        <v>1965</v>
      </c>
      <c r="L304" t="s">
        <v>1974</v>
      </c>
      <c r="M304" s="37">
        <v>199900</v>
      </c>
      <c r="N304" s="30">
        <v>0.9</v>
      </c>
      <c r="O304" s="33">
        <f t="shared" si="5"/>
        <v>19989.999999999996</v>
      </c>
      <c r="P304" s="28" t="s">
        <v>0</v>
      </c>
    </row>
    <row r="305" spans="1:16" x14ac:dyDescent="0.3">
      <c r="A305" s="32" t="s">
        <v>3213</v>
      </c>
      <c r="B305" s="40">
        <v>46108</v>
      </c>
      <c r="C305" s="40">
        <v>46113</v>
      </c>
      <c r="D305" s="27">
        <v>3319</v>
      </c>
      <c r="E305" s="32">
        <v>327</v>
      </c>
      <c r="F305" s="27">
        <v>2</v>
      </c>
      <c r="G305" s="28">
        <v>1</v>
      </c>
      <c r="H305" s="28">
        <v>81778</v>
      </c>
      <c r="I305" s="28" t="s">
        <v>17</v>
      </c>
      <c r="J305" s="28">
        <v>13839073</v>
      </c>
      <c r="K305" s="38" t="s">
        <v>1965</v>
      </c>
      <c r="L305" t="s">
        <v>1975</v>
      </c>
      <c r="M305" s="37">
        <v>199900</v>
      </c>
      <c r="N305" s="30">
        <v>0.9</v>
      </c>
      <c r="O305" s="33">
        <f t="shared" si="5"/>
        <v>19989.999999999996</v>
      </c>
      <c r="P305" s="28" t="s">
        <v>0</v>
      </c>
    </row>
    <row r="306" spans="1:16" x14ac:dyDescent="0.3">
      <c r="A306" s="32" t="s">
        <v>3213</v>
      </c>
      <c r="B306" s="40">
        <v>46108</v>
      </c>
      <c r="C306" s="40">
        <v>46113</v>
      </c>
      <c r="D306" s="27">
        <v>3319</v>
      </c>
      <c r="E306" s="32">
        <v>327</v>
      </c>
      <c r="F306" s="27">
        <v>2</v>
      </c>
      <c r="G306" s="28">
        <v>2</v>
      </c>
      <c r="H306" s="28">
        <v>81778</v>
      </c>
      <c r="I306" s="28" t="s">
        <v>17</v>
      </c>
      <c r="J306" s="28">
        <v>12072429</v>
      </c>
      <c r="K306" s="38" t="s">
        <v>1987</v>
      </c>
      <c r="L306" t="s">
        <v>1988</v>
      </c>
      <c r="M306" s="37">
        <v>239900</v>
      </c>
      <c r="N306" s="30">
        <v>0.9</v>
      </c>
      <c r="O306" s="33">
        <f t="shared" si="5"/>
        <v>23989.999999999996</v>
      </c>
      <c r="P306" s="28" t="s">
        <v>0</v>
      </c>
    </row>
    <row r="307" spans="1:16" x14ac:dyDescent="0.3">
      <c r="A307" s="32" t="s">
        <v>3213</v>
      </c>
      <c r="B307" s="40">
        <v>46108</v>
      </c>
      <c r="C307" s="40">
        <v>46113</v>
      </c>
      <c r="D307" s="27">
        <v>3319</v>
      </c>
      <c r="E307" s="32">
        <v>327</v>
      </c>
      <c r="F307" s="27">
        <v>2</v>
      </c>
      <c r="G307" s="28">
        <v>2</v>
      </c>
      <c r="H307" s="28">
        <v>81778</v>
      </c>
      <c r="I307" s="28" t="s">
        <v>17</v>
      </c>
      <c r="J307" s="28">
        <v>12072438</v>
      </c>
      <c r="K307" s="38" t="s">
        <v>1987</v>
      </c>
      <c r="L307" t="s">
        <v>1989</v>
      </c>
      <c r="M307" s="37">
        <v>239900</v>
      </c>
      <c r="N307" s="30">
        <v>0.9</v>
      </c>
      <c r="O307" s="33">
        <f t="shared" si="5"/>
        <v>23989.999999999996</v>
      </c>
      <c r="P307" s="28" t="s">
        <v>0</v>
      </c>
    </row>
    <row r="308" spans="1:16" x14ac:dyDescent="0.3">
      <c r="A308" s="32" t="s">
        <v>3213</v>
      </c>
      <c r="B308" s="40">
        <v>46108</v>
      </c>
      <c r="C308" s="40">
        <v>46113</v>
      </c>
      <c r="D308" s="27">
        <v>3319</v>
      </c>
      <c r="E308" s="32">
        <v>327</v>
      </c>
      <c r="F308" s="27">
        <v>2</v>
      </c>
      <c r="G308" s="28">
        <v>2</v>
      </c>
      <c r="H308" s="28">
        <v>81778</v>
      </c>
      <c r="I308" s="28" t="s">
        <v>17</v>
      </c>
      <c r="J308" s="28">
        <v>12072447</v>
      </c>
      <c r="K308" s="38" t="s">
        <v>1987</v>
      </c>
      <c r="L308" t="s">
        <v>1990</v>
      </c>
      <c r="M308" s="37">
        <v>239900</v>
      </c>
      <c r="N308" s="30">
        <v>0.9</v>
      </c>
      <c r="O308" s="33">
        <f t="shared" si="5"/>
        <v>23989.999999999996</v>
      </c>
      <c r="P308" s="28" t="s">
        <v>0</v>
      </c>
    </row>
    <row r="309" spans="1:16" x14ac:dyDescent="0.3">
      <c r="A309" s="32" t="s">
        <v>3213</v>
      </c>
      <c r="B309" s="40">
        <v>46108</v>
      </c>
      <c r="C309" s="40">
        <v>46113</v>
      </c>
      <c r="D309" s="27">
        <v>3319</v>
      </c>
      <c r="E309" s="32">
        <v>327</v>
      </c>
      <c r="F309" s="27">
        <v>2</v>
      </c>
      <c r="G309" s="28">
        <v>2</v>
      </c>
      <c r="H309" s="28">
        <v>81778</v>
      </c>
      <c r="I309" s="28" t="s">
        <v>17</v>
      </c>
      <c r="J309" s="28">
        <v>12072456</v>
      </c>
      <c r="K309" s="38" t="s">
        <v>1987</v>
      </c>
      <c r="L309" t="s">
        <v>1991</v>
      </c>
      <c r="M309" s="37">
        <v>239900</v>
      </c>
      <c r="N309" s="30">
        <v>0.9</v>
      </c>
      <c r="O309" s="33">
        <f t="shared" si="5"/>
        <v>23989.999999999996</v>
      </c>
      <c r="P309" s="28" t="s">
        <v>0</v>
      </c>
    </row>
    <row r="310" spans="1:16" x14ac:dyDescent="0.3">
      <c r="A310" s="32" t="s">
        <v>3213</v>
      </c>
      <c r="B310" s="40">
        <v>46108</v>
      </c>
      <c r="C310" s="40">
        <v>46113</v>
      </c>
      <c r="D310" s="27">
        <v>3319</v>
      </c>
      <c r="E310" s="32">
        <v>327</v>
      </c>
      <c r="F310" s="27">
        <v>2</v>
      </c>
      <c r="G310" s="28">
        <v>2</v>
      </c>
      <c r="H310" s="28">
        <v>81778</v>
      </c>
      <c r="I310" s="28" t="s">
        <v>17</v>
      </c>
      <c r="J310" s="28">
        <v>12072465</v>
      </c>
      <c r="K310" s="38" t="s">
        <v>1987</v>
      </c>
      <c r="L310" t="s">
        <v>1992</v>
      </c>
      <c r="M310" s="37">
        <v>239900</v>
      </c>
      <c r="N310" s="30">
        <v>0.9</v>
      </c>
      <c r="O310" s="33">
        <f t="shared" si="5"/>
        <v>23989.999999999996</v>
      </c>
      <c r="P310" s="28" t="s">
        <v>0</v>
      </c>
    </row>
    <row r="311" spans="1:16" x14ac:dyDescent="0.3">
      <c r="A311" s="32" t="s">
        <v>3213</v>
      </c>
      <c r="B311" s="40">
        <v>46108</v>
      </c>
      <c r="C311" s="40">
        <v>46113</v>
      </c>
      <c r="D311" s="27">
        <v>3319</v>
      </c>
      <c r="E311" s="32">
        <v>327</v>
      </c>
      <c r="F311" s="27">
        <v>2</v>
      </c>
      <c r="G311" s="28">
        <v>2</v>
      </c>
      <c r="H311" s="28">
        <v>81778</v>
      </c>
      <c r="I311" s="28" t="s">
        <v>17</v>
      </c>
      <c r="J311" s="28">
        <v>12072474</v>
      </c>
      <c r="K311" s="38" t="s">
        <v>1987</v>
      </c>
      <c r="L311" t="s">
        <v>1993</v>
      </c>
      <c r="M311" s="37">
        <v>239900</v>
      </c>
      <c r="N311" s="30">
        <v>0.9</v>
      </c>
      <c r="O311" s="33">
        <f t="shared" si="5"/>
        <v>23989.999999999996</v>
      </c>
      <c r="P311" s="28" t="s">
        <v>0</v>
      </c>
    </row>
    <row r="312" spans="1:16" x14ac:dyDescent="0.3">
      <c r="A312" s="32" t="s">
        <v>3213</v>
      </c>
      <c r="B312" s="40">
        <v>46108</v>
      </c>
      <c r="C312" s="40">
        <v>46113</v>
      </c>
      <c r="D312" s="27">
        <v>3319</v>
      </c>
      <c r="E312" s="32">
        <v>327</v>
      </c>
      <c r="F312" s="27">
        <v>2</v>
      </c>
      <c r="G312" s="28">
        <v>2</v>
      </c>
      <c r="H312" s="28">
        <v>81778</v>
      </c>
      <c r="I312" s="28" t="s">
        <v>17</v>
      </c>
      <c r="J312" s="28">
        <v>12072410</v>
      </c>
      <c r="K312" s="38" t="s">
        <v>1987</v>
      </c>
      <c r="L312" t="s">
        <v>1994</v>
      </c>
      <c r="M312" s="37">
        <v>239900</v>
      </c>
      <c r="N312" s="30">
        <v>0.9</v>
      </c>
      <c r="O312" s="33">
        <f t="shared" si="5"/>
        <v>23989.999999999996</v>
      </c>
      <c r="P312" s="28" t="s">
        <v>0</v>
      </c>
    </row>
    <row r="313" spans="1:16" x14ac:dyDescent="0.3">
      <c r="A313" s="32" t="s">
        <v>3213</v>
      </c>
      <c r="B313" s="40">
        <v>46108</v>
      </c>
      <c r="C313" s="40">
        <v>46113</v>
      </c>
      <c r="D313" s="27">
        <v>3319</v>
      </c>
      <c r="E313" s="32">
        <v>327</v>
      </c>
      <c r="F313" s="27">
        <v>2</v>
      </c>
      <c r="G313" s="28">
        <v>2</v>
      </c>
      <c r="H313" s="28">
        <v>81778</v>
      </c>
      <c r="I313" s="28" t="s">
        <v>17</v>
      </c>
      <c r="J313" s="28">
        <v>12072401</v>
      </c>
      <c r="K313" s="38" t="s">
        <v>1987</v>
      </c>
      <c r="L313" t="s">
        <v>1995</v>
      </c>
      <c r="M313" s="37">
        <v>239900</v>
      </c>
      <c r="N313" s="30">
        <v>0.9</v>
      </c>
      <c r="O313" s="33">
        <f t="shared" si="5"/>
        <v>23989.999999999996</v>
      </c>
      <c r="P313" s="28" t="s">
        <v>0</v>
      </c>
    </row>
    <row r="314" spans="1:16" x14ac:dyDescent="0.3">
      <c r="A314" s="32" t="s">
        <v>3213</v>
      </c>
      <c r="B314" s="40">
        <v>46108</v>
      </c>
      <c r="C314" s="40">
        <v>46113</v>
      </c>
      <c r="D314" s="27">
        <v>3319</v>
      </c>
      <c r="E314" s="32">
        <v>327</v>
      </c>
      <c r="F314" s="27">
        <v>2</v>
      </c>
      <c r="G314" s="28">
        <v>2</v>
      </c>
      <c r="H314" s="28">
        <v>81778</v>
      </c>
      <c r="I314" s="28" t="s">
        <v>17</v>
      </c>
      <c r="J314" s="28">
        <v>12072394</v>
      </c>
      <c r="K314" s="38" t="s">
        <v>1987</v>
      </c>
      <c r="L314" t="s">
        <v>1996</v>
      </c>
      <c r="M314" s="37">
        <v>239900</v>
      </c>
      <c r="N314" s="30">
        <v>0.9</v>
      </c>
      <c r="O314" s="33">
        <f t="shared" si="5"/>
        <v>23989.999999999996</v>
      </c>
      <c r="P314" s="28" t="s">
        <v>0</v>
      </c>
    </row>
    <row r="315" spans="1:16" x14ac:dyDescent="0.3">
      <c r="A315" s="32" t="s">
        <v>3213</v>
      </c>
      <c r="B315" s="40">
        <v>46108</v>
      </c>
      <c r="C315" s="40">
        <v>46113</v>
      </c>
      <c r="D315" s="27">
        <v>3319</v>
      </c>
      <c r="E315" s="32">
        <v>327</v>
      </c>
      <c r="F315" s="27">
        <v>2</v>
      </c>
      <c r="G315" s="28">
        <v>2</v>
      </c>
      <c r="H315" s="28">
        <v>81778</v>
      </c>
      <c r="I315" s="28" t="s">
        <v>17</v>
      </c>
      <c r="J315" s="28">
        <v>12072385</v>
      </c>
      <c r="K315" s="38" t="s">
        <v>1987</v>
      </c>
      <c r="L315" t="s">
        <v>1997</v>
      </c>
      <c r="M315" s="37">
        <v>239900</v>
      </c>
      <c r="N315" s="30">
        <v>0.9</v>
      </c>
      <c r="O315" s="33">
        <f t="shared" si="5"/>
        <v>23989.999999999996</v>
      </c>
      <c r="P315" s="28" t="s">
        <v>0</v>
      </c>
    </row>
    <row r="316" spans="1:16" x14ac:dyDescent="0.3">
      <c r="A316" s="32" t="s">
        <v>3213</v>
      </c>
      <c r="B316" s="40">
        <v>46108</v>
      </c>
      <c r="C316" s="40">
        <v>46113</v>
      </c>
      <c r="D316" s="27">
        <v>3319</v>
      </c>
      <c r="E316" s="32">
        <v>327</v>
      </c>
      <c r="F316" s="27">
        <v>2</v>
      </c>
      <c r="G316" s="28">
        <v>2</v>
      </c>
      <c r="H316" s="28">
        <v>81778</v>
      </c>
      <c r="I316" s="28" t="s">
        <v>17</v>
      </c>
      <c r="J316" s="28">
        <v>12072483</v>
      </c>
      <c r="K316" s="38" t="s">
        <v>2015</v>
      </c>
      <c r="L316" t="s">
        <v>2016</v>
      </c>
      <c r="M316" s="37">
        <v>319900</v>
      </c>
      <c r="N316" s="30">
        <v>0.9</v>
      </c>
      <c r="O316" s="33">
        <f t="shared" si="5"/>
        <v>31989.999999999993</v>
      </c>
      <c r="P316" s="28" t="s">
        <v>0</v>
      </c>
    </row>
    <row r="317" spans="1:16" x14ac:dyDescent="0.3">
      <c r="A317" s="32" t="s">
        <v>3213</v>
      </c>
      <c r="B317" s="40">
        <v>46108</v>
      </c>
      <c r="C317" s="40">
        <v>46113</v>
      </c>
      <c r="D317" s="27">
        <v>3319</v>
      </c>
      <c r="E317" s="32">
        <v>327</v>
      </c>
      <c r="F317" s="27">
        <v>2</v>
      </c>
      <c r="G317" s="28">
        <v>2</v>
      </c>
      <c r="H317" s="28">
        <v>81778</v>
      </c>
      <c r="I317" s="28" t="s">
        <v>17</v>
      </c>
      <c r="J317" s="28">
        <v>12072492</v>
      </c>
      <c r="K317" s="38" t="s">
        <v>2015</v>
      </c>
      <c r="L317" t="s">
        <v>2017</v>
      </c>
      <c r="M317" s="37">
        <v>319900</v>
      </c>
      <c r="N317" s="30">
        <v>0.9</v>
      </c>
      <c r="O317" s="33">
        <f t="shared" si="5"/>
        <v>31989.999999999993</v>
      </c>
      <c r="P317" s="28" t="s">
        <v>0</v>
      </c>
    </row>
    <row r="318" spans="1:16" x14ac:dyDescent="0.3">
      <c r="A318" s="32" t="s">
        <v>3213</v>
      </c>
      <c r="B318" s="40">
        <v>46108</v>
      </c>
      <c r="C318" s="40">
        <v>46113</v>
      </c>
      <c r="D318" s="27">
        <v>3319</v>
      </c>
      <c r="E318" s="32">
        <v>327</v>
      </c>
      <c r="F318" s="27">
        <v>2</v>
      </c>
      <c r="G318" s="28">
        <v>2</v>
      </c>
      <c r="H318" s="28">
        <v>81778</v>
      </c>
      <c r="I318" s="28" t="s">
        <v>17</v>
      </c>
      <c r="J318" s="28">
        <v>12072509</v>
      </c>
      <c r="K318" s="38" t="s">
        <v>2015</v>
      </c>
      <c r="L318" t="s">
        <v>2018</v>
      </c>
      <c r="M318" s="37">
        <v>319900</v>
      </c>
      <c r="N318" s="30">
        <v>0.9</v>
      </c>
      <c r="O318" s="33">
        <f t="shared" si="5"/>
        <v>31989.999999999993</v>
      </c>
      <c r="P318" s="28" t="s">
        <v>0</v>
      </c>
    </row>
    <row r="319" spans="1:16" x14ac:dyDescent="0.3">
      <c r="A319" s="32" t="s">
        <v>3213</v>
      </c>
      <c r="B319" s="40">
        <v>46108</v>
      </c>
      <c r="C319" s="40">
        <v>46113</v>
      </c>
      <c r="D319" s="27">
        <v>3319</v>
      </c>
      <c r="E319" s="32">
        <v>327</v>
      </c>
      <c r="F319" s="27">
        <v>2</v>
      </c>
      <c r="G319" s="28">
        <v>2</v>
      </c>
      <c r="H319" s="28">
        <v>81778</v>
      </c>
      <c r="I319" s="28" t="s">
        <v>17</v>
      </c>
      <c r="J319" s="28">
        <v>12072518</v>
      </c>
      <c r="K319" s="38" t="s">
        <v>2015</v>
      </c>
      <c r="L319" t="s">
        <v>2019</v>
      </c>
      <c r="M319" s="37">
        <v>319900</v>
      </c>
      <c r="N319" s="30">
        <v>0.9</v>
      </c>
      <c r="O319" s="33">
        <f t="shared" si="5"/>
        <v>31989.999999999993</v>
      </c>
      <c r="P319" s="28" t="s">
        <v>0</v>
      </c>
    </row>
    <row r="320" spans="1:16" x14ac:dyDescent="0.3">
      <c r="A320" s="32" t="s">
        <v>3213</v>
      </c>
      <c r="B320" s="40">
        <v>46108</v>
      </c>
      <c r="C320" s="40">
        <v>46113</v>
      </c>
      <c r="D320" s="27">
        <v>3319</v>
      </c>
      <c r="E320" s="32">
        <v>327</v>
      </c>
      <c r="F320" s="27">
        <v>2</v>
      </c>
      <c r="G320" s="28">
        <v>2</v>
      </c>
      <c r="H320" s="28">
        <v>81778</v>
      </c>
      <c r="I320" s="28" t="s">
        <v>17</v>
      </c>
      <c r="J320" s="28">
        <v>12072527</v>
      </c>
      <c r="K320" s="38" t="s">
        <v>2015</v>
      </c>
      <c r="L320" t="s">
        <v>2020</v>
      </c>
      <c r="M320" s="37">
        <v>319900</v>
      </c>
      <c r="N320" s="30">
        <v>0.9</v>
      </c>
      <c r="O320" s="33">
        <f t="shared" si="5"/>
        <v>31989.999999999993</v>
      </c>
      <c r="P320" s="28" t="s">
        <v>0</v>
      </c>
    </row>
    <row r="321" spans="1:16" x14ac:dyDescent="0.3">
      <c r="A321" s="32" t="s">
        <v>3213</v>
      </c>
      <c r="B321" s="40">
        <v>46108</v>
      </c>
      <c r="C321" s="40">
        <v>46113</v>
      </c>
      <c r="D321" s="27">
        <v>3319</v>
      </c>
      <c r="E321" s="32">
        <v>327</v>
      </c>
      <c r="F321" s="27">
        <v>2</v>
      </c>
      <c r="G321" s="28">
        <v>2</v>
      </c>
      <c r="H321" s="28">
        <v>81778</v>
      </c>
      <c r="I321" s="28" t="s">
        <v>17</v>
      </c>
      <c r="J321" s="28">
        <v>12072536</v>
      </c>
      <c r="K321" s="38" t="s">
        <v>2015</v>
      </c>
      <c r="L321" t="s">
        <v>2021</v>
      </c>
      <c r="M321" s="37">
        <v>319900</v>
      </c>
      <c r="N321" s="30">
        <v>0.9</v>
      </c>
      <c r="O321" s="33">
        <f t="shared" si="5"/>
        <v>31989.999999999993</v>
      </c>
      <c r="P321" s="28" t="s">
        <v>0</v>
      </c>
    </row>
    <row r="322" spans="1:16" x14ac:dyDescent="0.3">
      <c r="A322" s="32" t="s">
        <v>3213</v>
      </c>
      <c r="B322" s="40">
        <v>46108</v>
      </c>
      <c r="C322" s="40">
        <v>46113</v>
      </c>
      <c r="D322" s="27">
        <v>3319</v>
      </c>
      <c r="E322" s="32">
        <v>327</v>
      </c>
      <c r="F322" s="27">
        <v>2</v>
      </c>
      <c r="G322" s="28">
        <v>2</v>
      </c>
      <c r="H322" s="28">
        <v>81778</v>
      </c>
      <c r="I322" s="28" t="s">
        <v>17</v>
      </c>
      <c r="J322" s="28">
        <v>12072545</v>
      </c>
      <c r="K322" s="38" t="s">
        <v>2015</v>
      </c>
      <c r="L322" t="s">
        <v>2022</v>
      </c>
      <c r="M322" s="37">
        <v>319900</v>
      </c>
      <c r="N322" s="30">
        <v>0.9</v>
      </c>
      <c r="O322" s="33">
        <f t="shared" si="5"/>
        <v>31989.999999999993</v>
      </c>
      <c r="P322" s="28" t="s">
        <v>0</v>
      </c>
    </row>
    <row r="323" spans="1:16" x14ac:dyDescent="0.3">
      <c r="A323" s="32" t="s">
        <v>3213</v>
      </c>
      <c r="B323" s="40">
        <v>46108</v>
      </c>
      <c r="C323" s="40">
        <v>46113</v>
      </c>
      <c r="D323" s="27">
        <v>3319</v>
      </c>
      <c r="E323" s="32">
        <v>327</v>
      </c>
      <c r="F323" s="27">
        <v>2</v>
      </c>
      <c r="G323" s="28">
        <v>2</v>
      </c>
      <c r="H323" s="28">
        <v>81778</v>
      </c>
      <c r="I323" s="28" t="s">
        <v>17</v>
      </c>
      <c r="J323" s="28">
        <v>12072554</v>
      </c>
      <c r="K323" s="38" t="s">
        <v>2015</v>
      </c>
      <c r="L323" t="s">
        <v>2023</v>
      </c>
      <c r="M323" s="37">
        <v>319900</v>
      </c>
      <c r="N323" s="30">
        <v>0.9</v>
      </c>
      <c r="O323" s="33">
        <f t="shared" si="5"/>
        <v>31989.999999999993</v>
      </c>
      <c r="P323" s="28" t="s">
        <v>0</v>
      </c>
    </row>
    <row r="324" spans="1:16" x14ac:dyDescent="0.3">
      <c r="A324" s="32" t="s">
        <v>3213</v>
      </c>
      <c r="B324" s="40">
        <v>46108</v>
      </c>
      <c r="C324" s="40">
        <v>46113</v>
      </c>
      <c r="D324" s="27">
        <v>3319</v>
      </c>
      <c r="E324" s="32">
        <v>327</v>
      </c>
      <c r="F324" s="27">
        <v>2</v>
      </c>
      <c r="G324" s="28">
        <v>2</v>
      </c>
      <c r="H324" s="28">
        <v>81778</v>
      </c>
      <c r="I324" s="28" t="s">
        <v>17</v>
      </c>
      <c r="J324" s="28">
        <v>12072563</v>
      </c>
      <c r="K324" s="38" t="s">
        <v>2015</v>
      </c>
      <c r="L324" t="s">
        <v>2024</v>
      </c>
      <c r="M324" s="37">
        <v>319900</v>
      </c>
      <c r="N324" s="30">
        <v>0.9</v>
      </c>
      <c r="O324" s="33">
        <f t="shared" si="5"/>
        <v>31989.999999999993</v>
      </c>
      <c r="P324" s="28" t="s">
        <v>0</v>
      </c>
    </row>
    <row r="325" spans="1:16" x14ac:dyDescent="0.3">
      <c r="A325" s="32" t="s">
        <v>3213</v>
      </c>
      <c r="B325" s="40">
        <v>46108</v>
      </c>
      <c r="C325" s="40">
        <v>46113</v>
      </c>
      <c r="D325" s="27">
        <v>3319</v>
      </c>
      <c r="E325" s="32">
        <v>327</v>
      </c>
      <c r="F325" s="27">
        <v>2</v>
      </c>
      <c r="G325" s="28">
        <v>2</v>
      </c>
      <c r="H325" s="28">
        <v>81778</v>
      </c>
      <c r="I325" s="28" t="s">
        <v>17</v>
      </c>
      <c r="J325" s="28">
        <v>12072572</v>
      </c>
      <c r="K325" s="38" t="s">
        <v>2015</v>
      </c>
      <c r="L325" t="s">
        <v>2025</v>
      </c>
      <c r="M325" s="37">
        <v>319900</v>
      </c>
      <c r="N325" s="30">
        <v>0.9</v>
      </c>
      <c r="O325" s="33">
        <f t="shared" si="5"/>
        <v>31989.999999999993</v>
      </c>
      <c r="P325" s="28" t="s">
        <v>0</v>
      </c>
    </row>
    <row r="326" spans="1:16" x14ac:dyDescent="0.3">
      <c r="A326" s="32" t="s">
        <v>3213</v>
      </c>
      <c r="B326" s="40">
        <v>46108</v>
      </c>
      <c r="C326" s="40">
        <v>46113</v>
      </c>
      <c r="D326" s="27">
        <v>3319</v>
      </c>
      <c r="E326" s="32">
        <v>327</v>
      </c>
      <c r="F326" s="27">
        <v>2</v>
      </c>
      <c r="G326" s="28">
        <v>2</v>
      </c>
      <c r="H326" s="28">
        <v>81778</v>
      </c>
      <c r="I326" s="28" t="s">
        <v>17</v>
      </c>
      <c r="J326" s="28">
        <v>12072581</v>
      </c>
      <c r="K326" s="38" t="s">
        <v>2026</v>
      </c>
      <c r="L326" t="s">
        <v>2027</v>
      </c>
      <c r="M326" s="37">
        <v>299900</v>
      </c>
      <c r="N326" s="30">
        <v>0.9</v>
      </c>
      <c r="O326" s="33">
        <f t="shared" si="5"/>
        <v>29989.999999999993</v>
      </c>
      <c r="P326" s="28" t="s">
        <v>0</v>
      </c>
    </row>
    <row r="327" spans="1:16" x14ac:dyDescent="0.3">
      <c r="A327" s="32" t="s">
        <v>3213</v>
      </c>
      <c r="B327" s="40">
        <v>46108</v>
      </c>
      <c r="C327" s="40">
        <v>46113</v>
      </c>
      <c r="D327" s="27">
        <v>3319</v>
      </c>
      <c r="E327" s="32">
        <v>327</v>
      </c>
      <c r="F327" s="27">
        <v>2</v>
      </c>
      <c r="G327" s="28">
        <v>2</v>
      </c>
      <c r="H327" s="28">
        <v>81778</v>
      </c>
      <c r="I327" s="28" t="s">
        <v>17</v>
      </c>
      <c r="J327" s="28">
        <v>12072590</v>
      </c>
      <c r="K327" s="38" t="s">
        <v>2026</v>
      </c>
      <c r="L327" t="s">
        <v>2028</v>
      </c>
      <c r="M327" s="37">
        <v>299900</v>
      </c>
      <c r="N327" s="30">
        <v>0.9</v>
      </c>
      <c r="O327" s="33">
        <f t="shared" si="5"/>
        <v>29989.999999999993</v>
      </c>
      <c r="P327" s="28" t="s">
        <v>0</v>
      </c>
    </row>
    <row r="328" spans="1:16" x14ac:dyDescent="0.3">
      <c r="A328" s="32" t="s">
        <v>3213</v>
      </c>
      <c r="B328" s="40">
        <v>46108</v>
      </c>
      <c r="C328" s="40">
        <v>46113</v>
      </c>
      <c r="D328" s="27">
        <v>3319</v>
      </c>
      <c r="E328" s="32">
        <v>327</v>
      </c>
      <c r="F328" s="27">
        <v>2</v>
      </c>
      <c r="G328" s="28">
        <v>2</v>
      </c>
      <c r="H328" s="28">
        <v>81778</v>
      </c>
      <c r="I328" s="28" t="s">
        <v>17</v>
      </c>
      <c r="J328" s="28">
        <v>12072607</v>
      </c>
      <c r="K328" s="38" t="s">
        <v>2026</v>
      </c>
      <c r="L328" t="s">
        <v>2029</v>
      </c>
      <c r="M328" s="37">
        <v>299900</v>
      </c>
      <c r="N328" s="30">
        <v>0.9</v>
      </c>
      <c r="O328" s="33">
        <f t="shared" si="5"/>
        <v>29989.999999999993</v>
      </c>
      <c r="P328" s="28" t="s">
        <v>0</v>
      </c>
    </row>
    <row r="329" spans="1:16" x14ac:dyDescent="0.3">
      <c r="A329" s="32" t="s">
        <v>3213</v>
      </c>
      <c r="B329" s="40">
        <v>46108</v>
      </c>
      <c r="C329" s="40">
        <v>46113</v>
      </c>
      <c r="D329" s="27">
        <v>3319</v>
      </c>
      <c r="E329" s="32">
        <v>327</v>
      </c>
      <c r="F329" s="27">
        <v>2</v>
      </c>
      <c r="G329" s="28">
        <v>2</v>
      </c>
      <c r="H329" s="28">
        <v>81778</v>
      </c>
      <c r="I329" s="28" t="s">
        <v>17</v>
      </c>
      <c r="J329" s="28">
        <v>12072616</v>
      </c>
      <c r="K329" s="38" t="s">
        <v>2026</v>
      </c>
      <c r="L329" t="s">
        <v>2030</v>
      </c>
      <c r="M329" s="37">
        <v>299900</v>
      </c>
      <c r="N329" s="30">
        <v>0.9</v>
      </c>
      <c r="O329" s="33">
        <f t="shared" si="5"/>
        <v>29989.999999999993</v>
      </c>
      <c r="P329" s="28" t="s">
        <v>0</v>
      </c>
    </row>
    <row r="330" spans="1:16" x14ac:dyDescent="0.3">
      <c r="A330" s="32" t="s">
        <v>3213</v>
      </c>
      <c r="B330" s="40">
        <v>46108</v>
      </c>
      <c r="C330" s="40">
        <v>46113</v>
      </c>
      <c r="D330" s="27">
        <v>3319</v>
      </c>
      <c r="E330" s="32">
        <v>327</v>
      </c>
      <c r="F330" s="27">
        <v>2</v>
      </c>
      <c r="G330" s="28">
        <v>2</v>
      </c>
      <c r="H330" s="28">
        <v>81778</v>
      </c>
      <c r="I330" s="28" t="s">
        <v>17</v>
      </c>
      <c r="J330" s="28">
        <v>12072625</v>
      </c>
      <c r="K330" s="38" t="s">
        <v>2026</v>
      </c>
      <c r="L330" t="s">
        <v>2031</v>
      </c>
      <c r="M330" s="37">
        <v>299900</v>
      </c>
      <c r="N330" s="30">
        <v>0.9</v>
      </c>
      <c r="O330" s="33">
        <f t="shared" si="5"/>
        <v>29989.999999999993</v>
      </c>
      <c r="P330" s="28" t="s">
        <v>0</v>
      </c>
    </row>
    <row r="331" spans="1:16" x14ac:dyDescent="0.3">
      <c r="A331" s="32" t="s">
        <v>3213</v>
      </c>
      <c r="B331" s="40">
        <v>46108</v>
      </c>
      <c r="C331" s="40">
        <v>46113</v>
      </c>
      <c r="D331" s="27">
        <v>3319</v>
      </c>
      <c r="E331" s="32">
        <v>327</v>
      </c>
      <c r="F331" s="27">
        <v>2</v>
      </c>
      <c r="G331" s="28">
        <v>2</v>
      </c>
      <c r="H331" s="28">
        <v>81778</v>
      </c>
      <c r="I331" s="28" t="s">
        <v>17</v>
      </c>
      <c r="J331" s="28">
        <v>12072634</v>
      </c>
      <c r="K331" s="38" t="s">
        <v>2026</v>
      </c>
      <c r="L331" t="s">
        <v>2032</v>
      </c>
      <c r="M331" s="37">
        <v>299900</v>
      </c>
      <c r="N331" s="30">
        <v>0.9</v>
      </c>
      <c r="O331" s="33">
        <f t="shared" si="5"/>
        <v>29989.999999999993</v>
      </c>
      <c r="P331" s="28" t="s">
        <v>0</v>
      </c>
    </row>
    <row r="332" spans="1:16" x14ac:dyDescent="0.3">
      <c r="A332" s="32" t="s">
        <v>3213</v>
      </c>
      <c r="B332" s="40">
        <v>46108</v>
      </c>
      <c r="C332" s="40">
        <v>46113</v>
      </c>
      <c r="D332" s="27">
        <v>3319</v>
      </c>
      <c r="E332" s="32">
        <v>327</v>
      </c>
      <c r="F332" s="27">
        <v>2</v>
      </c>
      <c r="G332" s="28">
        <v>2</v>
      </c>
      <c r="H332" s="28">
        <v>81778</v>
      </c>
      <c r="I332" s="28" t="s">
        <v>17</v>
      </c>
      <c r="J332" s="28">
        <v>12072643</v>
      </c>
      <c r="K332" s="38" t="s">
        <v>2026</v>
      </c>
      <c r="L332" t="s">
        <v>2033</v>
      </c>
      <c r="M332" s="37">
        <v>299900</v>
      </c>
      <c r="N332" s="30">
        <v>0.9</v>
      </c>
      <c r="O332" s="33">
        <f t="shared" si="5"/>
        <v>29989.999999999993</v>
      </c>
      <c r="P332" s="28" t="s">
        <v>0</v>
      </c>
    </row>
    <row r="333" spans="1:16" x14ac:dyDescent="0.3">
      <c r="A333" s="32" t="s">
        <v>3213</v>
      </c>
      <c r="B333" s="40">
        <v>46108</v>
      </c>
      <c r="C333" s="40">
        <v>46113</v>
      </c>
      <c r="D333" s="27">
        <v>3319</v>
      </c>
      <c r="E333" s="32">
        <v>327</v>
      </c>
      <c r="F333" s="27">
        <v>2</v>
      </c>
      <c r="G333" s="28">
        <v>2</v>
      </c>
      <c r="H333" s="28">
        <v>81778</v>
      </c>
      <c r="I333" s="28" t="s">
        <v>17</v>
      </c>
      <c r="J333" s="28">
        <v>12072652</v>
      </c>
      <c r="K333" s="38" t="s">
        <v>2026</v>
      </c>
      <c r="L333" t="s">
        <v>2034</v>
      </c>
      <c r="M333" s="37">
        <v>299900</v>
      </c>
      <c r="N333" s="30">
        <v>0.9</v>
      </c>
      <c r="O333" s="33">
        <f t="shared" si="5"/>
        <v>29989.999999999993</v>
      </c>
      <c r="P333" s="28" t="s">
        <v>0</v>
      </c>
    </row>
    <row r="334" spans="1:16" x14ac:dyDescent="0.3">
      <c r="A334" s="32" t="s">
        <v>3213</v>
      </c>
      <c r="B334" s="40">
        <v>46108</v>
      </c>
      <c r="C334" s="40">
        <v>46113</v>
      </c>
      <c r="D334" s="27">
        <v>3319</v>
      </c>
      <c r="E334" s="32">
        <v>327</v>
      </c>
      <c r="F334" s="27">
        <v>2</v>
      </c>
      <c r="G334" s="28">
        <v>2</v>
      </c>
      <c r="H334" s="28">
        <v>81778</v>
      </c>
      <c r="I334" s="28" t="s">
        <v>17</v>
      </c>
      <c r="J334" s="28">
        <v>12072661</v>
      </c>
      <c r="K334" s="38" t="s">
        <v>2026</v>
      </c>
      <c r="L334" t="s">
        <v>2035</v>
      </c>
      <c r="M334" s="37">
        <v>299900</v>
      </c>
      <c r="N334" s="30">
        <v>0.9</v>
      </c>
      <c r="O334" s="33">
        <f t="shared" si="5"/>
        <v>29989.999999999993</v>
      </c>
      <c r="P334" s="28" t="s">
        <v>0</v>
      </c>
    </row>
    <row r="335" spans="1:16" x14ac:dyDescent="0.3">
      <c r="A335" s="32" t="s">
        <v>3213</v>
      </c>
      <c r="B335" s="40">
        <v>46108</v>
      </c>
      <c r="C335" s="40">
        <v>46113</v>
      </c>
      <c r="D335" s="27">
        <v>3319</v>
      </c>
      <c r="E335" s="32">
        <v>327</v>
      </c>
      <c r="F335" s="27">
        <v>2</v>
      </c>
      <c r="G335" s="28">
        <v>2</v>
      </c>
      <c r="H335" s="28">
        <v>81778</v>
      </c>
      <c r="I335" s="28" t="s">
        <v>17</v>
      </c>
      <c r="J335" s="28">
        <v>12072670</v>
      </c>
      <c r="K335" s="38" t="s">
        <v>2026</v>
      </c>
      <c r="L335" t="s">
        <v>2036</v>
      </c>
      <c r="M335" s="37">
        <v>299900</v>
      </c>
      <c r="N335" s="30">
        <v>0.9</v>
      </c>
      <c r="O335" s="33">
        <f t="shared" si="5"/>
        <v>29989.999999999993</v>
      </c>
      <c r="P335" s="28" t="s">
        <v>0</v>
      </c>
    </row>
    <row r="336" spans="1:16" x14ac:dyDescent="0.3">
      <c r="A336" s="32" t="s">
        <v>3213</v>
      </c>
      <c r="B336" s="40">
        <v>46108</v>
      </c>
      <c r="C336" s="40">
        <v>46113</v>
      </c>
      <c r="D336" s="27">
        <v>3319</v>
      </c>
      <c r="E336" s="32">
        <v>327</v>
      </c>
      <c r="F336" s="27">
        <v>2</v>
      </c>
      <c r="G336" s="28">
        <v>2</v>
      </c>
      <c r="H336" s="28">
        <v>81778</v>
      </c>
      <c r="I336" s="28" t="s">
        <v>17</v>
      </c>
      <c r="J336" s="28">
        <v>12072330</v>
      </c>
      <c r="K336" s="38" t="s">
        <v>2009</v>
      </c>
      <c r="L336" t="s">
        <v>2010</v>
      </c>
      <c r="M336" s="37">
        <v>259900</v>
      </c>
      <c r="N336" s="30">
        <v>0.9</v>
      </c>
      <c r="O336" s="33">
        <f t="shared" si="5"/>
        <v>25989.999999999993</v>
      </c>
      <c r="P336" s="28" t="s">
        <v>0</v>
      </c>
    </row>
    <row r="337" spans="1:16" x14ac:dyDescent="0.3">
      <c r="A337" s="32" t="s">
        <v>3213</v>
      </c>
      <c r="B337" s="40">
        <v>46108</v>
      </c>
      <c r="C337" s="40">
        <v>46113</v>
      </c>
      <c r="D337" s="27">
        <v>3319</v>
      </c>
      <c r="E337" s="32">
        <v>327</v>
      </c>
      <c r="F337" s="27">
        <v>2</v>
      </c>
      <c r="G337" s="28">
        <v>2</v>
      </c>
      <c r="H337" s="28">
        <v>81778</v>
      </c>
      <c r="I337" s="28" t="s">
        <v>17</v>
      </c>
      <c r="J337" s="28">
        <v>12072349</v>
      </c>
      <c r="K337" s="38" t="s">
        <v>2009</v>
      </c>
      <c r="L337" t="s">
        <v>2011</v>
      </c>
      <c r="M337" s="37">
        <v>259900</v>
      </c>
      <c r="N337" s="30">
        <v>0.9</v>
      </c>
      <c r="O337" s="33">
        <f t="shared" si="5"/>
        <v>25989.999999999993</v>
      </c>
      <c r="P337" s="28" t="s">
        <v>0</v>
      </c>
    </row>
    <row r="338" spans="1:16" x14ac:dyDescent="0.3">
      <c r="A338" s="32" t="s">
        <v>3213</v>
      </c>
      <c r="B338" s="40">
        <v>46108</v>
      </c>
      <c r="C338" s="40">
        <v>46113</v>
      </c>
      <c r="D338" s="27">
        <v>3319</v>
      </c>
      <c r="E338" s="32">
        <v>327</v>
      </c>
      <c r="F338" s="27">
        <v>2</v>
      </c>
      <c r="G338" s="28">
        <v>2</v>
      </c>
      <c r="H338" s="28">
        <v>81778</v>
      </c>
      <c r="I338" s="28" t="s">
        <v>17</v>
      </c>
      <c r="J338" s="28">
        <v>12072358</v>
      </c>
      <c r="K338" s="38" t="s">
        <v>2009</v>
      </c>
      <c r="L338" t="s">
        <v>2012</v>
      </c>
      <c r="M338" s="37">
        <v>259900</v>
      </c>
      <c r="N338" s="30">
        <v>0.9</v>
      </c>
      <c r="O338" s="33">
        <f t="shared" si="5"/>
        <v>25989.999999999993</v>
      </c>
      <c r="P338" s="28" t="s">
        <v>0</v>
      </c>
    </row>
    <row r="339" spans="1:16" x14ac:dyDescent="0.3">
      <c r="A339" s="32" t="s">
        <v>3213</v>
      </c>
      <c r="B339" s="40">
        <v>46108</v>
      </c>
      <c r="C339" s="40">
        <v>46113</v>
      </c>
      <c r="D339" s="27">
        <v>3319</v>
      </c>
      <c r="E339" s="32">
        <v>327</v>
      </c>
      <c r="F339" s="27">
        <v>2</v>
      </c>
      <c r="G339" s="28">
        <v>2</v>
      </c>
      <c r="H339" s="28">
        <v>81778</v>
      </c>
      <c r="I339" s="28" t="s">
        <v>17</v>
      </c>
      <c r="J339" s="28">
        <v>12072367</v>
      </c>
      <c r="K339" s="38" t="s">
        <v>2009</v>
      </c>
      <c r="L339" t="s">
        <v>2013</v>
      </c>
      <c r="M339" s="37">
        <v>259900</v>
      </c>
      <c r="N339" s="30">
        <v>0.9</v>
      </c>
      <c r="O339" s="33">
        <f t="shared" si="5"/>
        <v>25989.999999999993</v>
      </c>
      <c r="P339" s="28" t="s">
        <v>0</v>
      </c>
    </row>
    <row r="340" spans="1:16" x14ac:dyDescent="0.3">
      <c r="A340" s="32" t="s">
        <v>3213</v>
      </c>
      <c r="B340" s="40">
        <v>46108</v>
      </c>
      <c r="C340" s="40">
        <v>46113</v>
      </c>
      <c r="D340" s="27">
        <v>3319</v>
      </c>
      <c r="E340" s="32">
        <v>327</v>
      </c>
      <c r="F340" s="27">
        <v>2</v>
      </c>
      <c r="G340" s="28">
        <v>2</v>
      </c>
      <c r="H340" s="28">
        <v>81778</v>
      </c>
      <c r="I340" s="28" t="s">
        <v>17</v>
      </c>
      <c r="J340" s="28">
        <v>12072376</v>
      </c>
      <c r="K340" s="38" t="s">
        <v>2009</v>
      </c>
      <c r="L340" t="s">
        <v>2014</v>
      </c>
      <c r="M340" s="37">
        <v>259900</v>
      </c>
      <c r="N340" s="30">
        <v>0.9</v>
      </c>
      <c r="O340" s="33">
        <f t="shared" ref="O340:O403" si="6">M340*(1-N340)</f>
        <v>25989.999999999993</v>
      </c>
      <c r="P340" s="28" t="s">
        <v>0</v>
      </c>
    </row>
    <row r="341" spans="1:16" x14ac:dyDescent="0.3">
      <c r="A341" s="32" t="s">
        <v>3213</v>
      </c>
      <c r="B341" s="40">
        <v>46108</v>
      </c>
      <c r="C341" s="40">
        <v>46113</v>
      </c>
      <c r="D341" s="27">
        <v>3319</v>
      </c>
      <c r="E341" s="32">
        <v>327</v>
      </c>
      <c r="F341" s="25">
        <v>2</v>
      </c>
      <c r="G341" s="28">
        <v>2</v>
      </c>
      <c r="H341" s="28">
        <v>81778</v>
      </c>
      <c r="I341" s="28" t="s">
        <v>17</v>
      </c>
      <c r="J341" s="28">
        <v>82228782</v>
      </c>
      <c r="K341" s="38" t="s">
        <v>1718</v>
      </c>
      <c r="L341" t="s">
        <v>1719</v>
      </c>
      <c r="M341" s="39">
        <v>259900</v>
      </c>
      <c r="N341" s="30">
        <v>0.9</v>
      </c>
      <c r="O341" s="33">
        <f t="shared" si="6"/>
        <v>25989.999999999993</v>
      </c>
      <c r="P341" s="28" t="s">
        <v>0</v>
      </c>
    </row>
    <row r="342" spans="1:16" x14ac:dyDescent="0.3">
      <c r="A342" s="32" t="s">
        <v>3213</v>
      </c>
      <c r="B342" s="40">
        <v>46108</v>
      </c>
      <c r="C342" s="40">
        <v>46113</v>
      </c>
      <c r="D342" s="27">
        <v>3319</v>
      </c>
      <c r="E342" s="32">
        <v>327</v>
      </c>
      <c r="F342" s="25">
        <v>2</v>
      </c>
      <c r="G342" s="28">
        <v>2</v>
      </c>
      <c r="H342" s="28">
        <v>81778</v>
      </c>
      <c r="I342" s="28" t="s">
        <v>17</v>
      </c>
      <c r="J342" s="28">
        <v>82228791</v>
      </c>
      <c r="K342" s="38" t="s">
        <v>1718</v>
      </c>
      <c r="L342" t="s">
        <v>1720</v>
      </c>
      <c r="M342" s="39">
        <v>259900</v>
      </c>
      <c r="N342" s="30">
        <v>0.9</v>
      </c>
      <c r="O342" s="33">
        <f t="shared" si="6"/>
        <v>25989.999999999993</v>
      </c>
      <c r="P342" s="28" t="s">
        <v>0</v>
      </c>
    </row>
    <row r="343" spans="1:16" x14ac:dyDescent="0.3">
      <c r="A343" s="32" t="s">
        <v>3213</v>
      </c>
      <c r="B343" s="40">
        <v>46108</v>
      </c>
      <c r="C343" s="40">
        <v>46113</v>
      </c>
      <c r="D343" s="27">
        <v>3319</v>
      </c>
      <c r="E343" s="32">
        <v>327</v>
      </c>
      <c r="F343" s="25">
        <v>2</v>
      </c>
      <c r="G343" s="28">
        <v>2</v>
      </c>
      <c r="H343" s="28">
        <v>81778</v>
      </c>
      <c r="I343" s="28" t="s">
        <v>17</v>
      </c>
      <c r="J343" s="28">
        <v>82228808</v>
      </c>
      <c r="K343" s="38" t="s">
        <v>1718</v>
      </c>
      <c r="L343" t="s">
        <v>1721</v>
      </c>
      <c r="M343" s="39">
        <v>259900</v>
      </c>
      <c r="N343" s="30">
        <v>0.9</v>
      </c>
      <c r="O343" s="33">
        <f t="shared" si="6"/>
        <v>25989.999999999993</v>
      </c>
      <c r="P343" s="28" t="s">
        <v>0</v>
      </c>
    </row>
    <row r="344" spans="1:16" x14ac:dyDescent="0.3">
      <c r="A344" s="32" t="s">
        <v>3213</v>
      </c>
      <c r="B344" s="40">
        <v>46108</v>
      </c>
      <c r="C344" s="40">
        <v>46113</v>
      </c>
      <c r="D344" s="27">
        <v>3319</v>
      </c>
      <c r="E344" s="32">
        <v>327</v>
      </c>
      <c r="F344" s="25">
        <v>2</v>
      </c>
      <c r="G344" s="28">
        <v>2</v>
      </c>
      <c r="H344" s="28">
        <v>81778</v>
      </c>
      <c r="I344" s="28" t="s">
        <v>17</v>
      </c>
      <c r="J344" s="28">
        <v>82228817</v>
      </c>
      <c r="K344" s="38" t="s">
        <v>1718</v>
      </c>
      <c r="L344" t="s">
        <v>1722</v>
      </c>
      <c r="M344" s="39">
        <v>259900</v>
      </c>
      <c r="N344" s="30">
        <v>0.9</v>
      </c>
      <c r="O344" s="33">
        <f t="shared" si="6"/>
        <v>25989.999999999993</v>
      </c>
      <c r="P344" s="28" t="s">
        <v>0</v>
      </c>
    </row>
    <row r="345" spans="1:16" x14ac:dyDescent="0.3">
      <c r="A345" s="32" t="s">
        <v>3213</v>
      </c>
      <c r="B345" s="40">
        <v>46108</v>
      </c>
      <c r="C345" s="40">
        <v>46113</v>
      </c>
      <c r="D345" s="27">
        <v>3319</v>
      </c>
      <c r="E345" s="32">
        <v>327</v>
      </c>
      <c r="F345" s="25">
        <v>2</v>
      </c>
      <c r="G345" s="28">
        <v>2</v>
      </c>
      <c r="H345" s="28">
        <v>81778</v>
      </c>
      <c r="I345" s="28" t="s">
        <v>17</v>
      </c>
      <c r="J345" s="28">
        <v>82228826</v>
      </c>
      <c r="K345" s="38" t="s">
        <v>1718</v>
      </c>
      <c r="L345" t="s">
        <v>1723</v>
      </c>
      <c r="M345" s="39">
        <v>259900</v>
      </c>
      <c r="N345" s="30">
        <v>0.9</v>
      </c>
      <c r="O345" s="33">
        <f t="shared" si="6"/>
        <v>25989.999999999993</v>
      </c>
      <c r="P345" s="28" t="s">
        <v>0</v>
      </c>
    </row>
    <row r="346" spans="1:16" x14ac:dyDescent="0.3">
      <c r="A346" s="32" t="s">
        <v>3213</v>
      </c>
      <c r="B346" s="40">
        <v>46108</v>
      </c>
      <c r="C346" s="40">
        <v>46113</v>
      </c>
      <c r="D346" s="27">
        <v>3319</v>
      </c>
      <c r="E346" s="32">
        <v>327</v>
      </c>
      <c r="F346" s="25">
        <v>2</v>
      </c>
      <c r="G346" s="28">
        <v>2</v>
      </c>
      <c r="H346" s="28">
        <v>81778</v>
      </c>
      <c r="I346" s="28" t="s">
        <v>17</v>
      </c>
      <c r="J346" s="28">
        <v>82228835</v>
      </c>
      <c r="K346" s="38" t="s">
        <v>1718</v>
      </c>
      <c r="L346" t="s">
        <v>1724</v>
      </c>
      <c r="M346" s="39">
        <v>259900</v>
      </c>
      <c r="N346" s="30">
        <v>0.9</v>
      </c>
      <c r="O346" s="33">
        <f t="shared" si="6"/>
        <v>25989.999999999993</v>
      </c>
      <c r="P346" s="28" t="s">
        <v>0</v>
      </c>
    </row>
    <row r="347" spans="1:16" x14ac:dyDescent="0.3">
      <c r="A347" s="32" t="s">
        <v>3213</v>
      </c>
      <c r="B347" s="40">
        <v>46108</v>
      </c>
      <c r="C347" s="40">
        <v>46113</v>
      </c>
      <c r="D347" s="27">
        <v>3319</v>
      </c>
      <c r="E347" s="32">
        <v>327</v>
      </c>
      <c r="F347" s="25">
        <v>2</v>
      </c>
      <c r="G347" s="28">
        <v>2</v>
      </c>
      <c r="H347" s="28">
        <v>81778</v>
      </c>
      <c r="I347" s="28" t="s">
        <v>17</v>
      </c>
      <c r="J347" s="28">
        <v>82228844</v>
      </c>
      <c r="K347" s="38" t="s">
        <v>1718</v>
      </c>
      <c r="L347" t="s">
        <v>1725</v>
      </c>
      <c r="M347" s="39">
        <v>259900</v>
      </c>
      <c r="N347" s="30">
        <v>0.9</v>
      </c>
      <c r="O347" s="33">
        <f t="shared" si="6"/>
        <v>25989.999999999993</v>
      </c>
      <c r="P347" s="28" t="s">
        <v>0</v>
      </c>
    </row>
    <row r="348" spans="1:16" x14ac:dyDescent="0.3">
      <c r="A348" s="32" t="s">
        <v>3213</v>
      </c>
      <c r="B348" s="40">
        <v>46108</v>
      </c>
      <c r="C348" s="40">
        <v>46113</v>
      </c>
      <c r="D348" s="27">
        <v>3319</v>
      </c>
      <c r="E348" s="32">
        <v>327</v>
      </c>
      <c r="F348" s="25">
        <v>2</v>
      </c>
      <c r="G348" s="28">
        <v>2</v>
      </c>
      <c r="H348" s="28">
        <v>81778</v>
      </c>
      <c r="I348" s="28" t="s">
        <v>17</v>
      </c>
      <c r="J348" s="28">
        <v>82228853</v>
      </c>
      <c r="K348" s="38" t="s">
        <v>1718</v>
      </c>
      <c r="L348" t="s">
        <v>1726</v>
      </c>
      <c r="M348" s="39">
        <v>259900</v>
      </c>
      <c r="N348" s="30">
        <v>0.9</v>
      </c>
      <c r="O348" s="33">
        <f t="shared" si="6"/>
        <v>25989.999999999993</v>
      </c>
      <c r="P348" s="28" t="s">
        <v>0</v>
      </c>
    </row>
    <row r="349" spans="1:16" x14ac:dyDescent="0.3">
      <c r="A349" s="32" t="s">
        <v>3213</v>
      </c>
      <c r="B349" s="40">
        <v>46108</v>
      </c>
      <c r="C349" s="40">
        <v>46113</v>
      </c>
      <c r="D349" s="27">
        <v>3319</v>
      </c>
      <c r="E349" s="32">
        <v>327</v>
      </c>
      <c r="F349" s="25">
        <v>2</v>
      </c>
      <c r="G349" s="28">
        <v>2</v>
      </c>
      <c r="H349" s="28">
        <v>81778</v>
      </c>
      <c r="I349" s="28" t="s">
        <v>17</v>
      </c>
      <c r="J349" s="28">
        <v>82228862</v>
      </c>
      <c r="K349" s="38" t="s">
        <v>1718</v>
      </c>
      <c r="L349" t="s">
        <v>1727</v>
      </c>
      <c r="M349" s="39">
        <v>259900</v>
      </c>
      <c r="N349" s="30">
        <v>0.9</v>
      </c>
      <c r="O349" s="33">
        <f t="shared" si="6"/>
        <v>25989.999999999993</v>
      </c>
      <c r="P349" s="28" t="s">
        <v>0</v>
      </c>
    </row>
    <row r="350" spans="1:16" x14ac:dyDescent="0.3">
      <c r="A350" s="32" t="s">
        <v>3213</v>
      </c>
      <c r="B350" s="40">
        <v>46108</v>
      </c>
      <c r="C350" s="40">
        <v>46113</v>
      </c>
      <c r="D350" s="27">
        <v>3319</v>
      </c>
      <c r="E350" s="32">
        <v>327</v>
      </c>
      <c r="F350" s="25">
        <v>2</v>
      </c>
      <c r="G350" s="28">
        <v>2</v>
      </c>
      <c r="H350" s="28">
        <v>81778</v>
      </c>
      <c r="I350" s="28" t="s">
        <v>17</v>
      </c>
      <c r="J350" s="28">
        <v>82228871</v>
      </c>
      <c r="K350" s="38" t="s">
        <v>1718</v>
      </c>
      <c r="L350" t="s">
        <v>1728</v>
      </c>
      <c r="M350" s="39">
        <v>259900</v>
      </c>
      <c r="N350" s="30">
        <v>0.9</v>
      </c>
      <c r="O350" s="33">
        <f t="shared" si="6"/>
        <v>25989.999999999993</v>
      </c>
      <c r="P350" s="28" t="s">
        <v>0</v>
      </c>
    </row>
    <row r="351" spans="1:16" x14ac:dyDescent="0.3">
      <c r="A351" s="32" t="s">
        <v>3213</v>
      </c>
      <c r="B351" s="40">
        <v>46108</v>
      </c>
      <c r="C351" s="40">
        <v>46113</v>
      </c>
      <c r="D351" s="27">
        <v>3319</v>
      </c>
      <c r="E351" s="32">
        <v>327</v>
      </c>
      <c r="F351" s="25">
        <v>2</v>
      </c>
      <c r="G351" s="28">
        <v>2</v>
      </c>
      <c r="H351" s="28">
        <v>81778</v>
      </c>
      <c r="I351" s="28" t="s">
        <v>17</v>
      </c>
      <c r="J351" s="28">
        <v>81268295</v>
      </c>
      <c r="K351" s="38" t="s">
        <v>1762</v>
      </c>
      <c r="L351" t="s">
        <v>1763</v>
      </c>
      <c r="M351" s="39">
        <v>339900</v>
      </c>
      <c r="N351" s="30">
        <v>0.9</v>
      </c>
      <c r="O351" s="33">
        <f t="shared" si="6"/>
        <v>33989.999999999993</v>
      </c>
      <c r="P351" s="28" t="s">
        <v>0</v>
      </c>
    </row>
    <row r="352" spans="1:16" x14ac:dyDescent="0.3">
      <c r="A352" s="32" t="s">
        <v>3213</v>
      </c>
      <c r="B352" s="40">
        <v>46108</v>
      </c>
      <c r="C352" s="40">
        <v>46113</v>
      </c>
      <c r="D352" s="27">
        <v>3319</v>
      </c>
      <c r="E352" s="32">
        <v>327</v>
      </c>
      <c r="F352" s="25">
        <v>2</v>
      </c>
      <c r="G352" s="28">
        <v>2</v>
      </c>
      <c r="H352" s="28">
        <v>81778</v>
      </c>
      <c r="I352" s="28" t="s">
        <v>17</v>
      </c>
      <c r="J352" s="28">
        <v>81268302</v>
      </c>
      <c r="K352" s="38" t="s">
        <v>1762</v>
      </c>
      <c r="L352" t="s">
        <v>1764</v>
      </c>
      <c r="M352" s="39">
        <v>339900</v>
      </c>
      <c r="N352" s="30">
        <v>0.9</v>
      </c>
      <c r="O352" s="33">
        <f t="shared" si="6"/>
        <v>33989.999999999993</v>
      </c>
      <c r="P352" s="28" t="s">
        <v>0</v>
      </c>
    </row>
    <row r="353" spans="1:16" x14ac:dyDescent="0.3">
      <c r="A353" s="32" t="s">
        <v>3213</v>
      </c>
      <c r="B353" s="40">
        <v>46108</v>
      </c>
      <c r="C353" s="40">
        <v>46113</v>
      </c>
      <c r="D353" s="27">
        <v>3319</v>
      </c>
      <c r="E353" s="32">
        <v>327</v>
      </c>
      <c r="F353" s="25">
        <v>2</v>
      </c>
      <c r="G353" s="28">
        <v>2</v>
      </c>
      <c r="H353" s="28">
        <v>81778</v>
      </c>
      <c r="I353" s="28" t="s">
        <v>17</v>
      </c>
      <c r="J353" s="28">
        <v>81268311</v>
      </c>
      <c r="K353" s="38" t="s">
        <v>1762</v>
      </c>
      <c r="L353" t="s">
        <v>1765</v>
      </c>
      <c r="M353" s="39">
        <v>339900</v>
      </c>
      <c r="N353" s="30">
        <v>0.9</v>
      </c>
      <c r="O353" s="33">
        <f t="shared" si="6"/>
        <v>33989.999999999993</v>
      </c>
      <c r="P353" s="28" t="s">
        <v>0</v>
      </c>
    </row>
    <row r="354" spans="1:16" x14ac:dyDescent="0.3">
      <c r="A354" s="32" t="s">
        <v>3213</v>
      </c>
      <c r="B354" s="40">
        <v>46108</v>
      </c>
      <c r="C354" s="40">
        <v>46113</v>
      </c>
      <c r="D354" s="27">
        <v>3319</v>
      </c>
      <c r="E354" s="32">
        <v>327</v>
      </c>
      <c r="F354" s="25">
        <v>2</v>
      </c>
      <c r="G354" s="28">
        <v>2</v>
      </c>
      <c r="H354" s="28">
        <v>81778</v>
      </c>
      <c r="I354" s="28" t="s">
        <v>17</v>
      </c>
      <c r="J354" s="28">
        <v>81268320</v>
      </c>
      <c r="K354" s="38" t="s">
        <v>1762</v>
      </c>
      <c r="L354" t="s">
        <v>1766</v>
      </c>
      <c r="M354" s="39">
        <v>339900</v>
      </c>
      <c r="N354" s="30">
        <v>0.9</v>
      </c>
      <c r="O354" s="33">
        <f t="shared" si="6"/>
        <v>33989.999999999993</v>
      </c>
      <c r="P354" s="28" t="s">
        <v>0</v>
      </c>
    </row>
    <row r="355" spans="1:16" x14ac:dyDescent="0.3">
      <c r="A355" s="32" t="s">
        <v>3213</v>
      </c>
      <c r="B355" s="40">
        <v>46108</v>
      </c>
      <c r="C355" s="40">
        <v>46113</v>
      </c>
      <c r="D355" s="27">
        <v>3319</v>
      </c>
      <c r="E355" s="32">
        <v>327</v>
      </c>
      <c r="F355" s="25">
        <v>2</v>
      </c>
      <c r="G355" s="28">
        <v>2</v>
      </c>
      <c r="H355" s="28">
        <v>81778</v>
      </c>
      <c r="I355" s="28" t="s">
        <v>17</v>
      </c>
      <c r="J355" s="28">
        <v>81268339</v>
      </c>
      <c r="K355" s="38" t="s">
        <v>1762</v>
      </c>
      <c r="L355" t="s">
        <v>1767</v>
      </c>
      <c r="M355" s="39">
        <v>339900</v>
      </c>
      <c r="N355" s="30">
        <v>0.9</v>
      </c>
      <c r="O355" s="33">
        <f t="shared" si="6"/>
        <v>33989.999999999993</v>
      </c>
      <c r="P355" s="28" t="s">
        <v>0</v>
      </c>
    </row>
    <row r="356" spans="1:16" x14ac:dyDescent="0.3">
      <c r="A356" s="32" t="s">
        <v>3213</v>
      </c>
      <c r="B356" s="40">
        <v>46108</v>
      </c>
      <c r="C356" s="40">
        <v>46113</v>
      </c>
      <c r="D356" s="27">
        <v>3319</v>
      </c>
      <c r="E356" s="32">
        <v>327</v>
      </c>
      <c r="F356" s="25">
        <v>2</v>
      </c>
      <c r="G356" s="28">
        <v>1</v>
      </c>
      <c r="H356" s="28">
        <v>81778</v>
      </c>
      <c r="I356" s="28" t="s">
        <v>17</v>
      </c>
      <c r="J356" s="28">
        <v>82228282</v>
      </c>
      <c r="K356" s="38" t="s">
        <v>1614</v>
      </c>
      <c r="L356" t="s">
        <v>1615</v>
      </c>
      <c r="M356" s="39">
        <v>199900</v>
      </c>
      <c r="N356" s="30">
        <v>0.9</v>
      </c>
      <c r="O356" s="33">
        <f t="shared" si="6"/>
        <v>19989.999999999996</v>
      </c>
      <c r="P356" s="28" t="s">
        <v>0</v>
      </c>
    </row>
    <row r="357" spans="1:16" x14ac:dyDescent="0.3">
      <c r="A357" s="32" t="s">
        <v>3213</v>
      </c>
      <c r="B357" s="40">
        <v>46108</v>
      </c>
      <c r="C357" s="40">
        <v>46113</v>
      </c>
      <c r="D357" s="27">
        <v>3319</v>
      </c>
      <c r="E357" s="32">
        <v>327</v>
      </c>
      <c r="F357" s="25">
        <v>2</v>
      </c>
      <c r="G357" s="28">
        <v>1</v>
      </c>
      <c r="H357" s="28">
        <v>81778</v>
      </c>
      <c r="I357" s="28" t="s">
        <v>17</v>
      </c>
      <c r="J357" s="28">
        <v>82228291</v>
      </c>
      <c r="K357" s="38" t="s">
        <v>1614</v>
      </c>
      <c r="L357" t="s">
        <v>1616</v>
      </c>
      <c r="M357" s="39">
        <v>199900</v>
      </c>
      <c r="N357" s="30">
        <v>0.9</v>
      </c>
      <c r="O357" s="33">
        <f t="shared" si="6"/>
        <v>19989.999999999996</v>
      </c>
      <c r="P357" s="28" t="s">
        <v>0</v>
      </c>
    </row>
    <row r="358" spans="1:16" x14ac:dyDescent="0.3">
      <c r="A358" s="32" t="s">
        <v>3213</v>
      </c>
      <c r="B358" s="40">
        <v>46108</v>
      </c>
      <c r="C358" s="40">
        <v>46113</v>
      </c>
      <c r="D358" s="27">
        <v>3319</v>
      </c>
      <c r="E358" s="32">
        <v>327</v>
      </c>
      <c r="F358" s="25">
        <v>2</v>
      </c>
      <c r="G358" s="28">
        <v>1</v>
      </c>
      <c r="H358" s="28">
        <v>81778</v>
      </c>
      <c r="I358" s="28" t="s">
        <v>17</v>
      </c>
      <c r="J358" s="28">
        <v>82228308</v>
      </c>
      <c r="K358" s="38" t="s">
        <v>1614</v>
      </c>
      <c r="L358" t="s">
        <v>1617</v>
      </c>
      <c r="M358" s="39">
        <v>199900</v>
      </c>
      <c r="N358" s="30">
        <v>0.9</v>
      </c>
      <c r="O358" s="33">
        <f t="shared" si="6"/>
        <v>19989.999999999996</v>
      </c>
      <c r="P358" s="28" t="s">
        <v>0</v>
      </c>
    </row>
    <row r="359" spans="1:16" x14ac:dyDescent="0.3">
      <c r="A359" s="32" t="s">
        <v>3213</v>
      </c>
      <c r="B359" s="40">
        <v>46108</v>
      </c>
      <c r="C359" s="40">
        <v>46113</v>
      </c>
      <c r="D359" s="27">
        <v>3319</v>
      </c>
      <c r="E359" s="32">
        <v>327</v>
      </c>
      <c r="F359" s="25">
        <v>2</v>
      </c>
      <c r="G359" s="28">
        <v>1</v>
      </c>
      <c r="H359" s="28">
        <v>81778</v>
      </c>
      <c r="I359" s="28" t="s">
        <v>17</v>
      </c>
      <c r="J359" s="28">
        <v>82228317</v>
      </c>
      <c r="K359" s="38" t="s">
        <v>1614</v>
      </c>
      <c r="L359" t="s">
        <v>1618</v>
      </c>
      <c r="M359" s="39">
        <v>199900</v>
      </c>
      <c r="N359" s="30">
        <v>0.9</v>
      </c>
      <c r="O359" s="33">
        <f t="shared" si="6"/>
        <v>19989.999999999996</v>
      </c>
      <c r="P359" s="28" t="s">
        <v>0</v>
      </c>
    </row>
    <row r="360" spans="1:16" x14ac:dyDescent="0.3">
      <c r="A360" s="32" t="s">
        <v>3213</v>
      </c>
      <c r="B360" s="40">
        <v>46108</v>
      </c>
      <c r="C360" s="40">
        <v>46113</v>
      </c>
      <c r="D360" s="27">
        <v>3319</v>
      </c>
      <c r="E360" s="32">
        <v>327</v>
      </c>
      <c r="F360" s="25">
        <v>2</v>
      </c>
      <c r="G360" s="28">
        <v>1</v>
      </c>
      <c r="H360" s="28">
        <v>81778</v>
      </c>
      <c r="I360" s="28" t="s">
        <v>17</v>
      </c>
      <c r="J360" s="28">
        <v>82228326</v>
      </c>
      <c r="K360" s="38" t="s">
        <v>1614</v>
      </c>
      <c r="L360" t="s">
        <v>1619</v>
      </c>
      <c r="M360" s="39">
        <v>199900</v>
      </c>
      <c r="N360" s="30">
        <v>0.9</v>
      </c>
      <c r="O360" s="33">
        <f t="shared" si="6"/>
        <v>19989.999999999996</v>
      </c>
      <c r="P360" s="28" t="s">
        <v>0</v>
      </c>
    </row>
    <row r="361" spans="1:16" x14ac:dyDescent="0.3">
      <c r="A361" s="32" t="s">
        <v>3213</v>
      </c>
      <c r="B361" s="40">
        <v>46108</v>
      </c>
      <c r="C361" s="40">
        <v>46113</v>
      </c>
      <c r="D361" s="27">
        <v>3319</v>
      </c>
      <c r="E361" s="32">
        <v>327</v>
      </c>
      <c r="F361" s="25">
        <v>2</v>
      </c>
      <c r="G361" s="28">
        <v>1</v>
      </c>
      <c r="H361" s="28">
        <v>81778</v>
      </c>
      <c r="I361" s="28" t="s">
        <v>17</v>
      </c>
      <c r="J361" s="28">
        <v>82228335</v>
      </c>
      <c r="K361" s="38" t="s">
        <v>1614</v>
      </c>
      <c r="L361" t="s">
        <v>1620</v>
      </c>
      <c r="M361" s="39">
        <v>199900</v>
      </c>
      <c r="N361" s="30">
        <v>0.9</v>
      </c>
      <c r="O361" s="33">
        <f t="shared" si="6"/>
        <v>19989.999999999996</v>
      </c>
      <c r="P361" s="28" t="s">
        <v>0</v>
      </c>
    </row>
    <row r="362" spans="1:16" x14ac:dyDescent="0.3">
      <c r="A362" s="32" t="s">
        <v>3213</v>
      </c>
      <c r="B362" s="40">
        <v>46108</v>
      </c>
      <c r="C362" s="40">
        <v>46113</v>
      </c>
      <c r="D362" s="27">
        <v>3319</v>
      </c>
      <c r="E362" s="32">
        <v>327</v>
      </c>
      <c r="F362" s="25">
        <v>2</v>
      </c>
      <c r="G362" s="28">
        <v>1</v>
      </c>
      <c r="H362" s="28">
        <v>81778</v>
      </c>
      <c r="I362" s="28" t="s">
        <v>17</v>
      </c>
      <c r="J362" s="28">
        <v>82228344</v>
      </c>
      <c r="K362" s="38" t="s">
        <v>1614</v>
      </c>
      <c r="L362" t="s">
        <v>1621</v>
      </c>
      <c r="M362" s="39">
        <v>199900</v>
      </c>
      <c r="N362" s="30">
        <v>0.9</v>
      </c>
      <c r="O362" s="33">
        <f t="shared" si="6"/>
        <v>19989.999999999996</v>
      </c>
      <c r="P362" s="28" t="s">
        <v>0</v>
      </c>
    </row>
    <row r="363" spans="1:16" x14ac:dyDescent="0.3">
      <c r="A363" s="32" t="s">
        <v>3213</v>
      </c>
      <c r="B363" s="40">
        <v>46108</v>
      </c>
      <c r="C363" s="40">
        <v>46113</v>
      </c>
      <c r="D363" s="27">
        <v>3319</v>
      </c>
      <c r="E363" s="32">
        <v>327</v>
      </c>
      <c r="F363" s="25">
        <v>2</v>
      </c>
      <c r="G363" s="28">
        <v>1</v>
      </c>
      <c r="H363" s="28">
        <v>81778</v>
      </c>
      <c r="I363" s="28" t="s">
        <v>17</v>
      </c>
      <c r="J363" s="28">
        <v>82228353</v>
      </c>
      <c r="K363" s="38" t="s">
        <v>1614</v>
      </c>
      <c r="L363" t="s">
        <v>1622</v>
      </c>
      <c r="M363" s="39">
        <v>199900</v>
      </c>
      <c r="N363" s="30">
        <v>0.9</v>
      </c>
      <c r="O363" s="33">
        <f t="shared" si="6"/>
        <v>19989.999999999996</v>
      </c>
      <c r="P363" s="28" t="s">
        <v>0</v>
      </c>
    </row>
    <row r="364" spans="1:16" x14ac:dyDescent="0.3">
      <c r="A364" s="32" t="s">
        <v>3213</v>
      </c>
      <c r="B364" s="40">
        <v>46108</v>
      </c>
      <c r="C364" s="40">
        <v>46113</v>
      </c>
      <c r="D364" s="27">
        <v>3319</v>
      </c>
      <c r="E364" s="32">
        <v>327</v>
      </c>
      <c r="F364" s="25">
        <v>2</v>
      </c>
      <c r="G364" s="28">
        <v>1</v>
      </c>
      <c r="H364" s="28">
        <v>81778</v>
      </c>
      <c r="I364" s="28" t="s">
        <v>17</v>
      </c>
      <c r="J364" s="28">
        <v>82228362</v>
      </c>
      <c r="K364" s="38" t="s">
        <v>1614</v>
      </c>
      <c r="L364" t="s">
        <v>1623</v>
      </c>
      <c r="M364" s="39">
        <v>199900</v>
      </c>
      <c r="N364" s="30">
        <v>0.9</v>
      </c>
      <c r="O364" s="33">
        <f t="shared" si="6"/>
        <v>19989.999999999996</v>
      </c>
      <c r="P364" s="28" t="s">
        <v>0</v>
      </c>
    </row>
    <row r="365" spans="1:16" x14ac:dyDescent="0.3">
      <c r="A365" s="32" t="s">
        <v>3213</v>
      </c>
      <c r="B365" s="40">
        <v>46108</v>
      </c>
      <c r="C365" s="40">
        <v>46113</v>
      </c>
      <c r="D365" s="27">
        <v>3319</v>
      </c>
      <c r="E365" s="32">
        <v>327</v>
      </c>
      <c r="F365" s="25">
        <v>2</v>
      </c>
      <c r="G365" s="28">
        <v>1</v>
      </c>
      <c r="H365" s="28">
        <v>81778</v>
      </c>
      <c r="I365" s="28" t="s">
        <v>17</v>
      </c>
      <c r="J365" s="28">
        <v>82228371</v>
      </c>
      <c r="K365" s="38" t="s">
        <v>1614</v>
      </c>
      <c r="L365" t="s">
        <v>1624</v>
      </c>
      <c r="M365" s="39">
        <v>199900</v>
      </c>
      <c r="N365" s="30">
        <v>0.9</v>
      </c>
      <c r="O365" s="33">
        <f t="shared" si="6"/>
        <v>19989.999999999996</v>
      </c>
      <c r="P365" s="28" t="s">
        <v>0</v>
      </c>
    </row>
    <row r="366" spans="1:16" x14ac:dyDescent="0.3">
      <c r="A366" s="32" t="s">
        <v>3213</v>
      </c>
      <c r="B366" s="40">
        <v>46108</v>
      </c>
      <c r="C366" s="40">
        <v>46113</v>
      </c>
      <c r="D366" s="27">
        <v>3319</v>
      </c>
      <c r="E366" s="32">
        <v>327</v>
      </c>
      <c r="F366" s="25">
        <v>2</v>
      </c>
      <c r="G366" s="28">
        <v>1</v>
      </c>
      <c r="H366" s="28">
        <v>81433</v>
      </c>
      <c r="I366" s="28" t="s">
        <v>17</v>
      </c>
      <c r="J366" s="28">
        <v>82228086</v>
      </c>
      <c r="K366" s="38" t="s">
        <v>1636</v>
      </c>
      <c r="L366" t="s">
        <v>1637</v>
      </c>
      <c r="M366" s="39">
        <v>239900</v>
      </c>
      <c r="N366" s="30">
        <v>0.9</v>
      </c>
      <c r="O366" s="33">
        <f t="shared" si="6"/>
        <v>23989.999999999996</v>
      </c>
      <c r="P366" s="28" t="s">
        <v>0</v>
      </c>
    </row>
    <row r="367" spans="1:16" x14ac:dyDescent="0.3">
      <c r="A367" s="32" t="s">
        <v>3213</v>
      </c>
      <c r="B367" s="40">
        <v>46108</v>
      </c>
      <c r="C367" s="40">
        <v>46113</v>
      </c>
      <c r="D367" s="27">
        <v>3319</v>
      </c>
      <c r="E367" s="32">
        <v>327</v>
      </c>
      <c r="F367" s="25">
        <v>2</v>
      </c>
      <c r="G367" s="28">
        <v>1</v>
      </c>
      <c r="H367" s="28">
        <v>81433</v>
      </c>
      <c r="I367" s="28" t="s">
        <v>17</v>
      </c>
      <c r="J367" s="28">
        <v>82228095</v>
      </c>
      <c r="K367" s="38" t="s">
        <v>1636</v>
      </c>
      <c r="L367" t="s">
        <v>1638</v>
      </c>
      <c r="M367" s="39">
        <v>239900</v>
      </c>
      <c r="N367" s="30">
        <v>0.9</v>
      </c>
      <c r="O367" s="33">
        <f t="shared" si="6"/>
        <v>23989.999999999996</v>
      </c>
      <c r="P367" s="28" t="s">
        <v>0</v>
      </c>
    </row>
    <row r="368" spans="1:16" x14ac:dyDescent="0.3">
      <c r="A368" s="32" t="s">
        <v>3213</v>
      </c>
      <c r="B368" s="40">
        <v>46108</v>
      </c>
      <c r="C368" s="40">
        <v>46113</v>
      </c>
      <c r="D368" s="27">
        <v>3319</v>
      </c>
      <c r="E368" s="32">
        <v>327</v>
      </c>
      <c r="F368" s="25">
        <v>2</v>
      </c>
      <c r="G368" s="28">
        <v>1</v>
      </c>
      <c r="H368" s="28">
        <v>81433</v>
      </c>
      <c r="I368" s="28" t="s">
        <v>17</v>
      </c>
      <c r="J368" s="28">
        <v>82228102</v>
      </c>
      <c r="K368" s="38" t="s">
        <v>1636</v>
      </c>
      <c r="L368" t="s">
        <v>1639</v>
      </c>
      <c r="M368" s="39">
        <v>239900</v>
      </c>
      <c r="N368" s="30">
        <v>0.9</v>
      </c>
      <c r="O368" s="33">
        <f t="shared" si="6"/>
        <v>23989.999999999996</v>
      </c>
      <c r="P368" s="28" t="s">
        <v>0</v>
      </c>
    </row>
    <row r="369" spans="1:16" x14ac:dyDescent="0.3">
      <c r="A369" s="32" t="s">
        <v>3213</v>
      </c>
      <c r="B369" s="40">
        <v>46108</v>
      </c>
      <c r="C369" s="40">
        <v>46113</v>
      </c>
      <c r="D369" s="27">
        <v>3319</v>
      </c>
      <c r="E369" s="32">
        <v>327</v>
      </c>
      <c r="F369" s="25">
        <v>2</v>
      </c>
      <c r="G369" s="28">
        <v>1</v>
      </c>
      <c r="H369" s="28">
        <v>81433</v>
      </c>
      <c r="I369" s="28" t="s">
        <v>17</v>
      </c>
      <c r="J369" s="28">
        <v>82228111</v>
      </c>
      <c r="K369" s="38" t="s">
        <v>1636</v>
      </c>
      <c r="L369" t="s">
        <v>1640</v>
      </c>
      <c r="M369" s="39">
        <v>239900</v>
      </c>
      <c r="N369" s="30">
        <v>0.9</v>
      </c>
      <c r="O369" s="33">
        <f t="shared" si="6"/>
        <v>23989.999999999996</v>
      </c>
      <c r="P369" s="28" t="s">
        <v>0</v>
      </c>
    </row>
    <row r="370" spans="1:16" x14ac:dyDescent="0.3">
      <c r="A370" s="32" t="s">
        <v>3213</v>
      </c>
      <c r="B370" s="40">
        <v>46108</v>
      </c>
      <c r="C370" s="40">
        <v>46113</v>
      </c>
      <c r="D370" s="27">
        <v>3319</v>
      </c>
      <c r="E370" s="32">
        <v>327</v>
      </c>
      <c r="F370" s="25">
        <v>2</v>
      </c>
      <c r="G370" s="28">
        <v>1</v>
      </c>
      <c r="H370" s="28">
        <v>81433</v>
      </c>
      <c r="I370" s="28" t="s">
        <v>17</v>
      </c>
      <c r="J370" s="28">
        <v>82228120</v>
      </c>
      <c r="K370" s="38" t="s">
        <v>1636</v>
      </c>
      <c r="L370" t="s">
        <v>1641</v>
      </c>
      <c r="M370" s="39">
        <v>239900</v>
      </c>
      <c r="N370" s="30">
        <v>0.9</v>
      </c>
      <c r="O370" s="33">
        <f t="shared" si="6"/>
        <v>23989.999999999996</v>
      </c>
      <c r="P370" s="28" t="s">
        <v>0</v>
      </c>
    </row>
    <row r="371" spans="1:16" x14ac:dyDescent="0.3">
      <c r="A371" s="32" t="s">
        <v>3213</v>
      </c>
      <c r="B371" s="40">
        <v>46108</v>
      </c>
      <c r="C371" s="40">
        <v>46113</v>
      </c>
      <c r="D371" s="27">
        <v>3319</v>
      </c>
      <c r="E371" s="32">
        <v>327</v>
      </c>
      <c r="F371" s="25">
        <v>2</v>
      </c>
      <c r="G371" s="28">
        <v>1</v>
      </c>
      <c r="H371" s="28">
        <v>81433</v>
      </c>
      <c r="I371" s="28" t="s">
        <v>17</v>
      </c>
      <c r="J371" s="28">
        <v>82228175</v>
      </c>
      <c r="K371" s="38" t="s">
        <v>1636</v>
      </c>
      <c r="L371" t="s">
        <v>1642</v>
      </c>
      <c r="M371" s="39">
        <v>239900</v>
      </c>
      <c r="N371" s="30">
        <v>0.9</v>
      </c>
      <c r="O371" s="33">
        <f t="shared" si="6"/>
        <v>23989.999999999996</v>
      </c>
      <c r="P371" s="28" t="s">
        <v>0</v>
      </c>
    </row>
    <row r="372" spans="1:16" x14ac:dyDescent="0.3">
      <c r="A372" s="32" t="s">
        <v>3213</v>
      </c>
      <c r="B372" s="40">
        <v>46108</v>
      </c>
      <c r="C372" s="40">
        <v>46113</v>
      </c>
      <c r="D372" s="27">
        <v>3319</v>
      </c>
      <c r="E372" s="32">
        <v>327</v>
      </c>
      <c r="F372" s="25">
        <v>2</v>
      </c>
      <c r="G372" s="28">
        <v>1</v>
      </c>
      <c r="H372" s="28">
        <v>81433</v>
      </c>
      <c r="I372" s="28" t="s">
        <v>17</v>
      </c>
      <c r="J372" s="28">
        <v>82228139</v>
      </c>
      <c r="K372" s="38" t="s">
        <v>1636</v>
      </c>
      <c r="L372" t="s">
        <v>1643</v>
      </c>
      <c r="M372" s="39">
        <v>239900</v>
      </c>
      <c r="N372" s="30">
        <v>0.9</v>
      </c>
      <c r="O372" s="33">
        <f t="shared" si="6"/>
        <v>23989.999999999996</v>
      </c>
      <c r="P372" s="28" t="s">
        <v>0</v>
      </c>
    </row>
    <row r="373" spans="1:16" x14ac:dyDescent="0.3">
      <c r="A373" s="32" t="s">
        <v>3213</v>
      </c>
      <c r="B373" s="40">
        <v>46108</v>
      </c>
      <c r="C373" s="40">
        <v>46113</v>
      </c>
      <c r="D373" s="27">
        <v>3319</v>
      </c>
      <c r="E373" s="32">
        <v>327</v>
      </c>
      <c r="F373" s="25">
        <v>2</v>
      </c>
      <c r="G373" s="28">
        <v>1</v>
      </c>
      <c r="H373" s="28">
        <v>81433</v>
      </c>
      <c r="I373" s="28" t="s">
        <v>17</v>
      </c>
      <c r="J373" s="28">
        <v>82228148</v>
      </c>
      <c r="K373" s="38" t="s">
        <v>1636</v>
      </c>
      <c r="L373" t="s">
        <v>1644</v>
      </c>
      <c r="M373" s="39">
        <v>239900</v>
      </c>
      <c r="N373" s="30">
        <v>0.9</v>
      </c>
      <c r="O373" s="33">
        <f t="shared" si="6"/>
        <v>23989.999999999996</v>
      </c>
      <c r="P373" s="28" t="s">
        <v>0</v>
      </c>
    </row>
    <row r="374" spans="1:16" x14ac:dyDescent="0.3">
      <c r="A374" s="32" t="s">
        <v>3213</v>
      </c>
      <c r="B374" s="40">
        <v>46108</v>
      </c>
      <c r="C374" s="40">
        <v>46113</v>
      </c>
      <c r="D374" s="27">
        <v>3319</v>
      </c>
      <c r="E374" s="32">
        <v>327</v>
      </c>
      <c r="F374" s="25">
        <v>2</v>
      </c>
      <c r="G374" s="28">
        <v>1</v>
      </c>
      <c r="H374" s="28">
        <v>81433</v>
      </c>
      <c r="I374" s="28" t="s">
        <v>17</v>
      </c>
      <c r="J374" s="28">
        <v>82228157</v>
      </c>
      <c r="K374" s="38" t="s">
        <v>1636</v>
      </c>
      <c r="L374" t="s">
        <v>1645</v>
      </c>
      <c r="M374" s="39">
        <v>239900</v>
      </c>
      <c r="N374" s="30">
        <v>0.9</v>
      </c>
      <c r="O374" s="33">
        <f t="shared" si="6"/>
        <v>23989.999999999996</v>
      </c>
      <c r="P374" s="28" t="s">
        <v>0</v>
      </c>
    </row>
    <row r="375" spans="1:16" x14ac:dyDescent="0.3">
      <c r="A375" s="32" t="s">
        <v>3213</v>
      </c>
      <c r="B375" s="40">
        <v>46108</v>
      </c>
      <c r="C375" s="40">
        <v>46113</v>
      </c>
      <c r="D375" s="27">
        <v>3319</v>
      </c>
      <c r="E375" s="32">
        <v>327</v>
      </c>
      <c r="F375" s="25">
        <v>2</v>
      </c>
      <c r="G375" s="28">
        <v>1</v>
      </c>
      <c r="H375" s="28">
        <v>81433</v>
      </c>
      <c r="I375" s="28" t="s">
        <v>17</v>
      </c>
      <c r="J375" s="28">
        <v>82228166</v>
      </c>
      <c r="K375" s="38" t="s">
        <v>1636</v>
      </c>
      <c r="L375" t="s">
        <v>1646</v>
      </c>
      <c r="M375" s="39">
        <v>239900</v>
      </c>
      <c r="N375" s="30">
        <v>0.9</v>
      </c>
      <c r="O375" s="33">
        <f t="shared" si="6"/>
        <v>23989.999999999996</v>
      </c>
      <c r="P375" s="28" t="s">
        <v>0</v>
      </c>
    </row>
    <row r="376" spans="1:16" x14ac:dyDescent="0.3">
      <c r="A376" s="32" t="s">
        <v>3213</v>
      </c>
      <c r="B376" s="40">
        <v>46108</v>
      </c>
      <c r="C376" s="40">
        <v>46113</v>
      </c>
      <c r="D376" s="27">
        <v>3319</v>
      </c>
      <c r="E376" s="32">
        <v>327</v>
      </c>
      <c r="F376" s="25">
        <v>2</v>
      </c>
      <c r="G376" s="28">
        <v>1</v>
      </c>
      <c r="H376" s="28">
        <v>81760</v>
      </c>
      <c r="I376" s="28" t="s">
        <v>17</v>
      </c>
      <c r="J376" s="28">
        <v>82228684</v>
      </c>
      <c r="K376" s="38" t="s">
        <v>1647</v>
      </c>
      <c r="L376" t="s">
        <v>1648</v>
      </c>
      <c r="M376" s="39">
        <v>239900</v>
      </c>
      <c r="N376" s="30">
        <v>0.9</v>
      </c>
      <c r="O376" s="33">
        <f t="shared" si="6"/>
        <v>23989.999999999996</v>
      </c>
      <c r="P376" s="28" t="s">
        <v>0</v>
      </c>
    </row>
    <row r="377" spans="1:16" x14ac:dyDescent="0.3">
      <c r="A377" s="32" t="s">
        <v>3213</v>
      </c>
      <c r="B377" s="40">
        <v>46108</v>
      </c>
      <c r="C377" s="40">
        <v>46113</v>
      </c>
      <c r="D377" s="27">
        <v>3319</v>
      </c>
      <c r="E377" s="32">
        <v>327</v>
      </c>
      <c r="F377" s="25">
        <v>2</v>
      </c>
      <c r="G377" s="28">
        <v>1</v>
      </c>
      <c r="H377" s="28">
        <v>81760</v>
      </c>
      <c r="I377" s="28" t="s">
        <v>17</v>
      </c>
      <c r="J377" s="28">
        <v>82228693</v>
      </c>
      <c r="K377" s="38" t="s">
        <v>1647</v>
      </c>
      <c r="L377" t="s">
        <v>1649</v>
      </c>
      <c r="M377" s="39">
        <v>239900</v>
      </c>
      <c r="N377" s="30">
        <v>0.9</v>
      </c>
      <c r="O377" s="33">
        <f t="shared" si="6"/>
        <v>23989.999999999996</v>
      </c>
      <c r="P377" s="28" t="s">
        <v>0</v>
      </c>
    </row>
    <row r="378" spans="1:16" x14ac:dyDescent="0.3">
      <c r="A378" s="32" t="s">
        <v>3213</v>
      </c>
      <c r="B378" s="40">
        <v>46108</v>
      </c>
      <c r="C378" s="40">
        <v>46113</v>
      </c>
      <c r="D378" s="27">
        <v>3319</v>
      </c>
      <c r="E378" s="32">
        <v>327</v>
      </c>
      <c r="F378" s="25">
        <v>2</v>
      </c>
      <c r="G378" s="28">
        <v>1</v>
      </c>
      <c r="H378" s="28">
        <v>81760</v>
      </c>
      <c r="I378" s="28" t="s">
        <v>17</v>
      </c>
      <c r="J378" s="28">
        <v>82228700</v>
      </c>
      <c r="K378" s="38" t="s">
        <v>1647</v>
      </c>
      <c r="L378" t="s">
        <v>1650</v>
      </c>
      <c r="M378" s="39">
        <v>239900</v>
      </c>
      <c r="N378" s="30">
        <v>0.9</v>
      </c>
      <c r="O378" s="33">
        <f t="shared" si="6"/>
        <v>23989.999999999996</v>
      </c>
      <c r="P378" s="28" t="s">
        <v>0</v>
      </c>
    </row>
    <row r="379" spans="1:16" x14ac:dyDescent="0.3">
      <c r="A379" s="32" t="s">
        <v>3213</v>
      </c>
      <c r="B379" s="40">
        <v>46108</v>
      </c>
      <c r="C379" s="40">
        <v>46113</v>
      </c>
      <c r="D379" s="27">
        <v>3319</v>
      </c>
      <c r="E379" s="32">
        <v>327</v>
      </c>
      <c r="F379" s="25">
        <v>2</v>
      </c>
      <c r="G379" s="28">
        <v>1</v>
      </c>
      <c r="H379" s="28">
        <v>81760</v>
      </c>
      <c r="I379" s="28" t="s">
        <v>17</v>
      </c>
      <c r="J379" s="28">
        <v>82228719</v>
      </c>
      <c r="K379" s="38" t="s">
        <v>1647</v>
      </c>
      <c r="L379" t="s">
        <v>1651</v>
      </c>
      <c r="M379" s="39">
        <v>239900</v>
      </c>
      <c r="N379" s="30">
        <v>0.9</v>
      </c>
      <c r="O379" s="33">
        <f t="shared" si="6"/>
        <v>23989.999999999996</v>
      </c>
      <c r="P379" s="28" t="s">
        <v>0</v>
      </c>
    </row>
    <row r="380" spans="1:16" x14ac:dyDescent="0.3">
      <c r="A380" s="32" t="s">
        <v>3213</v>
      </c>
      <c r="B380" s="40">
        <v>46108</v>
      </c>
      <c r="C380" s="40">
        <v>46113</v>
      </c>
      <c r="D380" s="27">
        <v>3319</v>
      </c>
      <c r="E380" s="32">
        <v>327</v>
      </c>
      <c r="F380" s="25">
        <v>2</v>
      </c>
      <c r="G380" s="28">
        <v>1</v>
      </c>
      <c r="H380" s="28">
        <v>81760</v>
      </c>
      <c r="I380" s="28" t="s">
        <v>17</v>
      </c>
      <c r="J380" s="28">
        <v>82228728</v>
      </c>
      <c r="K380" s="38" t="s">
        <v>1647</v>
      </c>
      <c r="L380" t="s">
        <v>1652</v>
      </c>
      <c r="M380" s="39">
        <v>239900</v>
      </c>
      <c r="N380" s="30">
        <v>0.9</v>
      </c>
      <c r="O380" s="33">
        <f t="shared" si="6"/>
        <v>23989.999999999996</v>
      </c>
      <c r="P380" s="28" t="s">
        <v>0</v>
      </c>
    </row>
    <row r="381" spans="1:16" x14ac:dyDescent="0.3">
      <c r="A381" s="32" t="s">
        <v>3213</v>
      </c>
      <c r="B381" s="40">
        <v>46108</v>
      </c>
      <c r="C381" s="40">
        <v>46113</v>
      </c>
      <c r="D381" s="27">
        <v>3319</v>
      </c>
      <c r="E381" s="32">
        <v>327</v>
      </c>
      <c r="F381" s="25">
        <v>2</v>
      </c>
      <c r="G381" s="28">
        <v>1</v>
      </c>
      <c r="H381" s="28">
        <v>81760</v>
      </c>
      <c r="I381" s="28" t="s">
        <v>17</v>
      </c>
      <c r="J381" s="28">
        <v>82228737</v>
      </c>
      <c r="K381" s="38" t="s">
        <v>1653</v>
      </c>
      <c r="L381" t="s">
        <v>1654</v>
      </c>
      <c r="M381" s="39">
        <v>239900</v>
      </c>
      <c r="N381" s="30">
        <v>0.9</v>
      </c>
      <c r="O381" s="33">
        <f t="shared" si="6"/>
        <v>23989.999999999996</v>
      </c>
      <c r="P381" s="28" t="s">
        <v>0</v>
      </c>
    </row>
    <row r="382" spans="1:16" x14ac:dyDescent="0.3">
      <c r="A382" s="32" t="s">
        <v>3213</v>
      </c>
      <c r="B382" s="40">
        <v>46108</v>
      </c>
      <c r="C382" s="40">
        <v>46113</v>
      </c>
      <c r="D382" s="27">
        <v>3319</v>
      </c>
      <c r="E382" s="32">
        <v>327</v>
      </c>
      <c r="F382" s="25">
        <v>2</v>
      </c>
      <c r="G382" s="28">
        <v>1</v>
      </c>
      <c r="H382" s="28">
        <v>81760</v>
      </c>
      <c r="I382" s="28" t="s">
        <v>17</v>
      </c>
      <c r="J382" s="28">
        <v>82228755</v>
      </c>
      <c r="K382" s="38" t="s">
        <v>1653</v>
      </c>
      <c r="L382" t="s">
        <v>1655</v>
      </c>
      <c r="M382" s="39">
        <v>239900</v>
      </c>
      <c r="N382" s="30">
        <v>0.9</v>
      </c>
      <c r="O382" s="33">
        <f t="shared" si="6"/>
        <v>23989.999999999996</v>
      </c>
      <c r="P382" s="28" t="s">
        <v>0</v>
      </c>
    </row>
    <row r="383" spans="1:16" x14ac:dyDescent="0.3">
      <c r="A383" s="32" t="s">
        <v>3213</v>
      </c>
      <c r="B383" s="40">
        <v>46108</v>
      </c>
      <c r="C383" s="40">
        <v>46113</v>
      </c>
      <c r="D383" s="27">
        <v>3319</v>
      </c>
      <c r="E383" s="32">
        <v>327</v>
      </c>
      <c r="F383" s="25">
        <v>2</v>
      </c>
      <c r="G383" s="28">
        <v>1</v>
      </c>
      <c r="H383" s="28">
        <v>81760</v>
      </c>
      <c r="I383" s="28" t="s">
        <v>17</v>
      </c>
      <c r="J383" s="28">
        <v>82228764</v>
      </c>
      <c r="K383" s="38" t="s">
        <v>1653</v>
      </c>
      <c r="L383" t="s">
        <v>1656</v>
      </c>
      <c r="M383" s="39">
        <v>239900</v>
      </c>
      <c r="N383" s="30">
        <v>0.9</v>
      </c>
      <c r="O383" s="33">
        <f t="shared" si="6"/>
        <v>23989.999999999996</v>
      </c>
      <c r="P383" s="28" t="s">
        <v>0</v>
      </c>
    </row>
    <row r="384" spans="1:16" x14ac:dyDescent="0.3">
      <c r="A384" s="32" t="s">
        <v>3213</v>
      </c>
      <c r="B384" s="40">
        <v>46108</v>
      </c>
      <c r="C384" s="40">
        <v>46113</v>
      </c>
      <c r="D384" s="27">
        <v>3319</v>
      </c>
      <c r="E384" s="32">
        <v>327</v>
      </c>
      <c r="F384" s="25">
        <v>2</v>
      </c>
      <c r="G384" s="28">
        <v>1</v>
      </c>
      <c r="H384" s="28">
        <v>81760</v>
      </c>
      <c r="I384" s="28" t="s">
        <v>17</v>
      </c>
      <c r="J384" s="28">
        <v>82228773</v>
      </c>
      <c r="K384" s="38" t="s">
        <v>1653</v>
      </c>
      <c r="L384" t="s">
        <v>1657</v>
      </c>
      <c r="M384" s="39">
        <v>239900</v>
      </c>
      <c r="N384" s="30">
        <v>0.9</v>
      </c>
      <c r="O384" s="33">
        <f t="shared" si="6"/>
        <v>23989.999999999996</v>
      </c>
      <c r="P384" s="28" t="s">
        <v>0</v>
      </c>
    </row>
    <row r="385" spans="1:16" x14ac:dyDescent="0.3">
      <c r="A385" s="32" t="s">
        <v>3213</v>
      </c>
      <c r="B385" s="40">
        <v>46108</v>
      </c>
      <c r="C385" s="40">
        <v>46113</v>
      </c>
      <c r="D385" s="27">
        <v>3319</v>
      </c>
      <c r="E385" s="32">
        <v>327</v>
      </c>
      <c r="F385" s="25">
        <v>2</v>
      </c>
      <c r="G385" s="28">
        <v>1</v>
      </c>
      <c r="H385" s="28">
        <v>81760</v>
      </c>
      <c r="I385" s="28" t="s">
        <v>17</v>
      </c>
      <c r="J385" s="28">
        <v>82228746</v>
      </c>
      <c r="K385" s="38" t="s">
        <v>1653</v>
      </c>
      <c r="L385" t="s">
        <v>1658</v>
      </c>
      <c r="M385" s="39">
        <v>239900</v>
      </c>
      <c r="N385" s="30">
        <v>0.9</v>
      </c>
      <c r="O385" s="33">
        <f t="shared" si="6"/>
        <v>23989.999999999996</v>
      </c>
      <c r="P385" s="28" t="s">
        <v>0</v>
      </c>
    </row>
    <row r="386" spans="1:16" x14ac:dyDescent="0.3">
      <c r="A386" s="32" t="s">
        <v>3213</v>
      </c>
      <c r="B386" s="40">
        <v>46108</v>
      </c>
      <c r="C386" s="40">
        <v>46113</v>
      </c>
      <c r="D386" s="27">
        <v>3319</v>
      </c>
      <c r="E386" s="32">
        <v>327</v>
      </c>
      <c r="F386" s="25">
        <v>2</v>
      </c>
      <c r="G386" s="28">
        <v>2</v>
      </c>
      <c r="H386" s="28">
        <v>81778</v>
      </c>
      <c r="I386" s="28" t="s">
        <v>17</v>
      </c>
      <c r="J386" s="28">
        <v>81268348</v>
      </c>
      <c r="K386" s="38" t="s">
        <v>1768</v>
      </c>
      <c r="L386" t="s">
        <v>1769</v>
      </c>
      <c r="M386" s="39">
        <v>339900</v>
      </c>
      <c r="N386" s="30">
        <v>0.9</v>
      </c>
      <c r="O386" s="33">
        <f t="shared" si="6"/>
        <v>33989.999999999993</v>
      </c>
      <c r="P386" s="28" t="s">
        <v>0</v>
      </c>
    </row>
    <row r="387" spans="1:16" x14ac:dyDescent="0.3">
      <c r="A387" s="32" t="s">
        <v>3213</v>
      </c>
      <c r="B387" s="40">
        <v>46108</v>
      </c>
      <c r="C387" s="40">
        <v>46113</v>
      </c>
      <c r="D387" s="27">
        <v>3319</v>
      </c>
      <c r="E387" s="32">
        <v>327</v>
      </c>
      <c r="F387" s="25">
        <v>2</v>
      </c>
      <c r="G387" s="28">
        <v>2</v>
      </c>
      <c r="H387" s="28">
        <v>81778</v>
      </c>
      <c r="I387" s="28" t="s">
        <v>17</v>
      </c>
      <c r="J387" s="28">
        <v>81268357</v>
      </c>
      <c r="K387" s="38" t="s">
        <v>1768</v>
      </c>
      <c r="L387" t="s">
        <v>1770</v>
      </c>
      <c r="M387" s="39">
        <v>339900</v>
      </c>
      <c r="N387" s="30">
        <v>0.9</v>
      </c>
      <c r="O387" s="33">
        <f t="shared" si="6"/>
        <v>33989.999999999993</v>
      </c>
      <c r="P387" s="28" t="s">
        <v>0</v>
      </c>
    </row>
    <row r="388" spans="1:16" x14ac:dyDescent="0.3">
      <c r="A388" s="32" t="s">
        <v>3213</v>
      </c>
      <c r="B388" s="40">
        <v>46108</v>
      </c>
      <c r="C388" s="40">
        <v>46113</v>
      </c>
      <c r="D388" s="27">
        <v>3319</v>
      </c>
      <c r="E388" s="32">
        <v>327</v>
      </c>
      <c r="F388" s="25">
        <v>2</v>
      </c>
      <c r="G388" s="28">
        <v>2</v>
      </c>
      <c r="H388" s="28">
        <v>81778</v>
      </c>
      <c r="I388" s="28" t="s">
        <v>17</v>
      </c>
      <c r="J388" s="28">
        <v>81268366</v>
      </c>
      <c r="K388" s="38" t="s">
        <v>1768</v>
      </c>
      <c r="L388" t="s">
        <v>1771</v>
      </c>
      <c r="M388" s="39">
        <v>339900</v>
      </c>
      <c r="N388" s="30">
        <v>0.9</v>
      </c>
      <c r="O388" s="33">
        <f t="shared" si="6"/>
        <v>33989.999999999993</v>
      </c>
      <c r="P388" s="28" t="s">
        <v>0</v>
      </c>
    </row>
    <row r="389" spans="1:16" x14ac:dyDescent="0.3">
      <c r="A389" s="32" t="s">
        <v>3213</v>
      </c>
      <c r="B389" s="40">
        <v>46108</v>
      </c>
      <c r="C389" s="40">
        <v>46113</v>
      </c>
      <c r="D389" s="27">
        <v>3319</v>
      </c>
      <c r="E389" s="32">
        <v>327</v>
      </c>
      <c r="F389" s="25">
        <v>2</v>
      </c>
      <c r="G389" s="28">
        <v>2</v>
      </c>
      <c r="H389" s="28">
        <v>81778</v>
      </c>
      <c r="I389" s="28" t="s">
        <v>17</v>
      </c>
      <c r="J389" s="28">
        <v>81268375</v>
      </c>
      <c r="K389" s="38" t="s">
        <v>1768</v>
      </c>
      <c r="L389" t="s">
        <v>1772</v>
      </c>
      <c r="M389" s="39">
        <v>339900</v>
      </c>
      <c r="N389" s="30">
        <v>0.9</v>
      </c>
      <c r="O389" s="33">
        <f t="shared" si="6"/>
        <v>33989.999999999993</v>
      </c>
      <c r="P389" s="28" t="s">
        <v>0</v>
      </c>
    </row>
    <row r="390" spans="1:16" x14ac:dyDescent="0.3">
      <c r="A390" s="32" t="s">
        <v>3213</v>
      </c>
      <c r="B390" s="40">
        <v>46108</v>
      </c>
      <c r="C390" s="40">
        <v>46113</v>
      </c>
      <c r="D390" s="27">
        <v>3319</v>
      </c>
      <c r="E390" s="32">
        <v>327</v>
      </c>
      <c r="F390" s="25">
        <v>2</v>
      </c>
      <c r="G390" s="28">
        <v>2</v>
      </c>
      <c r="H390" s="28">
        <v>81778</v>
      </c>
      <c r="I390" s="28" t="s">
        <v>17</v>
      </c>
      <c r="J390" s="28">
        <v>81268384</v>
      </c>
      <c r="K390" s="38" t="s">
        <v>1768</v>
      </c>
      <c r="L390" t="s">
        <v>1773</v>
      </c>
      <c r="M390" s="39">
        <v>339900</v>
      </c>
      <c r="N390" s="30">
        <v>0.9</v>
      </c>
      <c r="O390" s="33">
        <f t="shared" si="6"/>
        <v>33989.999999999993</v>
      </c>
      <c r="P390" s="28" t="s">
        <v>0</v>
      </c>
    </row>
    <row r="391" spans="1:16" x14ac:dyDescent="0.3">
      <c r="A391" s="32" t="s">
        <v>3213</v>
      </c>
      <c r="B391" s="40">
        <v>46108</v>
      </c>
      <c r="C391" s="40">
        <v>46113</v>
      </c>
      <c r="D391" s="27">
        <v>3319</v>
      </c>
      <c r="E391" s="32">
        <v>327</v>
      </c>
      <c r="F391" s="25">
        <v>2</v>
      </c>
      <c r="G391" s="28">
        <v>2</v>
      </c>
      <c r="H391" s="28">
        <v>81778</v>
      </c>
      <c r="I391" s="28" t="s">
        <v>17</v>
      </c>
      <c r="J391" s="28">
        <v>78770293</v>
      </c>
      <c r="K391" s="38" t="s">
        <v>1529</v>
      </c>
      <c r="L391" t="s">
        <v>1530</v>
      </c>
      <c r="M391" s="39">
        <v>379900</v>
      </c>
      <c r="N391" s="30">
        <v>0.9</v>
      </c>
      <c r="O391" s="33">
        <f t="shared" si="6"/>
        <v>37989.999999999993</v>
      </c>
      <c r="P391" s="28" t="s">
        <v>0</v>
      </c>
    </row>
    <row r="392" spans="1:16" x14ac:dyDescent="0.3">
      <c r="A392" s="32" t="s">
        <v>3213</v>
      </c>
      <c r="B392" s="40">
        <v>46108</v>
      </c>
      <c r="C392" s="40">
        <v>46113</v>
      </c>
      <c r="D392" s="27">
        <v>3319</v>
      </c>
      <c r="E392" s="32">
        <v>327</v>
      </c>
      <c r="F392" s="25">
        <v>2</v>
      </c>
      <c r="G392" s="28">
        <v>2</v>
      </c>
      <c r="H392" s="28">
        <v>81778</v>
      </c>
      <c r="I392" s="28" t="s">
        <v>17</v>
      </c>
      <c r="J392" s="28">
        <v>78770300</v>
      </c>
      <c r="K392" s="38" t="s">
        <v>1529</v>
      </c>
      <c r="L392" t="s">
        <v>1531</v>
      </c>
      <c r="M392" s="39">
        <v>379900</v>
      </c>
      <c r="N392" s="30">
        <v>0.9</v>
      </c>
      <c r="O392" s="33">
        <f t="shared" si="6"/>
        <v>37989.999999999993</v>
      </c>
      <c r="P392" s="28" t="s">
        <v>0</v>
      </c>
    </row>
    <row r="393" spans="1:16" x14ac:dyDescent="0.3">
      <c r="A393" s="32" t="s">
        <v>3213</v>
      </c>
      <c r="B393" s="40">
        <v>46108</v>
      </c>
      <c r="C393" s="40">
        <v>46113</v>
      </c>
      <c r="D393" s="27">
        <v>3319</v>
      </c>
      <c r="E393" s="32">
        <v>327</v>
      </c>
      <c r="F393" s="25">
        <v>2</v>
      </c>
      <c r="G393" s="28">
        <v>2</v>
      </c>
      <c r="H393" s="28">
        <v>81778</v>
      </c>
      <c r="I393" s="28" t="s">
        <v>17</v>
      </c>
      <c r="J393" s="28">
        <v>78770319</v>
      </c>
      <c r="K393" s="38" t="s">
        <v>1529</v>
      </c>
      <c r="L393" t="s">
        <v>1532</v>
      </c>
      <c r="M393" s="39">
        <v>379900</v>
      </c>
      <c r="N393" s="30">
        <v>0.9</v>
      </c>
      <c r="O393" s="33">
        <f t="shared" si="6"/>
        <v>37989.999999999993</v>
      </c>
      <c r="P393" s="28" t="s">
        <v>0</v>
      </c>
    </row>
    <row r="394" spans="1:16" x14ac:dyDescent="0.3">
      <c r="A394" s="32" t="s">
        <v>3213</v>
      </c>
      <c r="B394" s="40">
        <v>46108</v>
      </c>
      <c r="C394" s="40">
        <v>46113</v>
      </c>
      <c r="D394" s="27">
        <v>3319</v>
      </c>
      <c r="E394" s="32">
        <v>327</v>
      </c>
      <c r="F394" s="25">
        <v>2</v>
      </c>
      <c r="G394" s="28">
        <v>2</v>
      </c>
      <c r="H394" s="28">
        <v>81778</v>
      </c>
      <c r="I394" s="28" t="s">
        <v>17</v>
      </c>
      <c r="J394" s="28">
        <v>78770328</v>
      </c>
      <c r="K394" s="38" t="s">
        <v>1529</v>
      </c>
      <c r="L394" t="s">
        <v>1533</v>
      </c>
      <c r="M394" s="39">
        <v>379900</v>
      </c>
      <c r="N394" s="30">
        <v>0.9</v>
      </c>
      <c r="O394" s="33">
        <f t="shared" si="6"/>
        <v>37989.999999999993</v>
      </c>
      <c r="P394" s="28" t="s">
        <v>0</v>
      </c>
    </row>
    <row r="395" spans="1:16" x14ac:dyDescent="0.3">
      <c r="A395" s="32" t="s">
        <v>3213</v>
      </c>
      <c r="B395" s="40">
        <v>46108</v>
      </c>
      <c r="C395" s="40">
        <v>46113</v>
      </c>
      <c r="D395" s="27">
        <v>3319</v>
      </c>
      <c r="E395" s="32">
        <v>327</v>
      </c>
      <c r="F395" s="25">
        <v>2</v>
      </c>
      <c r="G395" s="28">
        <v>2</v>
      </c>
      <c r="H395" s="28">
        <v>81778</v>
      </c>
      <c r="I395" s="28" t="s">
        <v>17</v>
      </c>
      <c r="J395" s="28">
        <v>78770337</v>
      </c>
      <c r="K395" s="38" t="s">
        <v>1529</v>
      </c>
      <c r="L395" t="s">
        <v>1534</v>
      </c>
      <c r="M395" s="39">
        <v>379900</v>
      </c>
      <c r="N395" s="30">
        <v>0.9</v>
      </c>
      <c r="O395" s="33">
        <f t="shared" si="6"/>
        <v>37989.999999999993</v>
      </c>
      <c r="P395" s="28" t="s">
        <v>0</v>
      </c>
    </row>
    <row r="396" spans="1:16" x14ac:dyDescent="0.3">
      <c r="A396" s="32" t="s">
        <v>3213</v>
      </c>
      <c r="B396" s="40">
        <v>46108</v>
      </c>
      <c r="C396" s="40">
        <v>46113</v>
      </c>
      <c r="D396" s="27">
        <v>3319</v>
      </c>
      <c r="E396" s="32">
        <v>327</v>
      </c>
      <c r="F396" s="25">
        <v>2</v>
      </c>
      <c r="G396" s="28">
        <v>2</v>
      </c>
      <c r="H396" s="28">
        <v>81778</v>
      </c>
      <c r="I396" s="28" t="s">
        <v>17</v>
      </c>
      <c r="J396" s="28">
        <v>78770499</v>
      </c>
      <c r="K396" s="38" t="s">
        <v>1535</v>
      </c>
      <c r="L396" t="s">
        <v>1536</v>
      </c>
      <c r="M396" s="39">
        <v>399900</v>
      </c>
      <c r="N396" s="30">
        <v>0.9</v>
      </c>
      <c r="O396" s="33">
        <f t="shared" si="6"/>
        <v>39989.999999999993</v>
      </c>
      <c r="P396" s="28" t="s">
        <v>0</v>
      </c>
    </row>
    <row r="397" spans="1:16" x14ac:dyDescent="0.3">
      <c r="A397" s="32" t="s">
        <v>3213</v>
      </c>
      <c r="B397" s="40">
        <v>46108</v>
      </c>
      <c r="C397" s="40">
        <v>46113</v>
      </c>
      <c r="D397" s="27">
        <v>3319</v>
      </c>
      <c r="E397" s="32">
        <v>327</v>
      </c>
      <c r="F397" s="25">
        <v>2</v>
      </c>
      <c r="G397" s="28">
        <v>2</v>
      </c>
      <c r="H397" s="28">
        <v>81778</v>
      </c>
      <c r="I397" s="28" t="s">
        <v>17</v>
      </c>
      <c r="J397" s="28">
        <v>78770506</v>
      </c>
      <c r="K397" s="38" t="s">
        <v>1535</v>
      </c>
      <c r="L397" t="s">
        <v>1537</v>
      </c>
      <c r="M397" s="39">
        <v>399900</v>
      </c>
      <c r="N397" s="30">
        <v>0.9</v>
      </c>
      <c r="O397" s="33">
        <f t="shared" si="6"/>
        <v>39989.999999999993</v>
      </c>
      <c r="P397" s="28" t="s">
        <v>0</v>
      </c>
    </row>
    <row r="398" spans="1:16" x14ac:dyDescent="0.3">
      <c r="A398" s="32" t="s">
        <v>3213</v>
      </c>
      <c r="B398" s="40">
        <v>46108</v>
      </c>
      <c r="C398" s="40">
        <v>46113</v>
      </c>
      <c r="D398" s="27">
        <v>3319</v>
      </c>
      <c r="E398" s="32">
        <v>327</v>
      </c>
      <c r="F398" s="25">
        <v>2</v>
      </c>
      <c r="G398" s="28">
        <v>2</v>
      </c>
      <c r="H398" s="28">
        <v>81778</v>
      </c>
      <c r="I398" s="28" t="s">
        <v>17</v>
      </c>
      <c r="J398" s="28">
        <v>78770515</v>
      </c>
      <c r="K398" s="38" t="s">
        <v>1535</v>
      </c>
      <c r="L398" t="s">
        <v>1538</v>
      </c>
      <c r="M398" s="39">
        <v>399900</v>
      </c>
      <c r="N398" s="30">
        <v>0.9</v>
      </c>
      <c r="O398" s="33">
        <f t="shared" si="6"/>
        <v>39989.999999999993</v>
      </c>
      <c r="P398" s="28" t="s">
        <v>0</v>
      </c>
    </row>
    <row r="399" spans="1:16" x14ac:dyDescent="0.3">
      <c r="A399" s="32" t="s">
        <v>3213</v>
      </c>
      <c r="B399" s="40">
        <v>46108</v>
      </c>
      <c r="C399" s="40">
        <v>46113</v>
      </c>
      <c r="D399" s="27">
        <v>3319</v>
      </c>
      <c r="E399" s="32">
        <v>327</v>
      </c>
      <c r="F399" s="25">
        <v>2</v>
      </c>
      <c r="G399" s="28">
        <v>2</v>
      </c>
      <c r="H399" s="28">
        <v>81778</v>
      </c>
      <c r="I399" s="28" t="s">
        <v>17</v>
      </c>
      <c r="J399" s="28">
        <v>78770524</v>
      </c>
      <c r="K399" s="38" t="s">
        <v>1535</v>
      </c>
      <c r="L399" t="s">
        <v>1539</v>
      </c>
      <c r="M399" s="39">
        <v>399900</v>
      </c>
      <c r="N399" s="30">
        <v>0.9</v>
      </c>
      <c r="O399" s="33">
        <f t="shared" si="6"/>
        <v>39989.999999999993</v>
      </c>
      <c r="P399" s="28" t="s">
        <v>0</v>
      </c>
    </row>
    <row r="400" spans="1:16" x14ac:dyDescent="0.3">
      <c r="A400" s="32" t="s">
        <v>3213</v>
      </c>
      <c r="B400" s="40">
        <v>46108</v>
      </c>
      <c r="C400" s="40">
        <v>46113</v>
      </c>
      <c r="D400" s="27">
        <v>3319</v>
      </c>
      <c r="E400" s="32">
        <v>327</v>
      </c>
      <c r="F400" s="25">
        <v>2</v>
      </c>
      <c r="G400" s="28">
        <v>2</v>
      </c>
      <c r="H400" s="28">
        <v>81778</v>
      </c>
      <c r="I400" s="28" t="s">
        <v>17</v>
      </c>
      <c r="J400" s="28">
        <v>78770533</v>
      </c>
      <c r="K400" s="38" t="s">
        <v>1535</v>
      </c>
      <c r="L400" t="s">
        <v>1540</v>
      </c>
      <c r="M400" s="39">
        <v>399900</v>
      </c>
      <c r="N400" s="30">
        <v>0.9</v>
      </c>
      <c r="O400" s="33">
        <f t="shared" si="6"/>
        <v>39989.999999999993</v>
      </c>
      <c r="P400" s="28" t="s">
        <v>0</v>
      </c>
    </row>
    <row r="401" spans="1:16" x14ac:dyDescent="0.3">
      <c r="A401" s="32" t="s">
        <v>3213</v>
      </c>
      <c r="B401" s="40">
        <v>46108</v>
      </c>
      <c r="C401" s="40">
        <v>46113</v>
      </c>
      <c r="D401" s="27">
        <v>3319</v>
      </c>
      <c r="E401" s="32">
        <v>327</v>
      </c>
      <c r="F401" s="25">
        <v>2</v>
      </c>
      <c r="G401" s="28">
        <v>1</v>
      </c>
      <c r="H401" s="28">
        <v>81778</v>
      </c>
      <c r="I401" s="28" t="s">
        <v>17</v>
      </c>
      <c r="J401" s="28">
        <v>78770391</v>
      </c>
      <c r="K401" s="38" t="s">
        <v>1558</v>
      </c>
      <c r="L401" t="s">
        <v>1559</v>
      </c>
      <c r="M401" s="39">
        <v>379900</v>
      </c>
      <c r="N401" s="30">
        <v>0.9</v>
      </c>
      <c r="O401" s="33">
        <f t="shared" si="6"/>
        <v>37989.999999999993</v>
      </c>
      <c r="P401" s="28" t="s">
        <v>0</v>
      </c>
    </row>
    <row r="402" spans="1:16" x14ac:dyDescent="0.3">
      <c r="A402" s="32" t="s">
        <v>3213</v>
      </c>
      <c r="B402" s="40">
        <v>46108</v>
      </c>
      <c r="C402" s="40">
        <v>46113</v>
      </c>
      <c r="D402" s="27">
        <v>3319</v>
      </c>
      <c r="E402" s="32">
        <v>327</v>
      </c>
      <c r="F402" s="25">
        <v>2</v>
      </c>
      <c r="G402" s="28">
        <v>1</v>
      </c>
      <c r="H402" s="28">
        <v>81778</v>
      </c>
      <c r="I402" s="28" t="s">
        <v>17</v>
      </c>
      <c r="J402" s="28">
        <v>78770408</v>
      </c>
      <c r="K402" s="38" t="s">
        <v>1558</v>
      </c>
      <c r="L402" t="s">
        <v>1560</v>
      </c>
      <c r="M402" s="39">
        <v>379900</v>
      </c>
      <c r="N402" s="30">
        <v>0.9</v>
      </c>
      <c r="O402" s="33">
        <f t="shared" si="6"/>
        <v>37989.999999999993</v>
      </c>
      <c r="P402" s="28" t="s">
        <v>0</v>
      </c>
    </row>
    <row r="403" spans="1:16" x14ac:dyDescent="0.3">
      <c r="A403" s="32" t="s">
        <v>3213</v>
      </c>
      <c r="B403" s="40">
        <v>46108</v>
      </c>
      <c r="C403" s="40">
        <v>46113</v>
      </c>
      <c r="D403" s="27">
        <v>3319</v>
      </c>
      <c r="E403" s="32">
        <v>327</v>
      </c>
      <c r="F403" s="25">
        <v>2</v>
      </c>
      <c r="G403" s="28">
        <v>1</v>
      </c>
      <c r="H403" s="28">
        <v>81778</v>
      </c>
      <c r="I403" s="28" t="s">
        <v>17</v>
      </c>
      <c r="J403" s="28">
        <v>78770417</v>
      </c>
      <c r="K403" s="38" t="s">
        <v>1558</v>
      </c>
      <c r="L403" t="s">
        <v>1561</v>
      </c>
      <c r="M403" s="39">
        <v>379900</v>
      </c>
      <c r="N403" s="30">
        <v>0.9</v>
      </c>
      <c r="O403" s="33">
        <f t="shared" si="6"/>
        <v>37989.999999999993</v>
      </c>
      <c r="P403" s="28" t="s">
        <v>0</v>
      </c>
    </row>
    <row r="404" spans="1:16" x14ac:dyDescent="0.3">
      <c r="A404" s="32" t="s">
        <v>3213</v>
      </c>
      <c r="B404" s="40">
        <v>46108</v>
      </c>
      <c r="C404" s="40">
        <v>46113</v>
      </c>
      <c r="D404" s="27">
        <v>3319</v>
      </c>
      <c r="E404" s="32">
        <v>327</v>
      </c>
      <c r="F404" s="25">
        <v>2</v>
      </c>
      <c r="G404" s="28">
        <v>1</v>
      </c>
      <c r="H404" s="28">
        <v>81778</v>
      </c>
      <c r="I404" s="28" t="s">
        <v>17</v>
      </c>
      <c r="J404" s="28">
        <v>78770426</v>
      </c>
      <c r="K404" s="38" t="s">
        <v>1558</v>
      </c>
      <c r="L404" t="s">
        <v>1562</v>
      </c>
      <c r="M404" s="39">
        <v>379900</v>
      </c>
      <c r="N404" s="30">
        <v>0.9</v>
      </c>
      <c r="O404" s="33">
        <f t="shared" ref="O404:O467" si="7">M404*(1-N404)</f>
        <v>37989.999999999993</v>
      </c>
      <c r="P404" s="28" t="s">
        <v>0</v>
      </c>
    </row>
    <row r="405" spans="1:16" x14ac:dyDescent="0.3">
      <c r="A405" s="32" t="s">
        <v>3213</v>
      </c>
      <c r="B405" s="40">
        <v>46108</v>
      </c>
      <c r="C405" s="40">
        <v>46113</v>
      </c>
      <c r="D405" s="27">
        <v>3319</v>
      </c>
      <c r="E405" s="32">
        <v>327</v>
      </c>
      <c r="F405" s="25">
        <v>2</v>
      </c>
      <c r="G405" s="28">
        <v>1</v>
      </c>
      <c r="H405" s="28">
        <v>81778</v>
      </c>
      <c r="I405" s="28" t="s">
        <v>17</v>
      </c>
      <c r="J405" s="28">
        <v>78770435</v>
      </c>
      <c r="K405" s="38" t="s">
        <v>1558</v>
      </c>
      <c r="L405" t="s">
        <v>1563</v>
      </c>
      <c r="M405" s="39">
        <v>379900</v>
      </c>
      <c r="N405" s="30">
        <v>0.9</v>
      </c>
      <c r="O405" s="33">
        <f t="shared" si="7"/>
        <v>37989.999999999993</v>
      </c>
      <c r="P405" s="28" t="s">
        <v>0</v>
      </c>
    </row>
    <row r="406" spans="1:16" x14ac:dyDescent="0.3">
      <c r="A406" s="32" t="s">
        <v>3213</v>
      </c>
      <c r="B406" s="40">
        <v>46108</v>
      </c>
      <c r="C406" s="40">
        <v>46113</v>
      </c>
      <c r="D406" s="27">
        <v>3319</v>
      </c>
      <c r="E406" s="32">
        <v>327</v>
      </c>
      <c r="F406" s="25">
        <v>2</v>
      </c>
      <c r="G406" s="28">
        <v>1</v>
      </c>
      <c r="H406" s="28">
        <v>81778</v>
      </c>
      <c r="I406" s="28" t="s">
        <v>17</v>
      </c>
      <c r="J406" s="28">
        <v>78770444</v>
      </c>
      <c r="K406" s="38" t="s">
        <v>1564</v>
      </c>
      <c r="L406" t="s">
        <v>1565</v>
      </c>
      <c r="M406" s="39">
        <v>379900</v>
      </c>
      <c r="N406" s="30">
        <v>0.9</v>
      </c>
      <c r="O406" s="33">
        <f t="shared" si="7"/>
        <v>37989.999999999993</v>
      </c>
      <c r="P406" s="28" t="s">
        <v>0</v>
      </c>
    </row>
    <row r="407" spans="1:16" x14ac:dyDescent="0.3">
      <c r="A407" s="32" t="s">
        <v>3213</v>
      </c>
      <c r="B407" s="40">
        <v>46108</v>
      </c>
      <c r="C407" s="40">
        <v>46113</v>
      </c>
      <c r="D407" s="27">
        <v>3319</v>
      </c>
      <c r="E407" s="32">
        <v>327</v>
      </c>
      <c r="F407" s="25">
        <v>2</v>
      </c>
      <c r="G407" s="28">
        <v>1</v>
      </c>
      <c r="H407" s="28">
        <v>81778</v>
      </c>
      <c r="I407" s="28" t="s">
        <v>17</v>
      </c>
      <c r="J407" s="28">
        <v>78770453</v>
      </c>
      <c r="K407" s="38" t="s">
        <v>1564</v>
      </c>
      <c r="L407" t="s">
        <v>1566</v>
      </c>
      <c r="M407" s="39">
        <v>379900</v>
      </c>
      <c r="N407" s="30">
        <v>0.9</v>
      </c>
      <c r="O407" s="33">
        <f t="shared" si="7"/>
        <v>37989.999999999993</v>
      </c>
      <c r="P407" s="28" t="s">
        <v>0</v>
      </c>
    </row>
    <row r="408" spans="1:16" x14ac:dyDescent="0.3">
      <c r="A408" s="32" t="s">
        <v>3213</v>
      </c>
      <c r="B408" s="40">
        <v>46108</v>
      </c>
      <c r="C408" s="40">
        <v>46113</v>
      </c>
      <c r="D408" s="27">
        <v>3319</v>
      </c>
      <c r="E408" s="32">
        <v>327</v>
      </c>
      <c r="F408" s="25">
        <v>2</v>
      </c>
      <c r="G408" s="28">
        <v>1</v>
      </c>
      <c r="H408" s="28">
        <v>81778</v>
      </c>
      <c r="I408" s="28" t="s">
        <v>17</v>
      </c>
      <c r="J408" s="28">
        <v>78770462</v>
      </c>
      <c r="K408" s="38" t="s">
        <v>1564</v>
      </c>
      <c r="L408" t="s">
        <v>1567</v>
      </c>
      <c r="M408" s="39">
        <v>379900</v>
      </c>
      <c r="N408" s="30">
        <v>0.9</v>
      </c>
      <c r="O408" s="33">
        <f t="shared" si="7"/>
        <v>37989.999999999993</v>
      </c>
      <c r="P408" s="28" t="s">
        <v>0</v>
      </c>
    </row>
    <row r="409" spans="1:16" x14ac:dyDescent="0.3">
      <c r="A409" s="32" t="s">
        <v>3213</v>
      </c>
      <c r="B409" s="40">
        <v>46108</v>
      </c>
      <c r="C409" s="40">
        <v>46113</v>
      </c>
      <c r="D409" s="27">
        <v>3319</v>
      </c>
      <c r="E409" s="32">
        <v>327</v>
      </c>
      <c r="F409" s="25">
        <v>2</v>
      </c>
      <c r="G409" s="28">
        <v>1</v>
      </c>
      <c r="H409" s="28">
        <v>81778</v>
      </c>
      <c r="I409" s="28" t="s">
        <v>17</v>
      </c>
      <c r="J409" s="28">
        <v>78770471</v>
      </c>
      <c r="K409" s="38" t="s">
        <v>1564</v>
      </c>
      <c r="L409" t="s">
        <v>1568</v>
      </c>
      <c r="M409" s="39">
        <v>379900</v>
      </c>
      <c r="N409" s="30">
        <v>0.9</v>
      </c>
      <c r="O409" s="33">
        <f t="shared" si="7"/>
        <v>37989.999999999993</v>
      </c>
      <c r="P409" s="28" t="s">
        <v>0</v>
      </c>
    </row>
    <row r="410" spans="1:16" x14ac:dyDescent="0.3">
      <c r="A410" s="32" t="s">
        <v>3213</v>
      </c>
      <c r="B410" s="40">
        <v>46108</v>
      </c>
      <c r="C410" s="40">
        <v>46113</v>
      </c>
      <c r="D410" s="27">
        <v>3319</v>
      </c>
      <c r="E410" s="32">
        <v>327</v>
      </c>
      <c r="F410" s="25">
        <v>2</v>
      </c>
      <c r="G410" s="28">
        <v>1</v>
      </c>
      <c r="H410" s="28">
        <v>81778</v>
      </c>
      <c r="I410" s="28" t="s">
        <v>17</v>
      </c>
      <c r="J410" s="28">
        <v>78770480</v>
      </c>
      <c r="K410" s="38" t="s">
        <v>1564</v>
      </c>
      <c r="L410" t="s">
        <v>1569</v>
      </c>
      <c r="M410" s="39">
        <v>379900</v>
      </c>
      <c r="N410" s="30">
        <v>0.9</v>
      </c>
      <c r="O410" s="33">
        <f t="shared" si="7"/>
        <v>37989.999999999993</v>
      </c>
      <c r="P410" s="28" t="s">
        <v>0</v>
      </c>
    </row>
    <row r="411" spans="1:16" x14ac:dyDescent="0.3">
      <c r="A411" s="32" t="s">
        <v>3213</v>
      </c>
      <c r="B411" s="40">
        <v>46108</v>
      </c>
      <c r="C411" s="40">
        <v>46113</v>
      </c>
      <c r="D411" s="27">
        <v>3319</v>
      </c>
      <c r="E411" s="32">
        <v>327</v>
      </c>
      <c r="F411" s="25">
        <v>2</v>
      </c>
      <c r="G411" s="28">
        <v>2</v>
      </c>
      <c r="H411" s="28">
        <v>81778</v>
      </c>
      <c r="I411" s="28" t="s">
        <v>17</v>
      </c>
      <c r="J411" s="28">
        <v>78770346</v>
      </c>
      <c r="K411" s="38" t="s">
        <v>1581</v>
      </c>
      <c r="L411" t="s">
        <v>1582</v>
      </c>
      <c r="M411" s="39">
        <v>379900</v>
      </c>
      <c r="N411" s="30">
        <v>0.9</v>
      </c>
      <c r="O411" s="33">
        <f t="shared" si="7"/>
        <v>37989.999999999993</v>
      </c>
      <c r="P411" s="28" t="s">
        <v>0</v>
      </c>
    </row>
    <row r="412" spans="1:16" x14ac:dyDescent="0.3">
      <c r="A412" s="32" t="s">
        <v>3213</v>
      </c>
      <c r="B412" s="40">
        <v>46108</v>
      </c>
      <c r="C412" s="40">
        <v>46113</v>
      </c>
      <c r="D412" s="27">
        <v>3319</v>
      </c>
      <c r="E412" s="32">
        <v>327</v>
      </c>
      <c r="F412" s="25">
        <v>2</v>
      </c>
      <c r="G412" s="28">
        <v>2</v>
      </c>
      <c r="H412" s="28">
        <v>81778</v>
      </c>
      <c r="I412" s="28" t="s">
        <v>17</v>
      </c>
      <c r="J412" s="28">
        <v>78770355</v>
      </c>
      <c r="K412" s="38" t="s">
        <v>1581</v>
      </c>
      <c r="L412" t="s">
        <v>1583</v>
      </c>
      <c r="M412" s="39">
        <v>379900</v>
      </c>
      <c r="N412" s="30">
        <v>0.9</v>
      </c>
      <c r="O412" s="33">
        <f t="shared" si="7"/>
        <v>37989.999999999993</v>
      </c>
      <c r="P412" s="28" t="s">
        <v>0</v>
      </c>
    </row>
    <row r="413" spans="1:16" x14ac:dyDescent="0.3">
      <c r="A413" s="32" t="s">
        <v>3213</v>
      </c>
      <c r="B413" s="40">
        <v>46108</v>
      </c>
      <c r="C413" s="40">
        <v>46113</v>
      </c>
      <c r="D413" s="27">
        <v>3319</v>
      </c>
      <c r="E413" s="32">
        <v>327</v>
      </c>
      <c r="F413" s="25">
        <v>2</v>
      </c>
      <c r="G413" s="28">
        <v>2</v>
      </c>
      <c r="H413" s="28">
        <v>81778</v>
      </c>
      <c r="I413" s="28" t="s">
        <v>17</v>
      </c>
      <c r="J413" s="28">
        <v>78770364</v>
      </c>
      <c r="K413" s="38" t="s">
        <v>1581</v>
      </c>
      <c r="L413" t="s">
        <v>1584</v>
      </c>
      <c r="M413" s="39">
        <v>379900</v>
      </c>
      <c r="N413" s="30">
        <v>0.9</v>
      </c>
      <c r="O413" s="33">
        <f t="shared" si="7"/>
        <v>37989.999999999993</v>
      </c>
      <c r="P413" s="28" t="s">
        <v>0</v>
      </c>
    </row>
    <row r="414" spans="1:16" x14ac:dyDescent="0.3">
      <c r="A414" s="32" t="s">
        <v>3213</v>
      </c>
      <c r="B414" s="40">
        <v>46108</v>
      </c>
      <c r="C414" s="40">
        <v>46113</v>
      </c>
      <c r="D414" s="27">
        <v>3319</v>
      </c>
      <c r="E414" s="32">
        <v>327</v>
      </c>
      <c r="F414" s="25">
        <v>2</v>
      </c>
      <c r="G414" s="28">
        <v>2</v>
      </c>
      <c r="H414" s="28">
        <v>81778</v>
      </c>
      <c r="I414" s="28" t="s">
        <v>17</v>
      </c>
      <c r="J414" s="28">
        <v>78770373</v>
      </c>
      <c r="K414" s="38" t="s">
        <v>1581</v>
      </c>
      <c r="L414" t="s">
        <v>1585</v>
      </c>
      <c r="M414" s="39">
        <v>379900</v>
      </c>
      <c r="N414" s="30">
        <v>0.9</v>
      </c>
      <c r="O414" s="33">
        <f t="shared" si="7"/>
        <v>37989.999999999993</v>
      </c>
      <c r="P414" s="28" t="s">
        <v>0</v>
      </c>
    </row>
    <row r="415" spans="1:16" x14ac:dyDescent="0.3">
      <c r="A415" s="32" t="s">
        <v>3213</v>
      </c>
      <c r="B415" s="40">
        <v>46108</v>
      </c>
      <c r="C415" s="40">
        <v>46113</v>
      </c>
      <c r="D415" s="27">
        <v>3319</v>
      </c>
      <c r="E415" s="32">
        <v>327</v>
      </c>
      <c r="F415" s="25">
        <v>2</v>
      </c>
      <c r="G415" s="28">
        <v>2</v>
      </c>
      <c r="H415" s="28">
        <v>81778</v>
      </c>
      <c r="I415" s="28" t="s">
        <v>17</v>
      </c>
      <c r="J415" s="28">
        <v>78770382</v>
      </c>
      <c r="K415" s="38" t="s">
        <v>1581</v>
      </c>
      <c r="L415" t="s">
        <v>1586</v>
      </c>
      <c r="M415" s="39">
        <v>379900</v>
      </c>
      <c r="N415" s="30">
        <v>0.9</v>
      </c>
      <c r="O415" s="33">
        <f t="shared" si="7"/>
        <v>37989.999999999993</v>
      </c>
      <c r="P415" s="28" t="s">
        <v>0</v>
      </c>
    </row>
    <row r="416" spans="1:16" x14ac:dyDescent="0.3">
      <c r="A416" s="32" t="s">
        <v>3213</v>
      </c>
      <c r="B416" s="40">
        <v>46108</v>
      </c>
      <c r="C416" s="40">
        <v>46113</v>
      </c>
      <c r="D416" s="27">
        <v>3319</v>
      </c>
      <c r="E416" s="32">
        <v>327</v>
      </c>
      <c r="F416" s="25">
        <v>2</v>
      </c>
      <c r="G416" s="28">
        <v>2</v>
      </c>
      <c r="H416" s="28">
        <v>81778</v>
      </c>
      <c r="I416" s="28" t="s">
        <v>17</v>
      </c>
      <c r="J416" s="28">
        <v>78770999</v>
      </c>
      <c r="K416" s="38" t="s">
        <v>1587</v>
      </c>
      <c r="L416" t="s">
        <v>1588</v>
      </c>
      <c r="M416" s="39">
        <v>359900</v>
      </c>
      <c r="N416" s="30">
        <v>0.9</v>
      </c>
      <c r="O416" s="33">
        <f t="shared" si="7"/>
        <v>35989.999999999993</v>
      </c>
      <c r="P416" s="28" t="s">
        <v>0</v>
      </c>
    </row>
    <row r="417" spans="1:16" x14ac:dyDescent="0.3">
      <c r="A417" s="32" t="s">
        <v>3213</v>
      </c>
      <c r="B417" s="40">
        <v>46108</v>
      </c>
      <c r="C417" s="40">
        <v>46113</v>
      </c>
      <c r="D417" s="27">
        <v>3319</v>
      </c>
      <c r="E417" s="32">
        <v>327</v>
      </c>
      <c r="F417" s="25">
        <v>2</v>
      </c>
      <c r="G417" s="28">
        <v>2</v>
      </c>
      <c r="H417" s="28">
        <v>81778</v>
      </c>
      <c r="I417" s="28" t="s">
        <v>17</v>
      </c>
      <c r="J417" s="28">
        <v>78771005</v>
      </c>
      <c r="K417" s="38" t="s">
        <v>1587</v>
      </c>
      <c r="L417" t="s">
        <v>1589</v>
      </c>
      <c r="M417" s="39">
        <v>359900</v>
      </c>
      <c r="N417" s="30">
        <v>0.9</v>
      </c>
      <c r="O417" s="33">
        <f t="shared" si="7"/>
        <v>35989.999999999993</v>
      </c>
      <c r="P417" s="28" t="s">
        <v>0</v>
      </c>
    </row>
    <row r="418" spans="1:16" x14ac:dyDescent="0.3">
      <c r="A418" s="32" t="s">
        <v>3213</v>
      </c>
      <c r="B418" s="40">
        <v>46108</v>
      </c>
      <c r="C418" s="40">
        <v>46113</v>
      </c>
      <c r="D418" s="27">
        <v>3319</v>
      </c>
      <c r="E418" s="32">
        <v>327</v>
      </c>
      <c r="F418" s="25">
        <v>2</v>
      </c>
      <c r="G418" s="28">
        <v>2</v>
      </c>
      <c r="H418" s="28">
        <v>81778</v>
      </c>
      <c r="I418" s="28" t="s">
        <v>17</v>
      </c>
      <c r="J418" s="28">
        <v>78771014</v>
      </c>
      <c r="K418" s="38" t="s">
        <v>1587</v>
      </c>
      <c r="L418" t="s">
        <v>1590</v>
      </c>
      <c r="M418" s="39">
        <v>359900</v>
      </c>
      <c r="N418" s="30">
        <v>0.9</v>
      </c>
      <c r="O418" s="33">
        <f t="shared" si="7"/>
        <v>35989.999999999993</v>
      </c>
      <c r="P418" s="28" t="s">
        <v>0</v>
      </c>
    </row>
    <row r="419" spans="1:16" x14ac:dyDescent="0.3">
      <c r="A419" s="32" t="s">
        <v>3213</v>
      </c>
      <c r="B419" s="40">
        <v>46108</v>
      </c>
      <c r="C419" s="40">
        <v>46113</v>
      </c>
      <c r="D419" s="27">
        <v>3319</v>
      </c>
      <c r="E419" s="32">
        <v>327</v>
      </c>
      <c r="F419" s="25">
        <v>2</v>
      </c>
      <c r="G419" s="28">
        <v>2</v>
      </c>
      <c r="H419" s="28">
        <v>81778</v>
      </c>
      <c r="I419" s="28" t="s">
        <v>17</v>
      </c>
      <c r="J419" s="28">
        <v>78771023</v>
      </c>
      <c r="K419" s="38" t="s">
        <v>1587</v>
      </c>
      <c r="L419" t="s">
        <v>1591</v>
      </c>
      <c r="M419" s="39">
        <v>359900</v>
      </c>
      <c r="N419" s="30">
        <v>0.9</v>
      </c>
      <c r="O419" s="33">
        <f t="shared" si="7"/>
        <v>35989.999999999993</v>
      </c>
      <c r="P419" s="28" t="s">
        <v>0</v>
      </c>
    </row>
    <row r="420" spans="1:16" x14ac:dyDescent="0.3">
      <c r="A420" s="32" t="s">
        <v>3213</v>
      </c>
      <c r="B420" s="40">
        <v>46108</v>
      </c>
      <c r="C420" s="40">
        <v>46113</v>
      </c>
      <c r="D420" s="27">
        <v>3319</v>
      </c>
      <c r="E420" s="32">
        <v>327</v>
      </c>
      <c r="F420" s="25">
        <v>2</v>
      </c>
      <c r="G420" s="28">
        <v>2</v>
      </c>
      <c r="H420" s="28">
        <v>81778</v>
      </c>
      <c r="I420" s="28" t="s">
        <v>17</v>
      </c>
      <c r="J420" s="28">
        <v>78771032</v>
      </c>
      <c r="K420" s="38" t="s">
        <v>1587</v>
      </c>
      <c r="L420" t="s">
        <v>1592</v>
      </c>
      <c r="M420" s="39">
        <v>359900</v>
      </c>
      <c r="N420" s="30">
        <v>0.9</v>
      </c>
      <c r="O420" s="33">
        <f t="shared" si="7"/>
        <v>35989.999999999993</v>
      </c>
      <c r="P420" s="28" t="s">
        <v>0</v>
      </c>
    </row>
    <row r="421" spans="1:16" x14ac:dyDescent="0.3">
      <c r="A421" s="32" t="s">
        <v>3213</v>
      </c>
      <c r="B421" s="40">
        <v>46108</v>
      </c>
      <c r="C421" s="40">
        <v>46113</v>
      </c>
      <c r="D421" s="27">
        <v>3319</v>
      </c>
      <c r="E421" s="32">
        <v>327</v>
      </c>
      <c r="F421" s="25">
        <v>2</v>
      </c>
      <c r="G421" s="28">
        <v>2</v>
      </c>
      <c r="H421" s="28">
        <v>81778</v>
      </c>
      <c r="I421" s="28" t="s">
        <v>17</v>
      </c>
      <c r="J421" s="28">
        <v>78771041</v>
      </c>
      <c r="K421" s="38" t="s">
        <v>1587</v>
      </c>
      <c r="L421" t="s">
        <v>1593</v>
      </c>
      <c r="M421" s="39">
        <v>359900</v>
      </c>
      <c r="N421" s="30">
        <v>0.9</v>
      </c>
      <c r="O421" s="33">
        <f t="shared" si="7"/>
        <v>35989.999999999993</v>
      </c>
      <c r="P421" s="28" t="s">
        <v>0</v>
      </c>
    </row>
    <row r="422" spans="1:16" x14ac:dyDescent="0.3">
      <c r="A422" s="32" t="s">
        <v>3213</v>
      </c>
      <c r="B422" s="40">
        <v>46108</v>
      </c>
      <c r="C422" s="40">
        <v>46113</v>
      </c>
      <c r="D422" s="27">
        <v>3319</v>
      </c>
      <c r="E422" s="32">
        <v>327</v>
      </c>
      <c r="F422" s="25">
        <v>2</v>
      </c>
      <c r="G422" s="28">
        <v>2</v>
      </c>
      <c r="H422" s="28">
        <v>81778</v>
      </c>
      <c r="I422" s="28" t="s">
        <v>17</v>
      </c>
      <c r="J422" s="28">
        <v>78771050</v>
      </c>
      <c r="K422" s="38" t="s">
        <v>1587</v>
      </c>
      <c r="L422" t="s">
        <v>1594</v>
      </c>
      <c r="M422" s="39">
        <v>359900</v>
      </c>
      <c r="N422" s="30">
        <v>0.9</v>
      </c>
      <c r="O422" s="33">
        <f t="shared" si="7"/>
        <v>35989.999999999993</v>
      </c>
      <c r="P422" s="28" t="s">
        <v>0</v>
      </c>
    </row>
    <row r="423" spans="1:16" x14ac:dyDescent="0.3">
      <c r="A423" s="32" t="s">
        <v>3213</v>
      </c>
      <c r="B423" s="40">
        <v>46108</v>
      </c>
      <c r="C423" s="40">
        <v>46113</v>
      </c>
      <c r="D423" s="27">
        <v>3319</v>
      </c>
      <c r="E423" s="32">
        <v>327</v>
      </c>
      <c r="F423" s="25">
        <v>2</v>
      </c>
      <c r="G423" s="28">
        <v>2</v>
      </c>
      <c r="H423" s="28">
        <v>81778</v>
      </c>
      <c r="I423" s="28" t="s">
        <v>17</v>
      </c>
      <c r="J423" s="28">
        <v>78771069</v>
      </c>
      <c r="K423" s="38" t="s">
        <v>1587</v>
      </c>
      <c r="L423" t="s">
        <v>1595</v>
      </c>
      <c r="M423" s="39">
        <v>359900</v>
      </c>
      <c r="N423" s="30">
        <v>0.9</v>
      </c>
      <c r="O423" s="33">
        <f t="shared" si="7"/>
        <v>35989.999999999993</v>
      </c>
      <c r="P423" s="28" t="s">
        <v>0</v>
      </c>
    </row>
    <row r="424" spans="1:16" x14ac:dyDescent="0.3">
      <c r="A424" s="32" t="s">
        <v>3213</v>
      </c>
      <c r="B424" s="40">
        <v>46108</v>
      </c>
      <c r="C424" s="40">
        <v>46113</v>
      </c>
      <c r="D424" s="27">
        <v>3319</v>
      </c>
      <c r="E424" s="32">
        <v>327</v>
      </c>
      <c r="F424" s="25">
        <v>2</v>
      </c>
      <c r="G424" s="28">
        <v>2</v>
      </c>
      <c r="H424" s="28">
        <v>81778</v>
      </c>
      <c r="I424" s="28" t="s">
        <v>17</v>
      </c>
      <c r="J424" s="28">
        <v>78771078</v>
      </c>
      <c r="K424" s="38" t="s">
        <v>1587</v>
      </c>
      <c r="L424" t="s">
        <v>1596</v>
      </c>
      <c r="M424" s="39">
        <v>359900</v>
      </c>
      <c r="N424" s="30">
        <v>0.9</v>
      </c>
      <c r="O424" s="33">
        <f t="shared" si="7"/>
        <v>35989.999999999993</v>
      </c>
      <c r="P424" s="28" t="s">
        <v>0</v>
      </c>
    </row>
    <row r="425" spans="1:16" x14ac:dyDescent="0.3">
      <c r="A425" s="32" t="s">
        <v>3213</v>
      </c>
      <c r="B425" s="40">
        <v>46108</v>
      </c>
      <c r="C425" s="40">
        <v>46113</v>
      </c>
      <c r="D425" s="27">
        <v>3319</v>
      </c>
      <c r="E425" s="32">
        <v>327</v>
      </c>
      <c r="F425" s="25">
        <v>2</v>
      </c>
      <c r="G425" s="28">
        <v>2</v>
      </c>
      <c r="H425" s="28">
        <v>81778</v>
      </c>
      <c r="I425" s="28" t="s">
        <v>17</v>
      </c>
      <c r="J425" s="28">
        <v>78771087</v>
      </c>
      <c r="K425" s="38" t="s">
        <v>1587</v>
      </c>
      <c r="L425" t="s">
        <v>1597</v>
      </c>
      <c r="M425" s="39">
        <v>359900</v>
      </c>
      <c r="N425" s="30">
        <v>0.9</v>
      </c>
      <c r="O425" s="33">
        <f t="shared" si="7"/>
        <v>35989.999999999993</v>
      </c>
      <c r="P425" s="28" t="s">
        <v>0</v>
      </c>
    </row>
    <row r="426" spans="1:16" x14ac:dyDescent="0.3">
      <c r="A426" s="32" t="s">
        <v>3213</v>
      </c>
      <c r="B426" s="40">
        <v>46108</v>
      </c>
      <c r="C426" s="40">
        <v>46113</v>
      </c>
      <c r="D426" s="27">
        <v>3319</v>
      </c>
      <c r="E426" s="32">
        <v>327</v>
      </c>
      <c r="F426" s="25">
        <v>2</v>
      </c>
      <c r="G426" s="28">
        <v>2</v>
      </c>
      <c r="H426" s="28">
        <v>81433</v>
      </c>
      <c r="I426" s="28" t="s">
        <v>17</v>
      </c>
      <c r="J426" s="28">
        <v>76098845</v>
      </c>
      <c r="K426" s="38" t="s">
        <v>1570</v>
      </c>
      <c r="L426" t="s">
        <v>1571</v>
      </c>
      <c r="M426" s="39">
        <v>339900</v>
      </c>
      <c r="N426" s="30">
        <v>0.9</v>
      </c>
      <c r="O426" s="33">
        <f t="shared" si="7"/>
        <v>33989.999999999993</v>
      </c>
      <c r="P426" s="28" t="s">
        <v>0</v>
      </c>
    </row>
    <row r="427" spans="1:16" x14ac:dyDescent="0.3">
      <c r="A427" s="32" t="s">
        <v>3213</v>
      </c>
      <c r="B427" s="40">
        <v>46108</v>
      </c>
      <c r="C427" s="40">
        <v>46113</v>
      </c>
      <c r="D427" s="27">
        <v>3319</v>
      </c>
      <c r="E427" s="32">
        <v>327</v>
      </c>
      <c r="F427" s="25">
        <v>2</v>
      </c>
      <c r="G427" s="28">
        <v>2</v>
      </c>
      <c r="H427" s="28">
        <v>81433</v>
      </c>
      <c r="I427" s="28" t="s">
        <v>17</v>
      </c>
      <c r="J427" s="28">
        <v>76098854</v>
      </c>
      <c r="K427" s="38" t="s">
        <v>1570</v>
      </c>
      <c r="L427" t="s">
        <v>1572</v>
      </c>
      <c r="M427" s="39">
        <v>339900</v>
      </c>
      <c r="N427" s="30">
        <v>0.9</v>
      </c>
      <c r="O427" s="33">
        <f t="shared" si="7"/>
        <v>33989.999999999993</v>
      </c>
      <c r="P427" s="28" t="s">
        <v>0</v>
      </c>
    </row>
    <row r="428" spans="1:16" x14ac:dyDescent="0.3">
      <c r="A428" s="32" t="s">
        <v>3213</v>
      </c>
      <c r="B428" s="40">
        <v>46108</v>
      </c>
      <c r="C428" s="40">
        <v>46113</v>
      </c>
      <c r="D428" s="27">
        <v>3319</v>
      </c>
      <c r="E428" s="32">
        <v>327</v>
      </c>
      <c r="F428" s="25">
        <v>2</v>
      </c>
      <c r="G428" s="28">
        <v>2</v>
      </c>
      <c r="H428" s="28">
        <v>81433</v>
      </c>
      <c r="I428" s="28" t="s">
        <v>17</v>
      </c>
      <c r="J428" s="28">
        <v>76098863</v>
      </c>
      <c r="K428" s="38" t="s">
        <v>1570</v>
      </c>
      <c r="L428" t="s">
        <v>1573</v>
      </c>
      <c r="M428" s="39">
        <v>339900</v>
      </c>
      <c r="N428" s="30">
        <v>0.9</v>
      </c>
      <c r="O428" s="33">
        <f t="shared" si="7"/>
        <v>33989.999999999993</v>
      </c>
      <c r="P428" s="28" t="s">
        <v>0</v>
      </c>
    </row>
    <row r="429" spans="1:16" x14ac:dyDescent="0.3">
      <c r="A429" s="32" t="s">
        <v>3213</v>
      </c>
      <c r="B429" s="40">
        <v>46108</v>
      </c>
      <c r="C429" s="40">
        <v>46113</v>
      </c>
      <c r="D429" s="27">
        <v>3319</v>
      </c>
      <c r="E429" s="32">
        <v>327</v>
      </c>
      <c r="F429" s="25">
        <v>2</v>
      </c>
      <c r="G429" s="28">
        <v>2</v>
      </c>
      <c r="H429" s="28">
        <v>81433</v>
      </c>
      <c r="I429" s="28" t="s">
        <v>17</v>
      </c>
      <c r="J429" s="28">
        <v>76098872</v>
      </c>
      <c r="K429" s="38" t="s">
        <v>1570</v>
      </c>
      <c r="L429" t="s">
        <v>1574</v>
      </c>
      <c r="M429" s="39">
        <v>339900</v>
      </c>
      <c r="N429" s="30">
        <v>0.9</v>
      </c>
      <c r="O429" s="33">
        <f t="shared" si="7"/>
        <v>33989.999999999993</v>
      </c>
      <c r="P429" s="28" t="s">
        <v>0</v>
      </c>
    </row>
    <row r="430" spans="1:16" x14ac:dyDescent="0.3">
      <c r="A430" s="32" t="s">
        <v>3213</v>
      </c>
      <c r="B430" s="40">
        <v>46108</v>
      </c>
      <c r="C430" s="40">
        <v>46113</v>
      </c>
      <c r="D430" s="27">
        <v>3319</v>
      </c>
      <c r="E430" s="32">
        <v>327</v>
      </c>
      <c r="F430" s="25">
        <v>2</v>
      </c>
      <c r="G430" s="28">
        <v>2</v>
      </c>
      <c r="H430" s="28">
        <v>81433</v>
      </c>
      <c r="I430" s="28" t="s">
        <v>17</v>
      </c>
      <c r="J430" s="28">
        <v>76098881</v>
      </c>
      <c r="K430" s="38" t="s">
        <v>1570</v>
      </c>
      <c r="L430" t="s">
        <v>1575</v>
      </c>
      <c r="M430" s="39">
        <v>339900</v>
      </c>
      <c r="N430" s="30">
        <v>0.9</v>
      </c>
      <c r="O430" s="33">
        <f t="shared" si="7"/>
        <v>33989.999999999993</v>
      </c>
      <c r="P430" s="28" t="s">
        <v>0</v>
      </c>
    </row>
    <row r="431" spans="1:16" x14ac:dyDescent="0.3">
      <c r="A431" s="32" t="s">
        <v>3213</v>
      </c>
      <c r="B431" s="40">
        <v>46108</v>
      </c>
      <c r="C431" s="40">
        <v>46113</v>
      </c>
      <c r="D431" s="27">
        <v>3319</v>
      </c>
      <c r="E431" s="32">
        <v>327</v>
      </c>
      <c r="F431" s="25">
        <v>2</v>
      </c>
      <c r="G431" s="28">
        <v>2</v>
      </c>
      <c r="H431" s="28">
        <v>81433</v>
      </c>
      <c r="I431" s="28" t="s">
        <v>17</v>
      </c>
      <c r="J431" s="28">
        <v>76098890</v>
      </c>
      <c r="K431" s="38" t="s">
        <v>1570</v>
      </c>
      <c r="L431" t="s">
        <v>1576</v>
      </c>
      <c r="M431" s="39">
        <v>339900</v>
      </c>
      <c r="N431" s="30">
        <v>0.9</v>
      </c>
      <c r="O431" s="33">
        <f t="shared" si="7"/>
        <v>33989.999999999993</v>
      </c>
      <c r="P431" s="28" t="s">
        <v>0</v>
      </c>
    </row>
    <row r="432" spans="1:16" x14ac:dyDescent="0.3">
      <c r="A432" s="32" t="s">
        <v>3213</v>
      </c>
      <c r="B432" s="40">
        <v>46108</v>
      </c>
      <c r="C432" s="40">
        <v>46113</v>
      </c>
      <c r="D432" s="27">
        <v>3319</v>
      </c>
      <c r="E432" s="32">
        <v>327</v>
      </c>
      <c r="F432" s="25">
        <v>2</v>
      </c>
      <c r="G432" s="28">
        <v>2</v>
      </c>
      <c r="H432" s="28">
        <v>81433</v>
      </c>
      <c r="I432" s="28" t="s">
        <v>17</v>
      </c>
      <c r="J432" s="28">
        <v>76098907</v>
      </c>
      <c r="K432" s="38" t="s">
        <v>1570</v>
      </c>
      <c r="L432" t="s">
        <v>1577</v>
      </c>
      <c r="M432" s="39">
        <v>339900</v>
      </c>
      <c r="N432" s="30">
        <v>0.9</v>
      </c>
      <c r="O432" s="33">
        <f t="shared" si="7"/>
        <v>33989.999999999993</v>
      </c>
      <c r="P432" s="28" t="s">
        <v>0</v>
      </c>
    </row>
    <row r="433" spans="1:16" x14ac:dyDescent="0.3">
      <c r="A433" s="32" t="s">
        <v>3213</v>
      </c>
      <c r="B433" s="40">
        <v>46108</v>
      </c>
      <c r="C433" s="40">
        <v>46113</v>
      </c>
      <c r="D433" s="27">
        <v>3319</v>
      </c>
      <c r="E433" s="32">
        <v>327</v>
      </c>
      <c r="F433" s="25">
        <v>2</v>
      </c>
      <c r="G433" s="28">
        <v>2</v>
      </c>
      <c r="H433" s="28">
        <v>81433</v>
      </c>
      <c r="I433" s="28" t="s">
        <v>17</v>
      </c>
      <c r="J433" s="28">
        <v>76098916</v>
      </c>
      <c r="K433" s="38" t="s">
        <v>1570</v>
      </c>
      <c r="L433" t="s">
        <v>1578</v>
      </c>
      <c r="M433" s="39">
        <v>339900</v>
      </c>
      <c r="N433" s="30">
        <v>0.9</v>
      </c>
      <c r="O433" s="33">
        <f t="shared" si="7"/>
        <v>33989.999999999993</v>
      </c>
      <c r="P433" s="28" t="s">
        <v>0</v>
      </c>
    </row>
    <row r="434" spans="1:16" x14ac:dyDescent="0.3">
      <c r="A434" s="32" t="s">
        <v>3213</v>
      </c>
      <c r="B434" s="40">
        <v>46108</v>
      </c>
      <c r="C434" s="40">
        <v>46113</v>
      </c>
      <c r="D434" s="27">
        <v>3319</v>
      </c>
      <c r="E434" s="32">
        <v>327</v>
      </c>
      <c r="F434" s="25">
        <v>2</v>
      </c>
      <c r="G434" s="28">
        <v>2</v>
      </c>
      <c r="H434" s="28">
        <v>81433</v>
      </c>
      <c r="I434" s="28" t="s">
        <v>17</v>
      </c>
      <c r="J434" s="28">
        <v>76098925</v>
      </c>
      <c r="K434" s="38" t="s">
        <v>1570</v>
      </c>
      <c r="L434" t="s">
        <v>1579</v>
      </c>
      <c r="M434" s="39">
        <v>339900</v>
      </c>
      <c r="N434" s="30">
        <v>0.9</v>
      </c>
      <c r="O434" s="33">
        <f t="shared" si="7"/>
        <v>33989.999999999993</v>
      </c>
      <c r="P434" s="28" t="s">
        <v>0</v>
      </c>
    </row>
    <row r="435" spans="1:16" x14ac:dyDescent="0.3">
      <c r="A435" s="32" t="s">
        <v>3213</v>
      </c>
      <c r="B435" s="40">
        <v>46108</v>
      </c>
      <c r="C435" s="40">
        <v>46113</v>
      </c>
      <c r="D435" s="27">
        <v>3319</v>
      </c>
      <c r="E435" s="32">
        <v>327</v>
      </c>
      <c r="F435" s="25">
        <v>2</v>
      </c>
      <c r="G435" s="28">
        <v>2</v>
      </c>
      <c r="H435" s="28">
        <v>81433</v>
      </c>
      <c r="I435" s="28" t="s">
        <v>17</v>
      </c>
      <c r="J435" s="28">
        <v>76098934</v>
      </c>
      <c r="K435" s="38" t="s">
        <v>1570</v>
      </c>
      <c r="L435" t="s">
        <v>1580</v>
      </c>
      <c r="M435" s="39">
        <v>339900</v>
      </c>
      <c r="N435" s="30">
        <v>0.9</v>
      </c>
      <c r="O435" s="33">
        <f t="shared" si="7"/>
        <v>33989.999999999993</v>
      </c>
      <c r="P435" s="28" t="s">
        <v>0</v>
      </c>
    </row>
    <row r="436" spans="1:16" x14ac:dyDescent="0.3">
      <c r="A436" s="32" t="s">
        <v>3213</v>
      </c>
      <c r="B436" s="40">
        <v>46108</v>
      </c>
      <c r="C436" s="40">
        <v>46113</v>
      </c>
      <c r="D436" s="27">
        <v>3319</v>
      </c>
      <c r="E436" s="32">
        <v>327</v>
      </c>
      <c r="F436" s="25">
        <v>2</v>
      </c>
      <c r="G436" s="28">
        <v>1</v>
      </c>
      <c r="H436" s="28">
        <v>81433</v>
      </c>
      <c r="I436" s="28" t="s">
        <v>17</v>
      </c>
      <c r="J436" s="28">
        <v>81119857</v>
      </c>
      <c r="K436" s="38" t="s">
        <v>1598</v>
      </c>
      <c r="L436" t="s">
        <v>1599</v>
      </c>
      <c r="M436" s="39">
        <v>339900</v>
      </c>
      <c r="N436" s="30">
        <v>0.9</v>
      </c>
      <c r="O436" s="33">
        <f t="shared" si="7"/>
        <v>33989.999999999993</v>
      </c>
      <c r="P436" s="28" t="s">
        <v>0</v>
      </c>
    </row>
    <row r="437" spans="1:16" x14ac:dyDescent="0.3">
      <c r="A437" s="32" t="s">
        <v>3213</v>
      </c>
      <c r="B437" s="40">
        <v>46108</v>
      </c>
      <c r="C437" s="40">
        <v>46113</v>
      </c>
      <c r="D437" s="27">
        <v>3319</v>
      </c>
      <c r="E437" s="32">
        <v>327</v>
      </c>
      <c r="F437" s="25">
        <v>2</v>
      </c>
      <c r="G437" s="28">
        <v>1</v>
      </c>
      <c r="H437" s="28">
        <v>81433</v>
      </c>
      <c r="I437" s="28" t="s">
        <v>17</v>
      </c>
      <c r="J437" s="28">
        <v>81119866</v>
      </c>
      <c r="K437" s="38" t="s">
        <v>1598</v>
      </c>
      <c r="L437" t="s">
        <v>1600</v>
      </c>
      <c r="M437" s="39">
        <v>339900</v>
      </c>
      <c r="N437" s="30">
        <v>0.9</v>
      </c>
      <c r="O437" s="33">
        <f t="shared" si="7"/>
        <v>33989.999999999993</v>
      </c>
      <c r="P437" s="28" t="s">
        <v>0</v>
      </c>
    </row>
    <row r="438" spans="1:16" x14ac:dyDescent="0.3">
      <c r="A438" s="32" t="s">
        <v>3213</v>
      </c>
      <c r="B438" s="40">
        <v>46108</v>
      </c>
      <c r="C438" s="40">
        <v>46113</v>
      </c>
      <c r="D438" s="27">
        <v>3319</v>
      </c>
      <c r="E438" s="32">
        <v>327</v>
      </c>
      <c r="F438" s="25">
        <v>2</v>
      </c>
      <c r="G438" s="28">
        <v>1</v>
      </c>
      <c r="H438" s="28">
        <v>81433</v>
      </c>
      <c r="I438" s="28" t="s">
        <v>17</v>
      </c>
      <c r="J438" s="28">
        <v>81119875</v>
      </c>
      <c r="K438" s="38" t="s">
        <v>1598</v>
      </c>
      <c r="L438" t="s">
        <v>1601</v>
      </c>
      <c r="M438" s="39">
        <v>339900</v>
      </c>
      <c r="N438" s="30">
        <v>0.9</v>
      </c>
      <c r="O438" s="33">
        <f t="shared" si="7"/>
        <v>33989.999999999993</v>
      </c>
      <c r="P438" s="28" t="s">
        <v>0</v>
      </c>
    </row>
    <row r="439" spans="1:16" x14ac:dyDescent="0.3">
      <c r="A439" s="32" t="s">
        <v>3213</v>
      </c>
      <c r="B439" s="40">
        <v>46108</v>
      </c>
      <c r="C439" s="40">
        <v>46113</v>
      </c>
      <c r="D439" s="27">
        <v>3319</v>
      </c>
      <c r="E439" s="32">
        <v>327</v>
      </c>
      <c r="F439" s="25">
        <v>2</v>
      </c>
      <c r="G439" s="28">
        <v>1</v>
      </c>
      <c r="H439" s="28">
        <v>81433</v>
      </c>
      <c r="I439" s="28" t="s">
        <v>17</v>
      </c>
      <c r="J439" s="28">
        <v>81119884</v>
      </c>
      <c r="K439" s="38" t="s">
        <v>1598</v>
      </c>
      <c r="L439" t="s">
        <v>1602</v>
      </c>
      <c r="M439" s="39">
        <v>339900</v>
      </c>
      <c r="N439" s="30">
        <v>0.9</v>
      </c>
      <c r="O439" s="33">
        <f t="shared" si="7"/>
        <v>33989.999999999993</v>
      </c>
      <c r="P439" s="28" t="s">
        <v>0</v>
      </c>
    </row>
    <row r="440" spans="1:16" x14ac:dyDescent="0.3">
      <c r="A440" s="32" t="s">
        <v>3213</v>
      </c>
      <c r="B440" s="40">
        <v>46108</v>
      </c>
      <c r="C440" s="40">
        <v>46113</v>
      </c>
      <c r="D440" s="27">
        <v>3319</v>
      </c>
      <c r="E440" s="32">
        <v>327</v>
      </c>
      <c r="F440" s="25">
        <v>2</v>
      </c>
      <c r="G440" s="28">
        <v>1</v>
      </c>
      <c r="H440" s="28">
        <v>81433</v>
      </c>
      <c r="I440" s="28" t="s">
        <v>17</v>
      </c>
      <c r="J440" s="28">
        <v>81119893</v>
      </c>
      <c r="K440" s="38" t="s">
        <v>1598</v>
      </c>
      <c r="L440" t="s">
        <v>1603</v>
      </c>
      <c r="M440" s="39">
        <v>339900</v>
      </c>
      <c r="N440" s="30">
        <v>0.9</v>
      </c>
      <c r="O440" s="33">
        <f t="shared" si="7"/>
        <v>33989.999999999993</v>
      </c>
      <c r="P440" s="28" t="s">
        <v>0</v>
      </c>
    </row>
    <row r="441" spans="1:16" x14ac:dyDescent="0.3">
      <c r="A441" s="32" t="s">
        <v>3213</v>
      </c>
      <c r="B441" s="40">
        <v>46108</v>
      </c>
      <c r="C441" s="40">
        <v>46113</v>
      </c>
      <c r="D441" s="27">
        <v>3319</v>
      </c>
      <c r="E441" s="32">
        <v>327</v>
      </c>
      <c r="F441" s="25">
        <v>2</v>
      </c>
      <c r="G441" s="28">
        <v>1</v>
      </c>
      <c r="H441" s="28">
        <v>81433</v>
      </c>
      <c r="I441" s="28" t="s">
        <v>17</v>
      </c>
      <c r="J441" s="28">
        <v>81119900</v>
      </c>
      <c r="K441" s="38" t="s">
        <v>1598</v>
      </c>
      <c r="L441" t="s">
        <v>1604</v>
      </c>
      <c r="M441" s="39">
        <v>339900</v>
      </c>
      <c r="N441" s="30">
        <v>0.9</v>
      </c>
      <c r="O441" s="33">
        <f t="shared" si="7"/>
        <v>33989.999999999993</v>
      </c>
      <c r="P441" s="28" t="s">
        <v>0</v>
      </c>
    </row>
    <row r="442" spans="1:16" x14ac:dyDescent="0.3">
      <c r="A442" s="32" t="s">
        <v>3213</v>
      </c>
      <c r="B442" s="40">
        <v>46108</v>
      </c>
      <c r="C442" s="40">
        <v>46113</v>
      </c>
      <c r="D442" s="27">
        <v>3319</v>
      </c>
      <c r="E442" s="32">
        <v>327</v>
      </c>
      <c r="F442" s="25">
        <v>2</v>
      </c>
      <c r="G442" s="28">
        <v>1</v>
      </c>
      <c r="H442" s="28">
        <v>81433</v>
      </c>
      <c r="I442" s="28" t="s">
        <v>17</v>
      </c>
      <c r="J442" s="28">
        <v>81119919</v>
      </c>
      <c r="K442" s="38" t="s">
        <v>1598</v>
      </c>
      <c r="L442" t="s">
        <v>1605</v>
      </c>
      <c r="M442" s="39">
        <v>339900</v>
      </c>
      <c r="N442" s="30">
        <v>0.9</v>
      </c>
      <c r="O442" s="33">
        <f t="shared" si="7"/>
        <v>33989.999999999993</v>
      </c>
      <c r="P442" s="28" t="s">
        <v>0</v>
      </c>
    </row>
    <row r="443" spans="1:16" x14ac:dyDescent="0.3">
      <c r="A443" s="32" t="s">
        <v>3213</v>
      </c>
      <c r="B443" s="40">
        <v>46108</v>
      </c>
      <c r="C443" s="40">
        <v>46113</v>
      </c>
      <c r="D443" s="27">
        <v>3319</v>
      </c>
      <c r="E443" s="32">
        <v>327</v>
      </c>
      <c r="F443" s="25">
        <v>2</v>
      </c>
      <c r="G443" s="28">
        <v>1</v>
      </c>
      <c r="H443" s="28">
        <v>81433</v>
      </c>
      <c r="I443" s="28" t="s">
        <v>17</v>
      </c>
      <c r="J443" s="28">
        <v>81119928</v>
      </c>
      <c r="K443" s="38" t="s">
        <v>1598</v>
      </c>
      <c r="L443" t="s">
        <v>1606</v>
      </c>
      <c r="M443" s="39">
        <v>339900</v>
      </c>
      <c r="N443" s="30">
        <v>0.9</v>
      </c>
      <c r="O443" s="33">
        <f t="shared" si="7"/>
        <v>33989.999999999993</v>
      </c>
      <c r="P443" s="28" t="s">
        <v>0</v>
      </c>
    </row>
    <row r="444" spans="1:16" x14ac:dyDescent="0.3">
      <c r="A444" s="32" t="s">
        <v>3213</v>
      </c>
      <c r="B444" s="40">
        <v>46108</v>
      </c>
      <c r="C444" s="40">
        <v>46113</v>
      </c>
      <c r="D444" s="27">
        <v>3319</v>
      </c>
      <c r="E444" s="32">
        <v>327</v>
      </c>
      <c r="F444" s="25">
        <v>2</v>
      </c>
      <c r="G444" s="28">
        <v>1</v>
      </c>
      <c r="H444" s="28">
        <v>81433</v>
      </c>
      <c r="I444" s="28" t="s">
        <v>17</v>
      </c>
      <c r="J444" s="28">
        <v>81119937</v>
      </c>
      <c r="K444" s="38" t="s">
        <v>1598</v>
      </c>
      <c r="L444" t="s">
        <v>1607</v>
      </c>
      <c r="M444" s="39">
        <v>339900</v>
      </c>
      <c r="N444" s="30">
        <v>0.9</v>
      </c>
      <c r="O444" s="33">
        <f t="shared" si="7"/>
        <v>33989.999999999993</v>
      </c>
      <c r="P444" s="28" t="s">
        <v>0</v>
      </c>
    </row>
    <row r="445" spans="1:16" x14ac:dyDescent="0.3">
      <c r="A445" s="32" t="s">
        <v>3213</v>
      </c>
      <c r="B445" s="40">
        <v>46108</v>
      </c>
      <c r="C445" s="40">
        <v>46113</v>
      </c>
      <c r="D445" s="27">
        <v>3319</v>
      </c>
      <c r="E445" s="32">
        <v>327</v>
      </c>
      <c r="F445" s="25">
        <v>2</v>
      </c>
      <c r="G445" s="28">
        <v>1</v>
      </c>
      <c r="H445" s="28">
        <v>81433</v>
      </c>
      <c r="I445" s="28" t="s">
        <v>17</v>
      </c>
      <c r="J445" s="28">
        <v>81119946</v>
      </c>
      <c r="K445" s="38" t="s">
        <v>1598</v>
      </c>
      <c r="L445" t="s">
        <v>1608</v>
      </c>
      <c r="M445" s="39">
        <v>339900</v>
      </c>
      <c r="N445" s="30">
        <v>0.9</v>
      </c>
      <c r="O445" s="33">
        <f t="shared" si="7"/>
        <v>33989.999999999993</v>
      </c>
      <c r="P445" s="28" t="s">
        <v>0</v>
      </c>
    </row>
    <row r="446" spans="1:16" x14ac:dyDescent="0.3">
      <c r="A446" s="32" t="s">
        <v>3213</v>
      </c>
      <c r="B446" s="40">
        <v>46108</v>
      </c>
      <c r="C446" s="40">
        <v>46113</v>
      </c>
      <c r="D446" s="27">
        <v>3319</v>
      </c>
      <c r="E446" s="32">
        <v>327</v>
      </c>
      <c r="F446" s="25">
        <v>2</v>
      </c>
      <c r="G446" s="28">
        <v>2</v>
      </c>
      <c r="H446" s="28">
        <v>81778</v>
      </c>
      <c r="I446" s="28" t="s">
        <v>17</v>
      </c>
      <c r="J446" s="28">
        <v>82228586</v>
      </c>
      <c r="K446" s="38" t="s">
        <v>1729</v>
      </c>
      <c r="L446" t="s">
        <v>1730</v>
      </c>
      <c r="M446" s="39">
        <v>399900</v>
      </c>
      <c r="N446" s="30">
        <v>0.9</v>
      </c>
      <c r="O446" s="33">
        <f t="shared" si="7"/>
        <v>39989.999999999993</v>
      </c>
      <c r="P446" s="28" t="s">
        <v>0</v>
      </c>
    </row>
    <row r="447" spans="1:16" x14ac:dyDescent="0.3">
      <c r="A447" s="32" t="s">
        <v>3213</v>
      </c>
      <c r="B447" s="40">
        <v>46108</v>
      </c>
      <c r="C447" s="40">
        <v>46113</v>
      </c>
      <c r="D447" s="27">
        <v>3319</v>
      </c>
      <c r="E447" s="32">
        <v>327</v>
      </c>
      <c r="F447" s="25">
        <v>2</v>
      </c>
      <c r="G447" s="28">
        <v>2</v>
      </c>
      <c r="H447" s="28">
        <v>81778</v>
      </c>
      <c r="I447" s="28" t="s">
        <v>17</v>
      </c>
      <c r="J447" s="28">
        <v>82228595</v>
      </c>
      <c r="K447" s="38" t="s">
        <v>1729</v>
      </c>
      <c r="L447" t="s">
        <v>1731</v>
      </c>
      <c r="M447" s="39">
        <v>399900</v>
      </c>
      <c r="N447" s="30">
        <v>0.9</v>
      </c>
      <c r="O447" s="33">
        <f t="shared" si="7"/>
        <v>39989.999999999993</v>
      </c>
      <c r="P447" s="28" t="s">
        <v>0</v>
      </c>
    </row>
    <row r="448" spans="1:16" x14ac:dyDescent="0.3">
      <c r="A448" s="32" t="s">
        <v>3213</v>
      </c>
      <c r="B448" s="40">
        <v>46108</v>
      </c>
      <c r="C448" s="40">
        <v>46113</v>
      </c>
      <c r="D448" s="27">
        <v>3319</v>
      </c>
      <c r="E448" s="32">
        <v>327</v>
      </c>
      <c r="F448" s="25">
        <v>2</v>
      </c>
      <c r="G448" s="28">
        <v>2</v>
      </c>
      <c r="H448" s="28">
        <v>81778</v>
      </c>
      <c r="I448" s="28" t="s">
        <v>17</v>
      </c>
      <c r="J448" s="28">
        <v>82228602</v>
      </c>
      <c r="K448" s="38" t="s">
        <v>1729</v>
      </c>
      <c r="L448" t="s">
        <v>1732</v>
      </c>
      <c r="M448" s="39">
        <v>399900</v>
      </c>
      <c r="N448" s="30">
        <v>0.9</v>
      </c>
      <c r="O448" s="33">
        <f t="shared" si="7"/>
        <v>39989.999999999993</v>
      </c>
      <c r="P448" s="28" t="s">
        <v>0</v>
      </c>
    </row>
    <row r="449" spans="1:16" x14ac:dyDescent="0.3">
      <c r="A449" s="32" t="s">
        <v>3213</v>
      </c>
      <c r="B449" s="40">
        <v>46108</v>
      </c>
      <c r="C449" s="40">
        <v>46113</v>
      </c>
      <c r="D449" s="27">
        <v>3319</v>
      </c>
      <c r="E449" s="32">
        <v>327</v>
      </c>
      <c r="F449" s="25">
        <v>2</v>
      </c>
      <c r="G449" s="28">
        <v>2</v>
      </c>
      <c r="H449" s="28">
        <v>81778</v>
      </c>
      <c r="I449" s="28" t="s">
        <v>17</v>
      </c>
      <c r="J449" s="28">
        <v>82228611</v>
      </c>
      <c r="K449" s="38" t="s">
        <v>1729</v>
      </c>
      <c r="L449" t="s">
        <v>1733</v>
      </c>
      <c r="M449" s="39">
        <v>399900</v>
      </c>
      <c r="N449" s="30">
        <v>0.9</v>
      </c>
      <c r="O449" s="33">
        <f t="shared" si="7"/>
        <v>39989.999999999993</v>
      </c>
      <c r="P449" s="28" t="s">
        <v>0</v>
      </c>
    </row>
    <row r="450" spans="1:16" x14ac:dyDescent="0.3">
      <c r="A450" s="32" t="s">
        <v>3213</v>
      </c>
      <c r="B450" s="40">
        <v>46108</v>
      </c>
      <c r="C450" s="40">
        <v>46113</v>
      </c>
      <c r="D450" s="27">
        <v>3319</v>
      </c>
      <c r="E450" s="32">
        <v>327</v>
      </c>
      <c r="F450" s="25">
        <v>2</v>
      </c>
      <c r="G450" s="28">
        <v>2</v>
      </c>
      <c r="H450" s="28">
        <v>81778</v>
      </c>
      <c r="I450" s="28" t="s">
        <v>17</v>
      </c>
      <c r="J450" s="28">
        <v>82228620</v>
      </c>
      <c r="K450" s="38" t="s">
        <v>1729</v>
      </c>
      <c r="L450" t="s">
        <v>1734</v>
      </c>
      <c r="M450" s="39">
        <v>399900</v>
      </c>
      <c r="N450" s="30">
        <v>0.9</v>
      </c>
      <c r="O450" s="33">
        <f t="shared" si="7"/>
        <v>39989.999999999993</v>
      </c>
      <c r="P450" s="28" t="s">
        <v>0</v>
      </c>
    </row>
    <row r="451" spans="1:16" x14ac:dyDescent="0.3">
      <c r="A451" s="32" t="s">
        <v>3213</v>
      </c>
      <c r="B451" s="40">
        <v>46108</v>
      </c>
      <c r="C451" s="40">
        <v>46113</v>
      </c>
      <c r="D451" s="27">
        <v>3319</v>
      </c>
      <c r="E451" s="32">
        <v>327</v>
      </c>
      <c r="F451" s="25">
        <v>2</v>
      </c>
      <c r="G451" s="28">
        <v>2</v>
      </c>
      <c r="H451" s="28">
        <v>81778</v>
      </c>
      <c r="I451" s="28" t="s">
        <v>17</v>
      </c>
      <c r="J451" s="28">
        <v>82228639</v>
      </c>
      <c r="K451" s="38" t="s">
        <v>1729</v>
      </c>
      <c r="L451" t="s">
        <v>1735</v>
      </c>
      <c r="M451" s="39">
        <v>399900</v>
      </c>
      <c r="N451" s="30">
        <v>0.9</v>
      </c>
      <c r="O451" s="33">
        <f t="shared" si="7"/>
        <v>39989.999999999993</v>
      </c>
      <c r="P451" s="28" t="s">
        <v>0</v>
      </c>
    </row>
    <row r="452" spans="1:16" x14ac:dyDescent="0.3">
      <c r="A452" s="32" t="s">
        <v>3213</v>
      </c>
      <c r="B452" s="40">
        <v>46108</v>
      </c>
      <c r="C452" s="40">
        <v>46113</v>
      </c>
      <c r="D452" s="27">
        <v>3319</v>
      </c>
      <c r="E452" s="32">
        <v>327</v>
      </c>
      <c r="F452" s="25">
        <v>2</v>
      </c>
      <c r="G452" s="28">
        <v>2</v>
      </c>
      <c r="H452" s="28">
        <v>81778</v>
      </c>
      <c r="I452" s="28" t="s">
        <v>17</v>
      </c>
      <c r="J452" s="28">
        <v>82228648</v>
      </c>
      <c r="K452" s="38" t="s">
        <v>1729</v>
      </c>
      <c r="L452" t="s">
        <v>1736</v>
      </c>
      <c r="M452" s="39">
        <v>399900</v>
      </c>
      <c r="N452" s="30">
        <v>0.9</v>
      </c>
      <c r="O452" s="33">
        <f t="shared" si="7"/>
        <v>39989.999999999993</v>
      </c>
      <c r="P452" s="28" t="s">
        <v>0</v>
      </c>
    </row>
    <row r="453" spans="1:16" x14ac:dyDescent="0.3">
      <c r="A453" s="32" t="s">
        <v>3213</v>
      </c>
      <c r="B453" s="40">
        <v>46108</v>
      </c>
      <c r="C453" s="40">
        <v>46113</v>
      </c>
      <c r="D453" s="27">
        <v>3319</v>
      </c>
      <c r="E453" s="32">
        <v>327</v>
      </c>
      <c r="F453" s="25">
        <v>2</v>
      </c>
      <c r="G453" s="28">
        <v>2</v>
      </c>
      <c r="H453" s="28">
        <v>81778</v>
      </c>
      <c r="I453" s="28" t="s">
        <v>17</v>
      </c>
      <c r="J453" s="28">
        <v>82228657</v>
      </c>
      <c r="K453" s="38" t="s">
        <v>1729</v>
      </c>
      <c r="L453" t="s">
        <v>1737</v>
      </c>
      <c r="M453" s="39">
        <v>399900</v>
      </c>
      <c r="N453" s="30">
        <v>0.9</v>
      </c>
      <c r="O453" s="33">
        <f t="shared" si="7"/>
        <v>39989.999999999993</v>
      </c>
      <c r="P453" s="28" t="s">
        <v>0</v>
      </c>
    </row>
    <row r="454" spans="1:16" x14ac:dyDescent="0.3">
      <c r="A454" s="32" t="s">
        <v>3213</v>
      </c>
      <c r="B454" s="40">
        <v>46108</v>
      </c>
      <c r="C454" s="40">
        <v>46113</v>
      </c>
      <c r="D454" s="27">
        <v>3319</v>
      </c>
      <c r="E454" s="32">
        <v>327</v>
      </c>
      <c r="F454" s="25">
        <v>2</v>
      </c>
      <c r="G454" s="28">
        <v>2</v>
      </c>
      <c r="H454" s="28">
        <v>81778</v>
      </c>
      <c r="I454" s="28" t="s">
        <v>17</v>
      </c>
      <c r="J454" s="28">
        <v>82228666</v>
      </c>
      <c r="K454" s="38" t="s">
        <v>1729</v>
      </c>
      <c r="L454" t="s">
        <v>1738</v>
      </c>
      <c r="M454" s="39">
        <v>399900</v>
      </c>
      <c r="N454" s="30">
        <v>0.9</v>
      </c>
      <c r="O454" s="33">
        <f t="shared" si="7"/>
        <v>39989.999999999993</v>
      </c>
      <c r="P454" s="28" t="s">
        <v>0</v>
      </c>
    </row>
    <row r="455" spans="1:16" x14ac:dyDescent="0.3">
      <c r="A455" s="32" t="s">
        <v>3213</v>
      </c>
      <c r="B455" s="40">
        <v>46108</v>
      </c>
      <c r="C455" s="40">
        <v>46113</v>
      </c>
      <c r="D455" s="27">
        <v>3319</v>
      </c>
      <c r="E455" s="32">
        <v>327</v>
      </c>
      <c r="F455" s="25">
        <v>2</v>
      </c>
      <c r="G455" s="28">
        <v>2</v>
      </c>
      <c r="H455" s="28">
        <v>81778</v>
      </c>
      <c r="I455" s="28" t="s">
        <v>17</v>
      </c>
      <c r="J455" s="28">
        <v>82228675</v>
      </c>
      <c r="K455" s="38" t="s">
        <v>1729</v>
      </c>
      <c r="L455" t="s">
        <v>1739</v>
      </c>
      <c r="M455" s="39">
        <v>399900</v>
      </c>
      <c r="N455" s="30">
        <v>0.9</v>
      </c>
      <c r="O455" s="33">
        <f t="shared" si="7"/>
        <v>39989.999999999993</v>
      </c>
      <c r="P455" s="28" t="s">
        <v>0</v>
      </c>
    </row>
    <row r="456" spans="1:16" x14ac:dyDescent="0.3">
      <c r="A456" s="32" t="s">
        <v>3213</v>
      </c>
      <c r="B456" s="40">
        <v>46108</v>
      </c>
      <c r="C456" s="40">
        <v>46113</v>
      </c>
      <c r="D456" s="27">
        <v>3319</v>
      </c>
      <c r="E456" s="32">
        <v>327</v>
      </c>
      <c r="F456" s="25">
        <v>2</v>
      </c>
      <c r="G456" s="28">
        <v>2</v>
      </c>
      <c r="H456" s="28">
        <v>81778</v>
      </c>
      <c r="I456" s="28" t="s">
        <v>17</v>
      </c>
      <c r="J456" s="28">
        <v>82228988</v>
      </c>
      <c r="K456" s="38" t="s">
        <v>1740</v>
      </c>
      <c r="L456" t="s">
        <v>1741</v>
      </c>
      <c r="M456" s="39">
        <v>339900</v>
      </c>
      <c r="N456" s="30">
        <v>0.9</v>
      </c>
      <c r="O456" s="33">
        <f t="shared" si="7"/>
        <v>33989.999999999993</v>
      </c>
      <c r="P456" s="28" t="s">
        <v>0</v>
      </c>
    </row>
    <row r="457" spans="1:16" x14ac:dyDescent="0.3">
      <c r="A457" s="32" t="s">
        <v>3213</v>
      </c>
      <c r="B457" s="40">
        <v>46108</v>
      </c>
      <c r="C457" s="40">
        <v>46113</v>
      </c>
      <c r="D457" s="27">
        <v>3319</v>
      </c>
      <c r="E457" s="32">
        <v>327</v>
      </c>
      <c r="F457" s="25">
        <v>2</v>
      </c>
      <c r="G457" s="28">
        <v>2</v>
      </c>
      <c r="H457" s="28">
        <v>81778</v>
      </c>
      <c r="I457" s="28" t="s">
        <v>17</v>
      </c>
      <c r="J457" s="28">
        <v>82228997</v>
      </c>
      <c r="K457" s="38" t="s">
        <v>1740</v>
      </c>
      <c r="L457" t="s">
        <v>1742</v>
      </c>
      <c r="M457" s="39">
        <v>339900</v>
      </c>
      <c r="N457" s="30">
        <v>0.9</v>
      </c>
      <c r="O457" s="33">
        <f t="shared" si="7"/>
        <v>33989.999999999993</v>
      </c>
      <c r="P457" s="28" t="s">
        <v>0</v>
      </c>
    </row>
    <row r="458" spans="1:16" x14ac:dyDescent="0.3">
      <c r="A458" s="32" t="s">
        <v>3213</v>
      </c>
      <c r="B458" s="40">
        <v>46108</v>
      </c>
      <c r="C458" s="40">
        <v>46113</v>
      </c>
      <c r="D458" s="27">
        <v>3319</v>
      </c>
      <c r="E458" s="32">
        <v>327</v>
      </c>
      <c r="F458" s="25">
        <v>2</v>
      </c>
      <c r="G458" s="28">
        <v>2</v>
      </c>
      <c r="H458" s="28">
        <v>81778</v>
      </c>
      <c r="I458" s="28" t="s">
        <v>17</v>
      </c>
      <c r="J458" s="28">
        <v>82229003</v>
      </c>
      <c r="K458" s="38" t="s">
        <v>1740</v>
      </c>
      <c r="L458" t="s">
        <v>1743</v>
      </c>
      <c r="M458" s="39">
        <v>339900</v>
      </c>
      <c r="N458" s="30">
        <v>0.9</v>
      </c>
      <c r="O458" s="33">
        <f t="shared" si="7"/>
        <v>33989.999999999993</v>
      </c>
      <c r="P458" s="28" t="s">
        <v>0</v>
      </c>
    </row>
    <row r="459" spans="1:16" x14ac:dyDescent="0.3">
      <c r="A459" s="32" t="s">
        <v>3213</v>
      </c>
      <c r="B459" s="40">
        <v>46108</v>
      </c>
      <c r="C459" s="40">
        <v>46113</v>
      </c>
      <c r="D459" s="27">
        <v>3319</v>
      </c>
      <c r="E459" s="32">
        <v>327</v>
      </c>
      <c r="F459" s="25">
        <v>2</v>
      </c>
      <c r="G459" s="28">
        <v>2</v>
      </c>
      <c r="H459" s="28">
        <v>81778</v>
      </c>
      <c r="I459" s="28" t="s">
        <v>17</v>
      </c>
      <c r="J459" s="28">
        <v>82229012</v>
      </c>
      <c r="K459" s="38" t="s">
        <v>1740</v>
      </c>
      <c r="L459" t="s">
        <v>1744</v>
      </c>
      <c r="M459" s="39">
        <v>339900</v>
      </c>
      <c r="N459" s="30">
        <v>0.9</v>
      </c>
      <c r="O459" s="33">
        <f t="shared" si="7"/>
        <v>33989.999999999993</v>
      </c>
      <c r="P459" s="28" t="s">
        <v>0</v>
      </c>
    </row>
    <row r="460" spans="1:16" x14ac:dyDescent="0.3">
      <c r="A460" s="32" t="s">
        <v>3213</v>
      </c>
      <c r="B460" s="40">
        <v>46108</v>
      </c>
      <c r="C460" s="40">
        <v>46113</v>
      </c>
      <c r="D460" s="27">
        <v>3319</v>
      </c>
      <c r="E460" s="32">
        <v>327</v>
      </c>
      <c r="F460" s="25">
        <v>2</v>
      </c>
      <c r="G460" s="28">
        <v>2</v>
      </c>
      <c r="H460" s="28">
        <v>81778</v>
      </c>
      <c r="I460" s="28" t="s">
        <v>17</v>
      </c>
      <c r="J460" s="28">
        <v>82229021</v>
      </c>
      <c r="K460" s="38" t="s">
        <v>1740</v>
      </c>
      <c r="L460" t="s">
        <v>1745</v>
      </c>
      <c r="M460" s="39">
        <v>339900</v>
      </c>
      <c r="N460" s="30">
        <v>0.9</v>
      </c>
      <c r="O460" s="33">
        <f t="shared" si="7"/>
        <v>33989.999999999993</v>
      </c>
      <c r="P460" s="28" t="s">
        <v>0</v>
      </c>
    </row>
    <row r="461" spans="1:16" x14ac:dyDescent="0.3">
      <c r="A461" s="32" t="s">
        <v>3213</v>
      </c>
      <c r="B461" s="40">
        <v>46108</v>
      </c>
      <c r="C461" s="40">
        <v>46113</v>
      </c>
      <c r="D461" s="27">
        <v>3319</v>
      </c>
      <c r="E461" s="32">
        <v>327</v>
      </c>
      <c r="F461" s="25">
        <v>2</v>
      </c>
      <c r="G461" s="28">
        <v>2</v>
      </c>
      <c r="H461" s="28">
        <v>81778</v>
      </c>
      <c r="I461" s="28" t="s">
        <v>17</v>
      </c>
      <c r="J461" s="28">
        <v>82229030</v>
      </c>
      <c r="K461" s="38" t="s">
        <v>1740</v>
      </c>
      <c r="L461" t="s">
        <v>1746</v>
      </c>
      <c r="M461" s="39">
        <v>339900</v>
      </c>
      <c r="N461" s="30">
        <v>0.9</v>
      </c>
      <c r="O461" s="33">
        <f t="shared" si="7"/>
        <v>33989.999999999993</v>
      </c>
      <c r="P461" s="28" t="s">
        <v>0</v>
      </c>
    </row>
    <row r="462" spans="1:16" x14ac:dyDescent="0.3">
      <c r="A462" s="32" t="s">
        <v>3213</v>
      </c>
      <c r="B462" s="40">
        <v>46108</v>
      </c>
      <c r="C462" s="40">
        <v>46113</v>
      </c>
      <c r="D462" s="27">
        <v>3319</v>
      </c>
      <c r="E462" s="32">
        <v>327</v>
      </c>
      <c r="F462" s="25">
        <v>2</v>
      </c>
      <c r="G462" s="28">
        <v>2</v>
      </c>
      <c r="H462" s="28">
        <v>81778</v>
      </c>
      <c r="I462" s="28" t="s">
        <v>17</v>
      </c>
      <c r="J462" s="28">
        <v>82229049</v>
      </c>
      <c r="K462" s="38" t="s">
        <v>1740</v>
      </c>
      <c r="L462" t="s">
        <v>1747</v>
      </c>
      <c r="M462" s="39">
        <v>339900</v>
      </c>
      <c r="N462" s="30">
        <v>0.9</v>
      </c>
      <c r="O462" s="33">
        <f t="shared" si="7"/>
        <v>33989.999999999993</v>
      </c>
      <c r="P462" s="28" t="s">
        <v>0</v>
      </c>
    </row>
    <row r="463" spans="1:16" x14ac:dyDescent="0.3">
      <c r="A463" s="32" t="s">
        <v>3213</v>
      </c>
      <c r="B463" s="40">
        <v>46108</v>
      </c>
      <c r="C463" s="40">
        <v>46113</v>
      </c>
      <c r="D463" s="27">
        <v>3319</v>
      </c>
      <c r="E463" s="32">
        <v>327</v>
      </c>
      <c r="F463" s="25">
        <v>2</v>
      </c>
      <c r="G463" s="28">
        <v>2</v>
      </c>
      <c r="H463" s="28">
        <v>81778</v>
      </c>
      <c r="I463" s="28" t="s">
        <v>17</v>
      </c>
      <c r="J463" s="28">
        <v>82229058</v>
      </c>
      <c r="K463" s="38" t="s">
        <v>1740</v>
      </c>
      <c r="L463" t="s">
        <v>1748</v>
      </c>
      <c r="M463" s="39">
        <v>339900</v>
      </c>
      <c r="N463" s="30">
        <v>0.9</v>
      </c>
      <c r="O463" s="33">
        <f t="shared" si="7"/>
        <v>33989.999999999993</v>
      </c>
      <c r="P463" s="28" t="s">
        <v>0</v>
      </c>
    </row>
    <row r="464" spans="1:16" x14ac:dyDescent="0.3">
      <c r="A464" s="32" t="s">
        <v>3213</v>
      </c>
      <c r="B464" s="40">
        <v>46108</v>
      </c>
      <c r="C464" s="40">
        <v>46113</v>
      </c>
      <c r="D464" s="27">
        <v>3319</v>
      </c>
      <c r="E464" s="32">
        <v>327</v>
      </c>
      <c r="F464" s="25">
        <v>2</v>
      </c>
      <c r="G464" s="28">
        <v>2</v>
      </c>
      <c r="H464" s="28">
        <v>81778</v>
      </c>
      <c r="I464" s="28" t="s">
        <v>17</v>
      </c>
      <c r="J464" s="28">
        <v>82229067</v>
      </c>
      <c r="K464" s="38" t="s">
        <v>1740</v>
      </c>
      <c r="L464" t="s">
        <v>1749</v>
      </c>
      <c r="M464" s="39">
        <v>339900</v>
      </c>
      <c r="N464" s="30">
        <v>0.9</v>
      </c>
      <c r="O464" s="33">
        <f t="shared" si="7"/>
        <v>33989.999999999993</v>
      </c>
      <c r="P464" s="28" t="s">
        <v>0</v>
      </c>
    </row>
    <row r="465" spans="1:16" x14ac:dyDescent="0.3">
      <c r="A465" s="32" t="s">
        <v>3213</v>
      </c>
      <c r="B465" s="40">
        <v>46108</v>
      </c>
      <c r="C465" s="40">
        <v>46113</v>
      </c>
      <c r="D465" s="27">
        <v>3319</v>
      </c>
      <c r="E465" s="32">
        <v>327</v>
      </c>
      <c r="F465" s="25">
        <v>2</v>
      </c>
      <c r="G465" s="28">
        <v>2</v>
      </c>
      <c r="H465" s="28">
        <v>81778</v>
      </c>
      <c r="I465" s="28" t="s">
        <v>17</v>
      </c>
      <c r="J465" s="28">
        <v>82229076</v>
      </c>
      <c r="K465" s="38" t="s">
        <v>1740</v>
      </c>
      <c r="L465" t="s">
        <v>1750</v>
      </c>
      <c r="M465" s="39">
        <v>339900</v>
      </c>
      <c r="N465" s="30">
        <v>0.9</v>
      </c>
      <c r="O465" s="33">
        <f t="shared" si="7"/>
        <v>33989.999999999993</v>
      </c>
      <c r="P465" s="28" t="s">
        <v>0</v>
      </c>
    </row>
    <row r="466" spans="1:16" x14ac:dyDescent="0.3">
      <c r="A466" s="32" t="s">
        <v>3213</v>
      </c>
      <c r="B466" s="40">
        <v>46108</v>
      </c>
      <c r="C466" s="40">
        <v>46113</v>
      </c>
      <c r="D466" s="27">
        <v>3319</v>
      </c>
      <c r="E466" s="32">
        <v>327</v>
      </c>
      <c r="F466" s="25">
        <v>2</v>
      </c>
      <c r="G466" s="28">
        <v>2</v>
      </c>
      <c r="H466" s="28">
        <v>81433</v>
      </c>
      <c r="I466" s="28" t="s">
        <v>17</v>
      </c>
      <c r="J466" s="28">
        <v>82229085</v>
      </c>
      <c r="K466" s="38" t="s">
        <v>1751</v>
      </c>
      <c r="L466" t="s">
        <v>1752</v>
      </c>
      <c r="M466" s="39">
        <v>399900</v>
      </c>
      <c r="N466" s="30">
        <v>0.9</v>
      </c>
      <c r="O466" s="33">
        <f t="shared" si="7"/>
        <v>39989.999999999993</v>
      </c>
      <c r="P466" s="28" t="s">
        <v>0</v>
      </c>
    </row>
    <row r="467" spans="1:16" x14ac:dyDescent="0.3">
      <c r="A467" s="32" t="s">
        <v>3213</v>
      </c>
      <c r="B467" s="40">
        <v>46108</v>
      </c>
      <c r="C467" s="40">
        <v>46113</v>
      </c>
      <c r="D467" s="27">
        <v>3319</v>
      </c>
      <c r="E467" s="32">
        <v>327</v>
      </c>
      <c r="F467" s="25">
        <v>2</v>
      </c>
      <c r="G467" s="28">
        <v>2</v>
      </c>
      <c r="H467" s="28">
        <v>81433</v>
      </c>
      <c r="I467" s="28" t="s">
        <v>17</v>
      </c>
      <c r="J467" s="28">
        <v>82229094</v>
      </c>
      <c r="K467" s="38" t="s">
        <v>1751</v>
      </c>
      <c r="L467" t="s">
        <v>1753</v>
      </c>
      <c r="M467" s="39">
        <v>399900</v>
      </c>
      <c r="N467" s="30">
        <v>0.9</v>
      </c>
      <c r="O467" s="33">
        <f t="shared" si="7"/>
        <v>39989.999999999993</v>
      </c>
      <c r="P467" s="28" t="s">
        <v>0</v>
      </c>
    </row>
    <row r="468" spans="1:16" x14ac:dyDescent="0.3">
      <c r="A468" s="32" t="s">
        <v>3213</v>
      </c>
      <c r="B468" s="40">
        <v>46108</v>
      </c>
      <c r="C468" s="40">
        <v>46113</v>
      </c>
      <c r="D468" s="27">
        <v>3319</v>
      </c>
      <c r="E468" s="32">
        <v>327</v>
      </c>
      <c r="F468" s="25">
        <v>2</v>
      </c>
      <c r="G468" s="28">
        <v>2</v>
      </c>
      <c r="H468" s="28">
        <v>81433</v>
      </c>
      <c r="I468" s="28" t="s">
        <v>17</v>
      </c>
      <c r="J468" s="28">
        <v>82229101</v>
      </c>
      <c r="K468" s="38" t="s">
        <v>1751</v>
      </c>
      <c r="L468" t="s">
        <v>1754</v>
      </c>
      <c r="M468" s="39">
        <v>399900</v>
      </c>
      <c r="N468" s="30">
        <v>0.9</v>
      </c>
      <c r="O468" s="33">
        <f t="shared" ref="O468:O524" si="8">M468*(1-N468)</f>
        <v>39989.999999999993</v>
      </c>
      <c r="P468" s="28" t="s">
        <v>0</v>
      </c>
    </row>
    <row r="469" spans="1:16" x14ac:dyDescent="0.3">
      <c r="A469" s="32" t="s">
        <v>3213</v>
      </c>
      <c r="B469" s="40">
        <v>46108</v>
      </c>
      <c r="C469" s="40">
        <v>46113</v>
      </c>
      <c r="D469" s="27">
        <v>3319</v>
      </c>
      <c r="E469" s="32">
        <v>327</v>
      </c>
      <c r="F469" s="25">
        <v>2</v>
      </c>
      <c r="G469" s="28">
        <v>2</v>
      </c>
      <c r="H469" s="28">
        <v>81433</v>
      </c>
      <c r="I469" s="28" t="s">
        <v>17</v>
      </c>
      <c r="J469" s="28">
        <v>82229110</v>
      </c>
      <c r="K469" s="38" t="s">
        <v>1751</v>
      </c>
      <c r="L469" t="s">
        <v>1755</v>
      </c>
      <c r="M469" s="39">
        <v>399900</v>
      </c>
      <c r="N469" s="30">
        <v>0.9</v>
      </c>
      <c r="O469" s="33">
        <f t="shared" si="8"/>
        <v>39989.999999999993</v>
      </c>
      <c r="P469" s="28" t="s">
        <v>0</v>
      </c>
    </row>
    <row r="470" spans="1:16" x14ac:dyDescent="0.3">
      <c r="A470" s="32" t="s">
        <v>3213</v>
      </c>
      <c r="B470" s="40">
        <v>46108</v>
      </c>
      <c r="C470" s="40">
        <v>46113</v>
      </c>
      <c r="D470" s="27">
        <v>3319</v>
      </c>
      <c r="E470" s="32">
        <v>327</v>
      </c>
      <c r="F470" s="25">
        <v>2</v>
      </c>
      <c r="G470" s="28">
        <v>2</v>
      </c>
      <c r="H470" s="28">
        <v>81433</v>
      </c>
      <c r="I470" s="28" t="s">
        <v>17</v>
      </c>
      <c r="J470" s="28">
        <v>82229129</v>
      </c>
      <c r="K470" s="38" t="s">
        <v>1751</v>
      </c>
      <c r="L470" t="s">
        <v>1756</v>
      </c>
      <c r="M470" s="39">
        <v>399900</v>
      </c>
      <c r="N470" s="30">
        <v>0.9</v>
      </c>
      <c r="O470" s="33">
        <f t="shared" si="8"/>
        <v>39989.999999999993</v>
      </c>
      <c r="P470" s="28" t="s">
        <v>0</v>
      </c>
    </row>
    <row r="471" spans="1:16" x14ac:dyDescent="0.3">
      <c r="A471" s="32" t="s">
        <v>3213</v>
      </c>
      <c r="B471" s="40">
        <v>46108</v>
      </c>
      <c r="C471" s="40">
        <v>46113</v>
      </c>
      <c r="D471" s="27">
        <v>3319</v>
      </c>
      <c r="E471" s="32">
        <v>327</v>
      </c>
      <c r="F471" s="25">
        <v>2</v>
      </c>
      <c r="G471" s="28">
        <v>2</v>
      </c>
      <c r="H471" s="28">
        <v>81433</v>
      </c>
      <c r="I471" s="28" t="s">
        <v>17</v>
      </c>
      <c r="J471" s="28">
        <v>82229138</v>
      </c>
      <c r="K471" s="38" t="s">
        <v>1751</v>
      </c>
      <c r="L471" t="s">
        <v>1757</v>
      </c>
      <c r="M471" s="39">
        <v>399900</v>
      </c>
      <c r="N471" s="30">
        <v>0.9</v>
      </c>
      <c r="O471" s="33">
        <f t="shared" si="8"/>
        <v>39989.999999999993</v>
      </c>
      <c r="P471" s="28" t="s">
        <v>0</v>
      </c>
    </row>
    <row r="472" spans="1:16" x14ac:dyDescent="0.3">
      <c r="A472" s="32" t="s">
        <v>3213</v>
      </c>
      <c r="B472" s="40">
        <v>46108</v>
      </c>
      <c r="C472" s="40">
        <v>46113</v>
      </c>
      <c r="D472" s="27">
        <v>3319</v>
      </c>
      <c r="E472" s="32">
        <v>327</v>
      </c>
      <c r="F472" s="25">
        <v>2</v>
      </c>
      <c r="G472" s="28">
        <v>2</v>
      </c>
      <c r="H472" s="28">
        <v>81433</v>
      </c>
      <c r="I472" s="28" t="s">
        <v>17</v>
      </c>
      <c r="J472" s="28">
        <v>82229147</v>
      </c>
      <c r="K472" s="38" t="s">
        <v>1751</v>
      </c>
      <c r="L472" t="s">
        <v>1758</v>
      </c>
      <c r="M472" s="39">
        <v>399900</v>
      </c>
      <c r="N472" s="30">
        <v>0.9</v>
      </c>
      <c r="O472" s="33">
        <f t="shared" si="8"/>
        <v>39989.999999999993</v>
      </c>
      <c r="P472" s="28" t="s">
        <v>0</v>
      </c>
    </row>
    <row r="473" spans="1:16" x14ac:dyDescent="0.3">
      <c r="A473" s="32" t="s">
        <v>3213</v>
      </c>
      <c r="B473" s="40">
        <v>46108</v>
      </c>
      <c r="C473" s="40">
        <v>46113</v>
      </c>
      <c r="D473" s="27">
        <v>3319</v>
      </c>
      <c r="E473" s="32">
        <v>327</v>
      </c>
      <c r="F473" s="25">
        <v>2</v>
      </c>
      <c r="G473" s="28">
        <v>2</v>
      </c>
      <c r="H473" s="28">
        <v>81433</v>
      </c>
      <c r="I473" s="28" t="s">
        <v>17</v>
      </c>
      <c r="J473" s="28">
        <v>82229156</v>
      </c>
      <c r="K473" s="38" t="s">
        <v>1751</v>
      </c>
      <c r="L473" t="s">
        <v>1759</v>
      </c>
      <c r="M473" s="39">
        <v>399900</v>
      </c>
      <c r="N473" s="30">
        <v>0.9</v>
      </c>
      <c r="O473" s="33">
        <f t="shared" si="8"/>
        <v>39989.999999999993</v>
      </c>
      <c r="P473" s="28" t="s">
        <v>0</v>
      </c>
    </row>
    <row r="474" spans="1:16" x14ac:dyDescent="0.3">
      <c r="A474" s="32" t="s">
        <v>3213</v>
      </c>
      <c r="B474" s="40">
        <v>46108</v>
      </c>
      <c r="C474" s="40">
        <v>46113</v>
      </c>
      <c r="D474" s="27">
        <v>3319</v>
      </c>
      <c r="E474" s="32">
        <v>327</v>
      </c>
      <c r="F474" s="25">
        <v>2</v>
      </c>
      <c r="G474" s="28">
        <v>2</v>
      </c>
      <c r="H474" s="28">
        <v>81433</v>
      </c>
      <c r="I474" s="28" t="s">
        <v>17</v>
      </c>
      <c r="J474" s="28">
        <v>82229165</v>
      </c>
      <c r="K474" s="38" t="s">
        <v>1751</v>
      </c>
      <c r="L474" t="s">
        <v>1760</v>
      </c>
      <c r="M474" s="39">
        <v>399900</v>
      </c>
      <c r="N474" s="30">
        <v>0.9</v>
      </c>
      <c r="O474" s="33">
        <f t="shared" si="8"/>
        <v>39989.999999999993</v>
      </c>
      <c r="P474" s="28" t="s">
        <v>0</v>
      </c>
    </row>
    <row r="475" spans="1:16" x14ac:dyDescent="0.3">
      <c r="A475" s="32" t="s">
        <v>3213</v>
      </c>
      <c r="B475" s="40">
        <v>46108</v>
      </c>
      <c r="C475" s="40">
        <v>46113</v>
      </c>
      <c r="D475" s="27">
        <v>3319</v>
      </c>
      <c r="E475" s="32">
        <v>327</v>
      </c>
      <c r="F475" s="25">
        <v>2</v>
      </c>
      <c r="G475" s="28">
        <v>2</v>
      </c>
      <c r="H475" s="28">
        <v>81433</v>
      </c>
      <c r="I475" s="28" t="s">
        <v>17</v>
      </c>
      <c r="J475" s="28">
        <v>82229174</v>
      </c>
      <c r="K475" s="38" t="s">
        <v>1751</v>
      </c>
      <c r="L475" t="s">
        <v>1761</v>
      </c>
      <c r="M475" s="39">
        <v>399900</v>
      </c>
      <c r="N475" s="30">
        <v>0.9</v>
      </c>
      <c r="O475" s="33">
        <f t="shared" si="8"/>
        <v>39989.999999999993</v>
      </c>
      <c r="P475" s="28" t="s">
        <v>0</v>
      </c>
    </row>
    <row r="476" spans="1:16" x14ac:dyDescent="0.3">
      <c r="A476" s="32" t="s">
        <v>3213</v>
      </c>
      <c r="B476" s="40">
        <v>46108</v>
      </c>
      <c r="C476" s="40">
        <v>46113</v>
      </c>
      <c r="D476" s="27">
        <v>3319</v>
      </c>
      <c r="E476" s="32">
        <v>327</v>
      </c>
      <c r="F476" s="25">
        <v>2</v>
      </c>
      <c r="G476" s="28">
        <v>1</v>
      </c>
      <c r="H476" s="28">
        <v>81433</v>
      </c>
      <c r="I476" s="28" t="s">
        <v>17</v>
      </c>
      <c r="J476" s="28">
        <v>81268491</v>
      </c>
      <c r="K476" s="38" t="s">
        <v>1625</v>
      </c>
      <c r="L476" t="s">
        <v>1626</v>
      </c>
      <c r="M476" s="39">
        <v>239900</v>
      </c>
      <c r="N476" s="30">
        <v>0.9</v>
      </c>
      <c r="O476" s="33">
        <f t="shared" si="8"/>
        <v>23989.999999999996</v>
      </c>
      <c r="P476" s="28" t="s">
        <v>0</v>
      </c>
    </row>
    <row r="477" spans="1:16" x14ac:dyDescent="0.3">
      <c r="A477" s="32" t="s">
        <v>3213</v>
      </c>
      <c r="B477" s="40">
        <v>46108</v>
      </c>
      <c r="C477" s="40">
        <v>46113</v>
      </c>
      <c r="D477" s="27">
        <v>3319</v>
      </c>
      <c r="E477" s="32">
        <v>327</v>
      </c>
      <c r="F477" s="25">
        <v>2</v>
      </c>
      <c r="G477" s="28">
        <v>1</v>
      </c>
      <c r="H477" s="28">
        <v>81433</v>
      </c>
      <c r="I477" s="28" t="s">
        <v>17</v>
      </c>
      <c r="J477" s="28">
        <v>81268508</v>
      </c>
      <c r="K477" s="38" t="s">
        <v>1625</v>
      </c>
      <c r="L477" t="s">
        <v>1627</v>
      </c>
      <c r="M477" s="39">
        <v>239900</v>
      </c>
      <c r="N477" s="30">
        <v>0.9</v>
      </c>
      <c r="O477" s="33">
        <f t="shared" si="8"/>
        <v>23989.999999999996</v>
      </c>
      <c r="P477" s="28" t="s">
        <v>0</v>
      </c>
    </row>
    <row r="478" spans="1:16" x14ac:dyDescent="0.3">
      <c r="A478" s="32" t="s">
        <v>3213</v>
      </c>
      <c r="B478" s="40">
        <v>46108</v>
      </c>
      <c r="C478" s="40">
        <v>46113</v>
      </c>
      <c r="D478" s="27">
        <v>3319</v>
      </c>
      <c r="E478" s="32">
        <v>327</v>
      </c>
      <c r="F478" s="25">
        <v>2</v>
      </c>
      <c r="G478" s="28">
        <v>1</v>
      </c>
      <c r="H478" s="28">
        <v>81433</v>
      </c>
      <c r="I478" s="28" t="s">
        <v>17</v>
      </c>
      <c r="J478" s="28">
        <v>81268517</v>
      </c>
      <c r="K478" s="38" t="s">
        <v>1625</v>
      </c>
      <c r="L478" t="s">
        <v>1628</v>
      </c>
      <c r="M478" s="39">
        <v>239900</v>
      </c>
      <c r="N478" s="30">
        <v>0.9</v>
      </c>
      <c r="O478" s="33">
        <f t="shared" si="8"/>
        <v>23989.999999999996</v>
      </c>
      <c r="P478" s="28" t="s">
        <v>0</v>
      </c>
    </row>
    <row r="479" spans="1:16" x14ac:dyDescent="0.3">
      <c r="A479" s="32" t="s">
        <v>3213</v>
      </c>
      <c r="B479" s="40">
        <v>46108</v>
      </c>
      <c r="C479" s="40">
        <v>46113</v>
      </c>
      <c r="D479" s="27">
        <v>3319</v>
      </c>
      <c r="E479" s="32">
        <v>327</v>
      </c>
      <c r="F479" s="25">
        <v>2</v>
      </c>
      <c r="G479" s="28">
        <v>1</v>
      </c>
      <c r="H479" s="28">
        <v>81433</v>
      </c>
      <c r="I479" s="28" t="s">
        <v>17</v>
      </c>
      <c r="J479" s="28">
        <v>81268526</v>
      </c>
      <c r="K479" s="38" t="s">
        <v>1625</v>
      </c>
      <c r="L479" t="s">
        <v>1629</v>
      </c>
      <c r="M479" s="39">
        <v>239900</v>
      </c>
      <c r="N479" s="30">
        <v>0.9</v>
      </c>
      <c r="O479" s="33">
        <f t="shared" si="8"/>
        <v>23989.999999999996</v>
      </c>
      <c r="P479" s="28" t="s">
        <v>0</v>
      </c>
    </row>
    <row r="480" spans="1:16" x14ac:dyDescent="0.3">
      <c r="A480" s="32" t="s">
        <v>3213</v>
      </c>
      <c r="B480" s="40">
        <v>46108</v>
      </c>
      <c r="C480" s="40">
        <v>46113</v>
      </c>
      <c r="D480" s="27">
        <v>3319</v>
      </c>
      <c r="E480" s="32">
        <v>327</v>
      </c>
      <c r="F480" s="25">
        <v>2</v>
      </c>
      <c r="G480" s="28">
        <v>1</v>
      </c>
      <c r="H480" s="28">
        <v>81433</v>
      </c>
      <c r="I480" s="28" t="s">
        <v>17</v>
      </c>
      <c r="J480" s="28">
        <v>81268535</v>
      </c>
      <c r="K480" s="38" t="s">
        <v>1625</v>
      </c>
      <c r="L480" t="s">
        <v>1630</v>
      </c>
      <c r="M480" s="39">
        <v>239900</v>
      </c>
      <c r="N480" s="30">
        <v>0.9</v>
      </c>
      <c r="O480" s="33">
        <f t="shared" si="8"/>
        <v>23989.999999999996</v>
      </c>
      <c r="P480" s="28" t="s">
        <v>0</v>
      </c>
    </row>
    <row r="481" spans="1:16" x14ac:dyDescent="0.3">
      <c r="A481" s="32" t="s">
        <v>3213</v>
      </c>
      <c r="B481" s="40">
        <v>46108</v>
      </c>
      <c r="C481" s="40">
        <v>46113</v>
      </c>
      <c r="D481" s="27">
        <v>3319</v>
      </c>
      <c r="E481" s="32">
        <v>327</v>
      </c>
      <c r="F481" s="25">
        <v>2</v>
      </c>
      <c r="G481" s="28">
        <v>1</v>
      </c>
      <c r="H481" s="28">
        <v>81433</v>
      </c>
      <c r="I481" s="28" t="s">
        <v>17</v>
      </c>
      <c r="J481" s="28">
        <v>81268544</v>
      </c>
      <c r="K481" s="38" t="s">
        <v>1625</v>
      </c>
      <c r="L481" t="s">
        <v>1631</v>
      </c>
      <c r="M481" s="39">
        <v>239900</v>
      </c>
      <c r="N481" s="30">
        <v>0.9</v>
      </c>
      <c r="O481" s="33">
        <f t="shared" si="8"/>
        <v>23989.999999999996</v>
      </c>
      <c r="P481" s="28" t="s">
        <v>0</v>
      </c>
    </row>
    <row r="482" spans="1:16" x14ac:dyDescent="0.3">
      <c r="A482" s="32" t="s">
        <v>3213</v>
      </c>
      <c r="B482" s="40">
        <v>46108</v>
      </c>
      <c r="C482" s="40">
        <v>46113</v>
      </c>
      <c r="D482" s="27">
        <v>3319</v>
      </c>
      <c r="E482" s="32">
        <v>327</v>
      </c>
      <c r="F482" s="25">
        <v>2</v>
      </c>
      <c r="G482" s="28">
        <v>1</v>
      </c>
      <c r="H482" s="28">
        <v>81433</v>
      </c>
      <c r="I482" s="28" t="s">
        <v>17</v>
      </c>
      <c r="J482" s="28">
        <v>81268553</v>
      </c>
      <c r="K482" s="38" t="s">
        <v>1625</v>
      </c>
      <c r="L482" t="s">
        <v>1632</v>
      </c>
      <c r="M482" s="39">
        <v>239900</v>
      </c>
      <c r="N482" s="30">
        <v>0.9</v>
      </c>
      <c r="O482" s="33">
        <f t="shared" si="8"/>
        <v>23989.999999999996</v>
      </c>
      <c r="P482" s="28" t="s">
        <v>0</v>
      </c>
    </row>
    <row r="483" spans="1:16" x14ac:dyDescent="0.3">
      <c r="A483" s="32" t="s">
        <v>3213</v>
      </c>
      <c r="B483" s="40">
        <v>46108</v>
      </c>
      <c r="C483" s="40">
        <v>46113</v>
      </c>
      <c r="D483" s="27">
        <v>3319</v>
      </c>
      <c r="E483" s="32">
        <v>327</v>
      </c>
      <c r="F483" s="25">
        <v>2</v>
      </c>
      <c r="G483" s="28">
        <v>1</v>
      </c>
      <c r="H483" s="28">
        <v>81433</v>
      </c>
      <c r="I483" s="28" t="s">
        <v>17</v>
      </c>
      <c r="J483" s="28">
        <v>81268562</v>
      </c>
      <c r="K483" s="38" t="s">
        <v>1625</v>
      </c>
      <c r="L483" t="s">
        <v>1633</v>
      </c>
      <c r="M483" s="39">
        <v>239900</v>
      </c>
      <c r="N483" s="30">
        <v>0.9</v>
      </c>
      <c r="O483" s="33">
        <f t="shared" si="8"/>
        <v>23989.999999999996</v>
      </c>
      <c r="P483" s="28" t="s">
        <v>0</v>
      </c>
    </row>
    <row r="484" spans="1:16" x14ac:dyDescent="0.3">
      <c r="A484" s="32" t="s">
        <v>3213</v>
      </c>
      <c r="B484" s="40">
        <v>46108</v>
      </c>
      <c r="C484" s="40">
        <v>46113</v>
      </c>
      <c r="D484" s="27">
        <v>3319</v>
      </c>
      <c r="E484" s="32">
        <v>327</v>
      </c>
      <c r="F484" s="25">
        <v>2</v>
      </c>
      <c r="G484" s="28">
        <v>1</v>
      </c>
      <c r="H484" s="28">
        <v>81433</v>
      </c>
      <c r="I484" s="28" t="s">
        <v>17</v>
      </c>
      <c r="J484" s="28">
        <v>81268571</v>
      </c>
      <c r="K484" s="38" t="s">
        <v>1625</v>
      </c>
      <c r="L484" t="s">
        <v>1634</v>
      </c>
      <c r="M484" s="39">
        <v>239900</v>
      </c>
      <c r="N484" s="30">
        <v>0.9</v>
      </c>
      <c r="O484" s="33">
        <f t="shared" si="8"/>
        <v>23989.999999999996</v>
      </c>
      <c r="P484" s="28" t="s">
        <v>0</v>
      </c>
    </row>
    <row r="485" spans="1:16" x14ac:dyDescent="0.3">
      <c r="A485" s="32" t="s">
        <v>3213</v>
      </c>
      <c r="B485" s="40">
        <v>46108</v>
      </c>
      <c r="C485" s="40">
        <v>46113</v>
      </c>
      <c r="D485" s="27">
        <v>3319</v>
      </c>
      <c r="E485" s="32">
        <v>327</v>
      </c>
      <c r="F485" s="25">
        <v>2</v>
      </c>
      <c r="G485" s="28">
        <v>1</v>
      </c>
      <c r="H485" s="28">
        <v>81433</v>
      </c>
      <c r="I485" s="28" t="s">
        <v>17</v>
      </c>
      <c r="J485" s="28">
        <v>81268580</v>
      </c>
      <c r="K485" s="38" t="s">
        <v>1625</v>
      </c>
      <c r="L485" t="s">
        <v>1635</v>
      </c>
      <c r="M485" s="39">
        <v>239900</v>
      </c>
      <c r="N485" s="30">
        <v>0.9</v>
      </c>
      <c r="O485" s="33">
        <f t="shared" si="8"/>
        <v>23989.999999999996</v>
      </c>
      <c r="P485" s="28" t="s">
        <v>0</v>
      </c>
    </row>
    <row r="486" spans="1:16" x14ac:dyDescent="0.3">
      <c r="A486" s="32" t="s">
        <v>3213</v>
      </c>
      <c r="B486" s="40">
        <v>46108</v>
      </c>
      <c r="C486" s="40">
        <v>46113</v>
      </c>
      <c r="D486" s="27">
        <v>3319</v>
      </c>
      <c r="E486" s="32">
        <v>327</v>
      </c>
      <c r="F486" s="25">
        <v>2</v>
      </c>
      <c r="G486" s="28">
        <v>1</v>
      </c>
      <c r="H486" s="28">
        <v>81433</v>
      </c>
      <c r="I486" s="28" t="s">
        <v>17</v>
      </c>
      <c r="J486" s="28">
        <v>13833560</v>
      </c>
      <c r="K486" s="38" t="s">
        <v>1659</v>
      </c>
      <c r="L486" t="s">
        <v>1660</v>
      </c>
      <c r="M486" s="39">
        <v>279900</v>
      </c>
      <c r="N486" s="30">
        <v>0.9</v>
      </c>
      <c r="O486" s="33">
        <f t="shared" si="8"/>
        <v>27989.999999999993</v>
      </c>
      <c r="P486" s="28" t="s">
        <v>0</v>
      </c>
    </row>
    <row r="487" spans="1:16" x14ac:dyDescent="0.3">
      <c r="A487" s="32" t="s">
        <v>3213</v>
      </c>
      <c r="B487" s="40">
        <v>46108</v>
      </c>
      <c r="C487" s="40">
        <v>46113</v>
      </c>
      <c r="D487" s="27">
        <v>3319</v>
      </c>
      <c r="E487" s="32">
        <v>327</v>
      </c>
      <c r="F487" s="25">
        <v>2</v>
      </c>
      <c r="G487" s="28">
        <v>1</v>
      </c>
      <c r="H487" s="28">
        <v>81433</v>
      </c>
      <c r="I487" s="28" t="s">
        <v>17</v>
      </c>
      <c r="J487" s="28">
        <v>13833579</v>
      </c>
      <c r="K487" s="38" t="s">
        <v>1659</v>
      </c>
      <c r="L487" t="s">
        <v>1661</v>
      </c>
      <c r="M487" s="39">
        <v>279900</v>
      </c>
      <c r="N487" s="30">
        <v>0.9</v>
      </c>
      <c r="O487" s="33">
        <f t="shared" si="8"/>
        <v>27989.999999999993</v>
      </c>
      <c r="P487" s="28" t="s">
        <v>0</v>
      </c>
    </row>
    <row r="488" spans="1:16" x14ac:dyDescent="0.3">
      <c r="A488" s="32" t="s">
        <v>3213</v>
      </c>
      <c r="B488" s="40">
        <v>46108</v>
      </c>
      <c r="C488" s="40">
        <v>46113</v>
      </c>
      <c r="D488" s="27">
        <v>3319</v>
      </c>
      <c r="E488" s="32">
        <v>327</v>
      </c>
      <c r="F488" s="25">
        <v>2</v>
      </c>
      <c r="G488" s="28">
        <v>1</v>
      </c>
      <c r="H488" s="28">
        <v>81433</v>
      </c>
      <c r="I488" s="28" t="s">
        <v>17</v>
      </c>
      <c r="J488" s="28">
        <v>13833588</v>
      </c>
      <c r="K488" s="38" t="s">
        <v>1659</v>
      </c>
      <c r="L488" t="s">
        <v>1662</v>
      </c>
      <c r="M488" s="39">
        <v>279900</v>
      </c>
      <c r="N488" s="30">
        <v>0.9</v>
      </c>
      <c r="O488" s="33">
        <f t="shared" si="8"/>
        <v>27989.999999999993</v>
      </c>
      <c r="P488" s="28" t="s">
        <v>0</v>
      </c>
    </row>
    <row r="489" spans="1:16" x14ac:dyDescent="0.3">
      <c r="A489" s="32" t="s">
        <v>3213</v>
      </c>
      <c r="B489" s="40">
        <v>46108</v>
      </c>
      <c r="C489" s="40">
        <v>46113</v>
      </c>
      <c r="D489" s="27">
        <v>3319</v>
      </c>
      <c r="E489" s="32">
        <v>327</v>
      </c>
      <c r="F489" s="25">
        <v>2</v>
      </c>
      <c r="G489" s="28">
        <v>1</v>
      </c>
      <c r="H489" s="28">
        <v>81433</v>
      </c>
      <c r="I489" s="28" t="s">
        <v>17</v>
      </c>
      <c r="J489" s="28">
        <v>13833597</v>
      </c>
      <c r="K489" s="38" t="s">
        <v>1659</v>
      </c>
      <c r="L489" t="s">
        <v>1663</v>
      </c>
      <c r="M489" s="39">
        <v>279900</v>
      </c>
      <c r="N489" s="30">
        <v>0.9</v>
      </c>
      <c r="O489" s="33">
        <f t="shared" si="8"/>
        <v>27989.999999999993</v>
      </c>
      <c r="P489" s="28" t="s">
        <v>0</v>
      </c>
    </row>
    <row r="490" spans="1:16" x14ac:dyDescent="0.3">
      <c r="A490" s="32" t="s">
        <v>3213</v>
      </c>
      <c r="B490" s="40">
        <v>46108</v>
      </c>
      <c r="C490" s="40">
        <v>46113</v>
      </c>
      <c r="D490" s="27">
        <v>3319</v>
      </c>
      <c r="E490" s="32">
        <v>327</v>
      </c>
      <c r="F490" s="25">
        <v>2</v>
      </c>
      <c r="G490" s="28">
        <v>1</v>
      </c>
      <c r="H490" s="28">
        <v>81433</v>
      </c>
      <c r="I490" s="28" t="s">
        <v>17</v>
      </c>
      <c r="J490" s="28">
        <v>13833604</v>
      </c>
      <c r="K490" s="38" t="s">
        <v>1659</v>
      </c>
      <c r="L490" t="s">
        <v>1664</v>
      </c>
      <c r="M490" s="39">
        <v>279900</v>
      </c>
      <c r="N490" s="30">
        <v>0.9</v>
      </c>
      <c r="O490" s="33">
        <f t="shared" si="8"/>
        <v>27989.999999999993</v>
      </c>
      <c r="P490" s="28" t="s">
        <v>0</v>
      </c>
    </row>
    <row r="491" spans="1:16" x14ac:dyDescent="0.3">
      <c r="A491" s="32" t="s">
        <v>3213</v>
      </c>
      <c r="B491" s="40">
        <v>46108</v>
      </c>
      <c r="C491" s="40">
        <v>46113</v>
      </c>
      <c r="D491" s="27">
        <v>3319</v>
      </c>
      <c r="E491" s="32">
        <v>327</v>
      </c>
      <c r="F491" s="25">
        <v>2</v>
      </c>
      <c r="G491" s="28">
        <v>1</v>
      </c>
      <c r="H491" s="28">
        <v>81433</v>
      </c>
      <c r="I491" s="28" t="s">
        <v>17</v>
      </c>
      <c r="J491" s="28">
        <v>13833613</v>
      </c>
      <c r="K491" s="38" t="s">
        <v>1659</v>
      </c>
      <c r="L491" t="s">
        <v>1665</v>
      </c>
      <c r="M491" s="39">
        <v>279900</v>
      </c>
      <c r="N491" s="30">
        <v>0.9</v>
      </c>
      <c r="O491" s="33">
        <f t="shared" si="8"/>
        <v>27989.999999999993</v>
      </c>
      <c r="P491" s="28" t="s">
        <v>0</v>
      </c>
    </row>
    <row r="492" spans="1:16" x14ac:dyDescent="0.3">
      <c r="A492" s="32" t="s">
        <v>3213</v>
      </c>
      <c r="B492" s="40">
        <v>46108</v>
      </c>
      <c r="C492" s="40">
        <v>46113</v>
      </c>
      <c r="D492" s="27">
        <v>3319</v>
      </c>
      <c r="E492" s="32">
        <v>327</v>
      </c>
      <c r="F492" s="25">
        <v>2</v>
      </c>
      <c r="G492" s="28">
        <v>1</v>
      </c>
      <c r="H492" s="28">
        <v>81433</v>
      </c>
      <c r="I492" s="28" t="s">
        <v>17</v>
      </c>
      <c r="J492" s="28">
        <v>13833622</v>
      </c>
      <c r="K492" s="38" t="s">
        <v>1659</v>
      </c>
      <c r="L492" t="s">
        <v>1666</v>
      </c>
      <c r="M492" s="39">
        <v>279900</v>
      </c>
      <c r="N492" s="30">
        <v>0.9</v>
      </c>
      <c r="O492" s="33">
        <f t="shared" si="8"/>
        <v>27989.999999999993</v>
      </c>
      <c r="P492" s="28" t="s">
        <v>0</v>
      </c>
    </row>
    <row r="493" spans="1:16" x14ac:dyDescent="0.3">
      <c r="A493" s="32" t="s">
        <v>3213</v>
      </c>
      <c r="B493" s="40">
        <v>46108</v>
      </c>
      <c r="C493" s="40">
        <v>46113</v>
      </c>
      <c r="D493" s="27">
        <v>3319</v>
      </c>
      <c r="E493" s="32">
        <v>327</v>
      </c>
      <c r="F493" s="25">
        <v>2</v>
      </c>
      <c r="G493" s="28">
        <v>1</v>
      </c>
      <c r="H493" s="28">
        <v>81433</v>
      </c>
      <c r="I493" s="28" t="s">
        <v>17</v>
      </c>
      <c r="J493" s="28">
        <v>13833631</v>
      </c>
      <c r="K493" s="38" t="s">
        <v>1659</v>
      </c>
      <c r="L493" t="s">
        <v>1667</v>
      </c>
      <c r="M493" s="39">
        <v>279900</v>
      </c>
      <c r="N493" s="30">
        <v>0.9</v>
      </c>
      <c r="O493" s="33">
        <f t="shared" si="8"/>
        <v>27989.999999999993</v>
      </c>
      <c r="P493" s="28" t="s">
        <v>0</v>
      </c>
    </row>
    <row r="494" spans="1:16" x14ac:dyDescent="0.3">
      <c r="A494" s="32" t="s">
        <v>3213</v>
      </c>
      <c r="B494" s="40">
        <v>46108</v>
      </c>
      <c r="C494" s="40">
        <v>46113</v>
      </c>
      <c r="D494" s="27">
        <v>3319</v>
      </c>
      <c r="E494" s="32">
        <v>327</v>
      </c>
      <c r="F494" s="25">
        <v>2</v>
      </c>
      <c r="G494" s="28">
        <v>1</v>
      </c>
      <c r="H494" s="28">
        <v>81433</v>
      </c>
      <c r="I494" s="28" t="s">
        <v>17</v>
      </c>
      <c r="J494" s="28">
        <v>13833640</v>
      </c>
      <c r="K494" s="38" t="s">
        <v>1659</v>
      </c>
      <c r="L494" t="s">
        <v>1668</v>
      </c>
      <c r="M494" s="39">
        <v>279900</v>
      </c>
      <c r="N494" s="30">
        <v>0.9</v>
      </c>
      <c r="O494" s="33">
        <f t="shared" si="8"/>
        <v>27989.999999999993</v>
      </c>
      <c r="P494" s="28" t="s">
        <v>0</v>
      </c>
    </row>
    <row r="495" spans="1:16" x14ac:dyDescent="0.3">
      <c r="A495" s="32" t="s">
        <v>3213</v>
      </c>
      <c r="B495" s="40">
        <v>46108</v>
      </c>
      <c r="C495" s="40">
        <v>46113</v>
      </c>
      <c r="D495" s="27">
        <v>3319</v>
      </c>
      <c r="E495" s="32">
        <v>327</v>
      </c>
      <c r="F495" s="25">
        <v>2</v>
      </c>
      <c r="G495" s="28">
        <v>1</v>
      </c>
      <c r="H495" s="28">
        <v>81433</v>
      </c>
      <c r="I495" s="28" t="s">
        <v>17</v>
      </c>
      <c r="J495" s="28">
        <v>13833659</v>
      </c>
      <c r="K495" s="38" t="s">
        <v>1659</v>
      </c>
      <c r="L495" t="s">
        <v>1669</v>
      </c>
      <c r="M495" s="39">
        <v>279900</v>
      </c>
      <c r="N495" s="30">
        <v>0.9</v>
      </c>
      <c r="O495" s="33">
        <f t="shared" si="8"/>
        <v>27989.999999999993</v>
      </c>
      <c r="P495" s="28" t="s">
        <v>0</v>
      </c>
    </row>
    <row r="496" spans="1:16" x14ac:dyDescent="0.3">
      <c r="A496" s="32" t="s">
        <v>3213</v>
      </c>
      <c r="B496" s="40">
        <v>46108</v>
      </c>
      <c r="C496" s="40">
        <v>46113</v>
      </c>
      <c r="D496" s="27">
        <v>3319</v>
      </c>
      <c r="E496" s="32">
        <v>327</v>
      </c>
      <c r="F496" s="25">
        <v>2</v>
      </c>
      <c r="G496" s="28">
        <v>1</v>
      </c>
      <c r="H496" s="28">
        <v>81778</v>
      </c>
      <c r="I496" s="28" t="s">
        <v>17</v>
      </c>
      <c r="J496" s="28">
        <v>82228237</v>
      </c>
      <c r="K496" s="38" t="s">
        <v>1670</v>
      </c>
      <c r="L496" t="s">
        <v>1676</v>
      </c>
      <c r="M496" s="39">
        <v>279900</v>
      </c>
      <c r="N496" s="30">
        <v>0.9</v>
      </c>
      <c r="O496" s="33">
        <f t="shared" si="8"/>
        <v>27989.999999999993</v>
      </c>
      <c r="P496" s="28" t="s">
        <v>0</v>
      </c>
    </row>
    <row r="497" spans="1:16" x14ac:dyDescent="0.3">
      <c r="A497" s="32" t="s">
        <v>3213</v>
      </c>
      <c r="B497" s="40">
        <v>46108</v>
      </c>
      <c r="C497" s="40">
        <v>46113</v>
      </c>
      <c r="D497" s="27">
        <v>3319</v>
      </c>
      <c r="E497" s="32">
        <v>327</v>
      </c>
      <c r="F497" s="25">
        <v>2</v>
      </c>
      <c r="G497" s="28">
        <v>1</v>
      </c>
      <c r="H497" s="28">
        <v>81778</v>
      </c>
      <c r="I497" s="28" t="s">
        <v>17</v>
      </c>
      <c r="J497" s="28">
        <v>82228246</v>
      </c>
      <c r="K497" s="38" t="s">
        <v>1670</v>
      </c>
      <c r="L497" t="s">
        <v>1677</v>
      </c>
      <c r="M497" s="39">
        <v>279900</v>
      </c>
      <c r="N497" s="30">
        <v>0.9</v>
      </c>
      <c r="O497" s="33">
        <f t="shared" si="8"/>
        <v>27989.999999999993</v>
      </c>
      <c r="P497" s="28" t="s">
        <v>0</v>
      </c>
    </row>
    <row r="498" spans="1:16" x14ac:dyDescent="0.3">
      <c r="A498" s="32" t="s">
        <v>3213</v>
      </c>
      <c r="B498" s="40">
        <v>46108</v>
      </c>
      <c r="C498" s="40">
        <v>46113</v>
      </c>
      <c r="D498" s="27">
        <v>3319</v>
      </c>
      <c r="E498" s="32">
        <v>327</v>
      </c>
      <c r="F498" s="25">
        <v>2</v>
      </c>
      <c r="G498" s="28">
        <v>1</v>
      </c>
      <c r="H498" s="28">
        <v>81778</v>
      </c>
      <c r="I498" s="28" t="s">
        <v>17</v>
      </c>
      <c r="J498" s="28">
        <v>82228255</v>
      </c>
      <c r="K498" s="38" t="s">
        <v>1670</v>
      </c>
      <c r="L498" t="s">
        <v>1678</v>
      </c>
      <c r="M498" s="39">
        <v>279900</v>
      </c>
      <c r="N498" s="30">
        <v>0.9</v>
      </c>
      <c r="O498" s="33">
        <f t="shared" si="8"/>
        <v>27989.999999999993</v>
      </c>
      <c r="P498" s="28" t="s">
        <v>0</v>
      </c>
    </row>
    <row r="499" spans="1:16" x14ac:dyDescent="0.3">
      <c r="A499" s="32" t="s">
        <v>3213</v>
      </c>
      <c r="B499" s="40">
        <v>46108</v>
      </c>
      <c r="C499" s="40">
        <v>46113</v>
      </c>
      <c r="D499" s="27">
        <v>3319</v>
      </c>
      <c r="E499" s="32">
        <v>327</v>
      </c>
      <c r="F499" s="25">
        <v>2</v>
      </c>
      <c r="G499" s="28">
        <v>1</v>
      </c>
      <c r="H499" s="28">
        <v>81778</v>
      </c>
      <c r="I499" s="28" t="s">
        <v>17</v>
      </c>
      <c r="J499" s="28">
        <v>82228264</v>
      </c>
      <c r="K499" s="38" t="s">
        <v>1670</v>
      </c>
      <c r="L499" t="s">
        <v>1679</v>
      </c>
      <c r="M499" s="39">
        <v>279900</v>
      </c>
      <c r="N499" s="30">
        <v>0.9</v>
      </c>
      <c r="O499" s="33">
        <f t="shared" si="8"/>
        <v>27989.999999999993</v>
      </c>
      <c r="P499" s="28" t="s">
        <v>0</v>
      </c>
    </row>
    <row r="500" spans="1:16" x14ac:dyDescent="0.3">
      <c r="A500" s="32" t="s">
        <v>3213</v>
      </c>
      <c r="B500" s="40">
        <v>46108</v>
      </c>
      <c r="C500" s="40">
        <v>46113</v>
      </c>
      <c r="D500" s="27">
        <v>3319</v>
      </c>
      <c r="E500" s="32">
        <v>327</v>
      </c>
      <c r="F500" s="25">
        <v>2</v>
      </c>
      <c r="G500" s="28">
        <v>1</v>
      </c>
      <c r="H500" s="28">
        <v>81778</v>
      </c>
      <c r="I500" s="28" t="s">
        <v>17</v>
      </c>
      <c r="J500" s="28">
        <v>82228273</v>
      </c>
      <c r="K500" s="38" t="s">
        <v>1670</v>
      </c>
      <c r="L500" t="s">
        <v>1680</v>
      </c>
      <c r="M500" s="39">
        <v>279900</v>
      </c>
      <c r="N500" s="30">
        <v>0.9</v>
      </c>
      <c r="O500" s="33">
        <f t="shared" si="8"/>
        <v>27989.999999999993</v>
      </c>
      <c r="P500" s="28" t="s">
        <v>0</v>
      </c>
    </row>
    <row r="501" spans="1:16" x14ac:dyDescent="0.3">
      <c r="A501" s="32" t="s">
        <v>3213</v>
      </c>
      <c r="B501" s="26">
        <v>46108</v>
      </c>
      <c r="C501" s="26">
        <v>46113</v>
      </c>
      <c r="D501" s="27">
        <v>3319</v>
      </c>
      <c r="E501" s="6">
        <v>327</v>
      </c>
      <c r="F501" s="25">
        <v>2</v>
      </c>
      <c r="G501" s="28">
        <v>1</v>
      </c>
      <c r="H501" s="28">
        <v>81433</v>
      </c>
      <c r="I501" s="28" t="s">
        <v>17</v>
      </c>
      <c r="J501" s="28">
        <v>13838841</v>
      </c>
      <c r="K501" s="38" t="s">
        <v>31</v>
      </c>
      <c r="L501" t="s">
        <v>1708</v>
      </c>
      <c r="M501" s="39">
        <v>279900</v>
      </c>
      <c r="N501" s="30">
        <v>0.9</v>
      </c>
      <c r="O501" s="33">
        <f t="shared" si="8"/>
        <v>27989.999999999993</v>
      </c>
      <c r="P501" s="28" t="s">
        <v>0</v>
      </c>
    </row>
    <row r="502" spans="1:16" x14ac:dyDescent="0.3">
      <c r="A502" s="32" t="s">
        <v>3213</v>
      </c>
      <c r="B502" s="26">
        <v>46108</v>
      </c>
      <c r="C502" s="26">
        <v>46113</v>
      </c>
      <c r="D502" s="27">
        <v>3319</v>
      </c>
      <c r="E502" s="6">
        <v>327</v>
      </c>
      <c r="F502" s="25">
        <v>2</v>
      </c>
      <c r="G502" s="28">
        <v>1</v>
      </c>
      <c r="H502" s="28">
        <v>81433</v>
      </c>
      <c r="I502" s="28" t="s">
        <v>17</v>
      </c>
      <c r="J502" s="28">
        <v>13838869</v>
      </c>
      <c r="K502" s="38" t="s">
        <v>31</v>
      </c>
      <c r="L502" t="s">
        <v>1710</v>
      </c>
      <c r="M502" s="39">
        <v>279900</v>
      </c>
      <c r="N502" s="30">
        <v>0.9</v>
      </c>
      <c r="O502" s="33">
        <f t="shared" si="8"/>
        <v>27989.999999999993</v>
      </c>
      <c r="P502" s="28" t="s">
        <v>0</v>
      </c>
    </row>
    <row r="503" spans="1:16" x14ac:dyDescent="0.3">
      <c r="A503" s="32" t="s">
        <v>3213</v>
      </c>
      <c r="B503" s="26">
        <v>46108</v>
      </c>
      <c r="C503" s="26">
        <v>46113</v>
      </c>
      <c r="D503" s="27">
        <v>3319</v>
      </c>
      <c r="E503" s="6">
        <v>327</v>
      </c>
      <c r="F503" s="25">
        <v>2</v>
      </c>
      <c r="G503" s="28">
        <v>1</v>
      </c>
      <c r="H503" s="28">
        <v>81433</v>
      </c>
      <c r="I503" s="28" t="s">
        <v>17</v>
      </c>
      <c r="J503" s="28">
        <v>13838878</v>
      </c>
      <c r="K503" s="38" t="s">
        <v>31</v>
      </c>
      <c r="L503" t="s">
        <v>1711</v>
      </c>
      <c r="M503" s="39">
        <v>279900</v>
      </c>
      <c r="N503" s="30">
        <v>0.9</v>
      </c>
      <c r="O503" s="33">
        <f t="shared" si="8"/>
        <v>27989.999999999993</v>
      </c>
      <c r="P503" s="28" t="s">
        <v>0</v>
      </c>
    </row>
    <row r="504" spans="1:16" x14ac:dyDescent="0.3">
      <c r="A504" s="32" t="s">
        <v>3213</v>
      </c>
      <c r="B504" s="26">
        <v>46108</v>
      </c>
      <c r="C504" s="26">
        <v>46113</v>
      </c>
      <c r="D504" s="27">
        <v>3319</v>
      </c>
      <c r="E504" s="6">
        <v>327</v>
      </c>
      <c r="F504" s="25">
        <v>2</v>
      </c>
      <c r="G504" s="28">
        <v>1</v>
      </c>
      <c r="H504" s="28">
        <v>81778</v>
      </c>
      <c r="I504" s="28" t="s">
        <v>17</v>
      </c>
      <c r="J504" s="28">
        <v>13838234</v>
      </c>
      <c r="K504" s="38" t="s">
        <v>19</v>
      </c>
      <c r="L504" t="s">
        <v>20</v>
      </c>
      <c r="M504" s="39">
        <v>259900</v>
      </c>
      <c r="N504" s="30">
        <v>0.9</v>
      </c>
      <c r="O504" s="33">
        <f t="shared" si="8"/>
        <v>25989.999999999993</v>
      </c>
      <c r="P504" s="28" t="s">
        <v>0</v>
      </c>
    </row>
    <row r="505" spans="1:16" x14ac:dyDescent="0.3">
      <c r="A505" s="32" t="s">
        <v>3213</v>
      </c>
      <c r="B505" s="26">
        <v>46108</v>
      </c>
      <c r="C505" s="26">
        <v>46113</v>
      </c>
      <c r="D505" s="27">
        <v>3319</v>
      </c>
      <c r="E505" s="6">
        <v>327</v>
      </c>
      <c r="F505" s="25">
        <v>2</v>
      </c>
      <c r="G505" s="28">
        <v>1</v>
      </c>
      <c r="H505" s="28">
        <v>81778</v>
      </c>
      <c r="I505" s="28" t="s">
        <v>17</v>
      </c>
      <c r="J505" s="28">
        <v>13838243</v>
      </c>
      <c r="K505" s="38" t="s">
        <v>19</v>
      </c>
      <c r="L505" t="s">
        <v>21</v>
      </c>
      <c r="M505" s="39">
        <v>259900</v>
      </c>
      <c r="N505" s="30">
        <v>0.9</v>
      </c>
      <c r="O505" s="33">
        <f t="shared" si="8"/>
        <v>25989.999999999993</v>
      </c>
      <c r="P505" s="28" t="s">
        <v>0</v>
      </c>
    </row>
    <row r="506" spans="1:16" x14ac:dyDescent="0.3">
      <c r="A506" s="32" t="s">
        <v>3213</v>
      </c>
      <c r="B506" s="26">
        <v>46108</v>
      </c>
      <c r="C506" s="26">
        <v>46113</v>
      </c>
      <c r="D506" s="27">
        <v>3319</v>
      </c>
      <c r="E506" s="6">
        <v>327</v>
      </c>
      <c r="F506" s="25">
        <v>2</v>
      </c>
      <c r="G506" s="28">
        <v>1</v>
      </c>
      <c r="H506" s="28">
        <v>81778</v>
      </c>
      <c r="I506" s="28" t="s">
        <v>17</v>
      </c>
      <c r="J506" s="28">
        <v>13838252</v>
      </c>
      <c r="K506" s="38" t="s">
        <v>19</v>
      </c>
      <c r="L506" t="s">
        <v>22</v>
      </c>
      <c r="M506" s="39">
        <v>259900</v>
      </c>
      <c r="N506" s="30">
        <v>0.9</v>
      </c>
      <c r="O506" s="33">
        <f t="shared" si="8"/>
        <v>25989.999999999993</v>
      </c>
      <c r="P506" s="28" t="s">
        <v>0</v>
      </c>
    </row>
    <row r="507" spans="1:16" x14ac:dyDescent="0.3">
      <c r="A507" s="32" t="s">
        <v>3213</v>
      </c>
      <c r="B507" s="26">
        <v>46108</v>
      </c>
      <c r="C507" s="26">
        <v>46113</v>
      </c>
      <c r="D507" s="27">
        <v>3319</v>
      </c>
      <c r="E507" s="6">
        <v>327</v>
      </c>
      <c r="F507" s="25">
        <v>2</v>
      </c>
      <c r="G507" s="28">
        <v>1</v>
      </c>
      <c r="H507" s="28">
        <v>81778</v>
      </c>
      <c r="I507" s="28" t="s">
        <v>17</v>
      </c>
      <c r="J507" s="28">
        <v>13838261</v>
      </c>
      <c r="K507" s="38" t="s">
        <v>19</v>
      </c>
      <c r="L507" t="s">
        <v>23</v>
      </c>
      <c r="M507" s="39">
        <v>259900</v>
      </c>
      <c r="N507" s="30">
        <v>0.9</v>
      </c>
      <c r="O507" s="33">
        <f t="shared" si="8"/>
        <v>25989.999999999993</v>
      </c>
      <c r="P507" s="28" t="s">
        <v>0</v>
      </c>
    </row>
    <row r="508" spans="1:16" x14ac:dyDescent="0.3">
      <c r="A508" s="32" t="s">
        <v>3213</v>
      </c>
      <c r="B508" s="26">
        <v>46108</v>
      </c>
      <c r="C508" s="26">
        <v>46113</v>
      </c>
      <c r="D508" s="27">
        <v>3319</v>
      </c>
      <c r="E508" s="6">
        <v>327</v>
      </c>
      <c r="F508" s="25">
        <v>2</v>
      </c>
      <c r="G508" s="28">
        <v>1</v>
      </c>
      <c r="H508" s="28">
        <v>81778</v>
      </c>
      <c r="I508" s="28" t="s">
        <v>17</v>
      </c>
      <c r="J508" s="28">
        <v>13838289</v>
      </c>
      <c r="K508" s="38" t="s">
        <v>19</v>
      </c>
      <c r="L508" t="s">
        <v>25</v>
      </c>
      <c r="M508" s="39">
        <v>259900</v>
      </c>
      <c r="N508" s="30">
        <v>0.9</v>
      </c>
      <c r="O508" s="33">
        <f t="shared" si="8"/>
        <v>25989.999999999993</v>
      </c>
      <c r="P508" s="28" t="s">
        <v>0</v>
      </c>
    </row>
    <row r="509" spans="1:16" x14ac:dyDescent="0.3">
      <c r="A509" s="32" t="s">
        <v>3213</v>
      </c>
      <c r="B509" s="26">
        <v>46108</v>
      </c>
      <c r="C509" s="26">
        <v>46113</v>
      </c>
      <c r="D509" s="27">
        <v>3319</v>
      </c>
      <c r="E509" s="6">
        <v>327</v>
      </c>
      <c r="F509" s="25">
        <v>2</v>
      </c>
      <c r="G509" s="28">
        <v>1</v>
      </c>
      <c r="H509" s="28">
        <v>81778</v>
      </c>
      <c r="I509" s="28" t="s">
        <v>17</v>
      </c>
      <c r="J509" s="28">
        <v>13838298</v>
      </c>
      <c r="K509" s="38" t="s">
        <v>19</v>
      </c>
      <c r="L509" t="s">
        <v>26</v>
      </c>
      <c r="M509" s="39">
        <v>259900</v>
      </c>
      <c r="N509" s="30">
        <v>0.9</v>
      </c>
      <c r="O509" s="33">
        <f t="shared" si="8"/>
        <v>25989.999999999993</v>
      </c>
      <c r="P509" s="28" t="s">
        <v>0</v>
      </c>
    </row>
    <row r="510" spans="1:16" x14ac:dyDescent="0.3">
      <c r="A510" s="32" t="s">
        <v>3213</v>
      </c>
      <c r="B510" s="26">
        <v>46108</v>
      </c>
      <c r="C510" s="26">
        <v>46113</v>
      </c>
      <c r="D510" s="27">
        <v>3319</v>
      </c>
      <c r="E510" s="6">
        <v>327</v>
      </c>
      <c r="F510" s="25">
        <v>2</v>
      </c>
      <c r="G510" s="28">
        <v>1</v>
      </c>
      <c r="H510" s="28">
        <v>81778</v>
      </c>
      <c r="I510" s="28" t="s">
        <v>17</v>
      </c>
      <c r="J510" s="28">
        <v>13838305</v>
      </c>
      <c r="K510" s="38" t="s">
        <v>19</v>
      </c>
      <c r="L510" t="s">
        <v>27</v>
      </c>
      <c r="M510" s="39">
        <v>259900</v>
      </c>
      <c r="N510" s="30">
        <v>0.9</v>
      </c>
      <c r="O510" s="33">
        <f t="shared" si="8"/>
        <v>25989.999999999993</v>
      </c>
      <c r="P510" s="28" t="s">
        <v>0</v>
      </c>
    </row>
    <row r="511" spans="1:16" x14ac:dyDescent="0.3">
      <c r="A511" s="32" t="s">
        <v>3213</v>
      </c>
      <c r="B511" s="26">
        <v>46108</v>
      </c>
      <c r="C511" s="26">
        <v>46113</v>
      </c>
      <c r="D511" s="27">
        <v>3319</v>
      </c>
      <c r="E511" s="6">
        <v>327</v>
      </c>
      <c r="F511" s="25">
        <v>2</v>
      </c>
      <c r="G511" s="28">
        <v>1</v>
      </c>
      <c r="H511" s="28">
        <v>81778</v>
      </c>
      <c r="I511" s="28" t="s">
        <v>17</v>
      </c>
      <c r="J511" s="28">
        <v>13838314</v>
      </c>
      <c r="K511" s="38" t="s">
        <v>19</v>
      </c>
      <c r="L511" t="s">
        <v>28</v>
      </c>
      <c r="M511" s="39">
        <v>259900</v>
      </c>
      <c r="N511" s="30">
        <v>0.9</v>
      </c>
      <c r="O511" s="33">
        <f t="shared" si="8"/>
        <v>25989.999999999993</v>
      </c>
      <c r="P511" s="28" t="s">
        <v>0</v>
      </c>
    </row>
    <row r="512" spans="1:16" x14ac:dyDescent="0.3">
      <c r="A512" s="32" t="s">
        <v>3213</v>
      </c>
      <c r="B512" s="26">
        <v>46108</v>
      </c>
      <c r="C512" s="26">
        <v>46113</v>
      </c>
      <c r="D512" s="27">
        <v>3319</v>
      </c>
      <c r="E512" s="6">
        <v>327</v>
      </c>
      <c r="F512" s="25">
        <v>2</v>
      </c>
      <c r="G512" s="28">
        <v>1</v>
      </c>
      <c r="H512" s="28">
        <v>81778</v>
      </c>
      <c r="I512" s="28" t="s">
        <v>17</v>
      </c>
      <c r="J512" s="28">
        <v>13838323</v>
      </c>
      <c r="K512" s="38" t="s">
        <v>19</v>
      </c>
      <c r="L512" t="s">
        <v>29</v>
      </c>
      <c r="M512" s="39">
        <v>259900</v>
      </c>
      <c r="N512" s="30">
        <v>0.9</v>
      </c>
      <c r="O512" s="33">
        <f t="shared" si="8"/>
        <v>25989.999999999993</v>
      </c>
      <c r="P512" s="28" t="s">
        <v>0</v>
      </c>
    </row>
    <row r="513" spans="1:16" x14ac:dyDescent="0.3">
      <c r="A513" s="32" t="s">
        <v>3213</v>
      </c>
      <c r="B513" s="26">
        <v>46108</v>
      </c>
      <c r="C513" s="26">
        <v>46113</v>
      </c>
      <c r="D513" s="27">
        <v>3319</v>
      </c>
      <c r="E513" s="6">
        <v>327</v>
      </c>
      <c r="F513" s="25">
        <v>2</v>
      </c>
      <c r="G513" s="28">
        <v>1</v>
      </c>
      <c r="H513" s="28">
        <v>81433</v>
      </c>
      <c r="I513" s="28" t="s">
        <v>17</v>
      </c>
      <c r="J513" s="28">
        <v>82228880</v>
      </c>
      <c r="K513" s="38" t="s">
        <v>1681</v>
      </c>
      <c r="L513" t="s">
        <v>1682</v>
      </c>
      <c r="M513" s="39">
        <v>279900</v>
      </c>
      <c r="N513" s="30">
        <v>0.9</v>
      </c>
      <c r="O513" s="33">
        <f t="shared" si="8"/>
        <v>27989.999999999993</v>
      </c>
      <c r="P513" s="28" t="s">
        <v>0</v>
      </c>
    </row>
    <row r="514" spans="1:16" x14ac:dyDescent="0.3">
      <c r="A514" s="32" t="s">
        <v>3213</v>
      </c>
      <c r="B514" s="26">
        <v>46108</v>
      </c>
      <c r="C514" s="26">
        <v>46113</v>
      </c>
      <c r="D514" s="27">
        <v>3319</v>
      </c>
      <c r="E514" s="6">
        <v>327</v>
      </c>
      <c r="F514" s="25">
        <v>2</v>
      </c>
      <c r="G514" s="28">
        <v>1</v>
      </c>
      <c r="H514" s="28">
        <v>81433</v>
      </c>
      <c r="I514" s="28" t="s">
        <v>17</v>
      </c>
      <c r="J514" s="28">
        <v>82228899</v>
      </c>
      <c r="K514" s="38" t="s">
        <v>1681</v>
      </c>
      <c r="L514" t="s">
        <v>1683</v>
      </c>
      <c r="M514" s="39">
        <v>279900</v>
      </c>
      <c r="N514" s="30">
        <v>0.9</v>
      </c>
      <c r="O514" s="33">
        <f t="shared" si="8"/>
        <v>27989.999999999993</v>
      </c>
      <c r="P514" s="28" t="s">
        <v>0</v>
      </c>
    </row>
    <row r="515" spans="1:16" x14ac:dyDescent="0.3">
      <c r="A515" s="32" t="s">
        <v>3213</v>
      </c>
      <c r="B515" s="26">
        <v>46108</v>
      </c>
      <c r="C515" s="26">
        <v>46113</v>
      </c>
      <c r="D515" s="27">
        <v>3319</v>
      </c>
      <c r="E515" s="6">
        <v>327</v>
      </c>
      <c r="F515" s="25">
        <v>2</v>
      </c>
      <c r="G515" s="28">
        <v>1</v>
      </c>
      <c r="H515" s="28">
        <v>81433</v>
      </c>
      <c r="I515" s="28" t="s">
        <v>17</v>
      </c>
      <c r="J515" s="28">
        <v>82228915</v>
      </c>
      <c r="K515" s="38" t="s">
        <v>1681</v>
      </c>
      <c r="L515" t="s">
        <v>1685</v>
      </c>
      <c r="M515" s="39">
        <v>279900</v>
      </c>
      <c r="N515" s="30">
        <v>0.9</v>
      </c>
      <c r="O515" s="33">
        <f t="shared" si="8"/>
        <v>27989.999999999993</v>
      </c>
      <c r="P515" s="28" t="s">
        <v>0</v>
      </c>
    </row>
    <row r="516" spans="1:16" x14ac:dyDescent="0.3">
      <c r="A516" s="32" t="s">
        <v>3213</v>
      </c>
      <c r="B516" s="26">
        <v>46108</v>
      </c>
      <c r="C516" s="26">
        <v>46113</v>
      </c>
      <c r="D516" s="27">
        <v>3319</v>
      </c>
      <c r="E516" s="6">
        <v>327</v>
      </c>
      <c r="F516" s="25">
        <v>2</v>
      </c>
      <c r="G516" s="28">
        <v>1</v>
      </c>
      <c r="H516" s="28">
        <v>81433</v>
      </c>
      <c r="I516" s="28" t="s">
        <v>17</v>
      </c>
      <c r="J516" s="28">
        <v>82228924</v>
      </c>
      <c r="K516" s="38" t="s">
        <v>1681</v>
      </c>
      <c r="L516" t="s">
        <v>1686</v>
      </c>
      <c r="M516" s="39">
        <v>279900</v>
      </c>
      <c r="N516" s="30">
        <v>0.9</v>
      </c>
      <c r="O516" s="33">
        <f t="shared" si="8"/>
        <v>27989.999999999993</v>
      </c>
      <c r="P516" s="28" t="s">
        <v>0</v>
      </c>
    </row>
    <row r="517" spans="1:16" x14ac:dyDescent="0.3">
      <c r="A517" s="32" t="s">
        <v>3213</v>
      </c>
      <c r="B517" s="26">
        <v>46108</v>
      </c>
      <c r="C517" s="26">
        <v>46113</v>
      </c>
      <c r="D517" s="27">
        <v>3319</v>
      </c>
      <c r="E517" s="6">
        <v>327</v>
      </c>
      <c r="F517" s="25">
        <v>2</v>
      </c>
      <c r="G517" s="28">
        <v>1</v>
      </c>
      <c r="H517" s="28">
        <v>81433</v>
      </c>
      <c r="I517" s="28" t="s">
        <v>17</v>
      </c>
      <c r="J517" s="28">
        <v>82228933</v>
      </c>
      <c r="K517" s="38" t="s">
        <v>1681</v>
      </c>
      <c r="L517" t="s">
        <v>1687</v>
      </c>
      <c r="M517" s="39">
        <v>279900</v>
      </c>
      <c r="N517" s="30">
        <v>0.9</v>
      </c>
      <c r="O517" s="33">
        <f t="shared" si="8"/>
        <v>27989.999999999993</v>
      </c>
      <c r="P517" s="28" t="s">
        <v>0</v>
      </c>
    </row>
    <row r="518" spans="1:16" x14ac:dyDescent="0.3">
      <c r="A518" s="32" t="s">
        <v>3213</v>
      </c>
      <c r="B518" s="26">
        <v>46108</v>
      </c>
      <c r="C518" s="26">
        <v>46113</v>
      </c>
      <c r="D518" s="27">
        <v>3319</v>
      </c>
      <c r="E518" s="6">
        <v>327</v>
      </c>
      <c r="F518" s="25">
        <v>2</v>
      </c>
      <c r="G518" s="28">
        <v>1</v>
      </c>
      <c r="H518" s="28">
        <v>81433</v>
      </c>
      <c r="I518" s="28" t="s">
        <v>17</v>
      </c>
      <c r="J518" s="28">
        <v>82228942</v>
      </c>
      <c r="K518" s="38" t="s">
        <v>1681</v>
      </c>
      <c r="L518" t="s">
        <v>1688</v>
      </c>
      <c r="M518" s="39">
        <v>279900</v>
      </c>
      <c r="N518" s="30">
        <v>0.9</v>
      </c>
      <c r="O518" s="33">
        <f t="shared" si="8"/>
        <v>27989.999999999993</v>
      </c>
      <c r="P518" s="28" t="s">
        <v>0</v>
      </c>
    </row>
    <row r="519" spans="1:16" x14ac:dyDescent="0.3">
      <c r="A519" s="32" t="s">
        <v>3213</v>
      </c>
      <c r="B519" s="26">
        <v>46108</v>
      </c>
      <c r="C519" s="26">
        <v>46113</v>
      </c>
      <c r="D519" s="27">
        <v>3319</v>
      </c>
      <c r="E519" s="6">
        <v>327</v>
      </c>
      <c r="F519" s="25">
        <v>2</v>
      </c>
      <c r="G519" s="28">
        <v>1</v>
      </c>
      <c r="H519" s="28">
        <v>81433</v>
      </c>
      <c r="I519" s="28" t="s">
        <v>17</v>
      </c>
      <c r="J519" s="28">
        <v>82228951</v>
      </c>
      <c r="K519" s="38" t="s">
        <v>1681</v>
      </c>
      <c r="L519" t="s">
        <v>1689</v>
      </c>
      <c r="M519" s="39">
        <v>279900</v>
      </c>
      <c r="N519" s="30">
        <v>0.9</v>
      </c>
      <c r="O519" s="33">
        <f t="shared" si="8"/>
        <v>27989.999999999993</v>
      </c>
      <c r="P519" s="28" t="s">
        <v>0</v>
      </c>
    </row>
    <row r="520" spans="1:16" x14ac:dyDescent="0.3">
      <c r="A520" s="32" t="s">
        <v>3213</v>
      </c>
      <c r="B520" s="26">
        <v>46108</v>
      </c>
      <c r="C520" s="26">
        <v>46113</v>
      </c>
      <c r="D520" s="27">
        <v>3319</v>
      </c>
      <c r="E520" s="6">
        <v>327</v>
      </c>
      <c r="F520" s="25">
        <v>2</v>
      </c>
      <c r="G520" s="28">
        <v>1</v>
      </c>
      <c r="H520" s="28">
        <v>81433</v>
      </c>
      <c r="I520" s="28" t="s">
        <v>17</v>
      </c>
      <c r="J520" s="28">
        <v>82228960</v>
      </c>
      <c r="K520" s="38" t="s">
        <v>1681</v>
      </c>
      <c r="L520" t="s">
        <v>1690</v>
      </c>
      <c r="M520" s="39">
        <v>279900</v>
      </c>
      <c r="N520" s="30">
        <v>0.9</v>
      </c>
      <c r="O520" s="33">
        <f t="shared" si="8"/>
        <v>27989.999999999993</v>
      </c>
      <c r="P520" s="28" t="s">
        <v>0</v>
      </c>
    </row>
    <row r="521" spans="1:16" x14ac:dyDescent="0.3">
      <c r="A521" s="32" t="s">
        <v>3213</v>
      </c>
      <c r="B521" s="26">
        <v>46108</v>
      </c>
      <c r="C521" s="26">
        <v>46113</v>
      </c>
      <c r="D521" s="27">
        <v>3319</v>
      </c>
      <c r="E521" s="6">
        <v>327</v>
      </c>
      <c r="F521" s="25">
        <v>2</v>
      </c>
      <c r="G521" s="28">
        <v>1</v>
      </c>
      <c r="H521" s="28">
        <v>81433</v>
      </c>
      <c r="I521" s="28" t="s">
        <v>17</v>
      </c>
      <c r="J521" s="28">
        <v>82228979</v>
      </c>
      <c r="K521" s="38" t="s">
        <v>1681</v>
      </c>
      <c r="L521" t="s">
        <v>1691</v>
      </c>
      <c r="M521" s="39">
        <v>279900</v>
      </c>
      <c r="N521" s="30">
        <v>0.9</v>
      </c>
      <c r="O521" s="33">
        <f t="shared" si="8"/>
        <v>27989.999999999993</v>
      </c>
      <c r="P521" s="28" t="s">
        <v>0</v>
      </c>
    </row>
    <row r="522" spans="1:16" x14ac:dyDescent="0.3">
      <c r="A522" s="32" t="s">
        <v>3213</v>
      </c>
      <c r="B522" s="26">
        <v>46108</v>
      </c>
      <c r="C522" s="26">
        <v>46113</v>
      </c>
      <c r="D522" s="27">
        <v>3319</v>
      </c>
      <c r="E522" s="6">
        <v>327</v>
      </c>
      <c r="F522" s="25">
        <v>2</v>
      </c>
      <c r="G522" s="28">
        <v>1</v>
      </c>
      <c r="H522" s="28">
        <v>81778</v>
      </c>
      <c r="I522" s="28" t="s">
        <v>17</v>
      </c>
      <c r="J522" s="28">
        <v>13838190</v>
      </c>
      <c r="K522" s="38" t="s">
        <v>1838</v>
      </c>
      <c r="L522" t="s">
        <v>1840</v>
      </c>
      <c r="M522" s="39">
        <v>279900</v>
      </c>
      <c r="N522" s="30">
        <v>0.9</v>
      </c>
      <c r="O522" s="33">
        <f t="shared" si="8"/>
        <v>27989.999999999993</v>
      </c>
      <c r="P522" s="28" t="s">
        <v>0</v>
      </c>
    </row>
    <row r="523" spans="1:16" x14ac:dyDescent="0.3">
      <c r="A523" s="32" t="s">
        <v>3213</v>
      </c>
      <c r="B523" s="26">
        <v>46108</v>
      </c>
      <c r="C523" s="26">
        <v>46113</v>
      </c>
      <c r="D523" s="27">
        <v>3319</v>
      </c>
      <c r="E523" s="6">
        <v>327</v>
      </c>
      <c r="F523" s="25">
        <v>2</v>
      </c>
      <c r="G523" s="28">
        <v>1</v>
      </c>
      <c r="H523" s="28">
        <v>81778</v>
      </c>
      <c r="I523" s="28" t="s">
        <v>17</v>
      </c>
      <c r="J523" s="28">
        <v>13838216</v>
      </c>
      <c r="K523" s="38" t="s">
        <v>1838</v>
      </c>
      <c r="L523" t="s">
        <v>1842</v>
      </c>
      <c r="M523" s="39">
        <v>279900</v>
      </c>
      <c r="N523" s="30">
        <v>0.9</v>
      </c>
      <c r="O523" s="33">
        <f t="shared" si="8"/>
        <v>27989.999999999993</v>
      </c>
      <c r="P523" s="28" t="s">
        <v>0</v>
      </c>
    </row>
    <row r="524" spans="1:16" x14ac:dyDescent="0.3">
      <c r="A524" s="32" t="s">
        <v>3213</v>
      </c>
      <c r="B524" s="26">
        <v>46108</v>
      </c>
      <c r="C524" s="26">
        <v>46113</v>
      </c>
      <c r="D524" s="27">
        <v>3319</v>
      </c>
      <c r="E524" s="6">
        <v>327</v>
      </c>
      <c r="F524" s="25">
        <v>2</v>
      </c>
      <c r="G524" s="28">
        <v>1</v>
      </c>
      <c r="H524" s="28">
        <v>81778</v>
      </c>
      <c r="I524" s="28" t="s">
        <v>17</v>
      </c>
      <c r="J524" s="28">
        <v>13838225</v>
      </c>
      <c r="K524" s="38" t="s">
        <v>1838</v>
      </c>
      <c r="L524" t="s">
        <v>1843</v>
      </c>
      <c r="M524" s="39">
        <v>279900</v>
      </c>
      <c r="N524" s="30">
        <v>0.9</v>
      </c>
      <c r="O524" s="33">
        <f t="shared" si="8"/>
        <v>27989.999999999993</v>
      </c>
      <c r="P524" s="28" t="s">
        <v>0</v>
      </c>
    </row>
    <row r="525" spans="1:16" x14ac:dyDescent="0.3">
      <c r="A525" s="32" t="s">
        <v>3213</v>
      </c>
      <c r="B525" s="26">
        <v>46108</v>
      </c>
      <c r="C525" s="26">
        <v>46113</v>
      </c>
      <c r="D525" s="27">
        <v>3319</v>
      </c>
      <c r="E525" s="25">
        <v>327</v>
      </c>
      <c r="F525" s="25">
        <v>2</v>
      </c>
      <c r="G525" s="28">
        <v>1</v>
      </c>
      <c r="H525" s="28">
        <v>80700</v>
      </c>
      <c r="I525" s="28" t="s">
        <v>17</v>
      </c>
      <c r="J525" s="28">
        <v>15473080</v>
      </c>
      <c r="K525" t="s">
        <v>30</v>
      </c>
      <c r="L525" t="s">
        <v>1713</v>
      </c>
      <c r="M525" s="39">
        <v>199900</v>
      </c>
      <c r="N525" s="30">
        <v>0.9</v>
      </c>
      <c r="O525" s="33">
        <f t="shared" ref="O525:O543" si="9">M525*(1-N525)</f>
        <v>19989.999999999996</v>
      </c>
      <c r="P525" s="28" t="s">
        <v>0</v>
      </c>
    </row>
    <row r="526" spans="1:16" x14ac:dyDescent="0.3">
      <c r="A526" s="32" t="s">
        <v>3213</v>
      </c>
      <c r="B526" s="26">
        <v>46108</v>
      </c>
      <c r="C526" s="26">
        <v>46113</v>
      </c>
      <c r="D526" s="27">
        <v>3319</v>
      </c>
      <c r="E526" s="25">
        <v>327</v>
      </c>
      <c r="F526" s="25">
        <v>2</v>
      </c>
      <c r="G526" s="28">
        <v>1</v>
      </c>
      <c r="H526" s="28">
        <v>80700</v>
      </c>
      <c r="I526" s="28" t="s">
        <v>17</v>
      </c>
      <c r="J526" s="28">
        <v>15473099</v>
      </c>
      <c r="K526" t="s">
        <v>30</v>
      </c>
      <c r="L526" t="s">
        <v>1714</v>
      </c>
      <c r="M526" s="39">
        <v>199900</v>
      </c>
      <c r="N526" s="30">
        <v>0.9</v>
      </c>
      <c r="O526" s="33">
        <f t="shared" si="9"/>
        <v>19989.999999999996</v>
      </c>
      <c r="P526" s="28" t="s">
        <v>0</v>
      </c>
    </row>
    <row r="527" spans="1:16" x14ac:dyDescent="0.3">
      <c r="A527" s="32" t="s">
        <v>3213</v>
      </c>
      <c r="B527" s="26">
        <v>46108</v>
      </c>
      <c r="C527" s="26">
        <v>46113</v>
      </c>
      <c r="D527" s="27">
        <v>3319</v>
      </c>
      <c r="E527" s="25">
        <v>327</v>
      </c>
      <c r="F527" s="25">
        <v>2</v>
      </c>
      <c r="G527" s="28">
        <v>1</v>
      </c>
      <c r="H527" s="28">
        <v>80700</v>
      </c>
      <c r="I527" s="28" t="s">
        <v>17</v>
      </c>
      <c r="J527" s="28">
        <v>15473106</v>
      </c>
      <c r="K527" t="s">
        <v>30</v>
      </c>
      <c r="L527" t="s">
        <v>1715</v>
      </c>
      <c r="M527" s="39">
        <v>199900</v>
      </c>
      <c r="N527" s="30">
        <v>0.9</v>
      </c>
      <c r="O527" s="33">
        <f t="shared" si="9"/>
        <v>19989.999999999996</v>
      </c>
      <c r="P527" s="28" t="s">
        <v>0</v>
      </c>
    </row>
    <row r="528" spans="1:16" x14ac:dyDescent="0.3">
      <c r="A528" s="32" t="s">
        <v>3213</v>
      </c>
      <c r="B528" s="26">
        <v>46108</v>
      </c>
      <c r="C528" s="26">
        <v>46113</v>
      </c>
      <c r="D528" s="27">
        <v>3319</v>
      </c>
      <c r="E528" s="25">
        <v>327</v>
      </c>
      <c r="F528" s="25">
        <v>2</v>
      </c>
      <c r="G528" s="28">
        <v>1</v>
      </c>
      <c r="H528" s="28">
        <v>80700</v>
      </c>
      <c r="I528" s="28" t="s">
        <v>17</v>
      </c>
      <c r="J528" s="28">
        <v>15473115</v>
      </c>
      <c r="K528" t="s">
        <v>30</v>
      </c>
      <c r="L528" t="s">
        <v>1716</v>
      </c>
      <c r="M528" s="39">
        <v>199900</v>
      </c>
      <c r="N528" s="30">
        <v>0.9</v>
      </c>
      <c r="O528" s="33">
        <f t="shared" si="9"/>
        <v>19989.999999999996</v>
      </c>
      <c r="P528" s="28" t="s">
        <v>0</v>
      </c>
    </row>
    <row r="529" spans="1:16" x14ac:dyDescent="0.3">
      <c r="A529" s="32" t="s">
        <v>3213</v>
      </c>
      <c r="B529" s="26">
        <v>46108</v>
      </c>
      <c r="C529" s="26">
        <v>46113</v>
      </c>
      <c r="D529" s="27">
        <v>3319</v>
      </c>
      <c r="E529" s="25">
        <v>327</v>
      </c>
      <c r="F529" s="25">
        <v>2</v>
      </c>
      <c r="G529" s="28">
        <v>1</v>
      </c>
      <c r="H529" s="28">
        <v>80700</v>
      </c>
      <c r="I529" s="28" t="s">
        <v>17</v>
      </c>
      <c r="J529" s="28">
        <v>15473124</v>
      </c>
      <c r="K529" t="s">
        <v>30</v>
      </c>
      <c r="L529" t="s">
        <v>1717</v>
      </c>
      <c r="M529" s="39">
        <v>199900</v>
      </c>
      <c r="N529" s="30">
        <v>0.9</v>
      </c>
      <c r="O529" s="33">
        <f t="shared" si="9"/>
        <v>19989.999999999996</v>
      </c>
      <c r="P529" s="28" t="s">
        <v>0</v>
      </c>
    </row>
    <row r="530" spans="1:16" x14ac:dyDescent="0.3">
      <c r="A530" s="32" t="s">
        <v>3213</v>
      </c>
      <c r="B530" s="26">
        <v>46108</v>
      </c>
      <c r="C530" s="26">
        <v>46113</v>
      </c>
      <c r="D530" s="27">
        <v>3319</v>
      </c>
      <c r="E530" s="25">
        <v>327</v>
      </c>
      <c r="F530" s="25">
        <v>2</v>
      </c>
      <c r="G530" s="28">
        <v>1</v>
      </c>
      <c r="H530" s="28">
        <v>81778</v>
      </c>
      <c r="I530" s="28" t="s">
        <v>17</v>
      </c>
      <c r="J530" s="28">
        <v>14187418</v>
      </c>
      <c r="K530" t="s">
        <v>1785</v>
      </c>
      <c r="L530" t="s">
        <v>1786</v>
      </c>
      <c r="M530" s="39">
        <v>199900</v>
      </c>
      <c r="N530" s="30">
        <v>0.9</v>
      </c>
      <c r="O530" s="33">
        <f t="shared" si="9"/>
        <v>19989.999999999996</v>
      </c>
      <c r="P530" s="28" t="s">
        <v>0</v>
      </c>
    </row>
    <row r="531" spans="1:16" x14ac:dyDescent="0.3">
      <c r="A531" s="32" t="s">
        <v>3213</v>
      </c>
      <c r="B531" s="26">
        <v>46108</v>
      </c>
      <c r="C531" s="26">
        <v>46113</v>
      </c>
      <c r="D531" s="27">
        <v>3319</v>
      </c>
      <c r="E531" s="25">
        <v>327</v>
      </c>
      <c r="F531" s="25">
        <v>2</v>
      </c>
      <c r="G531" s="28">
        <v>1</v>
      </c>
      <c r="H531" s="28">
        <v>81778</v>
      </c>
      <c r="I531" s="28" t="s">
        <v>17</v>
      </c>
      <c r="J531" s="28">
        <v>14187427</v>
      </c>
      <c r="K531" t="s">
        <v>1785</v>
      </c>
      <c r="L531" t="s">
        <v>1787</v>
      </c>
      <c r="M531" s="39">
        <v>199900</v>
      </c>
      <c r="N531" s="30">
        <v>0.9</v>
      </c>
      <c r="O531" s="33">
        <f t="shared" si="9"/>
        <v>19989.999999999996</v>
      </c>
      <c r="P531" s="28" t="s">
        <v>0</v>
      </c>
    </row>
    <row r="532" spans="1:16" x14ac:dyDescent="0.3">
      <c r="A532" s="32" t="s">
        <v>3213</v>
      </c>
      <c r="B532" s="26">
        <v>46108</v>
      </c>
      <c r="C532" s="26">
        <v>46113</v>
      </c>
      <c r="D532" s="27">
        <v>3319</v>
      </c>
      <c r="E532" s="25">
        <v>327</v>
      </c>
      <c r="F532" s="25">
        <v>2</v>
      </c>
      <c r="G532" s="28">
        <v>1</v>
      </c>
      <c r="H532" s="28">
        <v>81778</v>
      </c>
      <c r="I532" s="28" t="s">
        <v>17</v>
      </c>
      <c r="J532" s="28">
        <v>14187436</v>
      </c>
      <c r="K532" t="s">
        <v>1785</v>
      </c>
      <c r="L532" t="s">
        <v>1788</v>
      </c>
      <c r="M532" s="39">
        <v>199900</v>
      </c>
      <c r="N532" s="30">
        <v>0.9</v>
      </c>
      <c r="O532" s="33">
        <f t="shared" si="9"/>
        <v>19989.999999999996</v>
      </c>
      <c r="P532" s="28" t="s">
        <v>0</v>
      </c>
    </row>
    <row r="533" spans="1:16" x14ac:dyDescent="0.3">
      <c r="A533" s="32" t="s">
        <v>3213</v>
      </c>
      <c r="B533" s="26">
        <v>46108</v>
      </c>
      <c r="C533" s="26">
        <v>46113</v>
      </c>
      <c r="D533" s="27">
        <v>3319</v>
      </c>
      <c r="E533" s="25">
        <v>327</v>
      </c>
      <c r="F533" s="25">
        <v>2</v>
      </c>
      <c r="G533" s="28">
        <v>1</v>
      </c>
      <c r="H533" s="28">
        <v>81778</v>
      </c>
      <c r="I533" s="28" t="s">
        <v>17</v>
      </c>
      <c r="J533" s="28">
        <v>14187445</v>
      </c>
      <c r="K533" t="s">
        <v>1785</v>
      </c>
      <c r="L533" t="s">
        <v>1789</v>
      </c>
      <c r="M533" s="39">
        <v>199900</v>
      </c>
      <c r="N533" s="30">
        <v>0.9</v>
      </c>
      <c r="O533" s="33">
        <f t="shared" si="9"/>
        <v>19989.999999999996</v>
      </c>
      <c r="P533" s="28" t="s">
        <v>0</v>
      </c>
    </row>
    <row r="534" spans="1:16" x14ac:dyDescent="0.3">
      <c r="A534" s="32" t="s">
        <v>3213</v>
      </c>
      <c r="B534" s="26">
        <v>46108</v>
      </c>
      <c r="C534" s="26">
        <v>46113</v>
      </c>
      <c r="D534" s="27">
        <v>3319</v>
      </c>
      <c r="E534" s="25">
        <v>327</v>
      </c>
      <c r="F534" s="25">
        <v>2</v>
      </c>
      <c r="G534" s="28">
        <v>1</v>
      </c>
      <c r="H534" s="28">
        <v>81778</v>
      </c>
      <c r="I534" s="28" t="s">
        <v>17</v>
      </c>
      <c r="J534" s="28">
        <v>14187454</v>
      </c>
      <c r="K534" t="s">
        <v>1785</v>
      </c>
      <c r="L534" t="s">
        <v>1790</v>
      </c>
      <c r="M534" s="39">
        <v>199900</v>
      </c>
      <c r="N534" s="30">
        <v>0.9</v>
      </c>
      <c r="O534" s="33">
        <f t="shared" si="9"/>
        <v>19989.999999999996</v>
      </c>
      <c r="P534" s="28" t="s">
        <v>0</v>
      </c>
    </row>
    <row r="535" spans="1:16" x14ac:dyDescent="0.3">
      <c r="A535" s="32" t="s">
        <v>3213</v>
      </c>
      <c r="B535" s="26">
        <v>46108</v>
      </c>
      <c r="C535" s="26">
        <v>46113</v>
      </c>
      <c r="D535" s="27">
        <v>3319</v>
      </c>
      <c r="E535" s="25">
        <v>327</v>
      </c>
      <c r="F535" s="25">
        <v>2</v>
      </c>
      <c r="G535" s="28">
        <v>1</v>
      </c>
      <c r="H535" s="28">
        <v>81778</v>
      </c>
      <c r="I535" s="28" t="s">
        <v>17</v>
      </c>
      <c r="J535" s="28">
        <v>14187463</v>
      </c>
      <c r="K535" t="s">
        <v>1791</v>
      </c>
      <c r="L535" t="s">
        <v>1792</v>
      </c>
      <c r="M535" s="39">
        <v>199900</v>
      </c>
      <c r="N535" s="30">
        <v>0.9</v>
      </c>
      <c r="O535" s="33">
        <f t="shared" si="9"/>
        <v>19989.999999999996</v>
      </c>
      <c r="P535" s="28" t="s">
        <v>0</v>
      </c>
    </row>
    <row r="536" spans="1:16" x14ac:dyDescent="0.3">
      <c r="A536" s="32" t="s">
        <v>3213</v>
      </c>
      <c r="B536" s="26">
        <v>46108</v>
      </c>
      <c r="C536" s="26">
        <v>46113</v>
      </c>
      <c r="D536" s="27">
        <v>3319</v>
      </c>
      <c r="E536" s="25">
        <v>327</v>
      </c>
      <c r="F536" s="25">
        <v>2</v>
      </c>
      <c r="G536" s="28">
        <v>1</v>
      </c>
      <c r="H536" s="28">
        <v>81778</v>
      </c>
      <c r="I536" s="28" t="s">
        <v>17</v>
      </c>
      <c r="J536" s="28">
        <v>14187472</v>
      </c>
      <c r="K536" t="s">
        <v>1791</v>
      </c>
      <c r="L536" t="s">
        <v>1793</v>
      </c>
      <c r="M536" s="39">
        <v>199900</v>
      </c>
      <c r="N536" s="30">
        <v>0.9</v>
      </c>
      <c r="O536" s="33">
        <f t="shared" si="9"/>
        <v>19989.999999999996</v>
      </c>
      <c r="P536" s="28" t="s">
        <v>0</v>
      </c>
    </row>
    <row r="537" spans="1:16" x14ac:dyDescent="0.3">
      <c r="A537" s="32" t="s">
        <v>3213</v>
      </c>
      <c r="B537" s="26">
        <v>46108</v>
      </c>
      <c r="C537" s="26">
        <v>46113</v>
      </c>
      <c r="D537" s="27">
        <v>3319</v>
      </c>
      <c r="E537" s="25">
        <v>327</v>
      </c>
      <c r="F537" s="25">
        <v>2</v>
      </c>
      <c r="G537" s="28">
        <v>1</v>
      </c>
      <c r="H537" s="28">
        <v>81778</v>
      </c>
      <c r="I537" s="28" t="s">
        <v>17</v>
      </c>
      <c r="J537" s="28">
        <v>14187481</v>
      </c>
      <c r="K537" t="s">
        <v>1791</v>
      </c>
      <c r="L537" t="s">
        <v>1794</v>
      </c>
      <c r="M537" s="39">
        <v>199900</v>
      </c>
      <c r="N537" s="30">
        <v>0.9</v>
      </c>
      <c r="O537" s="33">
        <f t="shared" si="9"/>
        <v>19989.999999999996</v>
      </c>
      <c r="P537" s="28" t="s">
        <v>0</v>
      </c>
    </row>
    <row r="538" spans="1:16" x14ac:dyDescent="0.3">
      <c r="A538" s="32" t="s">
        <v>3213</v>
      </c>
      <c r="B538" s="26">
        <v>46108</v>
      </c>
      <c r="C538" s="26">
        <v>46113</v>
      </c>
      <c r="D538" s="27">
        <v>3319</v>
      </c>
      <c r="E538" s="25">
        <v>327</v>
      </c>
      <c r="F538" s="25">
        <v>2</v>
      </c>
      <c r="G538" s="28">
        <v>1</v>
      </c>
      <c r="H538" s="28">
        <v>81778</v>
      </c>
      <c r="I538" s="28" t="s">
        <v>17</v>
      </c>
      <c r="J538" s="28">
        <v>14187490</v>
      </c>
      <c r="K538" t="s">
        <v>1791</v>
      </c>
      <c r="L538" t="s">
        <v>1795</v>
      </c>
      <c r="M538" s="39">
        <v>199900</v>
      </c>
      <c r="N538" s="30">
        <v>0.9</v>
      </c>
      <c r="O538" s="33">
        <f t="shared" si="9"/>
        <v>19989.999999999996</v>
      </c>
      <c r="P538" s="28" t="s">
        <v>0</v>
      </c>
    </row>
    <row r="539" spans="1:16" x14ac:dyDescent="0.3">
      <c r="A539" s="32" t="s">
        <v>3213</v>
      </c>
      <c r="B539" s="26">
        <v>46108</v>
      </c>
      <c r="C539" s="26">
        <v>46113</v>
      </c>
      <c r="D539" s="27">
        <v>3319</v>
      </c>
      <c r="E539" s="25">
        <v>327</v>
      </c>
      <c r="F539" s="25">
        <v>2</v>
      </c>
      <c r="G539" s="28">
        <v>1</v>
      </c>
      <c r="H539" s="28">
        <v>81778</v>
      </c>
      <c r="I539" s="28" t="s">
        <v>17</v>
      </c>
      <c r="J539" s="28">
        <v>14187507</v>
      </c>
      <c r="K539" t="s">
        <v>1791</v>
      </c>
      <c r="L539" t="s">
        <v>1796</v>
      </c>
      <c r="M539" s="39">
        <v>199900</v>
      </c>
      <c r="N539" s="30">
        <v>0.9</v>
      </c>
      <c r="O539" s="33">
        <f t="shared" si="9"/>
        <v>19989.999999999996</v>
      </c>
      <c r="P539" s="28" t="s">
        <v>0</v>
      </c>
    </row>
    <row r="540" spans="1:16" x14ac:dyDescent="0.3">
      <c r="A540" s="32" t="s">
        <v>3213</v>
      </c>
      <c r="B540" s="26">
        <v>46108</v>
      </c>
      <c r="C540" s="26">
        <v>46113</v>
      </c>
      <c r="D540" s="25">
        <v>3319</v>
      </c>
      <c r="E540" s="25">
        <v>327</v>
      </c>
      <c r="F540" s="25">
        <v>2</v>
      </c>
      <c r="G540" s="28">
        <v>1</v>
      </c>
      <c r="H540" s="28">
        <v>80700</v>
      </c>
      <c r="I540" s="28" t="s">
        <v>17</v>
      </c>
      <c r="J540" s="28">
        <v>27023427</v>
      </c>
      <c r="K540" t="s">
        <v>2081</v>
      </c>
      <c r="L540" t="s">
        <v>2084</v>
      </c>
      <c r="M540" s="37">
        <v>159900</v>
      </c>
      <c r="N540" s="30">
        <v>0.9</v>
      </c>
      <c r="O540" s="33">
        <f t="shared" si="9"/>
        <v>15989.999999999996</v>
      </c>
      <c r="P540" s="28" t="s">
        <v>0</v>
      </c>
    </row>
    <row r="541" spans="1:16" x14ac:dyDescent="0.3">
      <c r="A541" s="32" t="s">
        <v>3213</v>
      </c>
      <c r="B541" s="26">
        <v>46108</v>
      </c>
      <c r="C541" s="26">
        <v>46113</v>
      </c>
      <c r="D541" s="25">
        <v>3319</v>
      </c>
      <c r="E541" s="25">
        <v>327</v>
      </c>
      <c r="F541" s="25">
        <v>2</v>
      </c>
      <c r="G541" s="28">
        <v>1</v>
      </c>
      <c r="H541" s="28">
        <v>80700</v>
      </c>
      <c r="I541" s="28" t="s">
        <v>17</v>
      </c>
      <c r="J541" s="28">
        <v>27023436</v>
      </c>
      <c r="K541" t="s">
        <v>2081</v>
      </c>
      <c r="L541" t="s">
        <v>2089</v>
      </c>
      <c r="M541" s="37">
        <v>159900</v>
      </c>
      <c r="N541" s="30">
        <v>0.9</v>
      </c>
      <c r="O541" s="33">
        <f t="shared" si="9"/>
        <v>15989.999999999996</v>
      </c>
      <c r="P541" s="28" t="s">
        <v>0</v>
      </c>
    </row>
    <row r="542" spans="1:16" x14ac:dyDescent="0.3">
      <c r="A542" s="32" t="s">
        <v>3213</v>
      </c>
      <c r="B542" s="26">
        <v>46108</v>
      </c>
      <c r="C542" s="26">
        <v>46113</v>
      </c>
      <c r="D542" s="25">
        <v>3319</v>
      </c>
      <c r="E542" s="25">
        <v>327</v>
      </c>
      <c r="F542" s="25">
        <v>2</v>
      </c>
      <c r="G542" s="28">
        <v>1</v>
      </c>
      <c r="H542" s="28">
        <v>80700</v>
      </c>
      <c r="I542" s="28" t="s">
        <v>17</v>
      </c>
      <c r="J542" s="28">
        <v>27023445</v>
      </c>
      <c r="K542" t="s">
        <v>2081</v>
      </c>
      <c r="L542" t="s">
        <v>2090</v>
      </c>
      <c r="M542" s="37">
        <v>159900</v>
      </c>
      <c r="N542" s="30">
        <v>0.9</v>
      </c>
      <c r="O542" s="33">
        <f t="shared" si="9"/>
        <v>15989.999999999996</v>
      </c>
      <c r="P542" s="28" t="s">
        <v>0</v>
      </c>
    </row>
    <row r="543" spans="1:16" x14ac:dyDescent="0.3">
      <c r="A543" s="32" t="s">
        <v>3213</v>
      </c>
      <c r="B543" s="26">
        <v>46108</v>
      </c>
      <c r="C543" s="26">
        <v>46113</v>
      </c>
      <c r="D543" s="25">
        <v>3319</v>
      </c>
      <c r="E543" s="25">
        <v>327</v>
      </c>
      <c r="F543" s="25">
        <v>2</v>
      </c>
      <c r="G543" s="28">
        <v>1</v>
      </c>
      <c r="H543" s="28">
        <v>80700</v>
      </c>
      <c r="I543" s="28" t="s">
        <v>17</v>
      </c>
      <c r="J543" s="28">
        <v>27023418</v>
      </c>
      <c r="K543" t="s">
        <v>2081</v>
      </c>
      <c r="L543" t="s">
        <v>2095</v>
      </c>
      <c r="M543" s="37">
        <v>159900</v>
      </c>
      <c r="N543" s="30">
        <v>0.9</v>
      </c>
      <c r="O543" s="33">
        <f t="shared" si="9"/>
        <v>15989.999999999996</v>
      </c>
      <c r="P543" s="28" t="s">
        <v>0</v>
      </c>
    </row>
  </sheetData>
  <autoFilter ref="A1:P500" xr:uid="{00000000-0009-0000-0000-000004000000}"/>
  <phoneticPr fontId="14" type="noConversion"/>
  <conditionalFormatting sqref="J1">
    <cfRule type="duplicateValues" dxfId="282" priority="50"/>
    <cfRule type="duplicateValues" dxfId="281" priority="51"/>
    <cfRule type="duplicateValues" dxfId="280" priority="52"/>
    <cfRule type="duplicateValues" dxfId="279" priority="53"/>
  </conditionalFormatting>
  <conditionalFormatting sqref="J1:J251 J544:J1048576">
    <cfRule type="duplicateValues" dxfId="278" priority="48"/>
    <cfRule type="duplicateValues" dxfId="277" priority="49"/>
  </conditionalFormatting>
  <conditionalFormatting sqref="J2:J123">
    <cfRule type="duplicateValues" dxfId="276" priority="55"/>
  </conditionalFormatting>
  <conditionalFormatting sqref="J2:J251 J544:J1048576">
    <cfRule type="duplicateValues" dxfId="275" priority="54"/>
  </conditionalFormatting>
  <conditionalFormatting sqref="J252:J255">
    <cfRule type="duplicateValues" dxfId="274" priority="47"/>
  </conditionalFormatting>
  <conditionalFormatting sqref="J256:J265">
    <cfRule type="duplicateValues" dxfId="273" priority="45"/>
    <cfRule type="duplicateValues" dxfId="272" priority="46"/>
  </conditionalFormatting>
  <conditionalFormatting sqref="J256:J275 J286:J500">
    <cfRule type="duplicateValues" dxfId="271" priority="20"/>
  </conditionalFormatting>
  <conditionalFormatting sqref="J266:J275">
    <cfRule type="duplicateValues" dxfId="270" priority="41"/>
    <cfRule type="duplicateValues" dxfId="269" priority="42"/>
    <cfRule type="duplicateValues" dxfId="268" priority="43"/>
    <cfRule type="duplicateValues" dxfId="267" priority="44"/>
  </conditionalFormatting>
  <conditionalFormatting sqref="J276:J285">
    <cfRule type="duplicateValues" dxfId="266" priority="19"/>
  </conditionalFormatting>
  <conditionalFormatting sqref="J341:J350">
    <cfRule type="duplicateValues" dxfId="265" priority="40"/>
  </conditionalFormatting>
  <conditionalFormatting sqref="J341:J355">
    <cfRule type="duplicateValues" dxfId="264" priority="39"/>
  </conditionalFormatting>
  <conditionalFormatting sqref="J351:J355">
    <cfRule type="duplicateValues" dxfId="263" priority="37"/>
    <cfRule type="duplicateValues" dxfId="262" priority="38"/>
  </conditionalFormatting>
  <conditionalFormatting sqref="J356:J365">
    <cfRule type="duplicateValues" dxfId="261" priority="34"/>
    <cfRule type="duplicateValues" dxfId="260" priority="35"/>
  </conditionalFormatting>
  <conditionalFormatting sqref="J356:J385">
    <cfRule type="duplicateValues" dxfId="259" priority="36"/>
  </conditionalFormatting>
  <conditionalFormatting sqref="J366:J385">
    <cfRule type="duplicateValues" dxfId="258" priority="33"/>
  </conditionalFormatting>
  <conditionalFormatting sqref="J386:J390">
    <cfRule type="duplicateValues" dxfId="257" priority="31"/>
    <cfRule type="duplicateValues" dxfId="256" priority="32"/>
  </conditionalFormatting>
  <conditionalFormatting sqref="J391:J425">
    <cfRule type="duplicateValues" dxfId="255" priority="28"/>
    <cfRule type="duplicateValues" dxfId="254" priority="29"/>
    <cfRule type="duplicateValues" dxfId="253" priority="30"/>
  </conditionalFormatting>
  <conditionalFormatting sqref="J426:J445">
    <cfRule type="duplicateValues" dxfId="252" priority="25"/>
    <cfRule type="duplicateValues" dxfId="251" priority="26"/>
    <cfRule type="duplicateValues" dxfId="250" priority="27"/>
  </conditionalFormatting>
  <conditionalFormatting sqref="J446:J475">
    <cfRule type="duplicateValues" dxfId="249" priority="23"/>
    <cfRule type="duplicateValues" dxfId="248" priority="24"/>
  </conditionalFormatting>
  <conditionalFormatting sqref="J476:J500">
    <cfRule type="duplicateValues" dxfId="247" priority="21"/>
    <cfRule type="duplicateValues" dxfId="246" priority="22"/>
  </conditionalFormatting>
  <conditionalFormatting sqref="J501:J503">
    <cfRule type="duplicateValues" dxfId="245" priority="17"/>
  </conditionalFormatting>
  <conditionalFormatting sqref="J501:J524">
    <cfRule type="duplicateValues" dxfId="244" priority="18"/>
  </conditionalFormatting>
  <conditionalFormatting sqref="J504:J507">
    <cfRule type="duplicateValues" dxfId="243" priority="14"/>
    <cfRule type="duplicateValues" dxfId="242" priority="15"/>
    <cfRule type="duplicateValues" dxfId="241" priority="16"/>
  </conditionalFormatting>
  <conditionalFormatting sqref="J508:J512">
    <cfRule type="duplicateValues" dxfId="240" priority="11"/>
    <cfRule type="duplicateValues" dxfId="239" priority="12"/>
    <cfRule type="duplicateValues" dxfId="238" priority="13"/>
  </conditionalFormatting>
  <conditionalFormatting sqref="J513:J521">
    <cfRule type="duplicateValues" dxfId="237" priority="9"/>
    <cfRule type="duplicateValues" dxfId="236" priority="10"/>
  </conditionalFormatting>
  <conditionalFormatting sqref="J522:J524">
    <cfRule type="duplicateValues" dxfId="235" priority="7"/>
    <cfRule type="duplicateValues" dxfId="234" priority="8"/>
  </conditionalFormatting>
  <conditionalFormatting sqref="J525:J529">
    <cfRule type="duplicateValues" dxfId="233" priority="5"/>
  </conditionalFormatting>
  <conditionalFormatting sqref="J525:J539">
    <cfRule type="duplicateValues" dxfId="232" priority="6"/>
  </conditionalFormatting>
  <conditionalFormatting sqref="J530:J539">
    <cfRule type="duplicateValues" dxfId="231" priority="3"/>
    <cfRule type="duplicateValues" dxfId="230" priority="4"/>
  </conditionalFormatting>
  <conditionalFormatting sqref="J540:J542">
    <cfRule type="duplicateValues" dxfId="229" priority="2"/>
  </conditionalFormatting>
  <conditionalFormatting sqref="J540:J543">
    <cfRule type="duplicateValues" dxfId="228" priority="1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A0BEF-76A8-4D3E-AD12-25997C8E6E73}">
  <dimension ref="A1:P113"/>
  <sheetViews>
    <sheetView zoomScale="85" zoomScaleNormal="85" workbookViewId="0">
      <selection activeCell="H23" sqref="H23"/>
    </sheetView>
  </sheetViews>
  <sheetFormatPr defaultRowHeight="14.4" x14ac:dyDescent="0.3"/>
  <cols>
    <col min="1" max="1" width="35.6640625" style="28" customWidth="1"/>
    <col min="2" max="3" width="11.6640625" customWidth="1"/>
    <col min="10" max="10" width="9.6640625" bestFit="1" customWidth="1"/>
    <col min="12" max="12" width="36" customWidth="1"/>
    <col min="13" max="13" width="15.5546875" style="37" customWidth="1"/>
    <col min="15" max="15" width="23.6640625" customWidth="1"/>
    <col min="16" max="16" width="15.33203125" customWidth="1"/>
  </cols>
  <sheetData>
    <row r="1" spans="1:16" ht="30.6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35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25" t="s">
        <v>3217</v>
      </c>
      <c r="B2" s="26">
        <v>46108</v>
      </c>
      <c r="C2" s="26">
        <v>46113</v>
      </c>
      <c r="D2" s="27">
        <v>3319</v>
      </c>
      <c r="E2" s="25">
        <v>327</v>
      </c>
      <c r="F2" s="25">
        <v>2</v>
      </c>
      <c r="G2" s="28">
        <v>1</v>
      </c>
      <c r="H2" s="28">
        <v>80700</v>
      </c>
      <c r="I2" s="28" t="s">
        <v>17</v>
      </c>
      <c r="J2" s="28">
        <v>16270305</v>
      </c>
      <c r="K2" t="s">
        <v>2209</v>
      </c>
      <c r="L2" t="s">
        <v>2210</v>
      </c>
      <c r="M2" s="39">
        <v>199900</v>
      </c>
      <c r="N2" s="29" t="s">
        <v>2826</v>
      </c>
      <c r="O2" s="36" t="s">
        <v>3218</v>
      </c>
      <c r="P2" s="28" t="s">
        <v>2826</v>
      </c>
    </row>
    <row r="3" spans="1:16" x14ac:dyDescent="0.3">
      <c r="A3" s="25" t="s">
        <v>3217</v>
      </c>
      <c r="B3" s="26">
        <v>46108</v>
      </c>
      <c r="C3" s="26">
        <v>46113</v>
      </c>
      <c r="D3" s="27">
        <v>3319</v>
      </c>
      <c r="E3" s="25">
        <v>327</v>
      </c>
      <c r="F3" s="25">
        <v>2</v>
      </c>
      <c r="G3" s="28">
        <v>1</v>
      </c>
      <c r="H3" s="28">
        <v>80700</v>
      </c>
      <c r="I3" s="28" t="s">
        <v>17</v>
      </c>
      <c r="J3" s="28">
        <v>16270298</v>
      </c>
      <c r="K3" t="s">
        <v>2209</v>
      </c>
      <c r="L3" t="s">
        <v>2211</v>
      </c>
      <c r="M3" s="39">
        <v>179900</v>
      </c>
      <c r="N3" s="29" t="s">
        <v>2826</v>
      </c>
      <c r="O3" s="36" t="s">
        <v>3218</v>
      </c>
      <c r="P3" s="28" t="s">
        <v>2826</v>
      </c>
    </row>
    <row r="4" spans="1:16" x14ac:dyDescent="0.3">
      <c r="A4" s="25" t="s">
        <v>3217</v>
      </c>
      <c r="B4" s="26">
        <v>46108</v>
      </c>
      <c r="C4" s="26">
        <v>46113</v>
      </c>
      <c r="D4" s="27">
        <v>3319</v>
      </c>
      <c r="E4" s="25">
        <v>327</v>
      </c>
      <c r="F4" s="25">
        <v>2</v>
      </c>
      <c r="G4" s="28">
        <v>1</v>
      </c>
      <c r="H4" s="28">
        <v>80700</v>
      </c>
      <c r="I4" s="28" t="s">
        <v>17</v>
      </c>
      <c r="J4" s="28">
        <v>13838707</v>
      </c>
      <c r="K4" t="s">
        <v>2209</v>
      </c>
      <c r="L4" t="s">
        <v>2212</v>
      </c>
      <c r="M4" s="39">
        <v>179900</v>
      </c>
      <c r="N4" s="29" t="s">
        <v>2826</v>
      </c>
      <c r="O4" s="36" t="s">
        <v>3218</v>
      </c>
      <c r="P4" s="28" t="s">
        <v>2826</v>
      </c>
    </row>
    <row r="5" spans="1:16" x14ac:dyDescent="0.3">
      <c r="A5" s="25" t="s">
        <v>3217</v>
      </c>
      <c r="B5" s="26">
        <v>46108</v>
      </c>
      <c r="C5" s="26">
        <v>46113</v>
      </c>
      <c r="D5" s="27">
        <v>3319</v>
      </c>
      <c r="E5" s="25">
        <v>327</v>
      </c>
      <c r="F5" s="25">
        <v>2</v>
      </c>
      <c r="G5" s="28">
        <v>1</v>
      </c>
      <c r="H5" s="28">
        <v>80700</v>
      </c>
      <c r="I5" s="28" t="s">
        <v>17</v>
      </c>
      <c r="J5" s="28">
        <v>13838690</v>
      </c>
      <c r="K5" t="s">
        <v>2209</v>
      </c>
      <c r="L5" t="s">
        <v>2213</v>
      </c>
      <c r="M5" s="39">
        <v>179900</v>
      </c>
      <c r="N5" s="29" t="s">
        <v>2826</v>
      </c>
      <c r="O5" s="36" t="s">
        <v>3218</v>
      </c>
      <c r="P5" s="28" t="s">
        <v>2826</v>
      </c>
    </row>
    <row r="6" spans="1:16" x14ac:dyDescent="0.3">
      <c r="A6" s="25" t="s">
        <v>3217</v>
      </c>
      <c r="B6" s="26">
        <v>46108</v>
      </c>
      <c r="C6" s="26">
        <v>46113</v>
      </c>
      <c r="D6" s="27">
        <v>3319</v>
      </c>
      <c r="E6" s="25">
        <v>327</v>
      </c>
      <c r="F6" s="25">
        <v>2</v>
      </c>
      <c r="G6" s="28">
        <v>1</v>
      </c>
      <c r="H6" s="28">
        <v>80700</v>
      </c>
      <c r="I6" s="28" t="s">
        <v>17</v>
      </c>
      <c r="J6" s="28">
        <v>13838636</v>
      </c>
      <c r="K6" t="s">
        <v>2209</v>
      </c>
      <c r="L6" t="s">
        <v>2214</v>
      </c>
      <c r="M6" s="39">
        <v>179900</v>
      </c>
      <c r="N6" s="29" t="s">
        <v>2826</v>
      </c>
      <c r="O6" s="36" t="s">
        <v>3218</v>
      </c>
      <c r="P6" s="28" t="s">
        <v>2826</v>
      </c>
    </row>
    <row r="7" spans="1:16" x14ac:dyDescent="0.3">
      <c r="A7" s="25" t="s">
        <v>3217</v>
      </c>
      <c r="B7" s="26">
        <v>46108</v>
      </c>
      <c r="C7" s="26">
        <v>46113</v>
      </c>
      <c r="D7" s="27">
        <v>3319</v>
      </c>
      <c r="E7" s="25">
        <v>327</v>
      </c>
      <c r="F7" s="25">
        <v>2</v>
      </c>
      <c r="G7" s="28">
        <v>1</v>
      </c>
      <c r="H7" s="28">
        <v>80700</v>
      </c>
      <c r="I7" s="28" t="s">
        <v>17</v>
      </c>
      <c r="J7" s="28">
        <v>13838645</v>
      </c>
      <c r="K7" t="s">
        <v>2209</v>
      </c>
      <c r="L7" t="s">
        <v>2215</v>
      </c>
      <c r="M7" s="39">
        <v>179900</v>
      </c>
      <c r="N7" s="29" t="s">
        <v>2826</v>
      </c>
      <c r="O7" s="36" t="s">
        <v>3218</v>
      </c>
      <c r="P7" s="28" t="s">
        <v>2826</v>
      </c>
    </row>
    <row r="8" spans="1:16" x14ac:dyDescent="0.3">
      <c r="A8" s="25" t="s">
        <v>3217</v>
      </c>
      <c r="B8" s="26">
        <v>46108</v>
      </c>
      <c r="C8" s="26">
        <v>46113</v>
      </c>
      <c r="D8" s="27">
        <v>3319</v>
      </c>
      <c r="E8" s="25">
        <v>327</v>
      </c>
      <c r="F8" s="25">
        <v>2</v>
      </c>
      <c r="G8" s="28">
        <v>1</v>
      </c>
      <c r="H8" s="28">
        <v>80700</v>
      </c>
      <c r="I8" s="28" t="s">
        <v>17</v>
      </c>
      <c r="J8" s="28">
        <v>13838654</v>
      </c>
      <c r="K8" t="s">
        <v>2209</v>
      </c>
      <c r="L8" t="s">
        <v>2216</v>
      </c>
      <c r="M8" s="39">
        <v>179900</v>
      </c>
      <c r="N8" s="29" t="s">
        <v>2826</v>
      </c>
      <c r="O8" s="36" t="s">
        <v>3218</v>
      </c>
      <c r="P8" s="28" t="s">
        <v>2826</v>
      </c>
    </row>
    <row r="9" spans="1:16" x14ac:dyDescent="0.3">
      <c r="A9" s="25" t="s">
        <v>3217</v>
      </c>
      <c r="B9" s="26">
        <v>46108</v>
      </c>
      <c r="C9" s="26">
        <v>46113</v>
      </c>
      <c r="D9" s="27">
        <v>3319</v>
      </c>
      <c r="E9" s="25">
        <v>327</v>
      </c>
      <c r="F9" s="25">
        <v>2</v>
      </c>
      <c r="G9" s="28">
        <v>1</v>
      </c>
      <c r="H9" s="28">
        <v>80700</v>
      </c>
      <c r="I9" s="28" t="s">
        <v>17</v>
      </c>
      <c r="J9" s="28">
        <v>13838663</v>
      </c>
      <c r="K9" t="s">
        <v>2209</v>
      </c>
      <c r="L9" t="s">
        <v>2217</v>
      </c>
      <c r="M9" s="39">
        <v>179900</v>
      </c>
      <c r="N9" s="29" t="s">
        <v>2826</v>
      </c>
      <c r="O9" s="36" t="s">
        <v>3218</v>
      </c>
      <c r="P9" s="28" t="s">
        <v>2826</v>
      </c>
    </row>
    <row r="10" spans="1:16" x14ac:dyDescent="0.3">
      <c r="A10" s="25" t="s">
        <v>3217</v>
      </c>
      <c r="B10" s="26">
        <v>46108</v>
      </c>
      <c r="C10" s="26">
        <v>46113</v>
      </c>
      <c r="D10" s="27">
        <v>3319</v>
      </c>
      <c r="E10" s="25">
        <v>327</v>
      </c>
      <c r="F10" s="25">
        <v>2</v>
      </c>
      <c r="G10" s="28">
        <v>1</v>
      </c>
      <c r="H10" s="28">
        <v>80700</v>
      </c>
      <c r="I10" s="28" t="s">
        <v>17</v>
      </c>
      <c r="J10" s="28">
        <v>13838672</v>
      </c>
      <c r="K10" t="s">
        <v>2209</v>
      </c>
      <c r="L10" t="s">
        <v>2218</v>
      </c>
      <c r="M10" s="39">
        <v>179900</v>
      </c>
      <c r="N10" s="29" t="s">
        <v>2826</v>
      </c>
      <c r="O10" s="36" t="s">
        <v>3218</v>
      </c>
      <c r="P10" s="28" t="s">
        <v>2826</v>
      </c>
    </row>
    <row r="11" spans="1:16" x14ac:dyDescent="0.3">
      <c r="A11" s="25" t="s">
        <v>3217</v>
      </c>
      <c r="B11" s="26">
        <v>46108</v>
      </c>
      <c r="C11" s="26">
        <v>46113</v>
      </c>
      <c r="D11" s="27">
        <v>3319</v>
      </c>
      <c r="E11" s="25">
        <v>327</v>
      </c>
      <c r="F11" s="25">
        <v>2</v>
      </c>
      <c r="G11" s="28">
        <v>1</v>
      </c>
      <c r="H11" s="28">
        <v>80700</v>
      </c>
      <c r="I11" s="28" t="s">
        <v>17</v>
      </c>
      <c r="J11" s="28">
        <v>13838681</v>
      </c>
      <c r="K11" t="s">
        <v>2209</v>
      </c>
      <c r="L11" t="s">
        <v>2219</v>
      </c>
      <c r="M11" s="39">
        <v>179900</v>
      </c>
      <c r="N11" s="29" t="s">
        <v>2826</v>
      </c>
      <c r="O11" s="36" t="s">
        <v>3218</v>
      </c>
      <c r="P11" s="28" t="s">
        <v>2826</v>
      </c>
    </row>
    <row r="12" spans="1:16" x14ac:dyDescent="0.3">
      <c r="A12" s="25" t="s">
        <v>3217</v>
      </c>
      <c r="B12" s="26">
        <v>46108</v>
      </c>
      <c r="C12" s="26">
        <v>46113</v>
      </c>
      <c r="D12" s="25">
        <v>3319</v>
      </c>
      <c r="E12" s="25">
        <v>327</v>
      </c>
      <c r="F12" s="25">
        <v>2</v>
      </c>
      <c r="G12" s="28">
        <v>1</v>
      </c>
      <c r="H12" s="28">
        <v>80700</v>
      </c>
      <c r="I12" s="28" t="s">
        <v>17</v>
      </c>
      <c r="J12" s="28">
        <v>18476125</v>
      </c>
      <c r="K12" t="s">
        <v>2037</v>
      </c>
      <c r="L12" t="s">
        <v>2038</v>
      </c>
      <c r="M12" s="39">
        <v>159900</v>
      </c>
      <c r="N12" s="29" t="s">
        <v>2826</v>
      </c>
      <c r="O12" s="36" t="s">
        <v>3218</v>
      </c>
      <c r="P12" s="28" t="s">
        <v>2826</v>
      </c>
    </row>
    <row r="13" spans="1:16" x14ac:dyDescent="0.3">
      <c r="A13" s="25" t="s">
        <v>3217</v>
      </c>
      <c r="B13" s="26">
        <v>46108</v>
      </c>
      <c r="C13" s="26">
        <v>46113</v>
      </c>
      <c r="D13" s="25">
        <v>3319</v>
      </c>
      <c r="E13" s="25">
        <v>327</v>
      </c>
      <c r="F13" s="25">
        <v>2</v>
      </c>
      <c r="G13" s="28">
        <v>1</v>
      </c>
      <c r="H13" s="28">
        <v>80700</v>
      </c>
      <c r="I13" s="28" t="s">
        <v>17</v>
      </c>
      <c r="J13" s="28">
        <v>18476134</v>
      </c>
      <c r="K13" t="s">
        <v>2037</v>
      </c>
      <c r="L13" t="s">
        <v>2039</v>
      </c>
      <c r="M13" s="39">
        <v>159900</v>
      </c>
      <c r="N13" s="29" t="s">
        <v>2826</v>
      </c>
      <c r="O13" s="36" t="s">
        <v>3218</v>
      </c>
      <c r="P13" s="28" t="s">
        <v>2826</v>
      </c>
    </row>
    <row r="14" spans="1:16" x14ac:dyDescent="0.3">
      <c r="A14" s="25" t="s">
        <v>3217</v>
      </c>
      <c r="B14" s="26">
        <v>46108</v>
      </c>
      <c r="C14" s="26">
        <v>46113</v>
      </c>
      <c r="D14" s="25">
        <v>3319</v>
      </c>
      <c r="E14" s="25">
        <v>327</v>
      </c>
      <c r="F14" s="25">
        <v>2</v>
      </c>
      <c r="G14" s="28">
        <v>1</v>
      </c>
      <c r="H14" s="28">
        <v>80700</v>
      </c>
      <c r="I14" s="28" t="s">
        <v>17</v>
      </c>
      <c r="J14" s="28">
        <v>18476143</v>
      </c>
      <c r="K14" t="s">
        <v>2037</v>
      </c>
      <c r="L14" t="s">
        <v>2040</v>
      </c>
      <c r="M14" s="39">
        <v>159900</v>
      </c>
      <c r="N14" s="29" t="s">
        <v>2826</v>
      </c>
      <c r="O14" s="36" t="s">
        <v>3218</v>
      </c>
      <c r="P14" s="28" t="s">
        <v>2826</v>
      </c>
    </row>
    <row r="15" spans="1:16" x14ac:dyDescent="0.3">
      <c r="A15" s="25" t="s">
        <v>3217</v>
      </c>
      <c r="B15" s="26">
        <v>46108</v>
      </c>
      <c r="C15" s="26">
        <v>46113</v>
      </c>
      <c r="D15" s="25">
        <v>3319</v>
      </c>
      <c r="E15" s="25">
        <v>327</v>
      </c>
      <c r="F15" s="25">
        <v>2</v>
      </c>
      <c r="G15" s="28">
        <v>1</v>
      </c>
      <c r="H15" s="28">
        <v>80700</v>
      </c>
      <c r="I15" s="28" t="s">
        <v>17</v>
      </c>
      <c r="J15" s="28">
        <v>18476152</v>
      </c>
      <c r="K15" t="s">
        <v>2037</v>
      </c>
      <c r="L15" t="s">
        <v>2041</v>
      </c>
      <c r="M15" s="39">
        <v>159900</v>
      </c>
      <c r="N15" s="29" t="s">
        <v>2826</v>
      </c>
      <c r="O15" s="36" t="s">
        <v>3218</v>
      </c>
      <c r="P15" s="28" t="s">
        <v>2826</v>
      </c>
    </row>
    <row r="16" spans="1:16" x14ac:dyDescent="0.3">
      <c r="A16" s="25" t="s">
        <v>3217</v>
      </c>
      <c r="B16" s="26">
        <v>46108</v>
      </c>
      <c r="C16" s="26">
        <v>46113</v>
      </c>
      <c r="D16" s="25">
        <v>3319</v>
      </c>
      <c r="E16" s="25">
        <v>327</v>
      </c>
      <c r="F16" s="25">
        <v>2</v>
      </c>
      <c r="G16" s="28">
        <v>1</v>
      </c>
      <c r="H16" s="28">
        <v>80700</v>
      </c>
      <c r="I16" s="28" t="s">
        <v>17</v>
      </c>
      <c r="J16" s="28">
        <v>18476170</v>
      </c>
      <c r="K16" t="s">
        <v>2042</v>
      </c>
      <c r="L16" t="s">
        <v>2043</v>
      </c>
      <c r="M16" s="39">
        <v>159900</v>
      </c>
      <c r="N16" s="29" t="s">
        <v>2826</v>
      </c>
      <c r="O16" s="36" t="s">
        <v>3218</v>
      </c>
      <c r="P16" s="28" t="s">
        <v>2826</v>
      </c>
    </row>
    <row r="17" spans="1:16" x14ac:dyDescent="0.3">
      <c r="A17" s="25" t="s">
        <v>3217</v>
      </c>
      <c r="B17" s="26">
        <v>46108</v>
      </c>
      <c r="C17" s="26">
        <v>46113</v>
      </c>
      <c r="D17" s="25">
        <v>3319</v>
      </c>
      <c r="E17" s="25">
        <v>327</v>
      </c>
      <c r="F17" s="25">
        <v>2</v>
      </c>
      <c r="G17" s="28">
        <v>1</v>
      </c>
      <c r="H17" s="28">
        <v>80700</v>
      </c>
      <c r="I17" s="28" t="s">
        <v>17</v>
      </c>
      <c r="J17" s="28">
        <v>18476189</v>
      </c>
      <c r="K17" t="s">
        <v>2042</v>
      </c>
      <c r="L17" t="s">
        <v>2044</v>
      </c>
      <c r="M17" s="39">
        <v>159900</v>
      </c>
      <c r="N17" s="29" t="s">
        <v>2826</v>
      </c>
      <c r="O17" s="36" t="s">
        <v>3218</v>
      </c>
      <c r="P17" s="28" t="s">
        <v>2826</v>
      </c>
    </row>
    <row r="18" spans="1:16" x14ac:dyDescent="0.3">
      <c r="A18" s="25" t="s">
        <v>3217</v>
      </c>
      <c r="B18" s="26">
        <v>46108</v>
      </c>
      <c r="C18" s="26">
        <v>46113</v>
      </c>
      <c r="D18" s="25">
        <v>3319</v>
      </c>
      <c r="E18" s="25">
        <v>327</v>
      </c>
      <c r="F18" s="25">
        <v>2</v>
      </c>
      <c r="G18" s="28">
        <v>1</v>
      </c>
      <c r="H18" s="28">
        <v>80700</v>
      </c>
      <c r="I18" s="28" t="s">
        <v>17</v>
      </c>
      <c r="J18" s="28">
        <v>18476198</v>
      </c>
      <c r="K18" t="s">
        <v>2042</v>
      </c>
      <c r="L18" t="s">
        <v>2045</v>
      </c>
      <c r="M18" s="39">
        <v>159900</v>
      </c>
      <c r="N18" s="29" t="s">
        <v>2826</v>
      </c>
      <c r="O18" s="36" t="s">
        <v>3218</v>
      </c>
      <c r="P18" s="28" t="s">
        <v>2826</v>
      </c>
    </row>
    <row r="19" spans="1:16" x14ac:dyDescent="0.3">
      <c r="A19" s="25" t="s">
        <v>3217</v>
      </c>
      <c r="B19" s="26">
        <v>46108</v>
      </c>
      <c r="C19" s="26">
        <v>46113</v>
      </c>
      <c r="D19" s="25">
        <v>3319</v>
      </c>
      <c r="E19" s="25">
        <v>327</v>
      </c>
      <c r="F19" s="25">
        <v>2</v>
      </c>
      <c r="G19" s="28">
        <v>1</v>
      </c>
      <c r="H19" s="28">
        <v>80700</v>
      </c>
      <c r="I19" s="28" t="s">
        <v>17</v>
      </c>
      <c r="J19" s="28">
        <v>18476205</v>
      </c>
      <c r="K19" t="s">
        <v>2042</v>
      </c>
      <c r="L19" t="s">
        <v>2046</v>
      </c>
      <c r="M19" s="39">
        <v>159900</v>
      </c>
      <c r="N19" s="29" t="s">
        <v>2826</v>
      </c>
      <c r="O19" s="36" t="s">
        <v>3218</v>
      </c>
      <c r="P19" s="28" t="s">
        <v>2826</v>
      </c>
    </row>
    <row r="20" spans="1:16" x14ac:dyDescent="0.3">
      <c r="A20" s="25" t="s">
        <v>3217</v>
      </c>
      <c r="B20" s="26">
        <v>46108</v>
      </c>
      <c r="C20" s="26">
        <v>46113</v>
      </c>
      <c r="D20" s="25">
        <v>3319</v>
      </c>
      <c r="E20" s="25">
        <v>327</v>
      </c>
      <c r="F20" s="25">
        <v>2</v>
      </c>
      <c r="G20" s="28">
        <v>1</v>
      </c>
      <c r="H20" s="28">
        <v>81433</v>
      </c>
      <c r="I20" s="28" t="s">
        <v>17</v>
      </c>
      <c r="J20" s="28">
        <v>18476509</v>
      </c>
      <c r="K20" t="s">
        <v>2069</v>
      </c>
      <c r="L20" t="s">
        <v>2070</v>
      </c>
      <c r="M20" s="39">
        <v>199900</v>
      </c>
      <c r="N20" s="29" t="s">
        <v>2826</v>
      </c>
      <c r="O20" s="36" t="s">
        <v>3218</v>
      </c>
      <c r="P20" s="28" t="s">
        <v>2826</v>
      </c>
    </row>
    <row r="21" spans="1:16" x14ac:dyDescent="0.3">
      <c r="A21" s="25" t="s">
        <v>3217</v>
      </c>
      <c r="B21" s="26">
        <v>46108</v>
      </c>
      <c r="C21" s="26">
        <v>46113</v>
      </c>
      <c r="D21" s="25">
        <v>3319</v>
      </c>
      <c r="E21" s="25">
        <v>327</v>
      </c>
      <c r="F21" s="25">
        <v>2</v>
      </c>
      <c r="G21" s="28">
        <v>1</v>
      </c>
      <c r="H21" s="28">
        <v>81433</v>
      </c>
      <c r="I21" s="28" t="s">
        <v>17</v>
      </c>
      <c r="J21" s="28">
        <v>18476572</v>
      </c>
      <c r="K21" t="s">
        <v>2069</v>
      </c>
      <c r="L21" t="s">
        <v>2071</v>
      </c>
      <c r="M21" s="39">
        <v>199900</v>
      </c>
      <c r="N21" s="29" t="s">
        <v>2826</v>
      </c>
      <c r="O21" s="36" t="s">
        <v>3218</v>
      </c>
      <c r="P21" s="28" t="s">
        <v>2826</v>
      </c>
    </row>
    <row r="22" spans="1:16" x14ac:dyDescent="0.3">
      <c r="A22" s="25" t="s">
        <v>3217</v>
      </c>
      <c r="B22" s="26">
        <v>46108</v>
      </c>
      <c r="C22" s="26">
        <v>46113</v>
      </c>
      <c r="D22" s="25">
        <v>3319</v>
      </c>
      <c r="E22" s="25">
        <v>327</v>
      </c>
      <c r="F22" s="25">
        <v>2</v>
      </c>
      <c r="G22" s="28">
        <v>1</v>
      </c>
      <c r="H22" s="28">
        <v>81433</v>
      </c>
      <c r="I22" s="28" t="s">
        <v>17</v>
      </c>
      <c r="J22" s="28">
        <v>18476590</v>
      </c>
      <c r="K22" t="s">
        <v>2069</v>
      </c>
      <c r="L22" t="s">
        <v>2072</v>
      </c>
      <c r="M22" s="39">
        <v>199900</v>
      </c>
      <c r="N22" s="29" t="s">
        <v>2826</v>
      </c>
      <c r="O22" s="36" t="s">
        <v>3218</v>
      </c>
      <c r="P22" s="28" t="s">
        <v>2826</v>
      </c>
    </row>
    <row r="23" spans="1:16" x14ac:dyDescent="0.3">
      <c r="A23" s="25" t="s">
        <v>3217</v>
      </c>
      <c r="B23" s="26">
        <v>46108</v>
      </c>
      <c r="C23" s="26">
        <v>46113</v>
      </c>
      <c r="D23" s="25">
        <v>3319</v>
      </c>
      <c r="E23" s="25">
        <v>327</v>
      </c>
      <c r="F23" s="25">
        <v>2</v>
      </c>
      <c r="G23" s="28">
        <v>1</v>
      </c>
      <c r="H23" s="28">
        <v>81433</v>
      </c>
      <c r="I23" s="28" t="s">
        <v>17</v>
      </c>
      <c r="J23" s="28">
        <v>18476607</v>
      </c>
      <c r="K23" t="s">
        <v>2069</v>
      </c>
      <c r="L23" t="s">
        <v>2073</v>
      </c>
      <c r="M23" s="39">
        <v>199900</v>
      </c>
      <c r="N23" s="29" t="s">
        <v>2826</v>
      </c>
      <c r="O23" s="36" t="s">
        <v>3218</v>
      </c>
      <c r="P23" s="28" t="s">
        <v>2826</v>
      </c>
    </row>
    <row r="24" spans="1:16" x14ac:dyDescent="0.3">
      <c r="A24" s="25" t="s">
        <v>3217</v>
      </c>
      <c r="B24" s="26">
        <v>46108</v>
      </c>
      <c r="C24" s="26">
        <v>46113</v>
      </c>
      <c r="D24" s="25">
        <v>3319</v>
      </c>
      <c r="E24" s="25">
        <v>327</v>
      </c>
      <c r="F24" s="25">
        <v>2</v>
      </c>
      <c r="G24" s="28">
        <v>1</v>
      </c>
      <c r="H24" s="28">
        <v>81433</v>
      </c>
      <c r="I24" s="28" t="s">
        <v>17</v>
      </c>
      <c r="J24" s="28">
        <v>18476616</v>
      </c>
      <c r="K24" t="s">
        <v>2069</v>
      </c>
      <c r="L24" t="s">
        <v>2074</v>
      </c>
      <c r="M24" s="39">
        <v>199900</v>
      </c>
      <c r="N24" s="29" t="s">
        <v>2826</v>
      </c>
      <c r="O24" s="36" t="s">
        <v>3218</v>
      </c>
      <c r="P24" s="28" t="s">
        <v>2826</v>
      </c>
    </row>
    <row r="25" spans="1:16" x14ac:dyDescent="0.3">
      <c r="A25" s="25" t="s">
        <v>3217</v>
      </c>
      <c r="B25" s="26">
        <v>46108</v>
      </c>
      <c r="C25" s="26">
        <v>46113</v>
      </c>
      <c r="D25" s="25">
        <v>3319</v>
      </c>
      <c r="E25" s="25">
        <v>327</v>
      </c>
      <c r="F25" s="25">
        <v>2</v>
      </c>
      <c r="G25" s="28">
        <v>1</v>
      </c>
      <c r="H25" s="28">
        <v>81433</v>
      </c>
      <c r="I25" s="28" t="s">
        <v>17</v>
      </c>
      <c r="J25" s="28">
        <v>18476625</v>
      </c>
      <c r="K25" t="s">
        <v>2075</v>
      </c>
      <c r="L25" t="s">
        <v>2076</v>
      </c>
      <c r="M25" s="39">
        <v>199900</v>
      </c>
      <c r="N25" s="29" t="s">
        <v>2826</v>
      </c>
      <c r="O25" s="36" t="s">
        <v>3218</v>
      </c>
      <c r="P25" s="28" t="s">
        <v>2826</v>
      </c>
    </row>
    <row r="26" spans="1:16" x14ac:dyDescent="0.3">
      <c r="A26" s="25" t="s">
        <v>3217</v>
      </c>
      <c r="B26" s="26">
        <v>46108</v>
      </c>
      <c r="C26" s="26">
        <v>46113</v>
      </c>
      <c r="D26" s="25">
        <v>3319</v>
      </c>
      <c r="E26" s="25">
        <v>327</v>
      </c>
      <c r="F26" s="25">
        <v>2</v>
      </c>
      <c r="G26" s="28">
        <v>1</v>
      </c>
      <c r="H26" s="28">
        <v>81433</v>
      </c>
      <c r="I26" s="28" t="s">
        <v>17</v>
      </c>
      <c r="J26" s="28">
        <v>18476705</v>
      </c>
      <c r="K26" t="s">
        <v>2075</v>
      </c>
      <c r="L26" t="s">
        <v>2077</v>
      </c>
      <c r="M26" s="39">
        <v>199900</v>
      </c>
      <c r="N26" s="29" t="s">
        <v>2826</v>
      </c>
      <c r="O26" s="36" t="s">
        <v>3218</v>
      </c>
      <c r="P26" s="28" t="s">
        <v>2826</v>
      </c>
    </row>
    <row r="27" spans="1:16" x14ac:dyDescent="0.3">
      <c r="A27" s="25" t="s">
        <v>3217</v>
      </c>
      <c r="B27" s="26">
        <v>46108</v>
      </c>
      <c r="C27" s="26">
        <v>46113</v>
      </c>
      <c r="D27" s="25">
        <v>3319</v>
      </c>
      <c r="E27" s="25">
        <v>327</v>
      </c>
      <c r="F27" s="25">
        <v>2</v>
      </c>
      <c r="G27" s="28">
        <v>1</v>
      </c>
      <c r="H27" s="28">
        <v>81433</v>
      </c>
      <c r="I27" s="28" t="s">
        <v>17</v>
      </c>
      <c r="J27" s="28">
        <v>18476714</v>
      </c>
      <c r="K27" t="s">
        <v>2075</v>
      </c>
      <c r="L27" t="s">
        <v>2078</v>
      </c>
      <c r="M27" s="39">
        <v>199900</v>
      </c>
      <c r="N27" s="29" t="s">
        <v>2826</v>
      </c>
      <c r="O27" s="36" t="s">
        <v>3218</v>
      </c>
      <c r="P27" s="28" t="s">
        <v>2826</v>
      </c>
    </row>
    <row r="28" spans="1:16" x14ac:dyDescent="0.3">
      <c r="A28" s="25" t="s">
        <v>3217</v>
      </c>
      <c r="B28" s="26">
        <v>46108</v>
      </c>
      <c r="C28" s="26">
        <v>46113</v>
      </c>
      <c r="D28" s="25">
        <v>3319</v>
      </c>
      <c r="E28" s="25">
        <v>327</v>
      </c>
      <c r="F28" s="25">
        <v>2</v>
      </c>
      <c r="G28" s="28">
        <v>1</v>
      </c>
      <c r="H28" s="28">
        <v>81433</v>
      </c>
      <c r="I28" s="28" t="s">
        <v>17</v>
      </c>
      <c r="J28" s="28">
        <v>18476741</v>
      </c>
      <c r="K28" t="s">
        <v>2075</v>
      </c>
      <c r="L28" t="s">
        <v>2079</v>
      </c>
      <c r="M28" s="39">
        <v>199900</v>
      </c>
      <c r="N28" s="29" t="s">
        <v>2826</v>
      </c>
      <c r="O28" s="36" t="s">
        <v>3218</v>
      </c>
      <c r="P28" s="28" t="s">
        <v>2826</v>
      </c>
    </row>
    <row r="29" spans="1:16" x14ac:dyDescent="0.3">
      <c r="A29" s="25" t="s">
        <v>3217</v>
      </c>
      <c r="B29" s="26">
        <v>46108</v>
      </c>
      <c r="C29" s="26">
        <v>46113</v>
      </c>
      <c r="D29" s="25">
        <v>3319</v>
      </c>
      <c r="E29" s="25">
        <v>327</v>
      </c>
      <c r="F29" s="25">
        <v>2</v>
      </c>
      <c r="G29" s="28">
        <v>1</v>
      </c>
      <c r="H29" s="28">
        <v>81433</v>
      </c>
      <c r="I29" s="28" t="s">
        <v>17</v>
      </c>
      <c r="J29" s="28">
        <v>18476750</v>
      </c>
      <c r="K29" t="s">
        <v>2075</v>
      </c>
      <c r="L29" t="s">
        <v>2080</v>
      </c>
      <c r="M29" s="39">
        <v>199900</v>
      </c>
      <c r="N29" s="29" t="s">
        <v>2826</v>
      </c>
      <c r="O29" s="36" t="s">
        <v>3218</v>
      </c>
      <c r="P29" s="28" t="s">
        <v>2826</v>
      </c>
    </row>
    <row r="30" spans="1:16" x14ac:dyDescent="0.3">
      <c r="A30" s="25" t="s">
        <v>3217</v>
      </c>
      <c r="B30" s="26">
        <v>46108</v>
      </c>
      <c r="C30" s="26">
        <v>46113</v>
      </c>
      <c r="D30" s="25">
        <v>3319</v>
      </c>
      <c r="E30" s="25">
        <v>327</v>
      </c>
      <c r="F30" s="25">
        <v>2</v>
      </c>
      <c r="G30" s="28">
        <v>1</v>
      </c>
      <c r="H30" s="28">
        <v>80700</v>
      </c>
      <c r="I30" s="28" t="s">
        <v>17</v>
      </c>
      <c r="J30" s="28">
        <v>18476214</v>
      </c>
      <c r="K30" t="s">
        <v>2047</v>
      </c>
      <c r="L30" t="s">
        <v>2048</v>
      </c>
      <c r="M30" s="39">
        <v>159900</v>
      </c>
      <c r="N30" s="29" t="s">
        <v>2826</v>
      </c>
      <c r="O30" s="36" t="s">
        <v>3218</v>
      </c>
      <c r="P30" s="28" t="s">
        <v>2826</v>
      </c>
    </row>
    <row r="31" spans="1:16" x14ac:dyDescent="0.3">
      <c r="A31" s="25" t="s">
        <v>3217</v>
      </c>
      <c r="B31" s="26">
        <v>46108</v>
      </c>
      <c r="C31" s="26">
        <v>46113</v>
      </c>
      <c r="D31" s="25">
        <v>3319</v>
      </c>
      <c r="E31" s="25">
        <v>327</v>
      </c>
      <c r="F31" s="25">
        <v>2</v>
      </c>
      <c r="G31" s="28">
        <v>1</v>
      </c>
      <c r="H31" s="28">
        <v>80700</v>
      </c>
      <c r="I31" s="28" t="s">
        <v>17</v>
      </c>
      <c r="J31" s="28">
        <v>18476223</v>
      </c>
      <c r="K31" t="s">
        <v>2047</v>
      </c>
      <c r="L31" t="s">
        <v>2049</v>
      </c>
      <c r="M31" s="39">
        <v>159900</v>
      </c>
      <c r="N31" s="29" t="s">
        <v>2826</v>
      </c>
      <c r="O31" s="36" t="s">
        <v>3218</v>
      </c>
      <c r="P31" s="28" t="s">
        <v>2826</v>
      </c>
    </row>
    <row r="32" spans="1:16" x14ac:dyDescent="0.3">
      <c r="A32" s="25" t="s">
        <v>3217</v>
      </c>
      <c r="B32" s="26">
        <v>46108</v>
      </c>
      <c r="C32" s="26">
        <v>46113</v>
      </c>
      <c r="D32" s="25">
        <v>3319</v>
      </c>
      <c r="E32" s="25">
        <v>327</v>
      </c>
      <c r="F32" s="25">
        <v>2</v>
      </c>
      <c r="G32" s="28">
        <v>1</v>
      </c>
      <c r="H32" s="28">
        <v>80700</v>
      </c>
      <c r="I32" s="28" t="s">
        <v>17</v>
      </c>
      <c r="J32" s="28">
        <v>18476232</v>
      </c>
      <c r="K32" t="s">
        <v>2047</v>
      </c>
      <c r="L32" t="s">
        <v>2050</v>
      </c>
      <c r="M32" s="39">
        <v>159900</v>
      </c>
      <c r="N32" s="29" t="s">
        <v>2826</v>
      </c>
      <c r="O32" s="36" t="s">
        <v>3218</v>
      </c>
      <c r="P32" s="28" t="s">
        <v>2826</v>
      </c>
    </row>
    <row r="33" spans="1:16" x14ac:dyDescent="0.3">
      <c r="A33" s="25" t="s">
        <v>3217</v>
      </c>
      <c r="B33" s="26">
        <v>46108</v>
      </c>
      <c r="C33" s="26">
        <v>46113</v>
      </c>
      <c r="D33" s="25">
        <v>3319</v>
      </c>
      <c r="E33" s="25">
        <v>327</v>
      </c>
      <c r="F33" s="25">
        <v>2</v>
      </c>
      <c r="G33" s="28">
        <v>1</v>
      </c>
      <c r="H33" s="28">
        <v>80700</v>
      </c>
      <c r="I33" s="28" t="s">
        <v>17</v>
      </c>
      <c r="J33" s="28">
        <v>18476241</v>
      </c>
      <c r="K33" t="s">
        <v>2047</v>
      </c>
      <c r="L33" t="s">
        <v>2051</v>
      </c>
      <c r="M33" s="39">
        <v>159900</v>
      </c>
      <c r="N33" s="29" t="s">
        <v>2826</v>
      </c>
      <c r="O33" s="36" t="s">
        <v>3218</v>
      </c>
      <c r="P33" s="28" t="s">
        <v>2826</v>
      </c>
    </row>
    <row r="34" spans="1:16" x14ac:dyDescent="0.3">
      <c r="A34" s="25" t="s">
        <v>3217</v>
      </c>
      <c r="B34" s="26">
        <v>46108</v>
      </c>
      <c r="C34" s="26">
        <v>46113</v>
      </c>
      <c r="D34" s="27">
        <v>3319</v>
      </c>
      <c r="E34" s="25">
        <v>327</v>
      </c>
      <c r="F34" s="25">
        <v>2</v>
      </c>
      <c r="G34" s="28">
        <v>1</v>
      </c>
      <c r="H34" s="28">
        <v>80700</v>
      </c>
      <c r="I34" s="28" t="s">
        <v>17</v>
      </c>
      <c r="J34" s="28">
        <v>82228380</v>
      </c>
      <c r="K34" t="s">
        <v>1692</v>
      </c>
      <c r="L34" t="s">
        <v>1696</v>
      </c>
      <c r="M34" s="39">
        <v>199900</v>
      </c>
      <c r="N34" s="29" t="s">
        <v>2826</v>
      </c>
      <c r="O34" s="36" t="s">
        <v>3218</v>
      </c>
      <c r="P34" s="28" t="s">
        <v>2826</v>
      </c>
    </row>
    <row r="35" spans="1:16" x14ac:dyDescent="0.3">
      <c r="A35" s="25" t="s">
        <v>3217</v>
      </c>
      <c r="B35" s="26">
        <v>46108</v>
      </c>
      <c r="C35" s="26">
        <v>46113</v>
      </c>
      <c r="D35" s="27">
        <v>3319</v>
      </c>
      <c r="E35" s="25">
        <v>327</v>
      </c>
      <c r="F35" s="25">
        <v>2</v>
      </c>
      <c r="G35" s="28">
        <v>1</v>
      </c>
      <c r="H35" s="28">
        <v>80700</v>
      </c>
      <c r="I35" s="28" t="s">
        <v>17</v>
      </c>
      <c r="J35" s="28">
        <v>82228399</v>
      </c>
      <c r="K35" t="s">
        <v>1692</v>
      </c>
      <c r="L35" t="s">
        <v>1697</v>
      </c>
      <c r="M35" s="39">
        <v>199900</v>
      </c>
      <c r="N35" s="29" t="s">
        <v>2826</v>
      </c>
      <c r="O35" s="36" t="s">
        <v>3218</v>
      </c>
      <c r="P35" s="28" t="s">
        <v>2826</v>
      </c>
    </row>
    <row r="36" spans="1:16" x14ac:dyDescent="0.3">
      <c r="A36" s="25" t="s">
        <v>3217</v>
      </c>
      <c r="B36" s="26">
        <v>46108</v>
      </c>
      <c r="C36" s="26">
        <v>46113</v>
      </c>
      <c r="D36" s="27">
        <v>3319</v>
      </c>
      <c r="E36" s="25">
        <v>327</v>
      </c>
      <c r="F36" s="25">
        <v>2</v>
      </c>
      <c r="G36" s="28">
        <v>1</v>
      </c>
      <c r="H36" s="28">
        <v>80700</v>
      </c>
      <c r="I36" s="28" t="s">
        <v>17</v>
      </c>
      <c r="J36" s="28">
        <v>82228406</v>
      </c>
      <c r="K36" t="s">
        <v>1692</v>
      </c>
      <c r="L36" t="s">
        <v>1698</v>
      </c>
      <c r="M36" s="39">
        <v>199900</v>
      </c>
      <c r="N36" s="29" t="s">
        <v>2826</v>
      </c>
      <c r="O36" s="36" t="s">
        <v>3218</v>
      </c>
      <c r="P36" s="28" t="s">
        <v>2826</v>
      </c>
    </row>
    <row r="37" spans="1:16" x14ac:dyDescent="0.3">
      <c r="A37" s="25" t="s">
        <v>3217</v>
      </c>
      <c r="B37" s="26">
        <v>46108</v>
      </c>
      <c r="C37" s="26">
        <v>46113</v>
      </c>
      <c r="D37" s="27">
        <v>3319</v>
      </c>
      <c r="E37" s="25">
        <v>327</v>
      </c>
      <c r="F37" s="25">
        <v>2</v>
      </c>
      <c r="G37" s="28">
        <v>1</v>
      </c>
      <c r="H37" s="28">
        <v>80700</v>
      </c>
      <c r="I37" s="28" t="s">
        <v>17</v>
      </c>
      <c r="J37" s="28">
        <v>82228415</v>
      </c>
      <c r="K37" t="s">
        <v>1692</v>
      </c>
      <c r="L37" t="s">
        <v>1699</v>
      </c>
      <c r="M37" s="39">
        <v>199900</v>
      </c>
      <c r="N37" s="29" t="s">
        <v>2826</v>
      </c>
      <c r="O37" s="36" t="s">
        <v>3218</v>
      </c>
      <c r="P37" s="28" t="s">
        <v>2826</v>
      </c>
    </row>
    <row r="38" spans="1:16" x14ac:dyDescent="0.3">
      <c r="A38" s="25" t="s">
        <v>3217</v>
      </c>
      <c r="B38" s="26">
        <v>46108</v>
      </c>
      <c r="C38" s="26">
        <v>46113</v>
      </c>
      <c r="D38" s="27">
        <v>3319</v>
      </c>
      <c r="E38" s="25">
        <v>327</v>
      </c>
      <c r="F38" s="25">
        <v>2</v>
      </c>
      <c r="G38" s="28">
        <v>1</v>
      </c>
      <c r="H38" s="28">
        <v>80700</v>
      </c>
      <c r="I38" s="28" t="s">
        <v>17</v>
      </c>
      <c r="J38" s="28">
        <v>82228424</v>
      </c>
      <c r="K38" t="s">
        <v>1692</v>
      </c>
      <c r="L38" t="s">
        <v>1700</v>
      </c>
      <c r="M38" s="39">
        <v>199900</v>
      </c>
      <c r="N38" s="29" t="s">
        <v>2826</v>
      </c>
      <c r="O38" s="36" t="s">
        <v>3218</v>
      </c>
      <c r="P38" s="28" t="s">
        <v>2826</v>
      </c>
    </row>
    <row r="39" spans="1:16" x14ac:dyDescent="0.3">
      <c r="A39" s="25" t="s">
        <v>3217</v>
      </c>
      <c r="B39" s="26">
        <v>46108</v>
      </c>
      <c r="C39" s="26">
        <v>46113</v>
      </c>
      <c r="D39" s="28">
        <v>3319</v>
      </c>
      <c r="E39" s="28">
        <v>327</v>
      </c>
      <c r="F39" s="28">
        <v>2</v>
      </c>
      <c r="G39" s="28">
        <v>1</v>
      </c>
      <c r="H39" s="28">
        <v>80700</v>
      </c>
      <c r="I39" s="28" t="s">
        <v>17</v>
      </c>
      <c r="J39" s="28">
        <v>18476376</v>
      </c>
      <c r="K39" t="s">
        <v>2108</v>
      </c>
      <c r="L39" t="s">
        <v>2109</v>
      </c>
      <c r="M39" s="37">
        <v>199900</v>
      </c>
      <c r="N39" s="29" t="s">
        <v>2826</v>
      </c>
      <c r="O39" s="36" t="s">
        <v>3218</v>
      </c>
      <c r="P39" s="28" t="s">
        <v>2826</v>
      </c>
    </row>
    <row r="40" spans="1:16" x14ac:dyDescent="0.3">
      <c r="A40" s="25" t="s">
        <v>3217</v>
      </c>
      <c r="B40" s="26">
        <v>46108</v>
      </c>
      <c r="C40" s="26">
        <v>46113</v>
      </c>
      <c r="D40" s="28">
        <v>3319</v>
      </c>
      <c r="E40" s="28">
        <v>327</v>
      </c>
      <c r="F40" s="28">
        <v>2</v>
      </c>
      <c r="G40" s="28">
        <v>1</v>
      </c>
      <c r="H40" s="28">
        <v>80700</v>
      </c>
      <c r="I40" s="28" t="s">
        <v>17</v>
      </c>
      <c r="J40" s="28">
        <v>18476385</v>
      </c>
      <c r="K40" t="s">
        <v>2108</v>
      </c>
      <c r="L40" t="s">
        <v>2110</v>
      </c>
      <c r="M40" s="37">
        <v>199900</v>
      </c>
      <c r="N40" s="29" t="s">
        <v>2826</v>
      </c>
      <c r="O40" s="36" t="s">
        <v>3218</v>
      </c>
      <c r="P40" s="28" t="s">
        <v>2826</v>
      </c>
    </row>
    <row r="41" spans="1:16" x14ac:dyDescent="0.3">
      <c r="A41" s="25" t="s">
        <v>3217</v>
      </c>
      <c r="B41" s="26">
        <v>46108</v>
      </c>
      <c r="C41" s="26">
        <v>46113</v>
      </c>
      <c r="D41" s="28">
        <v>3319</v>
      </c>
      <c r="E41" s="28">
        <v>327</v>
      </c>
      <c r="F41" s="28">
        <v>2</v>
      </c>
      <c r="G41" s="28">
        <v>1</v>
      </c>
      <c r="H41" s="28">
        <v>80700</v>
      </c>
      <c r="I41" s="28" t="s">
        <v>17</v>
      </c>
      <c r="J41" s="28">
        <v>18476410</v>
      </c>
      <c r="K41" t="s">
        <v>2108</v>
      </c>
      <c r="L41" t="s">
        <v>2111</v>
      </c>
      <c r="M41" s="37">
        <v>199900</v>
      </c>
      <c r="N41" s="29" t="s">
        <v>2826</v>
      </c>
      <c r="O41" s="36" t="s">
        <v>3218</v>
      </c>
      <c r="P41" s="28" t="s">
        <v>2826</v>
      </c>
    </row>
    <row r="42" spans="1:16" x14ac:dyDescent="0.3">
      <c r="A42" s="25" t="s">
        <v>3217</v>
      </c>
      <c r="B42" s="26">
        <v>46108</v>
      </c>
      <c r="C42" s="26">
        <v>46113</v>
      </c>
      <c r="D42" s="28">
        <v>3319</v>
      </c>
      <c r="E42" s="28">
        <v>327</v>
      </c>
      <c r="F42" s="28">
        <v>2</v>
      </c>
      <c r="G42" s="28">
        <v>1</v>
      </c>
      <c r="H42" s="28">
        <v>80700</v>
      </c>
      <c r="I42" s="28" t="s">
        <v>17</v>
      </c>
      <c r="J42" s="28">
        <v>18476438</v>
      </c>
      <c r="K42" t="s">
        <v>2108</v>
      </c>
      <c r="L42" t="s">
        <v>2112</v>
      </c>
      <c r="M42" s="37">
        <v>199900</v>
      </c>
      <c r="N42" s="29" t="s">
        <v>2826</v>
      </c>
      <c r="O42" s="36" t="s">
        <v>3218</v>
      </c>
      <c r="P42" s="28" t="s">
        <v>2826</v>
      </c>
    </row>
    <row r="43" spans="1:16" x14ac:dyDescent="0.3">
      <c r="A43" s="25" t="s">
        <v>3217</v>
      </c>
      <c r="B43" s="26">
        <v>46108</v>
      </c>
      <c r="C43" s="26">
        <v>46113</v>
      </c>
      <c r="D43" s="28">
        <v>3319</v>
      </c>
      <c r="E43" s="28">
        <v>327</v>
      </c>
      <c r="F43" s="28">
        <v>2</v>
      </c>
      <c r="G43" s="28">
        <v>1</v>
      </c>
      <c r="H43" s="28">
        <v>80700</v>
      </c>
      <c r="I43" s="28" t="s">
        <v>17</v>
      </c>
      <c r="J43" s="28">
        <v>18476447</v>
      </c>
      <c r="K43" t="s">
        <v>2108</v>
      </c>
      <c r="L43" t="s">
        <v>2113</v>
      </c>
      <c r="M43" s="37">
        <v>199900</v>
      </c>
      <c r="N43" s="29" t="s">
        <v>2826</v>
      </c>
      <c r="O43" s="36" t="s">
        <v>3218</v>
      </c>
      <c r="P43" s="28" t="s">
        <v>2826</v>
      </c>
    </row>
    <row r="44" spans="1:16" x14ac:dyDescent="0.3">
      <c r="A44" s="25" t="s">
        <v>3217</v>
      </c>
      <c r="B44" s="26">
        <v>46108</v>
      </c>
      <c r="C44" s="26">
        <v>46113</v>
      </c>
      <c r="D44" s="28">
        <v>3319</v>
      </c>
      <c r="E44" s="28">
        <v>327</v>
      </c>
      <c r="F44" s="28">
        <v>2</v>
      </c>
      <c r="G44" s="28">
        <v>1</v>
      </c>
      <c r="H44" s="28">
        <v>81778</v>
      </c>
      <c r="I44" s="28" t="s">
        <v>17</v>
      </c>
      <c r="J44" s="28">
        <v>15806176</v>
      </c>
      <c r="K44" t="s">
        <v>2124</v>
      </c>
      <c r="L44" t="s">
        <v>2125</v>
      </c>
      <c r="M44" s="37">
        <v>199900</v>
      </c>
      <c r="N44" s="29" t="s">
        <v>2826</v>
      </c>
      <c r="O44" s="36" t="s">
        <v>3218</v>
      </c>
      <c r="P44" s="28" t="s">
        <v>2826</v>
      </c>
    </row>
    <row r="45" spans="1:16" x14ac:dyDescent="0.3">
      <c r="A45" s="25" t="s">
        <v>3217</v>
      </c>
      <c r="B45" s="26">
        <v>46108</v>
      </c>
      <c r="C45" s="26">
        <v>46113</v>
      </c>
      <c r="D45" s="28">
        <v>3319</v>
      </c>
      <c r="E45" s="28">
        <v>327</v>
      </c>
      <c r="F45" s="28">
        <v>2</v>
      </c>
      <c r="G45" s="28">
        <v>1</v>
      </c>
      <c r="H45" s="28">
        <v>81778</v>
      </c>
      <c r="I45" s="28" t="s">
        <v>17</v>
      </c>
      <c r="J45" s="28">
        <v>15806185</v>
      </c>
      <c r="K45" t="s">
        <v>2124</v>
      </c>
      <c r="L45" t="s">
        <v>2126</v>
      </c>
      <c r="M45" s="37">
        <v>199900</v>
      </c>
      <c r="N45" s="29" t="s">
        <v>2826</v>
      </c>
      <c r="O45" s="36" t="s">
        <v>3218</v>
      </c>
      <c r="P45" s="28" t="s">
        <v>2826</v>
      </c>
    </row>
    <row r="46" spans="1:16" x14ac:dyDescent="0.3">
      <c r="A46" s="25" t="s">
        <v>3217</v>
      </c>
      <c r="B46" s="26">
        <v>46108</v>
      </c>
      <c r="C46" s="26">
        <v>46113</v>
      </c>
      <c r="D46" s="28">
        <v>3319</v>
      </c>
      <c r="E46" s="28">
        <v>327</v>
      </c>
      <c r="F46" s="28">
        <v>2</v>
      </c>
      <c r="G46" s="28">
        <v>1</v>
      </c>
      <c r="H46" s="28">
        <v>81778</v>
      </c>
      <c r="I46" s="28" t="s">
        <v>17</v>
      </c>
      <c r="J46" s="28">
        <v>15806194</v>
      </c>
      <c r="K46" t="s">
        <v>2124</v>
      </c>
      <c r="L46" t="s">
        <v>2127</v>
      </c>
      <c r="M46" s="37">
        <v>199900</v>
      </c>
      <c r="N46" s="29" t="s">
        <v>2826</v>
      </c>
      <c r="O46" s="36" t="s">
        <v>3218</v>
      </c>
      <c r="P46" s="28" t="s">
        <v>2826</v>
      </c>
    </row>
    <row r="47" spans="1:16" x14ac:dyDescent="0.3">
      <c r="A47" s="25" t="s">
        <v>3217</v>
      </c>
      <c r="B47" s="26">
        <v>46108</v>
      </c>
      <c r="C47" s="26">
        <v>46113</v>
      </c>
      <c r="D47" s="28">
        <v>3319</v>
      </c>
      <c r="E47" s="28">
        <v>327</v>
      </c>
      <c r="F47" s="28">
        <v>2</v>
      </c>
      <c r="G47" s="28">
        <v>1</v>
      </c>
      <c r="H47" s="28">
        <v>81778</v>
      </c>
      <c r="I47" s="28" t="s">
        <v>17</v>
      </c>
      <c r="J47" s="28">
        <v>15806201</v>
      </c>
      <c r="K47" t="s">
        <v>2124</v>
      </c>
      <c r="L47" t="s">
        <v>2128</v>
      </c>
      <c r="M47" s="37">
        <v>199900</v>
      </c>
      <c r="N47" s="29" t="s">
        <v>2826</v>
      </c>
      <c r="O47" s="36" t="s">
        <v>3218</v>
      </c>
      <c r="P47" s="28" t="s">
        <v>2826</v>
      </c>
    </row>
    <row r="48" spans="1:16" x14ac:dyDescent="0.3">
      <c r="A48" s="25" t="s">
        <v>3217</v>
      </c>
      <c r="B48" s="26">
        <v>46108</v>
      </c>
      <c r="C48" s="26">
        <v>46113</v>
      </c>
      <c r="D48" s="28">
        <v>3319</v>
      </c>
      <c r="E48" s="28">
        <v>327</v>
      </c>
      <c r="F48" s="28">
        <v>2</v>
      </c>
      <c r="G48" s="28">
        <v>1</v>
      </c>
      <c r="H48" s="28">
        <v>81778</v>
      </c>
      <c r="I48" s="28" t="s">
        <v>17</v>
      </c>
      <c r="J48" s="28">
        <v>15806167</v>
      </c>
      <c r="K48" t="s">
        <v>2124</v>
      </c>
      <c r="L48" t="s">
        <v>2135</v>
      </c>
      <c r="M48" s="37">
        <v>199900</v>
      </c>
      <c r="N48" s="29" t="s">
        <v>2826</v>
      </c>
      <c r="O48" s="36" t="s">
        <v>3218</v>
      </c>
      <c r="P48" s="28" t="s">
        <v>2826</v>
      </c>
    </row>
    <row r="49" spans="1:16" x14ac:dyDescent="0.3">
      <c r="A49" s="25" t="s">
        <v>3217</v>
      </c>
      <c r="B49" s="26">
        <v>46108</v>
      </c>
      <c r="C49" s="26">
        <v>46113</v>
      </c>
      <c r="D49" s="27">
        <v>3319</v>
      </c>
      <c r="E49" s="25">
        <v>327</v>
      </c>
      <c r="F49" s="27">
        <v>2</v>
      </c>
      <c r="G49" s="28">
        <v>1</v>
      </c>
      <c r="H49" s="28">
        <v>80700</v>
      </c>
      <c r="I49" s="28" t="s">
        <v>17</v>
      </c>
      <c r="J49" s="28">
        <v>15909805</v>
      </c>
      <c r="K49" t="s">
        <v>2220</v>
      </c>
      <c r="L49" t="s">
        <v>2236</v>
      </c>
      <c r="M49" s="37">
        <v>199900</v>
      </c>
      <c r="N49" s="29" t="s">
        <v>2826</v>
      </c>
      <c r="O49" s="36" t="s">
        <v>3218</v>
      </c>
      <c r="P49" s="28" t="s">
        <v>2826</v>
      </c>
    </row>
    <row r="50" spans="1:16" x14ac:dyDescent="0.3">
      <c r="A50" s="25" t="s">
        <v>3217</v>
      </c>
      <c r="B50" s="26">
        <v>46108</v>
      </c>
      <c r="C50" s="26">
        <v>46113</v>
      </c>
      <c r="D50" s="27">
        <v>3319</v>
      </c>
      <c r="E50" s="25">
        <v>327</v>
      </c>
      <c r="F50" s="27">
        <v>2</v>
      </c>
      <c r="G50" s="28">
        <v>1</v>
      </c>
      <c r="H50" s="28">
        <v>80700</v>
      </c>
      <c r="I50" s="28" t="s">
        <v>17</v>
      </c>
      <c r="J50" s="28">
        <v>15909814</v>
      </c>
      <c r="K50" t="s">
        <v>2220</v>
      </c>
      <c r="L50" t="s">
        <v>2237</v>
      </c>
      <c r="M50" s="37">
        <v>199900</v>
      </c>
      <c r="N50" s="29" t="s">
        <v>2826</v>
      </c>
      <c r="O50" s="36" t="s">
        <v>3218</v>
      </c>
      <c r="P50" s="28" t="s">
        <v>2826</v>
      </c>
    </row>
    <row r="51" spans="1:16" x14ac:dyDescent="0.3">
      <c r="A51" s="25" t="s">
        <v>3217</v>
      </c>
      <c r="B51" s="26">
        <v>46108</v>
      </c>
      <c r="C51" s="26">
        <v>46113</v>
      </c>
      <c r="D51" s="27">
        <v>3319</v>
      </c>
      <c r="E51" s="25">
        <v>327</v>
      </c>
      <c r="F51" s="27">
        <v>2</v>
      </c>
      <c r="G51" s="28">
        <v>1</v>
      </c>
      <c r="H51" s="28">
        <v>80700</v>
      </c>
      <c r="I51" s="28" t="s">
        <v>17</v>
      </c>
      <c r="J51" s="28">
        <v>15909823</v>
      </c>
      <c r="K51" t="s">
        <v>2220</v>
      </c>
      <c r="L51" t="s">
        <v>2238</v>
      </c>
      <c r="M51" s="37">
        <v>199900</v>
      </c>
      <c r="N51" s="29" t="s">
        <v>2826</v>
      </c>
      <c r="O51" s="36" t="s">
        <v>3218</v>
      </c>
      <c r="P51" s="28" t="s">
        <v>2826</v>
      </c>
    </row>
    <row r="52" spans="1:16" x14ac:dyDescent="0.3">
      <c r="A52" s="25" t="s">
        <v>3217</v>
      </c>
      <c r="B52" s="26">
        <v>46108</v>
      </c>
      <c r="C52" s="26">
        <v>46113</v>
      </c>
      <c r="D52" s="27">
        <v>3319</v>
      </c>
      <c r="E52" s="25">
        <v>327</v>
      </c>
      <c r="F52" s="27">
        <v>2</v>
      </c>
      <c r="G52" s="28">
        <v>1</v>
      </c>
      <c r="H52" s="28">
        <v>80700</v>
      </c>
      <c r="I52" s="28" t="s">
        <v>17</v>
      </c>
      <c r="J52" s="28">
        <v>15909832</v>
      </c>
      <c r="K52" t="s">
        <v>2220</v>
      </c>
      <c r="L52" t="s">
        <v>2239</v>
      </c>
      <c r="M52" s="37">
        <v>199900</v>
      </c>
      <c r="N52" s="29" t="s">
        <v>2826</v>
      </c>
      <c r="O52" s="36" t="s">
        <v>3218</v>
      </c>
      <c r="P52" s="28" t="s">
        <v>2826</v>
      </c>
    </row>
    <row r="53" spans="1:16" x14ac:dyDescent="0.3">
      <c r="A53" s="25" t="s">
        <v>3217</v>
      </c>
      <c r="B53" s="26">
        <v>46108</v>
      </c>
      <c r="C53" s="26">
        <v>46113</v>
      </c>
      <c r="D53" s="27">
        <v>3319</v>
      </c>
      <c r="E53" s="25">
        <v>327</v>
      </c>
      <c r="F53" s="27">
        <v>2</v>
      </c>
      <c r="G53" s="28">
        <v>1</v>
      </c>
      <c r="H53" s="28">
        <v>80700</v>
      </c>
      <c r="I53" s="28" t="s">
        <v>17</v>
      </c>
      <c r="J53" s="28">
        <v>15909841</v>
      </c>
      <c r="K53" t="s">
        <v>2220</v>
      </c>
      <c r="L53" t="s">
        <v>2240</v>
      </c>
      <c r="M53" s="37">
        <v>199900</v>
      </c>
      <c r="N53" s="29" t="s">
        <v>2826</v>
      </c>
      <c r="O53" s="36" t="s">
        <v>3218</v>
      </c>
      <c r="P53" s="28" t="s">
        <v>2826</v>
      </c>
    </row>
    <row r="54" spans="1:16" x14ac:dyDescent="0.3">
      <c r="A54" s="25" t="s">
        <v>3217</v>
      </c>
      <c r="B54" s="26">
        <v>46108</v>
      </c>
      <c r="C54" s="26">
        <v>46113</v>
      </c>
      <c r="D54" s="27">
        <v>3319</v>
      </c>
      <c r="E54" s="25">
        <v>327</v>
      </c>
      <c r="F54" s="27">
        <v>2</v>
      </c>
      <c r="G54" s="28">
        <v>1</v>
      </c>
      <c r="H54" s="28">
        <v>80700</v>
      </c>
      <c r="I54" s="28" t="s">
        <v>17</v>
      </c>
      <c r="J54" s="28">
        <v>15909798</v>
      </c>
      <c r="K54" t="s">
        <v>2220</v>
      </c>
      <c r="L54" t="s">
        <v>2235</v>
      </c>
      <c r="M54" s="37">
        <v>199900</v>
      </c>
      <c r="N54" s="29" t="s">
        <v>2826</v>
      </c>
      <c r="O54" s="36" t="s">
        <v>3218</v>
      </c>
      <c r="P54" s="28" t="s">
        <v>2826</v>
      </c>
    </row>
    <row r="55" spans="1:16" x14ac:dyDescent="0.3">
      <c r="A55" s="25" t="s">
        <v>3217</v>
      </c>
      <c r="B55" s="26">
        <v>46108</v>
      </c>
      <c r="C55" s="26">
        <v>46113</v>
      </c>
      <c r="D55" s="27">
        <v>3319</v>
      </c>
      <c r="E55" s="25">
        <v>327</v>
      </c>
      <c r="F55" s="27">
        <v>2</v>
      </c>
      <c r="G55" s="28">
        <v>1</v>
      </c>
      <c r="H55" s="28">
        <v>80700</v>
      </c>
      <c r="I55" s="28" t="s">
        <v>17</v>
      </c>
      <c r="J55" s="28">
        <v>15909789</v>
      </c>
      <c r="K55" t="s">
        <v>2220</v>
      </c>
      <c r="L55" t="s">
        <v>2234</v>
      </c>
      <c r="M55" s="37">
        <v>199900</v>
      </c>
      <c r="N55" s="29" t="s">
        <v>2826</v>
      </c>
      <c r="O55" s="36" t="s">
        <v>3218</v>
      </c>
      <c r="P55" s="28" t="s">
        <v>2826</v>
      </c>
    </row>
    <row r="56" spans="1:16" x14ac:dyDescent="0.3">
      <c r="A56" s="25" t="s">
        <v>3217</v>
      </c>
      <c r="B56" s="26">
        <v>46108</v>
      </c>
      <c r="C56" s="26">
        <v>46113</v>
      </c>
      <c r="D56" s="27">
        <v>3319</v>
      </c>
      <c r="E56" s="25">
        <v>327</v>
      </c>
      <c r="F56" s="27">
        <v>2</v>
      </c>
      <c r="G56" s="28">
        <v>1</v>
      </c>
      <c r="H56" s="28">
        <v>80700</v>
      </c>
      <c r="I56" s="28" t="s">
        <v>17</v>
      </c>
      <c r="J56" s="28">
        <v>15909752</v>
      </c>
      <c r="K56" t="s">
        <v>2220</v>
      </c>
      <c r="L56" t="s">
        <v>2231</v>
      </c>
      <c r="M56" s="37">
        <v>199900</v>
      </c>
      <c r="N56" s="29" t="s">
        <v>2826</v>
      </c>
      <c r="O56" s="36" t="s">
        <v>3218</v>
      </c>
      <c r="P56" s="28" t="s">
        <v>2826</v>
      </c>
    </row>
    <row r="57" spans="1:16" x14ac:dyDescent="0.3">
      <c r="A57" s="25" t="s">
        <v>3217</v>
      </c>
      <c r="B57" s="26">
        <v>46108</v>
      </c>
      <c r="C57" s="26">
        <v>46113</v>
      </c>
      <c r="D57" s="27">
        <v>3319</v>
      </c>
      <c r="E57" s="25">
        <v>327</v>
      </c>
      <c r="F57" s="27">
        <v>2</v>
      </c>
      <c r="G57" s="28">
        <v>1</v>
      </c>
      <c r="H57" s="28">
        <v>80700</v>
      </c>
      <c r="I57" s="28" t="s">
        <v>17</v>
      </c>
      <c r="J57" s="28">
        <v>15909761</v>
      </c>
      <c r="K57" t="s">
        <v>2220</v>
      </c>
      <c r="L57" t="s">
        <v>2232</v>
      </c>
      <c r="M57" s="37">
        <v>199900</v>
      </c>
      <c r="N57" s="29" t="s">
        <v>2826</v>
      </c>
      <c r="O57" s="36" t="s">
        <v>3218</v>
      </c>
      <c r="P57" s="28" t="s">
        <v>2826</v>
      </c>
    </row>
    <row r="58" spans="1:16" x14ac:dyDescent="0.3">
      <c r="A58" s="25" t="s">
        <v>3217</v>
      </c>
      <c r="B58" s="26">
        <v>46108</v>
      </c>
      <c r="C58" s="26">
        <v>46113</v>
      </c>
      <c r="D58" s="27">
        <v>3319</v>
      </c>
      <c r="E58" s="25">
        <v>327</v>
      </c>
      <c r="F58" s="27">
        <v>2</v>
      </c>
      <c r="G58" s="28">
        <v>1</v>
      </c>
      <c r="H58" s="28">
        <v>80700</v>
      </c>
      <c r="I58" s="28" t="s">
        <v>17</v>
      </c>
      <c r="J58" s="28">
        <v>15909770</v>
      </c>
      <c r="K58" t="s">
        <v>2220</v>
      </c>
      <c r="L58" t="s">
        <v>2233</v>
      </c>
      <c r="M58" s="37">
        <v>199900</v>
      </c>
      <c r="N58" s="29" t="s">
        <v>2826</v>
      </c>
      <c r="O58" s="36" t="s">
        <v>3218</v>
      </c>
      <c r="P58" s="28" t="s">
        <v>2826</v>
      </c>
    </row>
    <row r="59" spans="1:16" x14ac:dyDescent="0.3">
      <c r="A59" s="25" t="s">
        <v>3217</v>
      </c>
      <c r="B59" s="26">
        <v>46108</v>
      </c>
      <c r="C59" s="26">
        <v>46113</v>
      </c>
      <c r="D59" s="27">
        <v>3319</v>
      </c>
      <c r="E59" s="25">
        <v>327</v>
      </c>
      <c r="F59" s="27">
        <v>2</v>
      </c>
      <c r="G59" s="28">
        <v>1</v>
      </c>
      <c r="H59" s="28">
        <v>80700</v>
      </c>
      <c r="I59" s="28" t="s">
        <v>17</v>
      </c>
      <c r="J59">
        <v>13838949</v>
      </c>
      <c r="K59" t="s">
        <v>1268</v>
      </c>
      <c r="L59" t="s">
        <v>2713</v>
      </c>
      <c r="M59" s="37">
        <v>159900</v>
      </c>
      <c r="N59" s="29" t="s">
        <v>2826</v>
      </c>
      <c r="O59" s="36" t="s">
        <v>3218</v>
      </c>
      <c r="P59" s="28" t="s">
        <v>2826</v>
      </c>
    </row>
    <row r="60" spans="1:16" x14ac:dyDescent="0.3">
      <c r="A60" s="25" t="s">
        <v>3217</v>
      </c>
      <c r="B60" s="26">
        <v>46108</v>
      </c>
      <c r="C60" s="26">
        <v>46113</v>
      </c>
      <c r="D60" s="27">
        <v>3319</v>
      </c>
      <c r="E60" s="25">
        <v>327</v>
      </c>
      <c r="F60" s="27">
        <v>2</v>
      </c>
      <c r="G60" s="28">
        <v>1</v>
      </c>
      <c r="H60" s="28">
        <v>80700</v>
      </c>
      <c r="I60" s="28" t="s">
        <v>17</v>
      </c>
      <c r="J60">
        <v>13838958</v>
      </c>
      <c r="K60" t="s">
        <v>1268</v>
      </c>
      <c r="L60" t="s">
        <v>2714</v>
      </c>
      <c r="M60" s="37">
        <v>159900</v>
      </c>
      <c r="N60" s="29" t="s">
        <v>2826</v>
      </c>
      <c r="O60" s="36" t="s">
        <v>3218</v>
      </c>
      <c r="P60" s="28" t="s">
        <v>2826</v>
      </c>
    </row>
    <row r="61" spans="1:16" x14ac:dyDescent="0.3">
      <c r="A61" s="25" t="s">
        <v>3217</v>
      </c>
      <c r="B61" s="26">
        <v>46108</v>
      </c>
      <c r="C61" s="26">
        <v>46113</v>
      </c>
      <c r="D61" s="27">
        <v>3319</v>
      </c>
      <c r="E61" s="25">
        <v>327</v>
      </c>
      <c r="F61" s="27">
        <v>2</v>
      </c>
      <c r="G61" s="28">
        <v>1</v>
      </c>
      <c r="H61" s="28">
        <v>80700</v>
      </c>
      <c r="I61" s="28" t="s">
        <v>17</v>
      </c>
      <c r="J61">
        <v>13838967</v>
      </c>
      <c r="K61" t="s">
        <v>1268</v>
      </c>
      <c r="L61" t="s">
        <v>2715</v>
      </c>
      <c r="M61" s="37">
        <v>159900</v>
      </c>
      <c r="N61" s="29" t="s">
        <v>2826</v>
      </c>
      <c r="O61" s="36" t="s">
        <v>3218</v>
      </c>
      <c r="P61" s="28" t="s">
        <v>2826</v>
      </c>
    </row>
    <row r="62" spans="1:16" x14ac:dyDescent="0.3">
      <c r="A62" s="25" t="s">
        <v>3217</v>
      </c>
      <c r="B62" s="26">
        <v>46108</v>
      </c>
      <c r="C62" s="26">
        <v>46113</v>
      </c>
      <c r="D62" s="27">
        <v>3319</v>
      </c>
      <c r="E62" s="25">
        <v>327</v>
      </c>
      <c r="F62" s="27">
        <v>2</v>
      </c>
      <c r="G62" s="28">
        <v>1</v>
      </c>
      <c r="H62" s="28">
        <v>80700</v>
      </c>
      <c r="I62" s="28" t="s">
        <v>17</v>
      </c>
      <c r="J62">
        <v>13838976</v>
      </c>
      <c r="K62" t="s">
        <v>1268</v>
      </c>
      <c r="L62" t="s">
        <v>2716</v>
      </c>
      <c r="M62" s="37">
        <v>159900</v>
      </c>
      <c r="N62" s="29" t="s">
        <v>2826</v>
      </c>
      <c r="O62" s="36" t="s">
        <v>3218</v>
      </c>
      <c r="P62" s="28" t="s">
        <v>2826</v>
      </c>
    </row>
    <row r="63" spans="1:16" x14ac:dyDescent="0.3">
      <c r="A63" s="25" t="s">
        <v>3217</v>
      </c>
      <c r="B63" s="26">
        <v>46108</v>
      </c>
      <c r="C63" s="26">
        <v>46113</v>
      </c>
      <c r="D63" s="27">
        <v>3319</v>
      </c>
      <c r="E63" s="25">
        <v>327</v>
      </c>
      <c r="F63" s="27">
        <v>2</v>
      </c>
      <c r="G63" s="28">
        <v>1</v>
      </c>
      <c r="H63" s="28">
        <v>80700</v>
      </c>
      <c r="I63" s="28" t="s">
        <v>17</v>
      </c>
      <c r="J63">
        <v>13838752</v>
      </c>
      <c r="K63" t="s">
        <v>2717</v>
      </c>
      <c r="L63" t="s">
        <v>2718</v>
      </c>
      <c r="M63" s="37">
        <v>159900</v>
      </c>
      <c r="N63" s="29" t="s">
        <v>2826</v>
      </c>
      <c r="O63" s="36" t="s">
        <v>3218</v>
      </c>
      <c r="P63" s="28" t="s">
        <v>2826</v>
      </c>
    </row>
    <row r="64" spans="1:16" x14ac:dyDescent="0.3">
      <c r="A64" s="25" t="s">
        <v>3217</v>
      </c>
      <c r="B64" s="26">
        <v>46108</v>
      </c>
      <c r="C64" s="26">
        <v>46113</v>
      </c>
      <c r="D64" s="27">
        <v>3319</v>
      </c>
      <c r="E64" s="25">
        <v>327</v>
      </c>
      <c r="F64" s="27">
        <v>2</v>
      </c>
      <c r="G64" s="28">
        <v>1</v>
      </c>
      <c r="H64" s="28">
        <v>80700</v>
      </c>
      <c r="I64" s="28" t="s">
        <v>17</v>
      </c>
      <c r="J64">
        <v>13838761</v>
      </c>
      <c r="K64" t="s">
        <v>2717</v>
      </c>
      <c r="L64" t="s">
        <v>2719</v>
      </c>
      <c r="M64" s="37">
        <v>159900</v>
      </c>
      <c r="N64" s="29" t="s">
        <v>2826</v>
      </c>
      <c r="O64" s="36" t="s">
        <v>3218</v>
      </c>
      <c r="P64" s="28" t="s">
        <v>2826</v>
      </c>
    </row>
    <row r="65" spans="1:16" x14ac:dyDescent="0.3">
      <c r="A65" s="25" t="s">
        <v>3217</v>
      </c>
      <c r="B65" s="26">
        <v>46108</v>
      </c>
      <c r="C65" s="26">
        <v>46113</v>
      </c>
      <c r="D65" s="27">
        <v>3319</v>
      </c>
      <c r="E65" s="25">
        <v>327</v>
      </c>
      <c r="F65" s="27">
        <v>2</v>
      </c>
      <c r="G65" s="28">
        <v>1</v>
      </c>
      <c r="H65" s="28">
        <v>80700</v>
      </c>
      <c r="I65" s="28" t="s">
        <v>17</v>
      </c>
      <c r="J65">
        <v>13838770</v>
      </c>
      <c r="K65" t="s">
        <v>2717</v>
      </c>
      <c r="L65" t="s">
        <v>2720</v>
      </c>
      <c r="M65" s="37">
        <v>159900</v>
      </c>
      <c r="N65" s="29" t="s">
        <v>2826</v>
      </c>
      <c r="O65" s="36" t="s">
        <v>3218</v>
      </c>
      <c r="P65" s="28" t="s">
        <v>2826</v>
      </c>
    </row>
    <row r="66" spans="1:16" x14ac:dyDescent="0.3">
      <c r="A66" s="25" t="s">
        <v>3217</v>
      </c>
      <c r="B66" s="26">
        <v>46108</v>
      </c>
      <c r="C66" s="26">
        <v>46113</v>
      </c>
      <c r="D66" s="27">
        <v>3319</v>
      </c>
      <c r="E66" s="25">
        <v>327</v>
      </c>
      <c r="F66" s="27">
        <v>2</v>
      </c>
      <c r="G66" s="28">
        <v>1</v>
      </c>
      <c r="H66" s="28">
        <v>80700</v>
      </c>
      <c r="I66" s="28" t="s">
        <v>17</v>
      </c>
      <c r="J66">
        <v>13838789</v>
      </c>
      <c r="K66" t="s">
        <v>2717</v>
      </c>
      <c r="L66" t="s">
        <v>2721</v>
      </c>
      <c r="M66" s="37">
        <v>159900</v>
      </c>
      <c r="N66" s="29" t="s">
        <v>2826</v>
      </c>
      <c r="O66" s="36" t="s">
        <v>3218</v>
      </c>
      <c r="P66" s="28" t="s">
        <v>2826</v>
      </c>
    </row>
    <row r="67" spans="1:16" x14ac:dyDescent="0.3">
      <c r="A67" s="25" t="s">
        <v>3217</v>
      </c>
      <c r="B67" s="26">
        <v>46108</v>
      </c>
      <c r="C67" s="26">
        <v>46113</v>
      </c>
      <c r="D67" s="27">
        <v>3319</v>
      </c>
      <c r="E67" s="25">
        <v>327</v>
      </c>
      <c r="F67" s="27">
        <v>2</v>
      </c>
      <c r="G67" s="28">
        <v>1</v>
      </c>
      <c r="H67" s="28">
        <v>80700</v>
      </c>
      <c r="I67" s="28" t="s">
        <v>17</v>
      </c>
      <c r="J67">
        <v>13838716</v>
      </c>
      <c r="K67" t="s">
        <v>2717</v>
      </c>
      <c r="L67" t="s">
        <v>2722</v>
      </c>
      <c r="M67" s="37">
        <v>159900</v>
      </c>
      <c r="N67" s="29" t="s">
        <v>2826</v>
      </c>
      <c r="O67" s="36" t="s">
        <v>3218</v>
      </c>
      <c r="P67" s="28" t="s">
        <v>2826</v>
      </c>
    </row>
    <row r="68" spans="1:16" x14ac:dyDescent="0.3">
      <c r="A68" s="25" t="s">
        <v>3217</v>
      </c>
      <c r="B68" s="26">
        <v>46108</v>
      </c>
      <c r="C68" s="26">
        <v>46113</v>
      </c>
      <c r="D68" s="27">
        <v>3319</v>
      </c>
      <c r="E68" s="25">
        <v>327</v>
      </c>
      <c r="F68" s="27">
        <v>2</v>
      </c>
      <c r="G68" s="28">
        <v>1</v>
      </c>
      <c r="H68" s="28">
        <v>80700</v>
      </c>
      <c r="I68" s="28" t="s">
        <v>17</v>
      </c>
      <c r="J68">
        <v>13838725</v>
      </c>
      <c r="K68" t="s">
        <v>2717</v>
      </c>
      <c r="L68" t="s">
        <v>2723</v>
      </c>
      <c r="M68" s="37">
        <v>159900</v>
      </c>
      <c r="N68" s="29" t="s">
        <v>2826</v>
      </c>
      <c r="O68" s="36" t="s">
        <v>3218</v>
      </c>
      <c r="P68" s="28" t="s">
        <v>2826</v>
      </c>
    </row>
    <row r="69" spans="1:16" x14ac:dyDescent="0.3">
      <c r="A69" s="25" t="s">
        <v>3217</v>
      </c>
      <c r="B69" s="26">
        <v>46108</v>
      </c>
      <c r="C69" s="26">
        <v>46113</v>
      </c>
      <c r="D69" s="27">
        <v>3319</v>
      </c>
      <c r="E69" s="25">
        <v>327</v>
      </c>
      <c r="F69" s="27">
        <v>2</v>
      </c>
      <c r="G69" s="28">
        <v>1</v>
      </c>
      <c r="H69" s="28">
        <v>80700</v>
      </c>
      <c r="I69" s="28" t="s">
        <v>17</v>
      </c>
      <c r="J69">
        <v>13838734</v>
      </c>
      <c r="K69" t="s">
        <v>2717</v>
      </c>
      <c r="L69" t="s">
        <v>2724</v>
      </c>
      <c r="M69" s="37">
        <v>159900</v>
      </c>
      <c r="N69" s="29" t="s">
        <v>2826</v>
      </c>
      <c r="O69" s="36" t="s">
        <v>3218</v>
      </c>
      <c r="P69" s="28" t="s">
        <v>2826</v>
      </c>
    </row>
    <row r="70" spans="1:16" x14ac:dyDescent="0.3">
      <c r="A70" s="25" t="s">
        <v>3217</v>
      </c>
      <c r="B70" s="26">
        <v>46108</v>
      </c>
      <c r="C70" s="26">
        <v>46113</v>
      </c>
      <c r="D70" s="27">
        <v>3319</v>
      </c>
      <c r="E70" s="25">
        <v>327</v>
      </c>
      <c r="F70" s="27">
        <v>2</v>
      </c>
      <c r="G70" s="28">
        <v>1</v>
      </c>
      <c r="H70" s="28">
        <v>80700</v>
      </c>
      <c r="I70" s="28" t="s">
        <v>17</v>
      </c>
      <c r="J70">
        <v>13838743</v>
      </c>
      <c r="K70" t="s">
        <v>2717</v>
      </c>
      <c r="L70" t="s">
        <v>2725</v>
      </c>
      <c r="M70" s="37">
        <v>159900</v>
      </c>
      <c r="N70" s="29" t="s">
        <v>2826</v>
      </c>
      <c r="O70" s="36" t="s">
        <v>3218</v>
      </c>
      <c r="P70" s="28" t="s">
        <v>2826</v>
      </c>
    </row>
    <row r="71" spans="1:16" x14ac:dyDescent="0.3">
      <c r="A71" s="25" t="s">
        <v>3217</v>
      </c>
      <c r="B71" s="26">
        <v>46108</v>
      </c>
      <c r="C71" s="26">
        <v>46113</v>
      </c>
      <c r="D71" s="27">
        <v>3319</v>
      </c>
      <c r="E71" s="25">
        <v>327</v>
      </c>
      <c r="F71" s="27">
        <v>2</v>
      </c>
      <c r="G71" s="28">
        <v>1</v>
      </c>
      <c r="H71">
        <v>81778</v>
      </c>
      <c r="I71" s="28" t="s">
        <v>17</v>
      </c>
      <c r="J71">
        <v>13838485</v>
      </c>
      <c r="K71" t="s">
        <v>2726</v>
      </c>
      <c r="L71" t="s">
        <v>2727</v>
      </c>
      <c r="M71" s="37">
        <v>179900</v>
      </c>
      <c r="N71" s="29" t="s">
        <v>2826</v>
      </c>
      <c r="O71" s="36" t="s">
        <v>3218</v>
      </c>
      <c r="P71" s="28" t="s">
        <v>2826</v>
      </c>
    </row>
    <row r="72" spans="1:16" x14ac:dyDescent="0.3">
      <c r="A72" s="25" t="s">
        <v>3217</v>
      </c>
      <c r="B72" s="26">
        <v>46108</v>
      </c>
      <c r="C72" s="26">
        <v>46113</v>
      </c>
      <c r="D72" s="27">
        <v>3319</v>
      </c>
      <c r="E72" s="25">
        <v>327</v>
      </c>
      <c r="F72" s="27">
        <v>2</v>
      </c>
      <c r="G72" s="28">
        <v>1</v>
      </c>
      <c r="H72">
        <v>81778</v>
      </c>
      <c r="I72" s="28" t="s">
        <v>17</v>
      </c>
      <c r="J72">
        <v>13838494</v>
      </c>
      <c r="K72" t="s">
        <v>2726</v>
      </c>
      <c r="L72" t="s">
        <v>2728</v>
      </c>
      <c r="M72" s="37">
        <v>179900</v>
      </c>
      <c r="N72" s="29" t="s">
        <v>2826</v>
      </c>
      <c r="O72" s="36" t="s">
        <v>3218</v>
      </c>
      <c r="P72" s="28" t="s">
        <v>2826</v>
      </c>
    </row>
    <row r="73" spans="1:16" x14ac:dyDescent="0.3">
      <c r="A73" s="25" t="s">
        <v>3217</v>
      </c>
      <c r="B73" s="26">
        <v>46108</v>
      </c>
      <c r="C73" s="26">
        <v>46113</v>
      </c>
      <c r="D73" s="27">
        <v>3319</v>
      </c>
      <c r="E73" s="25">
        <v>327</v>
      </c>
      <c r="F73" s="27">
        <v>2</v>
      </c>
      <c r="G73" s="28">
        <v>1</v>
      </c>
      <c r="H73">
        <v>81778</v>
      </c>
      <c r="I73" s="28" t="s">
        <v>17</v>
      </c>
      <c r="J73">
        <v>13838501</v>
      </c>
      <c r="K73" t="s">
        <v>2726</v>
      </c>
      <c r="L73" t="s">
        <v>2729</v>
      </c>
      <c r="M73" s="37">
        <v>179900</v>
      </c>
      <c r="N73" s="29" t="s">
        <v>2826</v>
      </c>
      <c r="O73" s="36" t="s">
        <v>3218</v>
      </c>
      <c r="P73" s="28" t="s">
        <v>2826</v>
      </c>
    </row>
    <row r="74" spans="1:16" x14ac:dyDescent="0.3">
      <c r="A74" s="25" t="s">
        <v>3217</v>
      </c>
      <c r="B74" s="26">
        <v>46108</v>
      </c>
      <c r="C74" s="26">
        <v>46113</v>
      </c>
      <c r="D74" s="27">
        <v>3319</v>
      </c>
      <c r="E74" s="25">
        <v>327</v>
      </c>
      <c r="F74" s="27">
        <v>2</v>
      </c>
      <c r="G74" s="28">
        <v>1</v>
      </c>
      <c r="H74">
        <v>81778</v>
      </c>
      <c r="I74" s="28" t="s">
        <v>17</v>
      </c>
      <c r="J74">
        <v>13838510</v>
      </c>
      <c r="K74" t="s">
        <v>2726</v>
      </c>
      <c r="L74" t="s">
        <v>2730</v>
      </c>
      <c r="M74" s="37">
        <v>179900</v>
      </c>
      <c r="N74" s="29" t="s">
        <v>2826</v>
      </c>
      <c r="O74" s="36" t="s">
        <v>3218</v>
      </c>
      <c r="P74" s="28" t="s">
        <v>2826</v>
      </c>
    </row>
    <row r="75" spans="1:16" x14ac:dyDescent="0.3">
      <c r="A75" s="25" t="s">
        <v>3217</v>
      </c>
      <c r="B75" s="26">
        <v>46108</v>
      </c>
      <c r="C75" s="26">
        <v>46113</v>
      </c>
      <c r="D75" s="27">
        <v>3319</v>
      </c>
      <c r="E75" s="25">
        <v>327</v>
      </c>
      <c r="F75" s="27">
        <v>2</v>
      </c>
      <c r="G75" s="28">
        <v>1</v>
      </c>
      <c r="H75">
        <v>81778</v>
      </c>
      <c r="I75" s="28" t="s">
        <v>17</v>
      </c>
      <c r="J75">
        <v>13838529</v>
      </c>
      <c r="K75" t="s">
        <v>2726</v>
      </c>
      <c r="L75" t="s">
        <v>2731</v>
      </c>
      <c r="M75" s="37">
        <v>179900</v>
      </c>
      <c r="N75" s="29" t="s">
        <v>2826</v>
      </c>
      <c r="O75" s="36" t="s">
        <v>3218</v>
      </c>
      <c r="P75" s="28" t="s">
        <v>2826</v>
      </c>
    </row>
    <row r="76" spans="1:16" x14ac:dyDescent="0.3">
      <c r="A76" s="25" t="s">
        <v>3217</v>
      </c>
      <c r="B76" s="26">
        <v>46108</v>
      </c>
      <c r="C76" s="26">
        <v>46113</v>
      </c>
      <c r="D76" s="27">
        <v>3319</v>
      </c>
      <c r="E76" s="25">
        <v>327</v>
      </c>
      <c r="F76" s="27">
        <v>2</v>
      </c>
      <c r="G76" s="28">
        <v>1</v>
      </c>
      <c r="H76">
        <v>81778</v>
      </c>
      <c r="I76" s="28" t="s">
        <v>17</v>
      </c>
      <c r="J76">
        <v>13838430</v>
      </c>
      <c r="K76" t="s">
        <v>2726</v>
      </c>
      <c r="L76" t="s">
        <v>2732</v>
      </c>
      <c r="M76" s="37">
        <v>179900</v>
      </c>
      <c r="N76" s="29" t="s">
        <v>2826</v>
      </c>
      <c r="O76" s="36" t="s">
        <v>3218</v>
      </c>
      <c r="P76" s="28" t="s">
        <v>2826</v>
      </c>
    </row>
    <row r="77" spans="1:16" x14ac:dyDescent="0.3">
      <c r="A77" s="25" t="s">
        <v>3217</v>
      </c>
      <c r="B77" s="26">
        <v>46108</v>
      </c>
      <c r="C77" s="26">
        <v>46113</v>
      </c>
      <c r="D77" s="27">
        <v>3319</v>
      </c>
      <c r="E77" s="25">
        <v>327</v>
      </c>
      <c r="F77" s="27">
        <v>2</v>
      </c>
      <c r="G77" s="28">
        <v>1</v>
      </c>
      <c r="H77">
        <v>81778</v>
      </c>
      <c r="I77" s="28" t="s">
        <v>17</v>
      </c>
      <c r="J77">
        <v>13838449</v>
      </c>
      <c r="K77" t="s">
        <v>2726</v>
      </c>
      <c r="L77" t="s">
        <v>2733</v>
      </c>
      <c r="M77" s="37">
        <v>179900</v>
      </c>
      <c r="N77" s="29" t="s">
        <v>2826</v>
      </c>
      <c r="O77" s="36" t="s">
        <v>3218</v>
      </c>
      <c r="P77" s="28" t="s">
        <v>2826</v>
      </c>
    </row>
    <row r="78" spans="1:16" x14ac:dyDescent="0.3">
      <c r="A78" s="25" t="s">
        <v>3217</v>
      </c>
      <c r="B78" s="26">
        <v>46108</v>
      </c>
      <c r="C78" s="26">
        <v>46113</v>
      </c>
      <c r="D78" s="27">
        <v>3319</v>
      </c>
      <c r="E78" s="25">
        <v>327</v>
      </c>
      <c r="F78" s="27">
        <v>2</v>
      </c>
      <c r="G78" s="28">
        <v>1</v>
      </c>
      <c r="H78">
        <v>81778</v>
      </c>
      <c r="I78" s="28" t="s">
        <v>17</v>
      </c>
      <c r="J78">
        <v>13838458</v>
      </c>
      <c r="K78" t="s">
        <v>2726</v>
      </c>
      <c r="L78" t="s">
        <v>2734</v>
      </c>
      <c r="M78" s="37">
        <v>179900</v>
      </c>
      <c r="N78" s="29" t="s">
        <v>2826</v>
      </c>
      <c r="O78" s="36" t="s">
        <v>3218</v>
      </c>
      <c r="P78" s="28" t="s">
        <v>2826</v>
      </c>
    </row>
    <row r="79" spans="1:16" x14ac:dyDescent="0.3">
      <c r="A79" s="25" t="s">
        <v>3217</v>
      </c>
      <c r="B79" s="26">
        <v>46108</v>
      </c>
      <c r="C79" s="26">
        <v>46113</v>
      </c>
      <c r="D79" s="27">
        <v>3319</v>
      </c>
      <c r="E79" s="25">
        <v>327</v>
      </c>
      <c r="F79" s="27">
        <v>2</v>
      </c>
      <c r="G79" s="28">
        <v>1</v>
      </c>
      <c r="H79">
        <v>81778</v>
      </c>
      <c r="I79" s="28" t="s">
        <v>17</v>
      </c>
      <c r="J79">
        <v>13838467</v>
      </c>
      <c r="K79" t="s">
        <v>2726</v>
      </c>
      <c r="L79" t="s">
        <v>2735</v>
      </c>
      <c r="M79" s="37">
        <v>179900</v>
      </c>
      <c r="N79" s="29" t="s">
        <v>2826</v>
      </c>
      <c r="O79" s="36" t="s">
        <v>3218</v>
      </c>
      <c r="P79" s="28" t="s">
        <v>2826</v>
      </c>
    </row>
    <row r="80" spans="1:16" x14ac:dyDescent="0.3">
      <c r="A80" s="25" t="s">
        <v>3217</v>
      </c>
      <c r="B80" s="26">
        <v>46108</v>
      </c>
      <c r="C80" s="26">
        <v>46113</v>
      </c>
      <c r="D80" s="27">
        <v>3319</v>
      </c>
      <c r="E80" s="25">
        <v>327</v>
      </c>
      <c r="F80" s="27">
        <v>2</v>
      </c>
      <c r="G80" s="28">
        <v>1</v>
      </c>
      <c r="H80">
        <v>81778</v>
      </c>
      <c r="I80" s="28" t="s">
        <v>17</v>
      </c>
      <c r="J80">
        <v>13838476</v>
      </c>
      <c r="K80" t="s">
        <v>2726</v>
      </c>
      <c r="L80" t="s">
        <v>2736</v>
      </c>
      <c r="M80" s="37">
        <v>179900</v>
      </c>
      <c r="N80" s="29" t="s">
        <v>2826</v>
      </c>
      <c r="O80" s="36" t="s">
        <v>3218</v>
      </c>
      <c r="P80" s="28" t="s">
        <v>2826</v>
      </c>
    </row>
    <row r="81" spans="1:16" x14ac:dyDescent="0.3">
      <c r="A81" s="25" t="s">
        <v>3217</v>
      </c>
      <c r="B81" s="26">
        <v>46108</v>
      </c>
      <c r="C81" s="26">
        <v>46113</v>
      </c>
      <c r="D81" s="48">
        <v>3319</v>
      </c>
      <c r="E81" s="48">
        <v>327</v>
      </c>
      <c r="F81" s="28">
        <v>2</v>
      </c>
      <c r="G81" s="28">
        <v>1</v>
      </c>
      <c r="H81" s="28">
        <v>81778</v>
      </c>
      <c r="I81" s="28" t="s">
        <v>17</v>
      </c>
      <c r="J81" s="28">
        <v>22704156</v>
      </c>
      <c r="K81" s="28" t="s">
        <v>2510</v>
      </c>
      <c r="L81" t="s">
        <v>2516</v>
      </c>
      <c r="M81" s="37">
        <v>149900</v>
      </c>
      <c r="N81" s="29" t="s">
        <v>2826</v>
      </c>
      <c r="O81" s="36" t="s">
        <v>3218</v>
      </c>
      <c r="P81" s="28" t="s">
        <v>2826</v>
      </c>
    </row>
    <row r="82" spans="1:16" x14ac:dyDescent="0.3">
      <c r="A82" s="25" t="s">
        <v>3217</v>
      </c>
      <c r="B82" s="26">
        <v>46108</v>
      </c>
      <c r="C82" s="26">
        <v>46113</v>
      </c>
      <c r="D82" s="48">
        <v>3319</v>
      </c>
      <c r="E82" s="48">
        <v>327</v>
      </c>
      <c r="F82" s="28">
        <v>2</v>
      </c>
      <c r="G82" s="28">
        <v>1</v>
      </c>
      <c r="H82" s="28">
        <v>81778</v>
      </c>
      <c r="I82" s="28" t="s">
        <v>17</v>
      </c>
      <c r="J82" s="28">
        <v>22704165</v>
      </c>
      <c r="K82" s="28" t="s">
        <v>2510</v>
      </c>
      <c r="L82" t="s">
        <v>2517</v>
      </c>
      <c r="M82" s="37">
        <v>149900</v>
      </c>
      <c r="N82" s="29" t="s">
        <v>2826</v>
      </c>
      <c r="O82" s="36" t="s">
        <v>3218</v>
      </c>
      <c r="P82" s="28" t="s">
        <v>2826</v>
      </c>
    </row>
    <row r="83" spans="1:16" x14ac:dyDescent="0.3">
      <c r="A83" s="25" t="s">
        <v>3217</v>
      </c>
      <c r="B83" s="26">
        <v>46108</v>
      </c>
      <c r="C83" s="26">
        <v>46113</v>
      </c>
      <c r="D83" s="48">
        <v>3319</v>
      </c>
      <c r="E83" s="48">
        <v>327</v>
      </c>
      <c r="F83" s="28">
        <v>2</v>
      </c>
      <c r="G83" s="28">
        <v>1</v>
      </c>
      <c r="H83" s="28">
        <v>81778</v>
      </c>
      <c r="I83" s="28" t="s">
        <v>17</v>
      </c>
      <c r="J83" s="28">
        <v>22704174</v>
      </c>
      <c r="K83" s="28" t="s">
        <v>2510</v>
      </c>
      <c r="L83" t="s">
        <v>2518</v>
      </c>
      <c r="M83" s="37">
        <v>149900</v>
      </c>
      <c r="N83" s="29" t="s">
        <v>2826</v>
      </c>
      <c r="O83" s="36" t="s">
        <v>3218</v>
      </c>
      <c r="P83" s="28" t="s">
        <v>2826</v>
      </c>
    </row>
    <row r="84" spans="1:16" x14ac:dyDescent="0.3">
      <c r="A84" s="25" t="s">
        <v>3217</v>
      </c>
      <c r="B84" s="26">
        <v>46108</v>
      </c>
      <c r="C84" s="26">
        <v>46113</v>
      </c>
      <c r="D84" s="48">
        <v>3319</v>
      </c>
      <c r="E84" s="48">
        <v>327</v>
      </c>
      <c r="F84" s="28">
        <v>2</v>
      </c>
      <c r="G84" s="28">
        <v>1</v>
      </c>
      <c r="H84" s="28">
        <v>81778</v>
      </c>
      <c r="I84" s="28" t="s">
        <v>17</v>
      </c>
      <c r="J84" s="28">
        <v>22704183</v>
      </c>
      <c r="K84" s="28" t="s">
        <v>2510</v>
      </c>
      <c r="L84" t="s">
        <v>2519</v>
      </c>
      <c r="M84" s="37">
        <v>149900</v>
      </c>
      <c r="N84" s="29" t="s">
        <v>2826</v>
      </c>
      <c r="O84" s="36" t="s">
        <v>3218</v>
      </c>
      <c r="P84" s="28" t="s">
        <v>2826</v>
      </c>
    </row>
    <row r="85" spans="1:16" x14ac:dyDescent="0.3">
      <c r="A85" s="25" t="s">
        <v>3217</v>
      </c>
      <c r="B85" s="26">
        <v>46108</v>
      </c>
      <c r="C85" s="26">
        <v>46113</v>
      </c>
      <c r="D85" s="48">
        <v>3319</v>
      </c>
      <c r="E85" s="48">
        <v>327</v>
      </c>
      <c r="F85" s="28">
        <v>2</v>
      </c>
      <c r="G85" s="28">
        <v>1</v>
      </c>
      <c r="H85" s="28">
        <v>81778</v>
      </c>
      <c r="I85" s="28" t="s">
        <v>17</v>
      </c>
      <c r="J85" s="28">
        <v>22704192</v>
      </c>
      <c r="K85" s="28" t="s">
        <v>2510</v>
      </c>
      <c r="L85" t="s">
        <v>2520</v>
      </c>
      <c r="M85" s="37">
        <v>149900</v>
      </c>
      <c r="N85" s="29" t="s">
        <v>2826</v>
      </c>
      <c r="O85" s="36" t="s">
        <v>3218</v>
      </c>
      <c r="P85" s="28" t="s">
        <v>2826</v>
      </c>
    </row>
    <row r="86" spans="1:16" x14ac:dyDescent="0.3">
      <c r="A86" s="25" t="s">
        <v>3217</v>
      </c>
      <c r="B86" s="26">
        <v>46108</v>
      </c>
      <c r="C86" s="26">
        <v>46113</v>
      </c>
      <c r="D86" s="48">
        <v>3319</v>
      </c>
      <c r="E86" s="48">
        <v>327</v>
      </c>
      <c r="F86" s="28">
        <v>2</v>
      </c>
      <c r="G86" s="28">
        <v>1</v>
      </c>
      <c r="H86" s="28">
        <v>81778</v>
      </c>
      <c r="I86" s="28" t="s">
        <v>17</v>
      </c>
      <c r="J86" s="28">
        <v>22704209</v>
      </c>
      <c r="K86" s="28" t="s">
        <v>2521</v>
      </c>
      <c r="L86" t="s">
        <v>2522</v>
      </c>
      <c r="M86" s="37">
        <v>149900</v>
      </c>
      <c r="N86" s="29" t="s">
        <v>2826</v>
      </c>
      <c r="O86" s="36" t="s">
        <v>3218</v>
      </c>
      <c r="P86" s="28" t="s">
        <v>2826</v>
      </c>
    </row>
    <row r="87" spans="1:16" x14ac:dyDescent="0.3">
      <c r="A87" s="25" t="s">
        <v>3217</v>
      </c>
      <c r="B87" s="26">
        <v>46108</v>
      </c>
      <c r="C87" s="26">
        <v>46113</v>
      </c>
      <c r="D87" s="48">
        <v>3319</v>
      </c>
      <c r="E87" s="48">
        <v>327</v>
      </c>
      <c r="F87" s="28">
        <v>2</v>
      </c>
      <c r="G87" s="28">
        <v>1</v>
      </c>
      <c r="H87" s="28">
        <v>81778</v>
      </c>
      <c r="I87" s="28" t="s">
        <v>17</v>
      </c>
      <c r="J87" s="28">
        <v>22704218</v>
      </c>
      <c r="K87" s="28" t="s">
        <v>2521</v>
      </c>
      <c r="L87" t="s">
        <v>2523</v>
      </c>
      <c r="M87" s="37">
        <v>149900</v>
      </c>
      <c r="N87" s="29" t="s">
        <v>2826</v>
      </c>
      <c r="O87" s="36" t="s">
        <v>3218</v>
      </c>
      <c r="P87" s="28" t="s">
        <v>2826</v>
      </c>
    </row>
    <row r="88" spans="1:16" x14ac:dyDescent="0.3">
      <c r="A88" s="25" t="s">
        <v>3217</v>
      </c>
      <c r="B88" s="26">
        <v>46108</v>
      </c>
      <c r="C88" s="26">
        <v>46113</v>
      </c>
      <c r="D88" s="48">
        <v>3319</v>
      </c>
      <c r="E88" s="48">
        <v>327</v>
      </c>
      <c r="F88" s="28">
        <v>2</v>
      </c>
      <c r="G88" s="28">
        <v>1</v>
      </c>
      <c r="H88" s="28">
        <v>81778</v>
      </c>
      <c r="I88" s="28" t="s">
        <v>17</v>
      </c>
      <c r="J88" s="28">
        <v>22704272</v>
      </c>
      <c r="K88" s="28" t="s">
        <v>2521</v>
      </c>
      <c r="L88" t="s">
        <v>2524</v>
      </c>
      <c r="M88" s="37">
        <v>149900</v>
      </c>
      <c r="N88" s="29" t="s">
        <v>2826</v>
      </c>
      <c r="O88" s="36" t="s">
        <v>3218</v>
      </c>
      <c r="P88" s="28" t="s">
        <v>2826</v>
      </c>
    </row>
    <row r="89" spans="1:16" x14ac:dyDescent="0.3">
      <c r="A89" s="25" t="s">
        <v>3217</v>
      </c>
      <c r="B89" s="26">
        <v>46108</v>
      </c>
      <c r="C89" s="26">
        <v>46113</v>
      </c>
      <c r="D89" s="48">
        <v>3319</v>
      </c>
      <c r="E89" s="48">
        <v>327</v>
      </c>
      <c r="F89" s="28">
        <v>2</v>
      </c>
      <c r="G89" s="28">
        <v>1</v>
      </c>
      <c r="H89" s="28">
        <v>81778</v>
      </c>
      <c r="I89" s="28" t="s">
        <v>17</v>
      </c>
      <c r="J89" s="28">
        <v>22704281</v>
      </c>
      <c r="K89" s="28" t="s">
        <v>2521</v>
      </c>
      <c r="L89" t="s">
        <v>2525</v>
      </c>
      <c r="M89" s="37">
        <v>149900</v>
      </c>
      <c r="N89" s="29" t="s">
        <v>2826</v>
      </c>
      <c r="O89" s="36" t="s">
        <v>3218</v>
      </c>
      <c r="P89" s="28" t="s">
        <v>2826</v>
      </c>
    </row>
    <row r="90" spans="1:16" x14ac:dyDescent="0.3">
      <c r="A90" s="25" t="s">
        <v>3217</v>
      </c>
      <c r="B90" s="26">
        <v>46108</v>
      </c>
      <c r="C90" s="26">
        <v>46113</v>
      </c>
      <c r="D90" s="48">
        <v>3319</v>
      </c>
      <c r="E90" s="48">
        <v>327</v>
      </c>
      <c r="F90" s="28">
        <v>2</v>
      </c>
      <c r="G90" s="28">
        <v>1</v>
      </c>
      <c r="H90" s="28">
        <v>81778</v>
      </c>
      <c r="I90" s="28" t="s">
        <v>17</v>
      </c>
      <c r="J90" s="28">
        <v>22704290</v>
      </c>
      <c r="K90" s="28" t="s">
        <v>2521</v>
      </c>
      <c r="L90" t="s">
        <v>2526</v>
      </c>
      <c r="M90" s="37">
        <v>149900</v>
      </c>
      <c r="N90" s="29" t="s">
        <v>2826</v>
      </c>
      <c r="O90" s="36" t="s">
        <v>3218</v>
      </c>
      <c r="P90" s="28" t="s">
        <v>2826</v>
      </c>
    </row>
    <row r="91" spans="1:16" x14ac:dyDescent="0.3">
      <c r="A91" s="25" t="s">
        <v>3217</v>
      </c>
      <c r="B91" s="26">
        <v>46108</v>
      </c>
      <c r="C91" s="26">
        <v>46113</v>
      </c>
      <c r="D91" s="48">
        <v>3319</v>
      </c>
      <c r="E91" s="48">
        <v>327</v>
      </c>
      <c r="F91" s="28">
        <v>2</v>
      </c>
      <c r="G91" s="28">
        <v>1</v>
      </c>
      <c r="H91" s="28">
        <v>81778</v>
      </c>
      <c r="I91" s="28" t="s">
        <v>17</v>
      </c>
      <c r="J91" s="28">
        <v>22153831</v>
      </c>
      <c r="K91" s="28" t="s">
        <v>2311</v>
      </c>
      <c r="L91" t="s">
        <v>2316</v>
      </c>
      <c r="M91" s="37">
        <v>149900</v>
      </c>
      <c r="N91" s="29" t="s">
        <v>2826</v>
      </c>
      <c r="O91" s="36" t="s">
        <v>3218</v>
      </c>
      <c r="P91" s="28" t="s">
        <v>2826</v>
      </c>
    </row>
    <row r="92" spans="1:16" x14ac:dyDescent="0.3">
      <c r="A92" s="25" t="s">
        <v>3217</v>
      </c>
      <c r="B92" s="26">
        <v>46108</v>
      </c>
      <c r="C92" s="26">
        <v>46113</v>
      </c>
      <c r="D92" s="48">
        <v>3319</v>
      </c>
      <c r="E92" s="48">
        <v>327</v>
      </c>
      <c r="F92" s="28">
        <v>2</v>
      </c>
      <c r="G92" s="28">
        <v>1</v>
      </c>
      <c r="H92" s="28">
        <v>81778</v>
      </c>
      <c r="I92" s="28" t="s">
        <v>17</v>
      </c>
      <c r="J92" s="28">
        <v>22153840</v>
      </c>
      <c r="K92" s="28" t="s">
        <v>2311</v>
      </c>
      <c r="L92" t="s">
        <v>2317</v>
      </c>
      <c r="M92" s="37">
        <v>149900</v>
      </c>
      <c r="N92" s="29" t="s">
        <v>2826</v>
      </c>
      <c r="O92" s="36" t="s">
        <v>3218</v>
      </c>
      <c r="P92" s="28" t="s">
        <v>2826</v>
      </c>
    </row>
    <row r="93" spans="1:16" x14ac:dyDescent="0.3">
      <c r="A93" s="25" t="s">
        <v>3217</v>
      </c>
      <c r="B93" s="26">
        <v>46108</v>
      </c>
      <c r="C93" s="26">
        <v>46113</v>
      </c>
      <c r="D93" s="48">
        <v>3319</v>
      </c>
      <c r="E93" s="48">
        <v>327</v>
      </c>
      <c r="F93" s="28">
        <v>2</v>
      </c>
      <c r="G93" s="28">
        <v>1</v>
      </c>
      <c r="H93" s="28">
        <v>81778</v>
      </c>
      <c r="I93" s="28" t="s">
        <v>17</v>
      </c>
      <c r="J93" s="28">
        <v>22153911</v>
      </c>
      <c r="K93" s="28" t="s">
        <v>2311</v>
      </c>
      <c r="L93" t="s">
        <v>2318</v>
      </c>
      <c r="M93" s="37">
        <v>149900</v>
      </c>
      <c r="N93" s="29" t="s">
        <v>2826</v>
      </c>
      <c r="O93" s="36" t="s">
        <v>3218</v>
      </c>
      <c r="P93" s="28" t="s">
        <v>2826</v>
      </c>
    </row>
    <row r="94" spans="1:16" x14ac:dyDescent="0.3">
      <c r="A94" s="25" t="s">
        <v>3217</v>
      </c>
      <c r="B94" s="26">
        <v>46108</v>
      </c>
      <c r="C94" s="26">
        <v>46113</v>
      </c>
      <c r="D94" s="48">
        <v>3319</v>
      </c>
      <c r="E94" s="48">
        <v>327</v>
      </c>
      <c r="F94" s="28">
        <v>2</v>
      </c>
      <c r="G94" s="28">
        <v>1</v>
      </c>
      <c r="H94" s="28">
        <v>81778</v>
      </c>
      <c r="I94" s="28" t="s">
        <v>17</v>
      </c>
      <c r="J94" s="28">
        <v>22153920</v>
      </c>
      <c r="K94" s="28" t="s">
        <v>2311</v>
      </c>
      <c r="L94" t="s">
        <v>2319</v>
      </c>
      <c r="M94" s="37">
        <v>149900</v>
      </c>
      <c r="N94" s="29" t="s">
        <v>2826</v>
      </c>
      <c r="O94" s="36" t="s">
        <v>3218</v>
      </c>
      <c r="P94" s="28" t="s">
        <v>2826</v>
      </c>
    </row>
    <row r="95" spans="1:16" x14ac:dyDescent="0.3">
      <c r="A95" s="25" t="s">
        <v>3217</v>
      </c>
      <c r="B95" s="26">
        <v>46108</v>
      </c>
      <c r="C95" s="26">
        <v>46113</v>
      </c>
      <c r="D95" s="48">
        <v>3319</v>
      </c>
      <c r="E95" s="48">
        <v>327</v>
      </c>
      <c r="F95" s="28">
        <v>2</v>
      </c>
      <c r="G95" s="28">
        <v>1</v>
      </c>
      <c r="H95" s="28">
        <v>81778</v>
      </c>
      <c r="I95" s="28" t="s">
        <v>17</v>
      </c>
      <c r="J95" s="28">
        <v>22156034</v>
      </c>
      <c r="K95" s="28" t="s">
        <v>2307</v>
      </c>
      <c r="L95" t="s">
        <v>2308</v>
      </c>
      <c r="M95" s="37">
        <v>149900</v>
      </c>
      <c r="N95" s="29" t="s">
        <v>2826</v>
      </c>
      <c r="O95" s="36" t="s">
        <v>3218</v>
      </c>
      <c r="P95" s="28" t="s">
        <v>2826</v>
      </c>
    </row>
    <row r="96" spans="1:16" x14ac:dyDescent="0.3">
      <c r="A96" s="25" t="s">
        <v>3217</v>
      </c>
      <c r="B96" s="26">
        <v>46108</v>
      </c>
      <c r="C96" s="26">
        <v>46113</v>
      </c>
      <c r="D96" s="48">
        <v>3319</v>
      </c>
      <c r="E96" s="48">
        <v>327</v>
      </c>
      <c r="F96" s="28">
        <v>2</v>
      </c>
      <c r="G96" s="28">
        <v>1</v>
      </c>
      <c r="H96" s="28">
        <v>81778</v>
      </c>
      <c r="I96" s="28" t="s">
        <v>17</v>
      </c>
      <c r="J96" s="28">
        <v>22156043</v>
      </c>
      <c r="K96" s="28" t="s">
        <v>2307</v>
      </c>
      <c r="L96" t="s">
        <v>2309</v>
      </c>
      <c r="M96" s="37">
        <v>149900</v>
      </c>
      <c r="N96" s="29" t="s">
        <v>2826</v>
      </c>
      <c r="O96" s="36" t="s">
        <v>3218</v>
      </c>
      <c r="P96" s="28" t="s">
        <v>2826</v>
      </c>
    </row>
    <row r="97" spans="1:16" x14ac:dyDescent="0.3">
      <c r="A97" s="25" t="s">
        <v>3217</v>
      </c>
      <c r="B97" s="26">
        <v>46108</v>
      </c>
      <c r="C97" s="26">
        <v>46113</v>
      </c>
      <c r="D97" s="48">
        <v>3319</v>
      </c>
      <c r="E97" s="48">
        <v>327</v>
      </c>
      <c r="F97" s="28">
        <v>2</v>
      </c>
      <c r="G97" s="28">
        <v>1</v>
      </c>
      <c r="H97" s="28">
        <v>81778</v>
      </c>
      <c r="I97" s="28" t="s">
        <v>17</v>
      </c>
      <c r="J97" s="28">
        <v>22156052</v>
      </c>
      <c r="K97" s="28" t="s">
        <v>2307</v>
      </c>
      <c r="L97" t="s">
        <v>2310</v>
      </c>
      <c r="M97" s="37">
        <v>149900</v>
      </c>
      <c r="N97" s="29" t="s">
        <v>2826</v>
      </c>
      <c r="O97" s="36" t="s">
        <v>3218</v>
      </c>
      <c r="P97" s="28" t="s">
        <v>2826</v>
      </c>
    </row>
    <row r="98" spans="1:16" x14ac:dyDescent="0.3">
      <c r="A98" s="25" t="s">
        <v>3217</v>
      </c>
      <c r="B98" s="26">
        <v>46108</v>
      </c>
      <c r="C98" s="26">
        <v>46113</v>
      </c>
      <c r="D98" s="48">
        <v>3319</v>
      </c>
      <c r="E98" s="48">
        <v>327</v>
      </c>
      <c r="F98" s="28">
        <v>2</v>
      </c>
      <c r="G98" s="28">
        <v>1</v>
      </c>
      <c r="H98" s="28">
        <v>81778</v>
      </c>
      <c r="I98" s="28" t="s">
        <v>17</v>
      </c>
      <c r="J98" s="28">
        <v>22154670</v>
      </c>
      <c r="K98" s="28" t="s">
        <v>2324</v>
      </c>
      <c r="L98" t="s">
        <v>2325</v>
      </c>
      <c r="M98" s="37">
        <v>149900</v>
      </c>
      <c r="N98" s="29" t="s">
        <v>2826</v>
      </c>
      <c r="O98" s="36" t="s">
        <v>3218</v>
      </c>
      <c r="P98" s="28" t="s">
        <v>2826</v>
      </c>
    </row>
    <row r="99" spans="1:16" x14ac:dyDescent="0.3">
      <c r="A99" s="25" t="s">
        <v>3217</v>
      </c>
      <c r="B99" s="26">
        <v>46108</v>
      </c>
      <c r="C99" s="26">
        <v>46113</v>
      </c>
      <c r="D99" s="48">
        <v>3319</v>
      </c>
      <c r="E99" s="48">
        <v>327</v>
      </c>
      <c r="F99" s="28">
        <v>2</v>
      </c>
      <c r="G99" s="28">
        <v>1</v>
      </c>
      <c r="H99" s="28">
        <v>81778</v>
      </c>
      <c r="I99" s="28" t="s">
        <v>17</v>
      </c>
      <c r="J99" s="28">
        <v>22154689</v>
      </c>
      <c r="K99" s="28" t="s">
        <v>2324</v>
      </c>
      <c r="L99" t="s">
        <v>2326</v>
      </c>
      <c r="M99" s="37">
        <v>149900</v>
      </c>
      <c r="N99" s="29" t="s">
        <v>2826</v>
      </c>
      <c r="O99" s="36" t="s">
        <v>3218</v>
      </c>
      <c r="P99" s="28" t="s">
        <v>2826</v>
      </c>
    </row>
    <row r="100" spans="1:16" x14ac:dyDescent="0.3">
      <c r="A100" s="25" t="s">
        <v>3217</v>
      </c>
      <c r="B100" s="26">
        <v>46108</v>
      </c>
      <c r="C100" s="26">
        <v>46113</v>
      </c>
      <c r="D100" s="48">
        <v>3319</v>
      </c>
      <c r="E100" s="48">
        <v>327</v>
      </c>
      <c r="F100" s="28">
        <v>2</v>
      </c>
      <c r="G100" s="28">
        <v>1</v>
      </c>
      <c r="H100" s="28">
        <v>81778</v>
      </c>
      <c r="I100" s="28" t="s">
        <v>17</v>
      </c>
      <c r="J100" s="28">
        <v>22154698</v>
      </c>
      <c r="K100" s="28" t="s">
        <v>2324</v>
      </c>
      <c r="L100" t="s">
        <v>2327</v>
      </c>
      <c r="M100" s="37">
        <v>149900</v>
      </c>
      <c r="N100" s="29" t="s">
        <v>2826</v>
      </c>
      <c r="O100" s="36" t="s">
        <v>3218</v>
      </c>
      <c r="P100" s="28" t="s">
        <v>2826</v>
      </c>
    </row>
    <row r="101" spans="1:16" x14ac:dyDescent="0.3">
      <c r="A101" s="25" t="s">
        <v>3217</v>
      </c>
      <c r="B101" s="26">
        <v>46108</v>
      </c>
      <c r="C101" s="26">
        <v>46113</v>
      </c>
      <c r="D101" s="48">
        <v>3319</v>
      </c>
      <c r="E101" s="48">
        <v>327</v>
      </c>
      <c r="F101" s="28">
        <v>2</v>
      </c>
      <c r="G101" s="28">
        <v>1</v>
      </c>
      <c r="H101" s="28">
        <v>81778</v>
      </c>
      <c r="I101" s="28" t="s">
        <v>17</v>
      </c>
      <c r="J101" s="28">
        <v>22154705</v>
      </c>
      <c r="K101" s="28" t="s">
        <v>2324</v>
      </c>
      <c r="L101" t="s">
        <v>2328</v>
      </c>
      <c r="M101" s="37">
        <v>149900</v>
      </c>
      <c r="N101" s="29" t="s">
        <v>2826</v>
      </c>
      <c r="O101" s="36" t="s">
        <v>3218</v>
      </c>
      <c r="P101" s="28" t="s">
        <v>2826</v>
      </c>
    </row>
    <row r="102" spans="1:16" x14ac:dyDescent="0.3">
      <c r="A102" s="25" t="s">
        <v>3217</v>
      </c>
      <c r="B102" s="26">
        <v>46108</v>
      </c>
      <c r="C102" s="26">
        <v>46113</v>
      </c>
      <c r="D102" s="48">
        <v>3319</v>
      </c>
      <c r="E102" s="48">
        <v>327</v>
      </c>
      <c r="F102" s="28">
        <v>2</v>
      </c>
      <c r="G102" s="28">
        <v>1</v>
      </c>
      <c r="H102" s="28">
        <v>81778</v>
      </c>
      <c r="I102" s="28" t="s">
        <v>17</v>
      </c>
      <c r="J102" s="28">
        <v>22154929</v>
      </c>
      <c r="K102" s="28" t="s">
        <v>2324</v>
      </c>
      <c r="L102" t="s">
        <v>2329</v>
      </c>
      <c r="M102" s="37">
        <v>149900</v>
      </c>
      <c r="N102" s="29" t="s">
        <v>2826</v>
      </c>
      <c r="O102" s="36" t="s">
        <v>3218</v>
      </c>
      <c r="P102" s="28" t="s">
        <v>2826</v>
      </c>
    </row>
    <row r="103" spans="1:16" x14ac:dyDescent="0.3">
      <c r="A103" s="25" t="s">
        <v>3217</v>
      </c>
      <c r="B103" s="26">
        <v>46108</v>
      </c>
      <c r="C103" s="26">
        <v>46113</v>
      </c>
      <c r="D103" s="48">
        <v>3319</v>
      </c>
      <c r="E103" s="48">
        <v>327</v>
      </c>
      <c r="F103" s="28">
        <v>2</v>
      </c>
      <c r="G103" s="28">
        <v>1</v>
      </c>
      <c r="H103" s="28">
        <v>81778</v>
      </c>
      <c r="I103" s="28" t="s">
        <v>17</v>
      </c>
      <c r="J103" s="28">
        <v>22154938</v>
      </c>
      <c r="K103" s="28" t="s">
        <v>2330</v>
      </c>
      <c r="L103" t="s">
        <v>2331</v>
      </c>
      <c r="M103" s="37">
        <v>149900</v>
      </c>
      <c r="N103" s="29" t="s">
        <v>2826</v>
      </c>
      <c r="O103" s="36" t="s">
        <v>3218</v>
      </c>
      <c r="P103" s="28" t="s">
        <v>2826</v>
      </c>
    </row>
    <row r="104" spans="1:16" x14ac:dyDescent="0.3">
      <c r="A104" s="25" t="s">
        <v>3217</v>
      </c>
      <c r="B104" s="26">
        <v>46108</v>
      </c>
      <c r="C104" s="26">
        <v>46113</v>
      </c>
      <c r="D104" s="48">
        <v>3319</v>
      </c>
      <c r="E104" s="48">
        <v>327</v>
      </c>
      <c r="F104" s="28">
        <v>2</v>
      </c>
      <c r="G104" s="28">
        <v>1</v>
      </c>
      <c r="H104" s="28">
        <v>81778</v>
      </c>
      <c r="I104" s="28" t="s">
        <v>17</v>
      </c>
      <c r="J104" s="28">
        <v>22154947</v>
      </c>
      <c r="K104" s="28" t="s">
        <v>2330</v>
      </c>
      <c r="L104" t="s">
        <v>2332</v>
      </c>
      <c r="M104" s="37">
        <v>149900</v>
      </c>
      <c r="N104" s="29" t="s">
        <v>2826</v>
      </c>
      <c r="O104" s="36" t="s">
        <v>3218</v>
      </c>
      <c r="P104" s="28" t="s">
        <v>2826</v>
      </c>
    </row>
    <row r="105" spans="1:16" x14ac:dyDescent="0.3">
      <c r="A105" s="25" t="s">
        <v>3217</v>
      </c>
      <c r="B105" s="26">
        <v>46108</v>
      </c>
      <c r="C105" s="26">
        <v>46113</v>
      </c>
      <c r="D105" s="48">
        <v>3319</v>
      </c>
      <c r="E105" s="48">
        <v>327</v>
      </c>
      <c r="F105" s="28">
        <v>2</v>
      </c>
      <c r="G105" s="28">
        <v>1</v>
      </c>
      <c r="H105" s="28">
        <v>81778</v>
      </c>
      <c r="I105" s="28" t="s">
        <v>17</v>
      </c>
      <c r="J105" s="28">
        <v>22155991</v>
      </c>
      <c r="K105" s="28" t="s">
        <v>2330</v>
      </c>
      <c r="L105" t="s">
        <v>2333</v>
      </c>
      <c r="M105" s="37">
        <v>149900</v>
      </c>
      <c r="N105" s="29" t="s">
        <v>2826</v>
      </c>
      <c r="O105" s="36" t="s">
        <v>3218</v>
      </c>
      <c r="P105" s="28" t="s">
        <v>2826</v>
      </c>
    </row>
    <row r="106" spans="1:16" x14ac:dyDescent="0.3">
      <c r="A106" s="25" t="s">
        <v>3217</v>
      </c>
      <c r="B106" s="26">
        <v>46108</v>
      </c>
      <c r="C106" s="26">
        <v>46113</v>
      </c>
      <c r="D106" s="48">
        <v>3319</v>
      </c>
      <c r="E106" s="48">
        <v>327</v>
      </c>
      <c r="F106" s="28">
        <v>2</v>
      </c>
      <c r="G106" s="28">
        <v>1</v>
      </c>
      <c r="H106" s="28">
        <v>81778</v>
      </c>
      <c r="I106" s="28" t="s">
        <v>17</v>
      </c>
      <c r="J106" s="28">
        <v>22156007</v>
      </c>
      <c r="K106" s="28" t="s">
        <v>2330</v>
      </c>
      <c r="L106" t="s">
        <v>2334</v>
      </c>
      <c r="M106" s="37">
        <v>149900</v>
      </c>
      <c r="N106" s="29" t="s">
        <v>2826</v>
      </c>
      <c r="O106" s="36" t="s">
        <v>3218</v>
      </c>
      <c r="P106" s="28" t="s">
        <v>2826</v>
      </c>
    </row>
    <row r="107" spans="1:16" x14ac:dyDescent="0.3">
      <c r="A107" s="25" t="s">
        <v>3217</v>
      </c>
      <c r="B107" s="26">
        <v>46108</v>
      </c>
      <c r="C107" s="26">
        <v>46113</v>
      </c>
      <c r="D107" s="48">
        <v>3319</v>
      </c>
      <c r="E107" s="48">
        <v>327</v>
      </c>
      <c r="F107" s="28">
        <v>2</v>
      </c>
      <c r="G107" s="28">
        <v>1</v>
      </c>
      <c r="H107" s="28">
        <v>81778</v>
      </c>
      <c r="I107" s="28" t="s">
        <v>17</v>
      </c>
      <c r="J107" s="28">
        <v>22156016</v>
      </c>
      <c r="K107" s="28" t="s">
        <v>2330</v>
      </c>
      <c r="L107" t="s">
        <v>2335</v>
      </c>
      <c r="M107" s="37">
        <v>149900</v>
      </c>
      <c r="N107" s="29" t="s">
        <v>2826</v>
      </c>
      <c r="O107" s="36" t="s">
        <v>3218</v>
      </c>
      <c r="P107" s="28" t="s">
        <v>2826</v>
      </c>
    </row>
    <row r="108" spans="1:16" x14ac:dyDescent="0.3">
      <c r="A108" s="25" t="s">
        <v>3217</v>
      </c>
      <c r="B108" s="26">
        <v>46108</v>
      </c>
      <c r="C108" s="26">
        <v>46113</v>
      </c>
      <c r="D108" s="48">
        <v>3319</v>
      </c>
      <c r="E108" s="48">
        <v>327</v>
      </c>
      <c r="F108" s="28">
        <v>2</v>
      </c>
      <c r="G108" s="28">
        <v>1</v>
      </c>
      <c r="H108" s="28">
        <v>81778</v>
      </c>
      <c r="I108" s="28" t="s">
        <v>17</v>
      </c>
      <c r="J108" s="28">
        <v>22156025</v>
      </c>
      <c r="K108" s="28" t="s">
        <v>2307</v>
      </c>
      <c r="L108" t="s">
        <v>2336</v>
      </c>
      <c r="M108" s="37">
        <v>149900</v>
      </c>
      <c r="N108" s="29" t="s">
        <v>2826</v>
      </c>
      <c r="O108" s="36" t="s">
        <v>3218</v>
      </c>
      <c r="P108" s="28" t="s">
        <v>2826</v>
      </c>
    </row>
    <row r="109" spans="1:16" x14ac:dyDescent="0.3">
      <c r="A109" s="25" t="s">
        <v>3217</v>
      </c>
      <c r="B109" s="26">
        <v>46108</v>
      </c>
      <c r="C109" s="26">
        <v>46113</v>
      </c>
      <c r="D109" s="48">
        <v>3319</v>
      </c>
      <c r="E109" s="48">
        <v>327</v>
      </c>
      <c r="F109" s="28">
        <v>2</v>
      </c>
      <c r="G109" s="28">
        <v>1</v>
      </c>
      <c r="H109" s="28">
        <v>80700</v>
      </c>
      <c r="I109" s="28" t="s">
        <v>17</v>
      </c>
      <c r="J109" s="28">
        <v>22152903</v>
      </c>
      <c r="K109" s="28" t="s">
        <v>30</v>
      </c>
      <c r="L109" t="s">
        <v>2708</v>
      </c>
      <c r="M109" s="37">
        <v>149900</v>
      </c>
      <c r="N109" s="29" t="s">
        <v>2826</v>
      </c>
      <c r="O109" s="36" t="s">
        <v>3218</v>
      </c>
      <c r="P109" s="28" t="s">
        <v>2826</v>
      </c>
    </row>
    <row r="110" spans="1:16" x14ac:dyDescent="0.3">
      <c r="A110" s="25" t="s">
        <v>3217</v>
      </c>
      <c r="B110" s="26">
        <v>46108</v>
      </c>
      <c r="C110" s="26">
        <v>46113</v>
      </c>
      <c r="D110" s="48">
        <v>3319</v>
      </c>
      <c r="E110" s="48">
        <v>327</v>
      </c>
      <c r="F110" s="28">
        <v>2</v>
      </c>
      <c r="G110" s="28">
        <v>1</v>
      </c>
      <c r="H110" s="28">
        <v>80700</v>
      </c>
      <c r="I110" s="28" t="s">
        <v>17</v>
      </c>
      <c r="J110" s="28">
        <v>22152912</v>
      </c>
      <c r="K110" s="28" t="s">
        <v>30</v>
      </c>
      <c r="L110" t="s">
        <v>2709</v>
      </c>
      <c r="M110" s="37">
        <v>149900</v>
      </c>
      <c r="N110" s="29" t="s">
        <v>2826</v>
      </c>
      <c r="O110" s="36" t="s">
        <v>3218</v>
      </c>
      <c r="P110" s="28" t="s">
        <v>2826</v>
      </c>
    </row>
    <row r="111" spans="1:16" x14ac:dyDescent="0.3">
      <c r="A111" s="25" t="s">
        <v>3217</v>
      </c>
      <c r="B111" s="26">
        <v>46108</v>
      </c>
      <c r="C111" s="26">
        <v>46113</v>
      </c>
      <c r="D111" s="48">
        <v>3319</v>
      </c>
      <c r="E111" s="48">
        <v>327</v>
      </c>
      <c r="F111" s="28">
        <v>2</v>
      </c>
      <c r="G111" s="28">
        <v>1</v>
      </c>
      <c r="H111" s="28">
        <v>80700</v>
      </c>
      <c r="I111" s="28" t="s">
        <v>17</v>
      </c>
      <c r="J111" s="28">
        <v>22152896</v>
      </c>
      <c r="K111" s="28" t="s">
        <v>30</v>
      </c>
      <c r="L111" t="s">
        <v>2710</v>
      </c>
      <c r="M111" s="37">
        <v>149900</v>
      </c>
      <c r="N111" s="29" t="s">
        <v>2826</v>
      </c>
      <c r="O111" s="36" t="s">
        <v>3218</v>
      </c>
      <c r="P111" s="28" t="s">
        <v>2826</v>
      </c>
    </row>
    <row r="112" spans="1:16" x14ac:dyDescent="0.3">
      <c r="A112" s="25" t="s">
        <v>3217</v>
      </c>
      <c r="B112" s="26">
        <v>46108</v>
      </c>
      <c r="C112" s="26">
        <v>46113</v>
      </c>
      <c r="D112" s="48">
        <v>3319</v>
      </c>
      <c r="E112" s="48">
        <v>327</v>
      </c>
      <c r="F112" s="28">
        <v>2</v>
      </c>
      <c r="G112" s="28">
        <v>1</v>
      </c>
      <c r="H112" s="28">
        <v>80700</v>
      </c>
      <c r="I112" s="28" t="s">
        <v>17</v>
      </c>
      <c r="J112" s="28">
        <v>22152921</v>
      </c>
      <c r="K112" s="28" t="s">
        <v>30</v>
      </c>
      <c r="L112" t="s">
        <v>2711</v>
      </c>
      <c r="M112" s="37">
        <v>149900</v>
      </c>
      <c r="N112" s="29" t="s">
        <v>2826</v>
      </c>
      <c r="O112" s="36" t="s">
        <v>3218</v>
      </c>
      <c r="P112" s="28" t="s">
        <v>2826</v>
      </c>
    </row>
    <row r="113" spans="1:16" x14ac:dyDescent="0.3">
      <c r="A113" s="25" t="s">
        <v>3217</v>
      </c>
      <c r="B113" s="26">
        <v>46108</v>
      </c>
      <c r="C113" s="26">
        <v>46113</v>
      </c>
      <c r="D113" s="48">
        <v>3319</v>
      </c>
      <c r="E113" s="48">
        <v>327</v>
      </c>
      <c r="F113" s="28">
        <v>2</v>
      </c>
      <c r="G113" s="28">
        <v>1</v>
      </c>
      <c r="H113" s="28">
        <v>80700</v>
      </c>
      <c r="I113" s="28" t="s">
        <v>17</v>
      </c>
      <c r="J113" s="28">
        <v>22152930</v>
      </c>
      <c r="K113" s="28" t="s">
        <v>30</v>
      </c>
      <c r="L113" t="s">
        <v>2712</v>
      </c>
      <c r="M113" s="37">
        <v>149900</v>
      </c>
      <c r="N113" s="29" t="s">
        <v>2826</v>
      </c>
      <c r="O113" s="36" t="s">
        <v>3218</v>
      </c>
      <c r="P113" s="28" t="s">
        <v>2826</v>
      </c>
    </row>
  </sheetData>
  <autoFilter ref="A1:P1" xr:uid="{CC8A0BEF-76A8-4D3E-AD12-25997C8E6E73}"/>
  <conditionalFormatting sqref="J1">
    <cfRule type="duplicateValues" dxfId="227" priority="14"/>
    <cfRule type="duplicateValues" dxfId="226" priority="15"/>
    <cfRule type="duplicateValues" dxfId="225" priority="16"/>
    <cfRule type="duplicateValues" dxfId="224" priority="17"/>
    <cfRule type="duplicateValues" dxfId="223" priority="18"/>
    <cfRule type="duplicateValues" dxfId="222" priority="19"/>
    <cfRule type="duplicateValues" dxfId="221" priority="20"/>
    <cfRule type="duplicateValues" dxfId="220" priority="21"/>
    <cfRule type="duplicateValues" dxfId="219" priority="22"/>
  </conditionalFormatting>
  <conditionalFormatting sqref="J2:J11">
    <cfRule type="duplicateValues" dxfId="218" priority="13"/>
  </conditionalFormatting>
  <conditionalFormatting sqref="J12:J29">
    <cfRule type="duplicateValues" dxfId="217" priority="5"/>
    <cfRule type="duplicateValues" dxfId="216" priority="6"/>
    <cfRule type="duplicateValues" dxfId="215" priority="7"/>
    <cfRule type="duplicateValues" dxfId="214" priority="8"/>
    <cfRule type="duplicateValues" dxfId="213" priority="9"/>
  </conditionalFormatting>
  <conditionalFormatting sqref="J30:J33">
    <cfRule type="duplicateValues" dxfId="212" priority="10"/>
    <cfRule type="duplicateValues" dxfId="211" priority="11"/>
    <cfRule type="duplicateValues" dxfId="210" priority="12"/>
  </conditionalFormatting>
  <conditionalFormatting sqref="J34:J38">
    <cfRule type="duplicateValues" dxfId="209" priority="3"/>
    <cfRule type="duplicateValues" dxfId="208" priority="4"/>
  </conditionalFormatting>
  <conditionalFormatting sqref="J49:J58">
    <cfRule type="duplicateValues" dxfId="207" priority="2"/>
  </conditionalFormatting>
  <conditionalFormatting sqref="J81:J113">
    <cfRule type="duplicateValues" dxfId="206" priority="1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76888-DEB8-404B-AAB6-CD1D118DF904}">
  <dimension ref="A1:P296"/>
  <sheetViews>
    <sheetView zoomScale="85" zoomScaleNormal="85" workbookViewId="0">
      <selection activeCell="L8" sqref="L8"/>
    </sheetView>
  </sheetViews>
  <sheetFormatPr defaultRowHeight="14.4" x14ac:dyDescent="0.3"/>
  <cols>
    <col min="1" max="1" width="27.44140625" style="28" customWidth="1"/>
    <col min="2" max="3" width="11.6640625" style="28" customWidth="1"/>
    <col min="4" max="7" width="8.6640625" style="28" customWidth="1"/>
    <col min="8" max="10" width="11.6640625" style="28" customWidth="1"/>
    <col min="11" max="11" width="11.6640625" customWidth="1"/>
    <col min="12" max="12" width="35.6640625" customWidth="1"/>
    <col min="13" max="13" width="15.88671875" style="37" customWidth="1"/>
    <col min="14" max="14" width="8.6640625" customWidth="1"/>
    <col min="15" max="15" width="24.6640625" style="34" bestFit="1" customWidth="1"/>
    <col min="16" max="16" width="15.88671875" customWidth="1"/>
  </cols>
  <sheetData>
    <row r="1" spans="1:16" ht="30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1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25" t="s">
        <v>3219</v>
      </c>
      <c r="B2" s="26">
        <v>46108</v>
      </c>
      <c r="C2" s="26">
        <v>46113</v>
      </c>
      <c r="D2" s="25">
        <v>3319</v>
      </c>
      <c r="E2" s="25">
        <v>327</v>
      </c>
      <c r="F2" s="25">
        <v>2</v>
      </c>
      <c r="G2" s="28">
        <v>1</v>
      </c>
      <c r="H2" s="28">
        <v>81778</v>
      </c>
      <c r="I2" s="28" t="s">
        <v>17</v>
      </c>
      <c r="J2" s="28">
        <v>82228219</v>
      </c>
      <c r="K2" t="s">
        <v>1670</v>
      </c>
      <c r="L2" t="s">
        <v>1674</v>
      </c>
      <c r="M2" s="39">
        <v>279900</v>
      </c>
      <c r="N2" s="29" t="s">
        <v>2826</v>
      </c>
      <c r="O2" s="36" t="s">
        <v>3218</v>
      </c>
      <c r="P2" s="28" t="s">
        <v>2826</v>
      </c>
    </row>
    <row r="3" spans="1:16" x14ac:dyDescent="0.3">
      <c r="A3" s="25" t="s">
        <v>3219</v>
      </c>
      <c r="B3" s="26">
        <v>46108</v>
      </c>
      <c r="C3" s="26">
        <v>46113</v>
      </c>
      <c r="D3" s="25">
        <v>3319</v>
      </c>
      <c r="E3" s="25">
        <v>327</v>
      </c>
      <c r="F3" s="25">
        <v>2</v>
      </c>
      <c r="G3" s="28">
        <v>1</v>
      </c>
      <c r="H3" s="28">
        <v>81778</v>
      </c>
      <c r="I3" s="28" t="s">
        <v>17</v>
      </c>
      <c r="J3" s="28">
        <v>82228200</v>
      </c>
      <c r="K3" t="s">
        <v>1670</v>
      </c>
      <c r="L3" t="s">
        <v>1673</v>
      </c>
      <c r="M3" s="39">
        <v>279900</v>
      </c>
      <c r="N3" s="29" t="s">
        <v>2826</v>
      </c>
      <c r="O3" s="36" t="s">
        <v>3218</v>
      </c>
      <c r="P3" s="28" t="s">
        <v>2826</v>
      </c>
    </row>
    <row r="4" spans="1:16" x14ac:dyDescent="0.3">
      <c r="A4" s="25" t="s">
        <v>3219</v>
      </c>
      <c r="B4" s="26">
        <v>46108</v>
      </c>
      <c r="C4" s="26">
        <v>46113</v>
      </c>
      <c r="D4" s="25">
        <v>3319</v>
      </c>
      <c r="E4" s="25">
        <v>327</v>
      </c>
      <c r="F4" s="25">
        <v>2</v>
      </c>
      <c r="G4" s="28">
        <v>1</v>
      </c>
      <c r="H4" s="28">
        <v>81778</v>
      </c>
      <c r="I4" s="28" t="s">
        <v>17</v>
      </c>
      <c r="J4" s="28">
        <v>82228228</v>
      </c>
      <c r="K4" t="s">
        <v>1670</v>
      </c>
      <c r="L4" t="s">
        <v>1675</v>
      </c>
      <c r="M4" s="39">
        <v>279900</v>
      </c>
      <c r="N4" s="29" t="s">
        <v>2826</v>
      </c>
      <c r="O4" s="36" t="s">
        <v>3218</v>
      </c>
      <c r="P4" s="28" t="s">
        <v>2826</v>
      </c>
    </row>
    <row r="5" spans="1:16" x14ac:dyDescent="0.3">
      <c r="A5" s="25" t="s">
        <v>3219</v>
      </c>
      <c r="B5" s="26">
        <v>46108</v>
      </c>
      <c r="C5" s="26">
        <v>46113</v>
      </c>
      <c r="D5" s="25">
        <v>3319</v>
      </c>
      <c r="E5" s="25">
        <v>327</v>
      </c>
      <c r="F5" s="25">
        <v>2</v>
      </c>
      <c r="G5" s="28">
        <v>1</v>
      </c>
      <c r="H5" s="28">
        <v>81778</v>
      </c>
      <c r="I5" s="28" t="s">
        <v>17</v>
      </c>
      <c r="J5" s="28">
        <v>82228184</v>
      </c>
      <c r="K5" t="s">
        <v>1670</v>
      </c>
      <c r="L5" t="s">
        <v>1671</v>
      </c>
      <c r="M5" s="39">
        <v>279900</v>
      </c>
      <c r="N5" s="29" t="s">
        <v>2826</v>
      </c>
      <c r="O5" s="36" t="s">
        <v>3218</v>
      </c>
      <c r="P5" s="28" t="s">
        <v>2826</v>
      </c>
    </row>
    <row r="6" spans="1:16" x14ac:dyDescent="0.3">
      <c r="A6" s="25" t="s">
        <v>3219</v>
      </c>
      <c r="B6" s="26">
        <v>46108</v>
      </c>
      <c r="C6" s="26">
        <v>46113</v>
      </c>
      <c r="D6" s="25">
        <v>3319</v>
      </c>
      <c r="E6" s="25">
        <v>327</v>
      </c>
      <c r="F6" s="25">
        <v>2</v>
      </c>
      <c r="G6" s="28">
        <v>1</v>
      </c>
      <c r="H6" s="28">
        <v>81778</v>
      </c>
      <c r="I6" s="28" t="s">
        <v>17</v>
      </c>
      <c r="J6" s="28">
        <v>82228193</v>
      </c>
      <c r="K6" t="s">
        <v>1670</v>
      </c>
      <c r="L6" t="s">
        <v>1672</v>
      </c>
      <c r="M6" s="39">
        <v>279900</v>
      </c>
      <c r="N6" s="29" t="s">
        <v>2826</v>
      </c>
      <c r="O6" s="36" t="s">
        <v>3218</v>
      </c>
      <c r="P6" s="28" t="s">
        <v>2826</v>
      </c>
    </row>
    <row r="7" spans="1:16" x14ac:dyDescent="0.3">
      <c r="A7" s="25" t="s">
        <v>3219</v>
      </c>
      <c r="B7" s="26">
        <v>46108</v>
      </c>
      <c r="C7" s="26">
        <v>46113</v>
      </c>
      <c r="D7" s="25">
        <v>3319</v>
      </c>
      <c r="E7" s="25">
        <v>327</v>
      </c>
      <c r="F7" s="25">
        <v>2</v>
      </c>
      <c r="G7" s="28">
        <v>2</v>
      </c>
      <c r="H7" s="28">
        <v>81778</v>
      </c>
      <c r="I7" s="28" t="s">
        <v>17</v>
      </c>
      <c r="J7" s="28">
        <v>15806514</v>
      </c>
      <c r="K7" t="s">
        <v>2137</v>
      </c>
      <c r="L7" t="s">
        <v>2138</v>
      </c>
      <c r="M7" s="39">
        <v>299900</v>
      </c>
      <c r="N7" s="29" t="s">
        <v>2826</v>
      </c>
      <c r="O7" s="36" t="s">
        <v>3218</v>
      </c>
      <c r="P7" s="28" t="s">
        <v>2826</v>
      </c>
    </row>
    <row r="8" spans="1:16" x14ac:dyDescent="0.3">
      <c r="A8" s="25" t="s">
        <v>3219</v>
      </c>
      <c r="B8" s="26">
        <v>46108</v>
      </c>
      <c r="C8" s="26">
        <v>46113</v>
      </c>
      <c r="D8" s="25">
        <v>3319</v>
      </c>
      <c r="E8" s="25">
        <v>327</v>
      </c>
      <c r="F8" s="25">
        <v>2</v>
      </c>
      <c r="G8" s="28">
        <v>2</v>
      </c>
      <c r="H8" s="28">
        <v>81778</v>
      </c>
      <c r="I8" s="28" t="s">
        <v>17</v>
      </c>
      <c r="J8" s="28">
        <v>15806523</v>
      </c>
      <c r="K8" t="s">
        <v>2137</v>
      </c>
      <c r="L8" t="s">
        <v>2139</v>
      </c>
      <c r="M8" s="39">
        <v>299900</v>
      </c>
      <c r="N8" s="29" t="s">
        <v>2826</v>
      </c>
      <c r="O8" s="36" t="s">
        <v>3218</v>
      </c>
      <c r="P8" s="28" t="s">
        <v>2826</v>
      </c>
    </row>
    <row r="9" spans="1:16" x14ac:dyDescent="0.3">
      <c r="A9" s="25" t="s">
        <v>3219</v>
      </c>
      <c r="B9" s="26">
        <v>46108</v>
      </c>
      <c r="C9" s="26">
        <v>46113</v>
      </c>
      <c r="D9" s="25">
        <v>3319</v>
      </c>
      <c r="E9" s="25">
        <v>327</v>
      </c>
      <c r="F9" s="25">
        <v>2</v>
      </c>
      <c r="G9" s="28">
        <v>2</v>
      </c>
      <c r="H9" s="28">
        <v>81778</v>
      </c>
      <c r="I9" s="28" t="s">
        <v>17</v>
      </c>
      <c r="J9" s="28">
        <v>15806532</v>
      </c>
      <c r="K9" t="s">
        <v>2137</v>
      </c>
      <c r="L9" t="s">
        <v>2140</v>
      </c>
      <c r="M9" s="39">
        <v>299900</v>
      </c>
      <c r="N9" s="29" t="s">
        <v>2826</v>
      </c>
      <c r="O9" s="36" t="s">
        <v>3218</v>
      </c>
      <c r="P9" s="28" t="s">
        <v>2826</v>
      </c>
    </row>
    <row r="10" spans="1:16" x14ac:dyDescent="0.3">
      <c r="A10" s="25" t="s">
        <v>3219</v>
      </c>
      <c r="B10" s="26">
        <v>46108</v>
      </c>
      <c r="C10" s="26">
        <v>46113</v>
      </c>
      <c r="D10" s="25">
        <v>3319</v>
      </c>
      <c r="E10" s="25">
        <v>327</v>
      </c>
      <c r="F10" s="25">
        <v>2</v>
      </c>
      <c r="G10" s="28">
        <v>2</v>
      </c>
      <c r="H10" s="28">
        <v>81778</v>
      </c>
      <c r="I10" s="28" t="s">
        <v>17</v>
      </c>
      <c r="J10" s="28">
        <v>15806541</v>
      </c>
      <c r="K10" t="s">
        <v>2137</v>
      </c>
      <c r="L10" t="s">
        <v>2141</v>
      </c>
      <c r="M10" s="39">
        <v>299900</v>
      </c>
      <c r="N10" s="29" t="s">
        <v>2826</v>
      </c>
      <c r="O10" s="36" t="s">
        <v>3218</v>
      </c>
      <c r="P10" s="28" t="s">
        <v>2826</v>
      </c>
    </row>
    <row r="11" spans="1:16" x14ac:dyDescent="0.3">
      <c r="A11" s="25" t="s">
        <v>3219</v>
      </c>
      <c r="B11" s="26">
        <v>46108</v>
      </c>
      <c r="C11" s="26">
        <v>46113</v>
      </c>
      <c r="D11" s="25">
        <v>3319</v>
      </c>
      <c r="E11" s="25">
        <v>327</v>
      </c>
      <c r="F11" s="25">
        <v>2</v>
      </c>
      <c r="G11" s="28">
        <v>2</v>
      </c>
      <c r="H11" s="28">
        <v>81778</v>
      </c>
      <c r="I11" s="28" t="s">
        <v>17</v>
      </c>
      <c r="J11" s="28">
        <v>15806550</v>
      </c>
      <c r="K11" t="s">
        <v>2137</v>
      </c>
      <c r="L11" t="s">
        <v>2142</v>
      </c>
      <c r="M11" s="39">
        <v>299900</v>
      </c>
      <c r="N11" s="29" t="s">
        <v>2826</v>
      </c>
      <c r="O11" s="36" t="s">
        <v>3218</v>
      </c>
      <c r="P11" s="28" t="s">
        <v>2826</v>
      </c>
    </row>
    <row r="12" spans="1:16" x14ac:dyDescent="0.3">
      <c r="A12" s="25" t="s">
        <v>3219</v>
      </c>
      <c r="B12" s="26">
        <v>46108</v>
      </c>
      <c r="C12" s="26">
        <v>46113</v>
      </c>
      <c r="D12" s="25">
        <v>3319</v>
      </c>
      <c r="E12" s="25">
        <v>327</v>
      </c>
      <c r="F12" s="25">
        <v>2</v>
      </c>
      <c r="G12" s="28">
        <v>1</v>
      </c>
      <c r="H12" s="28">
        <v>81433</v>
      </c>
      <c r="I12" s="28" t="s">
        <v>17</v>
      </c>
      <c r="J12" s="28">
        <v>19295926</v>
      </c>
      <c r="K12" t="s">
        <v>2148</v>
      </c>
      <c r="L12" t="s">
        <v>2154</v>
      </c>
      <c r="M12" s="39">
        <v>279900</v>
      </c>
      <c r="N12" s="29" t="s">
        <v>2826</v>
      </c>
      <c r="O12" s="36" t="s">
        <v>3218</v>
      </c>
      <c r="P12" s="28" t="s">
        <v>2826</v>
      </c>
    </row>
    <row r="13" spans="1:16" x14ac:dyDescent="0.3">
      <c r="A13" s="25" t="s">
        <v>3219</v>
      </c>
      <c r="B13" s="26">
        <v>46108</v>
      </c>
      <c r="C13" s="26">
        <v>46113</v>
      </c>
      <c r="D13" s="25">
        <v>3319</v>
      </c>
      <c r="E13" s="25">
        <v>327</v>
      </c>
      <c r="F13" s="25">
        <v>2</v>
      </c>
      <c r="G13" s="28">
        <v>1</v>
      </c>
      <c r="H13" s="28">
        <v>81433</v>
      </c>
      <c r="I13" s="28" t="s">
        <v>17</v>
      </c>
      <c r="J13" s="28">
        <v>19295935</v>
      </c>
      <c r="K13" t="s">
        <v>2148</v>
      </c>
      <c r="L13" t="s">
        <v>2155</v>
      </c>
      <c r="M13" s="39">
        <v>279900</v>
      </c>
      <c r="N13" s="29" t="s">
        <v>2826</v>
      </c>
      <c r="O13" s="36" t="s">
        <v>3218</v>
      </c>
      <c r="P13" s="28" t="s">
        <v>2826</v>
      </c>
    </row>
    <row r="14" spans="1:16" x14ac:dyDescent="0.3">
      <c r="A14" s="25" t="s">
        <v>3219</v>
      </c>
      <c r="B14" s="26">
        <v>46108</v>
      </c>
      <c r="C14" s="26">
        <v>46113</v>
      </c>
      <c r="D14" s="25">
        <v>3319</v>
      </c>
      <c r="E14" s="25">
        <v>327</v>
      </c>
      <c r="F14" s="25">
        <v>2</v>
      </c>
      <c r="G14" s="28">
        <v>1</v>
      </c>
      <c r="H14" s="28">
        <v>81433</v>
      </c>
      <c r="I14" s="28" t="s">
        <v>17</v>
      </c>
      <c r="J14" s="28">
        <v>19295944</v>
      </c>
      <c r="K14" t="s">
        <v>2148</v>
      </c>
      <c r="L14" t="s">
        <v>2156</v>
      </c>
      <c r="M14" s="39">
        <v>279900</v>
      </c>
      <c r="N14" s="29" t="s">
        <v>2826</v>
      </c>
      <c r="O14" s="36" t="s">
        <v>3218</v>
      </c>
      <c r="P14" s="28" t="s">
        <v>2826</v>
      </c>
    </row>
    <row r="15" spans="1:16" x14ac:dyDescent="0.3">
      <c r="A15" s="25" t="s">
        <v>3219</v>
      </c>
      <c r="B15" s="26">
        <v>46108</v>
      </c>
      <c r="C15" s="26">
        <v>46113</v>
      </c>
      <c r="D15" s="25">
        <v>3319</v>
      </c>
      <c r="E15" s="25">
        <v>327</v>
      </c>
      <c r="F15" s="25">
        <v>2</v>
      </c>
      <c r="G15" s="28">
        <v>1</v>
      </c>
      <c r="H15" s="28">
        <v>81433</v>
      </c>
      <c r="I15" s="28" t="s">
        <v>17</v>
      </c>
      <c r="J15" s="28">
        <v>19295953</v>
      </c>
      <c r="K15" t="s">
        <v>2148</v>
      </c>
      <c r="L15" t="s">
        <v>2157</v>
      </c>
      <c r="M15" s="39">
        <v>279900</v>
      </c>
      <c r="N15" s="29" t="s">
        <v>2826</v>
      </c>
      <c r="O15" s="36" t="s">
        <v>3218</v>
      </c>
      <c r="P15" s="28" t="s">
        <v>2826</v>
      </c>
    </row>
    <row r="16" spans="1:16" x14ac:dyDescent="0.3">
      <c r="A16" s="25" t="s">
        <v>3219</v>
      </c>
      <c r="B16" s="26">
        <v>46108</v>
      </c>
      <c r="C16" s="26">
        <v>46113</v>
      </c>
      <c r="D16" s="25">
        <v>3319</v>
      </c>
      <c r="E16" s="25">
        <v>327</v>
      </c>
      <c r="F16" s="25">
        <v>2</v>
      </c>
      <c r="G16" s="28">
        <v>1</v>
      </c>
      <c r="H16" s="28">
        <v>81433</v>
      </c>
      <c r="I16" s="28" t="s">
        <v>17</v>
      </c>
      <c r="J16" s="28">
        <v>19295962</v>
      </c>
      <c r="K16" t="s">
        <v>2148</v>
      </c>
      <c r="L16" t="s">
        <v>2158</v>
      </c>
      <c r="M16" s="39">
        <v>279900</v>
      </c>
      <c r="N16" s="29" t="s">
        <v>2826</v>
      </c>
      <c r="O16" s="36" t="s">
        <v>3218</v>
      </c>
      <c r="P16" s="28" t="s">
        <v>2826</v>
      </c>
    </row>
    <row r="17" spans="1:16" x14ac:dyDescent="0.3">
      <c r="A17" s="25" t="s">
        <v>3219</v>
      </c>
      <c r="B17" s="26">
        <v>46108</v>
      </c>
      <c r="C17" s="26">
        <v>46113</v>
      </c>
      <c r="D17" s="25">
        <v>3319</v>
      </c>
      <c r="E17" s="25">
        <v>327</v>
      </c>
      <c r="F17" s="25">
        <v>2</v>
      </c>
      <c r="G17" s="28">
        <v>1</v>
      </c>
      <c r="H17" s="28">
        <v>81433</v>
      </c>
      <c r="I17" s="28" t="s">
        <v>17</v>
      </c>
      <c r="J17" s="28">
        <v>19296023</v>
      </c>
      <c r="K17" t="s">
        <v>2159</v>
      </c>
      <c r="L17" t="s">
        <v>2160</v>
      </c>
      <c r="M17" s="39">
        <v>279900</v>
      </c>
      <c r="N17" s="29" t="s">
        <v>2826</v>
      </c>
      <c r="O17" s="36" t="s">
        <v>3218</v>
      </c>
      <c r="P17" s="28" t="s">
        <v>2826</v>
      </c>
    </row>
    <row r="18" spans="1:16" x14ac:dyDescent="0.3">
      <c r="A18" s="25" t="s">
        <v>3219</v>
      </c>
      <c r="B18" s="26">
        <v>46108</v>
      </c>
      <c r="C18" s="26">
        <v>46113</v>
      </c>
      <c r="D18" s="25">
        <v>3319</v>
      </c>
      <c r="E18" s="25">
        <v>327</v>
      </c>
      <c r="F18" s="25">
        <v>2</v>
      </c>
      <c r="G18" s="28">
        <v>1</v>
      </c>
      <c r="H18" s="28">
        <v>81433</v>
      </c>
      <c r="I18" s="28" t="s">
        <v>17</v>
      </c>
      <c r="J18" s="28">
        <v>19296032</v>
      </c>
      <c r="K18" t="s">
        <v>2159</v>
      </c>
      <c r="L18" t="s">
        <v>2161</v>
      </c>
      <c r="M18" s="39">
        <v>279900</v>
      </c>
      <c r="N18" s="29" t="s">
        <v>2826</v>
      </c>
      <c r="O18" s="36" t="s">
        <v>3218</v>
      </c>
      <c r="P18" s="28" t="s">
        <v>2826</v>
      </c>
    </row>
    <row r="19" spans="1:16" x14ac:dyDescent="0.3">
      <c r="A19" s="25" t="s">
        <v>3219</v>
      </c>
      <c r="B19" s="26">
        <v>46108</v>
      </c>
      <c r="C19" s="26">
        <v>46113</v>
      </c>
      <c r="D19" s="25">
        <v>3319</v>
      </c>
      <c r="E19" s="25">
        <v>327</v>
      </c>
      <c r="F19" s="25">
        <v>2</v>
      </c>
      <c r="G19" s="28">
        <v>1</v>
      </c>
      <c r="H19" s="28">
        <v>81433</v>
      </c>
      <c r="I19" s="28" t="s">
        <v>17</v>
      </c>
      <c r="J19" s="28">
        <v>19296041</v>
      </c>
      <c r="K19" t="s">
        <v>2159</v>
      </c>
      <c r="L19" t="s">
        <v>2162</v>
      </c>
      <c r="M19" s="39">
        <v>279900</v>
      </c>
      <c r="N19" s="29" t="s">
        <v>2826</v>
      </c>
      <c r="O19" s="36" t="s">
        <v>3218</v>
      </c>
      <c r="P19" s="28" t="s">
        <v>2826</v>
      </c>
    </row>
    <row r="20" spans="1:16" x14ac:dyDescent="0.3">
      <c r="A20" s="25" t="s">
        <v>3219</v>
      </c>
      <c r="B20" s="26">
        <v>46108</v>
      </c>
      <c r="C20" s="26">
        <v>46113</v>
      </c>
      <c r="D20" s="25">
        <v>3319</v>
      </c>
      <c r="E20" s="25">
        <v>327</v>
      </c>
      <c r="F20" s="25">
        <v>2</v>
      </c>
      <c r="G20" s="28">
        <v>1</v>
      </c>
      <c r="H20" s="28">
        <v>81433</v>
      </c>
      <c r="I20" s="28" t="s">
        <v>17</v>
      </c>
      <c r="J20" s="28">
        <v>19296050</v>
      </c>
      <c r="K20" t="s">
        <v>2159</v>
      </c>
      <c r="L20" t="s">
        <v>2163</v>
      </c>
      <c r="M20" s="39">
        <v>279900</v>
      </c>
      <c r="N20" s="29" t="s">
        <v>2826</v>
      </c>
      <c r="O20" s="36" t="s">
        <v>3218</v>
      </c>
      <c r="P20" s="28" t="s">
        <v>2826</v>
      </c>
    </row>
    <row r="21" spans="1:16" x14ac:dyDescent="0.3">
      <c r="A21" s="25" t="s">
        <v>3219</v>
      </c>
      <c r="B21" s="26">
        <v>46108</v>
      </c>
      <c r="C21" s="26">
        <v>46113</v>
      </c>
      <c r="D21" s="25">
        <v>3319</v>
      </c>
      <c r="E21" s="25">
        <v>327</v>
      </c>
      <c r="F21" s="25">
        <v>2</v>
      </c>
      <c r="G21" s="28">
        <v>1</v>
      </c>
      <c r="H21" s="28">
        <v>81433</v>
      </c>
      <c r="I21" s="28" t="s">
        <v>17</v>
      </c>
      <c r="J21" s="28">
        <v>19296069</v>
      </c>
      <c r="K21" t="s">
        <v>2159</v>
      </c>
      <c r="L21" t="s">
        <v>2164</v>
      </c>
      <c r="M21" s="39">
        <v>279900</v>
      </c>
      <c r="N21" s="29" t="s">
        <v>2826</v>
      </c>
      <c r="O21" s="36" t="s">
        <v>3218</v>
      </c>
      <c r="P21" s="28" t="s">
        <v>2826</v>
      </c>
    </row>
    <row r="22" spans="1:16" x14ac:dyDescent="0.3">
      <c r="A22" s="25" t="s">
        <v>3219</v>
      </c>
      <c r="B22" s="26">
        <v>46108</v>
      </c>
      <c r="C22" s="26">
        <v>46113</v>
      </c>
      <c r="D22" s="25">
        <v>3319</v>
      </c>
      <c r="E22" s="25">
        <v>327</v>
      </c>
      <c r="F22" s="25">
        <v>2</v>
      </c>
      <c r="G22" s="28">
        <v>1</v>
      </c>
      <c r="H22" s="28">
        <v>81433</v>
      </c>
      <c r="I22" s="28" t="s">
        <v>17</v>
      </c>
      <c r="J22" s="28">
        <v>19296078</v>
      </c>
      <c r="K22" t="s">
        <v>2159</v>
      </c>
      <c r="L22" t="s">
        <v>2165</v>
      </c>
      <c r="M22" s="39">
        <v>279900</v>
      </c>
      <c r="N22" s="29" t="s">
        <v>2826</v>
      </c>
      <c r="O22" s="36" t="s">
        <v>3218</v>
      </c>
      <c r="P22" s="28" t="s">
        <v>2826</v>
      </c>
    </row>
    <row r="23" spans="1:16" x14ac:dyDescent="0.3">
      <c r="A23" s="25" t="s">
        <v>3219</v>
      </c>
      <c r="B23" s="26">
        <v>46108</v>
      </c>
      <c r="C23" s="26">
        <v>46113</v>
      </c>
      <c r="D23" s="25">
        <v>3319</v>
      </c>
      <c r="E23" s="25">
        <v>327</v>
      </c>
      <c r="F23" s="25">
        <v>2</v>
      </c>
      <c r="G23" s="28">
        <v>1</v>
      </c>
      <c r="H23" s="28">
        <v>81433</v>
      </c>
      <c r="I23" s="28" t="s">
        <v>17</v>
      </c>
      <c r="J23" s="28">
        <v>19296087</v>
      </c>
      <c r="K23" t="s">
        <v>2159</v>
      </c>
      <c r="L23" t="s">
        <v>2166</v>
      </c>
      <c r="M23" s="39">
        <v>279900</v>
      </c>
      <c r="N23" s="29" t="s">
        <v>2826</v>
      </c>
      <c r="O23" s="36" t="s">
        <v>3218</v>
      </c>
      <c r="P23" s="28" t="s">
        <v>2826</v>
      </c>
    </row>
    <row r="24" spans="1:16" x14ac:dyDescent="0.3">
      <c r="A24" s="25" t="s">
        <v>3219</v>
      </c>
      <c r="B24" s="26">
        <v>46108</v>
      </c>
      <c r="C24" s="26">
        <v>46113</v>
      </c>
      <c r="D24" s="25">
        <v>3319</v>
      </c>
      <c r="E24" s="25">
        <v>327</v>
      </c>
      <c r="F24" s="25">
        <v>2</v>
      </c>
      <c r="G24" s="28">
        <v>1</v>
      </c>
      <c r="H24" s="28">
        <v>81433</v>
      </c>
      <c r="I24" s="28" t="s">
        <v>17</v>
      </c>
      <c r="J24" s="28">
        <v>19296096</v>
      </c>
      <c r="K24" t="s">
        <v>2159</v>
      </c>
      <c r="L24" t="s">
        <v>2167</v>
      </c>
      <c r="M24" s="39">
        <v>279900</v>
      </c>
      <c r="N24" s="29" t="s">
        <v>2826</v>
      </c>
      <c r="O24" s="36" t="s">
        <v>3218</v>
      </c>
      <c r="P24" s="28" t="s">
        <v>2826</v>
      </c>
    </row>
    <row r="25" spans="1:16" x14ac:dyDescent="0.3">
      <c r="A25" s="25" t="s">
        <v>3219</v>
      </c>
      <c r="B25" s="26">
        <v>46108</v>
      </c>
      <c r="C25" s="26">
        <v>46113</v>
      </c>
      <c r="D25" s="25">
        <v>3319</v>
      </c>
      <c r="E25" s="25">
        <v>327</v>
      </c>
      <c r="F25" s="25">
        <v>2</v>
      </c>
      <c r="G25" s="28">
        <v>1</v>
      </c>
      <c r="H25" s="28">
        <v>81433</v>
      </c>
      <c r="I25" s="28" t="s">
        <v>17</v>
      </c>
      <c r="J25" s="28">
        <v>19296103</v>
      </c>
      <c r="K25" t="s">
        <v>2159</v>
      </c>
      <c r="L25" t="s">
        <v>2168</v>
      </c>
      <c r="M25" s="39">
        <v>279900</v>
      </c>
      <c r="N25" s="29" t="s">
        <v>2826</v>
      </c>
      <c r="O25" s="36" t="s">
        <v>3218</v>
      </c>
      <c r="P25" s="28" t="s">
        <v>2826</v>
      </c>
    </row>
    <row r="26" spans="1:16" x14ac:dyDescent="0.3">
      <c r="A26" s="25" t="s">
        <v>3219</v>
      </c>
      <c r="B26" s="26">
        <v>46108</v>
      </c>
      <c r="C26" s="26">
        <v>46113</v>
      </c>
      <c r="D26" s="25">
        <v>3319</v>
      </c>
      <c r="E26" s="25">
        <v>327</v>
      </c>
      <c r="F26" s="25">
        <v>2</v>
      </c>
      <c r="G26" s="28">
        <v>1</v>
      </c>
      <c r="H26" s="28">
        <v>81433</v>
      </c>
      <c r="I26" s="28" t="s">
        <v>17</v>
      </c>
      <c r="J26" s="28">
        <v>19296112</v>
      </c>
      <c r="K26" t="s">
        <v>2159</v>
      </c>
      <c r="L26" t="s">
        <v>2169</v>
      </c>
      <c r="M26" s="39">
        <v>279900</v>
      </c>
      <c r="N26" s="29" t="s">
        <v>2826</v>
      </c>
      <c r="O26" s="36" t="s">
        <v>3218</v>
      </c>
      <c r="P26" s="28" t="s">
        <v>2826</v>
      </c>
    </row>
    <row r="27" spans="1:16" x14ac:dyDescent="0.3">
      <c r="A27" s="25" t="s">
        <v>3219</v>
      </c>
      <c r="B27" s="26">
        <v>46108</v>
      </c>
      <c r="C27" s="26">
        <v>46113</v>
      </c>
      <c r="D27" s="25">
        <v>3319</v>
      </c>
      <c r="E27" s="25">
        <v>327</v>
      </c>
      <c r="F27" s="25">
        <v>2</v>
      </c>
      <c r="G27" s="28">
        <v>1</v>
      </c>
      <c r="H27" s="28">
        <v>81433</v>
      </c>
      <c r="I27" s="28" t="s">
        <v>17</v>
      </c>
      <c r="J27" s="28">
        <v>22153082</v>
      </c>
      <c r="K27" t="s">
        <v>2170</v>
      </c>
      <c r="L27" t="s">
        <v>2171</v>
      </c>
      <c r="M27" s="39">
        <v>279900</v>
      </c>
      <c r="N27" s="29" t="s">
        <v>2826</v>
      </c>
      <c r="O27" s="36" t="s">
        <v>3218</v>
      </c>
      <c r="P27" s="28" t="s">
        <v>2826</v>
      </c>
    </row>
    <row r="28" spans="1:16" x14ac:dyDescent="0.3">
      <c r="A28" s="25" t="s">
        <v>3219</v>
      </c>
      <c r="B28" s="26">
        <v>46108</v>
      </c>
      <c r="C28" s="26">
        <v>46113</v>
      </c>
      <c r="D28" s="25">
        <v>3319</v>
      </c>
      <c r="E28" s="25">
        <v>327</v>
      </c>
      <c r="F28" s="25">
        <v>2</v>
      </c>
      <c r="G28" s="28">
        <v>1</v>
      </c>
      <c r="H28" s="28">
        <v>81433</v>
      </c>
      <c r="I28" s="28" t="s">
        <v>17</v>
      </c>
      <c r="J28" s="28">
        <v>22153395</v>
      </c>
      <c r="K28" t="s">
        <v>2170</v>
      </c>
      <c r="L28" t="s">
        <v>2172</v>
      </c>
      <c r="M28" s="39">
        <v>279900</v>
      </c>
      <c r="N28" s="29" t="s">
        <v>2826</v>
      </c>
      <c r="O28" s="36" t="s">
        <v>3218</v>
      </c>
      <c r="P28" s="28" t="s">
        <v>2826</v>
      </c>
    </row>
    <row r="29" spans="1:16" x14ac:dyDescent="0.3">
      <c r="A29" s="25" t="s">
        <v>3219</v>
      </c>
      <c r="B29" s="26">
        <v>46108</v>
      </c>
      <c r="C29" s="26">
        <v>46113</v>
      </c>
      <c r="D29" s="25">
        <v>3319</v>
      </c>
      <c r="E29" s="25">
        <v>327</v>
      </c>
      <c r="F29" s="25">
        <v>2</v>
      </c>
      <c r="G29" s="28">
        <v>1</v>
      </c>
      <c r="H29" s="28">
        <v>81433</v>
      </c>
      <c r="I29" s="28" t="s">
        <v>17</v>
      </c>
      <c r="J29" s="28">
        <v>22152949</v>
      </c>
      <c r="K29" t="s">
        <v>2170</v>
      </c>
      <c r="L29" t="s">
        <v>2173</v>
      </c>
      <c r="M29" s="39">
        <v>279900</v>
      </c>
      <c r="N29" s="29" t="s">
        <v>2826</v>
      </c>
      <c r="O29" s="36" t="s">
        <v>3218</v>
      </c>
      <c r="P29" s="28" t="s">
        <v>2826</v>
      </c>
    </row>
    <row r="30" spans="1:16" x14ac:dyDescent="0.3">
      <c r="A30" s="25" t="s">
        <v>3219</v>
      </c>
      <c r="B30" s="26">
        <v>46108</v>
      </c>
      <c r="C30" s="26">
        <v>46113</v>
      </c>
      <c r="D30" s="25">
        <v>3319</v>
      </c>
      <c r="E30" s="25">
        <v>327</v>
      </c>
      <c r="F30" s="25">
        <v>2</v>
      </c>
      <c r="G30" s="28">
        <v>1</v>
      </c>
      <c r="H30" s="28">
        <v>81433</v>
      </c>
      <c r="I30" s="28" t="s">
        <v>17</v>
      </c>
      <c r="J30" s="28">
        <v>22153055</v>
      </c>
      <c r="K30" t="s">
        <v>2170</v>
      </c>
      <c r="L30" t="s">
        <v>2174</v>
      </c>
      <c r="M30" s="39">
        <v>279900</v>
      </c>
      <c r="N30" s="29" t="s">
        <v>2826</v>
      </c>
      <c r="O30" s="36" t="s">
        <v>3218</v>
      </c>
      <c r="P30" s="28" t="s">
        <v>2826</v>
      </c>
    </row>
    <row r="31" spans="1:16" x14ac:dyDescent="0.3">
      <c r="A31" s="25" t="s">
        <v>3219</v>
      </c>
      <c r="B31" s="26">
        <v>46108</v>
      </c>
      <c r="C31" s="26">
        <v>46113</v>
      </c>
      <c r="D31" s="25">
        <v>3319</v>
      </c>
      <c r="E31" s="25">
        <v>327</v>
      </c>
      <c r="F31" s="25">
        <v>2</v>
      </c>
      <c r="G31" s="28">
        <v>1</v>
      </c>
      <c r="H31" s="28">
        <v>81433</v>
      </c>
      <c r="I31" s="28" t="s">
        <v>17</v>
      </c>
      <c r="J31" s="28">
        <v>22153064</v>
      </c>
      <c r="K31" t="s">
        <v>2170</v>
      </c>
      <c r="L31" t="s">
        <v>2175</v>
      </c>
      <c r="M31" s="39">
        <v>279900</v>
      </c>
      <c r="N31" s="29" t="s">
        <v>2826</v>
      </c>
      <c r="O31" s="36" t="s">
        <v>3218</v>
      </c>
      <c r="P31" s="28" t="s">
        <v>2826</v>
      </c>
    </row>
    <row r="32" spans="1:16" x14ac:dyDescent="0.3">
      <c r="A32" s="25" t="s">
        <v>3219</v>
      </c>
      <c r="B32" s="26">
        <v>46108</v>
      </c>
      <c r="C32" s="26">
        <v>46113</v>
      </c>
      <c r="D32" s="25">
        <v>3319</v>
      </c>
      <c r="E32" s="25">
        <v>327</v>
      </c>
      <c r="F32" s="25">
        <v>2</v>
      </c>
      <c r="G32" s="28">
        <v>1</v>
      </c>
      <c r="H32" s="28">
        <v>81433</v>
      </c>
      <c r="I32" s="28" t="s">
        <v>17</v>
      </c>
      <c r="J32" s="28">
        <v>22153073</v>
      </c>
      <c r="K32" t="s">
        <v>2170</v>
      </c>
      <c r="L32" t="s">
        <v>2176</v>
      </c>
      <c r="M32" s="39">
        <v>279900</v>
      </c>
      <c r="N32" s="29" t="s">
        <v>2826</v>
      </c>
      <c r="O32" s="36" t="s">
        <v>3218</v>
      </c>
      <c r="P32" s="28" t="s">
        <v>2826</v>
      </c>
    </row>
    <row r="33" spans="1:16" x14ac:dyDescent="0.3">
      <c r="A33" s="25" t="s">
        <v>3219</v>
      </c>
      <c r="B33" s="26">
        <v>46108</v>
      </c>
      <c r="C33" s="26">
        <v>46113</v>
      </c>
      <c r="D33" s="25">
        <v>3319</v>
      </c>
      <c r="E33" s="25">
        <v>327</v>
      </c>
      <c r="F33" s="25">
        <v>2</v>
      </c>
      <c r="G33" s="28">
        <v>1</v>
      </c>
      <c r="H33" s="28">
        <v>81433</v>
      </c>
      <c r="I33" s="28" t="s">
        <v>17</v>
      </c>
      <c r="J33" s="28">
        <v>22153091</v>
      </c>
      <c r="K33" t="s">
        <v>2170</v>
      </c>
      <c r="L33" t="s">
        <v>2177</v>
      </c>
      <c r="M33" s="39">
        <v>279900</v>
      </c>
      <c r="N33" s="29" t="s">
        <v>2826</v>
      </c>
      <c r="O33" s="36" t="s">
        <v>3218</v>
      </c>
      <c r="P33" s="28" t="s">
        <v>2826</v>
      </c>
    </row>
    <row r="34" spans="1:16" x14ac:dyDescent="0.3">
      <c r="A34" s="25" t="s">
        <v>3219</v>
      </c>
      <c r="B34" s="26">
        <v>46108</v>
      </c>
      <c r="C34" s="26">
        <v>46113</v>
      </c>
      <c r="D34" s="25">
        <v>3319</v>
      </c>
      <c r="E34" s="25">
        <v>327</v>
      </c>
      <c r="F34" s="25">
        <v>2</v>
      </c>
      <c r="G34" s="28">
        <v>1</v>
      </c>
      <c r="H34" s="28">
        <v>81433</v>
      </c>
      <c r="I34" s="28" t="s">
        <v>17</v>
      </c>
      <c r="J34" s="28">
        <v>22153108</v>
      </c>
      <c r="K34" t="s">
        <v>2170</v>
      </c>
      <c r="L34" t="s">
        <v>2178</v>
      </c>
      <c r="M34" s="39">
        <v>279900</v>
      </c>
      <c r="N34" s="29" t="s">
        <v>2826</v>
      </c>
      <c r="O34" s="36" t="s">
        <v>3218</v>
      </c>
      <c r="P34" s="28" t="s">
        <v>2826</v>
      </c>
    </row>
    <row r="35" spans="1:16" x14ac:dyDescent="0.3">
      <c r="A35" s="25" t="s">
        <v>3219</v>
      </c>
      <c r="B35" s="26">
        <v>46108</v>
      </c>
      <c r="C35" s="26">
        <v>46113</v>
      </c>
      <c r="D35" s="25">
        <v>3319</v>
      </c>
      <c r="E35" s="25">
        <v>327</v>
      </c>
      <c r="F35" s="25">
        <v>2</v>
      </c>
      <c r="G35" s="28">
        <v>1</v>
      </c>
      <c r="H35" s="28">
        <v>81433</v>
      </c>
      <c r="I35" s="28" t="s">
        <v>17</v>
      </c>
      <c r="J35" s="28">
        <v>22153377</v>
      </c>
      <c r="K35" t="s">
        <v>2170</v>
      </c>
      <c r="L35" t="s">
        <v>2179</v>
      </c>
      <c r="M35" s="39">
        <v>279900</v>
      </c>
      <c r="N35" s="29" t="s">
        <v>2826</v>
      </c>
      <c r="O35" s="36" t="s">
        <v>3218</v>
      </c>
      <c r="P35" s="28" t="s">
        <v>2826</v>
      </c>
    </row>
    <row r="36" spans="1:16" x14ac:dyDescent="0.3">
      <c r="A36" s="25" t="s">
        <v>3219</v>
      </c>
      <c r="B36" s="26">
        <v>46108</v>
      </c>
      <c r="C36" s="26">
        <v>46113</v>
      </c>
      <c r="D36" s="25">
        <v>3319</v>
      </c>
      <c r="E36" s="25">
        <v>327</v>
      </c>
      <c r="F36" s="25">
        <v>2</v>
      </c>
      <c r="G36" s="28">
        <v>1</v>
      </c>
      <c r="H36" s="28">
        <v>81433</v>
      </c>
      <c r="I36" s="28" t="s">
        <v>17</v>
      </c>
      <c r="J36" s="28">
        <v>22153386</v>
      </c>
      <c r="K36" t="s">
        <v>2170</v>
      </c>
      <c r="L36" t="s">
        <v>2180</v>
      </c>
      <c r="M36" s="39">
        <v>279900</v>
      </c>
      <c r="N36" s="29" t="s">
        <v>2826</v>
      </c>
      <c r="O36" s="36" t="s">
        <v>3218</v>
      </c>
      <c r="P36" s="28" t="s">
        <v>2826</v>
      </c>
    </row>
    <row r="37" spans="1:16" x14ac:dyDescent="0.3">
      <c r="A37" s="25" t="s">
        <v>3219</v>
      </c>
      <c r="B37" s="26">
        <v>46108</v>
      </c>
      <c r="C37" s="26">
        <v>46113</v>
      </c>
      <c r="D37" s="25">
        <v>3319</v>
      </c>
      <c r="E37" s="25">
        <v>327</v>
      </c>
      <c r="F37" s="25">
        <v>2</v>
      </c>
      <c r="G37" s="28">
        <v>1</v>
      </c>
      <c r="H37" s="28">
        <v>81433</v>
      </c>
      <c r="I37" s="28" t="s">
        <v>17</v>
      </c>
      <c r="J37" s="28">
        <v>19296121</v>
      </c>
      <c r="K37" t="s">
        <v>2187</v>
      </c>
      <c r="L37" t="s">
        <v>2188</v>
      </c>
      <c r="M37" s="39">
        <v>279900</v>
      </c>
      <c r="N37" s="29" t="s">
        <v>2826</v>
      </c>
      <c r="O37" s="36" t="s">
        <v>3218</v>
      </c>
      <c r="P37" s="28" t="s">
        <v>2826</v>
      </c>
    </row>
    <row r="38" spans="1:16" x14ac:dyDescent="0.3">
      <c r="A38" s="25" t="s">
        <v>3219</v>
      </c>
      <c r="B38" s="26">
        <v>46108</v>
      </c>
      <c r="C38" s="26">
        <v>46113</v>
      </c>
      <c r="D38" s="25">
        <v>3319</v>
      </c>
      <c r="E38" s="25">
        <v>327</v>
      </c>
      <c r="F38" s="25">
        <v>2</v>
      </c>
      <c r="G38" s="28">
        <v>1</v>
      </c>
      <c r="H38" s="28">
        <v>81433</v>
      </c>
      <c r="I38" s="28" t="s">
        <v>17</v>
      </c>
      <c r="J38" s="28">
        <v>19296130</v>
      </c>
      <c r="K38" t="s">
        <v>2187</v>
      </c>
      <c r="L38" t="s">
        <v>2189</v>
      </c>
      <c r="M38" s="39">
        <v>279900</v>
      </c>
      <c r="N38" s="29" t="s">
        <v>2826</v>
      </c>
      <c r="O38" s="36" t="s">
        <v>3218</v>
      </c>
      <c r="P38" s="28" t="s">
        <v>2826</v>
      </c>
    </row>
    <row r="39" spans="1:16" x14ac:dyDescent="0.3">
      <c r="A39" s="25" t="s">
        <v>3219</v>
      </c>
      <c r="B39" s="26">
        <v>46108</v>
      </c>
      <c r="C39" s="26">
        <v>46113</v>
      </c>
      <c r="D39" s="25">
        <v>3319</v>
      </c>
      <c r="E39" s="25">
        <v>327</v>
      </c>
      <c r="F39" s="25">
        <v>2</v>
      </c>
      <c r="G39" s="28">
        <v>1</v>
      </c>
      <c r="H39" s="28">
        <v>81433</v>
      </c>
      <c r="I39" s="28" t="s">
        <v>17</v>
      </c>
      <c r="J39" s="28">
        <v>19296149</v>
      </c>
      <c r="K39" t="s">
        <v>2187</v>
      </c>
      <c r="L39" t="s">
        <v>2190</v>
      </c>
      <c r="M39" s="39">
        <v>279900</v>
      </c>
      <c r="N39" s="29" t="s">
        <v>2826</v>
      </c>
      <c r="O39" s="36" t="s">
        <v>3218</v>
      </c>
      <c r="P39" s="28" t="s">
        <v>2826</v>
      </c>
    </row>
    <row r="40" spans="1:16" x14ac:dyDescent="0.3">
      <c r="A40" s="25" t="s">
        <v>3219</v>
      </c>
      <c r="B40" s="26">
        <v>46108</v>
      </c>
      <c r="C40" s="26">
        <v>46113</v>
      </c>
      <c r="D40" s="25">
        <v>3319</v>
      </c>
      <c r="E40" s="25">
        <v>327</v>
      </c>
      <c r="F40" s="25">
        <v>2</v>
      </c>
      <c r="G40" s="28">
        <v>1</v>
      </c>
      <c r="H40" s="28">
        <v>81433</v>
      </c>
      <c r="I40" s="28" t="s">
        <v>17</v>
      </c>
      <c r="J40" s="28">
        <v>19296158</v>
      </c>
      <c r="K40" t="s">
        <v>2187</v>
      </c>
      <c r="L40" t="s">
        <v>2191</v>
      </c>
      <c r="M40" s="39">
        <v>279900</v>
      </c>
      <c r="N40" s="29" t="s">
        <v>2826</v>
      </c>
      <c r="O40" s="36" t="s">
        <v>3218</v>
      </c>
      <c r="P40" s="28" t="s">
        <v>2826</v>
      </c>
    </row>
    <row r="41" spans="1:16" x14ac:dyDescent="0.3">
      <c r="A41" s="25" t="s">
        <v>3219</v>
      </c>
      <c r="B41" s="26">
        <v>46108</v>
      </c>
      <c r="C41" s="26">
        <v>46113</v>
      </c>
      <c r="D41" s="25">
        <v>3319</v>
      </c>
      <c r="E41" s="25">
        <v>327</v>
      </c>
      <c r="F41" s="25">
        <v>2</v>
      </c>
      <c r="G41" s="28">
        <v>1</v>
      </c>
      <c r="H41" s="28">
        <v>81433</v>
      </c>
      <c r="I41" s="28" t="s">
        <v>17</v>
      </c>
      <c r="J41" s="28">
        <v>19296185</v>
      </c>
      <c r="K41" t="s">
        <v>2187</v>
      </c>
      <c r="L41" t="s">
        <v>2192</v>
      </c>
      <c r="M41" s="39">
        <v>279900</v>
      </c>
      <c r="N41" s="29" t="s">
        <v>2826</v>
      </c>
      <c r="O41" s="36" t="s">
        <v>3218</v>
      </c>
      <c r="P41" s="28" t="s">
        <v>2826</v>
      </c>
    </row>
    <row r="42" spans="1:16" x14ac:dyDescent="0.3">
      <c r="A42" s="25" t="s">
        <v>3219</v>
      </c>
      <c r="B42" s="26">
        <v>46108</v>
      </c>
      <c r="C42" s="26">
        <v>46113</v>
      </c>
      <c r="D42" s="25">
        <v>3319</v>
      </c>
      <c r="E42" s="25">
        <v>327</v>
      </c>
      <c r="F42" s="25">
        <v>2</v>
      </c>
      <c r="G42" s="28">
        <v>1</v>
      </c>
      <c r="H42" s="28">
        <v>81433</v>
      </c>
      <c r="I42" s="28" t="s">
        <v>17</v>
      </c>
      <c r="J42" s="28">
        <v>19296194</v>
      </c>
      <c r="K42" t="s">
        <v>2187</v>
      </c>
      <c r="L42" t="s">
        <v>2193</v>
      </c>
      <c r="M42" s="39">
        <v>279900</v>
      </c>
      <c r="N42" s="29" t="s">
        <v>2826</v>
      </c>
      <c r="O42" s="36" t="s">
        <v>3218</v>
      </c>
      <c r="P42" s="28" t="s">
        <v>2826</v>
      </c>
    </row>
    <row r="43" spans="1:16" x14ac:dyDescent="0.3">
      <c r="A43" s="25" t="s">
        <v>3219</v>
      </c>
      <c r="B43" s="26">
        <v>46108</v>
      </c>
      <c r="C43" s="26">
        <v>46113</v>
      </c>
      <c r="D43" s="25">
        <v>3319</v>
      </c>
      <c r="E43" s="25">
        <v>327</v>
      </c>
      <c r="F43" s="25">
        <v>2</v>
      </c>
      <c r="G43" s="28">
        <v>1</v>
      </c>
      <c r="H43" s="28">
        <v>81433</v>
      </c>
      <c r="I43" s="28" t="s">
        <v>17</v>
      </c>
      <c r="J43" s="28">
        <v>19296210</v>
      </c>
      <c r="K43" t="s">
        <v>2187</v>
      </c>
      <c r="L43" t="s">
        <v>2194</v>
      </c>
      <c r="M43" s="39">
        <v>279900</v>
      </c>
      <c r="N43" s="29" t="s">
        <v>2826</v>
      </c>
      <c r="O43" s="36" t="s">
        <v>3218</v>
      </c>
      <c r="P43" s="28" t="s">
        <v>2826</v>
      </c>
    </row>
    <row r="44" spans="1:16" x14ac:dyDescent="0.3">
      <c r="A44" s="25" t="s">
        <v>3219</v>
      </c>
      <c r="B44" s="26">
        <v>46108</v>
      </c>
      <c r="C44" s="26">
        <v>46113</v>
      </c>
      <c r="D44" s="25">
        <v>3319</v>
      </c>
      <c r="E44" s="25">
        <v>327</v>
      </c>
      <c r="F44" s="25">
        <v>2</v>
      </c>
      <c r="G44" s="28">
        <v>1</v>
      </c>
      <c r="H44" s="28">
        <v>81433</v>
      </c>
      <c r="I44" s="28" t="s">
        <v>17</v>
      </c>
      <c r="J44" s="28">
        <v>19296229</v>
      </c>
      <c r="K44" t="s">
        <v>2187</v>
      </c>
      <c r="L44" t="s">
        <v>2195</v>
      </c>
      <c r="M44" s="39">
        <v>279900</v>
      </c>
      <c r="N44" s="29" t="s">
        <v>2826</v>
      </c>
      <c r="O44" s="36" t="s">
        <v>3218</v>
      </c>
      <c r="P44" s="28" t="s">
        <v>2826</v>
      </c>
    </row>
    <row r="45" spans="1:16" x14ac:dyDescent="0.3">
      <c r="A45" s="25" t="s">
        <v>3219</v>
      </c>
      <c r="B45" s="26">
        <v>46108</v>
      </c>
      <c r="C45" s="26">
        <v>46113</v>
      </c>
      <c r="D45" s="25">
        <v>3319</v>
      </c>
      <c r="E45" s="25">
        <v>327</v>
      </c>
      <c r="F45" s="25">
        <v>2</v>
      </c>
      <c r="G45" s="28">
        <v>1</v>
      </c>
      <c r="H45" s="28">
        <v>81433</v>
      </c>
      <c r="I45" s="28" t="s">
        <v>17</v>
      </c>
      <c r="J45" s="28">
        <v>19296238</v>
      </c>
      <c r="K45" t="s">
        <v>2187</v>
      </c>
      <c r="L45" t="s">
        <v>2196</v>
      </c>
      <c r="M45" s="39">
        <v>279900</v>
      </c>
      <c r="N45" s="29" t="s">
        <v>2826</v>
      </c>
      <c r="O45" s="36" t="s">
        <v>3218</v>
      </c>
      <c r="P45" s="28" t="s">
        <v>2826</v>
      </c>
    </row>
    <row r="46" spans="1:16" x14ac:dyDescent="0.3">
      <c r="A46" s="25" t="s">
        <v>3219</v>
      </c>
      <c r="B46" s="26">
        <v>46108</v>
      </c>
      <c r="C46" s="26">
        <v>46113</v>
      </c>
      <c r="D46" s="25">
        <v>3319</v>
      </c>
      <c r="E46" s="25">
        <v>327</v>
      </c>
      <c r="F46" s="25">
        <v>2</v>
      </c>
      <c r="G46" s="28">
        <v>1</v>
      </c>
      <c r="H46" s="28">
        <v>81433</v>
      </c>
      <c r="I46" s="28" t="s">
        <v>17</v>
      </c>
      <c r="J46" s="28">
        <v>19296247</v>
      </c>
      <c r="K46" t="s">
        <v>2187</v>
      </c>
      <c r="L46" t="s">
        <v>2197</v>
      </c>
      <c r="M46" s="39">
        <v>279900</v>
      </c>
      <c r="N46" s="29" t="s">
        <v>2826</v>
      </c>
      <c r="O46" s="36" t="s">
        <v>3218</v>
      </c>
      <c r="P46" s="28" t="s">
        <v>2826</v>
      </c>
    </row>
    <row r="47" spans="1:16" x14ac:dyDescent="0.3">
      <c r="A47" s="25" t="s">
        <v>3219</v>
      </c>
      <c r="B47" s="26">
        <v>46108</v>
      </c>
      <c r="C47" s="26">
        <v>46113</v>
      </c>
      <c r="D47" s="25">
        <v>3319</v>
      </c>
      <c r="E47" s="25">
        <v>327</v>
      </c>
      <c r="F47" s="25">
        <v>2</v>
      </c>
      <c r="G47" s="28">
        <v>1</v>
      </c>
      <c r="H47" s="28">
        <v>81433</v>
      </c>
      <c r="I47" s="28" t="s">
        <v>17</v>
      </c>
      <c r="J47" s="28">
        <v>19296292</v>
      </c>
      <c r="K47" t="s">
        <v>2198</v>
      </c>
      <c r="L47" t="s">
        <v>2199</v>
      </c>
      <c r="M47" s="39">
        <v>299900</v>
      </c>
      <c r="N47" s="29" t="s">
        <v>2826</v>
      </c>
      <c r="O47" s="36" t="s">
        <v>3218</v>
      </c>
      <c r="P47" s="28" t="s">
        <v>2826</v>
      </c>
    </row>
    <row r="48" spans="1:16" x14ac:dyDescent="0.3">
      <c r="A48" s="25" t="s">
        <v>3219</v>
      </c>
      <c r="B48" s="26">
        <v>46108</v>
      </c>
      <c r="C48" s="26">
        <v>46113</v>
      </c>
      <c r="D48" s="25">
        <v>3319</v>
      </c>
      <c r="E48" s="25">
        <v>327</v>
      </c>
      <c r="F48" s="25">
        <v>2</v>
      </c>
      <c r="G48" s="28">
        <v>1</v>
      </c>
      <c r="H48" s="28">
        <v>81433</v>
      </c>
      <c r="I48" s="28" t="s">
        <v>17</v>
      </c>
      <c r="J48" s="28">
        <v>19296309</v>
      </c>
      <c r="K48" t="s">
        <v>2198</v>
      </c>
      <c r="L48" t="s">
        <v>2200</v>
      </c>
      <c r="M48" s="39">
        <v>299900</v>
      </c>
      <c r="N48" s="29" t="s">
        <v>2826</v>
      </c>
      <c r="O48" s="36" t="s">
        <v>3218</v>
      </c>
      <c r="P48" s="28" t="s">
        <v>2826</v>
      </c>
    </row>
    <row r="49" spans="1:16" x14ac:dyDescent="0.3">
      <c r="A49" s="25" t="s">
        <v>3219</v>
      </c>
      <c r="B49" s="26">
        <v>46108</v>
      </c>
      <c r="C49" s="26">
        <v>46113</v>
      </c>
      <c r="D49" s="25">
        <v>3319</v>
      </c>
      <c r="E49" s="25">
        <v>327</v>
      </c>
      <c r="F49" s="25">
        <v>2</v>
      </c>
      <c r="G49" s="28">
        <v>1</v>
      </c>
      <c r="H49" s="28">
        <v>81433</v>
      </c>
      <c r="I49" s="28" t="s">
        <v>17</v>
      </c>
      <c r="J49" s="28">
        <v>19296318</v>
      </c>
      <c r="K49" t="s">
        <v>2198</v>
      </c>
      <c r="L49" t="s">
        <v>2201</v>
      </c>
      <c r="M49" s="39">
        <v>299900</v>
      </c>
      <c r="N49" s="29" t="s">
        <v>2826</v>
      </c>
      <c r="O49" s="36" t="s">
        <v>3218</v>
      </c>
      <c r="P49" s="28" t="s">
        <v>2826</v>
      </c>
    </row>
    <row r="50" spans="1:16" x14ac:dyDescent="0.3">
      <c r="A50" s="25" t="s">
        <v>3219</v>
      </c>
      <c r="B50" s="26">
        <v>46108</v>
      </c>
      <c r="C50" s="26">
        <v>46113</v>
      </c>
      <c r="D50" s="25">
        <v>3319</v>
      </c>
      <c r="E50" s="25">
        <v>327</v>
      </c>
      <c r="F50" s="25">
        <v>2</v>
      </c>
      <c r="G50" s="28">
        <v>1</v>
      </c>
      <c r="H50" s="28">
        <v>81433</v>
      </c>
      <c r="I50" s="28" t="s">
        <v>17</v>
      </c>
      <c r="J50" s="28">
        <v>19296336</v>
      </c>
      <c r="K50" t="s">
        <v>2198</v>
      </c>
      <c r="L50" t="s">
        <v>2202</v>
      </c>
      <c r="M50" s="39">
        <v>299900</v>
      </c>
      <c r="N50" s="29" t="s">
        <v>2826</v>
      </c>
      <c r="O50" s="36" t="s">
        <v>3218</v>
      </c>
      <c r="P50" s="28" t="s">
        <v>2826</v>
      </c>
    </row>
    <row r="51" spans="1:16" x14ac:dyDescent="0.3">
      <c r="A51" s="25" t="s">
        <v>3219</v>
      </c>
      <c r="B51" s="26">
        <v>46108</v>
      </c>
      <c r="C51" s="26">
        <v>46113</v>
      </c>
      <c r="D51" s="25">
        <v>3319</v>
      </c>
      <c r="E51" s="25">
        <v>327</v>
      </c>
      <c r="F51" s="25">
        <v>2</v>
      </c>
      <c r="G51" s="28">
        <v>1</v>
      </c>
      <c r="H51" s="28">
        <v>81433</v>
      </c>
      <c r="I51" s="28" t="s">
        <v>17</v>
      </c>
      <c r="J51" s="28">
        <v>19296345</v>
      </c>
      <c r="K51" t="s">
        <v>2198</v>
      </c>
      <c r="L51" t="s">
        <v>2203</v>
      </c>
      <c r="M51" s="39">
        <v>299900</v>
      </c>
      <c r="N51" s="29" t="s">
        <v>2826</v>
      </c>
      <c r="O51" s="36" t="s">
        <v>3218</v>
      </c>
      <c r="P51" s="28" t="s">
        <v>2826</v>
      </c>
    </row>
    <row r="52" spans="1:16" x14ac:dyDescent="0.3">
      <c r="A52" s="25" t="s">
        <v>3219</v>
      </c>
      <c r="B52" s="26">
        <v>46108</v>
      </c>
      <c r="C52" s="26">
        <v>46113</v>
      </c>
      <c r="D52" s="25">
        <v>3319</v>
      </c>
      <c r="E52" s="25">
        <v>327</v>
      </c>
      <c r="F52" s="25">
        <v>2</v>
      </c>
      <c r="G52" s="28">
        <v>1</v>
      </c>
      <c r="H52" s="28">
        <v>81433</v>
      </c>
      <c r="I52" s="28" t="s">
        <v>17</v>
      </c>
      <c r="J52" s="28">
        <v>19296363</v>
      </c>
      <c r="K52" t="s">
        <v>2198</v>
      </c>
      <c r="L52" t="s">
        <v>2204</v>
      </c>
      <c r="M52" s="39">
        <v>299900</v>
      </c>
      <c r="N52" s="29" t="s">
        <v>2826</v>
      </c>
      <c r="O52" s="36" t="s">
        <v>3218</v>
      </c>
      <c r="P52" s="28" t="s">
        <v>2826</v>
      </c>
    </row>
    <row r="53" spans="1:16" x14ac:dyDescent="0.3">
      <c r="A53" s="25" t="s">
        <v>3219</v>
      </c>
      <c r="B53" s="26">
        <v>46108</v>
      </c>
      <c r="C53" s="26">
        <v>46113</v>
      </c>
      <c r="D53" s="25">
        <v>3319</v>
      </c>
      <c r="E53" s="25">
        <v>327</v>
      </c>
      <c r="F53" s="25">
        <v>2</v>
      </c>
      <c r="G53" s="28">
        <v>1</v>
      </c>
      <c r="H53" s="28">
        <v>81433</v>
      </c>
      <c r="I53" s="28" t="s">
        <v>17</v>
      </c>
      <c r="J53" s="28">
        <v>19296372</v>
      </c>
      <c r="K53" t="s">
        <v>2198</v>
      </c>
      <c r="L53" t="s">
        <v>2205</v>
      </c>
      <c r="M53" s="39">
        <v>299900</v>
      </c>
      <c r="N53" s="29" t="s">
        <v>2826</v>
      </c>
      <c r="O53" s="36" t="s">
        <v>3218</v>
      </c>
      <c r="P53" s="28" t="s">
        <v>2826</v>
      </c>
    </row>
    <row r="54" spans="1:16" x14ac:dyDescent="0.3">
      <c r="A54" s="25" t="s">
        <v>3219</v>
      </c>
      <c r="B54" s="26">
        <v>46108</v>
      </c>
      <c r="C54" s="26">
        <v>46113</v>
      </c>
      <c r="D54" s="25">
        <v>3319</v>
      </c>
      <c r="E54" s="25">
        <v>327</v>
      </c>
      <c r="F54" s="25">
        <v>2</v>
      </c>
      <c r="G54" s="28">
        <v>1</v>
      </c>
      <c r="H54" s="28">
        <v>81433</v>
      </c>
      <c r="I54" s="28" t="s">
        <v>17</v>
      </c>
      <c r="J54" s="28">
        <v>19296416</v>
      </c>
      <c r="K54" t="s">
        <v>2198</v>
      </c>
      <c r="L54" t="s">
        <v>2206</v>
      </c>
      <c r="M54" s="39">
        <v>299900</v>
      </c>
      <c r="N54" s="29" t="s">
        <v>2826</v>
      </c>
      <c r="O54" s="36" t="s">
        <v>3218</v>
      </c>
      <c r="P54" s="28" t="s">
        <v>2826</v>
      </c>
    </row>
    <row r="55" spans="1:16" x14ac:dyDescent="0.3">
      <c r="A55" s="25" t="s">
        <v>3219</v>
      </c>
      <c r="B55" s="26">
        <v>46108</v>
      </c>
      <c r="C55" s="26">
        <v>46113</v>
      </c>
      <c r="D55" s="25">
        <v>3319</v>
      </c>
      <c r="E55" s="25">
        <v>327</v>
      </c>
      <c r="F55" s="25">
        <v>2</v>
      </c>
      <c r="G55" s="28">
        <v>1</v>
      </c>
      <c r="H55" s="28">
        <v>81433</v>
      </c>
      <c r="I55" s="28" t="s">
        <v>17</v>
      </c>
      <c r="J55" s="28">
        <v>19296425</v>
      </c>
      <c r="K55" t="s">
        <v>2198</v>
      </c>
      <c r="L55" t="s">
        <v>2207</v>
      </c>
      <c r="M55" s="39">
        <v>299900</v>
      </c>
      <c r="N55" s="29" t="s">
        <v>2826</v>
      </c>
      <c r="O55" s="36" t="s">
        <v>3218</v>
      </c>
      <c r="P55" s="28" t="s">
        <v>2826</v>
      </c>
    </row>
    <row r="56" spans="1:16" x14ac:dyDescent="0.3">
      <c r="A56" s="25" t="s">
        <v>3219</v>
      </c>
      <c r="B56" s="26">
        <v>46108</v>
      </c>
      <c r="C56" s="26">
        <v>46113</v>
      </c>
      <c r="D56" s="25">
        <v>3319</v>
      </c>
      <c r="E56" s="25">
        <v>327</v>
      </c>
      <c r="F56" s="25">
        <v>2</v>
      </c>
      <c r="G56" s="28">
        <v>1</v>
      </c>
      <c r="H56" s="28">
        <v>81433</v>
      </c>
      <c r="I56" s="28" t="s">
        <v>17</v>
      </c>
      <c r="J56" s="28">
        <v>19296434</v>
      </c>
      <c r="K56" t="s">
        <v>2198</v>
      </c>
      <c r="L56" t="s">
        <v>2208</v>
      </c>
      <c r="M56" s="39">
        <v>299900</v>
      </c>
      <c r="N56" s="29" t="s">
        <v>2826</v>
      </c>
      <c r="O56" s="36" t="s">
        <v>3218</v>
      </c>
      <c r="P56" s="28" t="s">
        <v>2826</v>
      </c>
    </row>
    <row r="57" spans="1:16" x14ac:dyDescent="0.3">
      <c r="A57" s="25" t="s">
        <v>3219</v>
      </c>
      <c r="B57" s="26">
        <v>46108</v>
      </c>
      <c r="C57" s="26">
        <v>46113</v>
      </c>
      <c r="D57" s="25">
        <v>3319</v>
      </c>
      <c r="E57" s="25">
        <v>327</v>
      </c>
      <c r="F57" s="25">
        <v>2</v>
      </c>
      <c r="G57" s="28">
        <v>1</v>
      </c>
      <c r="H57" s="28">
        <v>81433</v>
      </c>
      <c r="I57" s="28" t="s">
        <v>17</v>
      </c>
      <c r="J57" s="28">
        <v>66651407</v>
      </c>
      <c r="K57" t="s">
        <v>18</v>
      </c>
      <c r="L57" t="s">
        <v>1807</v>
      </c>
      <c r="M57" s="39">
        <v>259900</v>
      </c>
      <c r="N57" s="29" t="s">
        <v>2826</v>
      </c>
      <c r="O57" s="36" t="s">
        <v>3218</v>
      </c>
      <c r="P57" s="28" t="s">
        <v>2826</v>
      </c>
    </row>
    <row r="58" spans="1:16" x14ac:dyDescent="0.3">
      <c r="A58" s="25" t="s">
        <v>3219</v>
      </c>
      <c r="B58" s="26">
        <v>46108</v>
      </c>
      <c r="C58" s="26">
        <v>46113</v>
      </c>
      <c r="D58" s="25">
        <v>3319</v>
      </c>
      <c r="E58" s="25">
        <v>327</v>
      </c>
      <c r="F58" s="25">
        <v>2</v>
      </c>
      <c r="G58" s="28">
        <v>1</v>
      </c>
      <c r="H58" s="28">
        <v>81433</v>
      </c>
      <c r="I58" s="28" t="s">
        <v>17</v>
      </c>
      <c r="J58" s="28">
        <v>66651434</v>
      </c>
      <c r="K58" t="s">
        <v>18</v>
      </c>
      <c r="L58" t="s">
        <v>1808</v>
      </c>
      <c r="M58" s="39">
        <v>259900</v>
      </c>
      <c r="N58" s="29" t="s">
        <v>2826</v>
      </c>
      <c r="O58" s="36" t="s">
        <v>3218</v>
      </c>
      <c r="P58" s="28" t="s">
        <v>2826</v>
      </c>
    </row>
    <row r="59" spans="1:16" x14ac:dyDescent="0.3">
      <c r="A59" s="25" t="s">
        <v>3219</v>
      </c>
      <c r="B59" s="26">
        <v>46108</v>
      </c>
      <c r="C59" s="26">
        <v>46113</v>
      </c>
      <c r="D59" s="25">
        <v>3319</v>
      </c>
      <c r="E59" s="25">
        <v>327</v>
      </c>
      <c r="F59" s="25">
        <v>2</v>
      </c>
      <c r="G59" s="28">
        <v>1</v>
      </c>
      <c r="H59" s="28">
        <v>81433</v>
      </c>
      <c r="I59" s="28" t="s">
        <v>17</v>
      </c>
      <c r="J59" s="28">
        <v>66651416</v>
      </c>
      <c r="K59" t="s">
        <v>18</v>
      </c>
      <c r="L59" t="s">
        <v>1809</v>
      </c>
      <c r="M59" s="39">
        <v>259900</v>
      </c>
      <c r="N59" s="29" t="s">
        <v>2826</v>
      </c>
      <c r="O59" s="36" t="s">
        <v>3218</v>
      </c>
      <c r="P59" s="28" t="s">
        <v>2826</v>
      </c>
    </row>
    <row r="60" spans="1:16" x14ac:dyDescent="0.3">
      <c r="A60" s="25" t="s">
        <v>3219</v>
      </c>
      <c r="B60" s="26">
        <v>46108</v>
      </c>
      <c r="C60" s="26">
        <v>46113</v>
      </c>
      <c r="D60" s="25">
        <v>3319</v>
      </c>
      <c r="E60" s="25">
        <v>327</v>
      </c>
      <c r="F60" s="25">
        <v>2</v>
      </c>
      <c r="G60" s="28">
        <v>1</v>
      </c>
      <c r="H60" s="28">
        <v>81433</v>
      </c>
      <c r="I60" s="28" t="s">
        <v>17</v>
      </c>
      <c r="J60" s="28">
        <v>66651390</v>
      </c>
      <c r="K60" t="s">
        <v>18</v>
      </c>
      <c r="L60" t="s">
        <v>1810</v>
      </c>
      <c r="M60" s="39">
        <v>259900</v>
      </c>
      <c r="N60" s="29" t="s">
        <v>2826</v>
      </c>
      <c r="O60" s="36" t="s">
        <v>3218</v>
      </c>
      <c r="P60" s="28" t="s">
        <v>2826</v>
      </c>
    </row>
    <row r="61" spans="1:16" x14ac:dyDescent="0.3">
      <c r="A61" s="25" t="s">
        <v>3219</v>
      </c>
      <c r="B61" s="26">
        <v>46108</v>
      </c>
      <c r="C61" s="26">
        <v>46113</v>
      </c>
      <c r="D61" s="25">
        <v>3319</v>
      </c>
      <c r="E61" s="25">
        <v>327</v>
      </c>
      <c r="F61" s="25">
        <v>2</v>
      </c>
      <c r="G61" s="28">
        <v>1</v>
      </c>
      <c r="H61" s="28">
        <v>81433</v>
      </c>
      <c r="I61" s="28" t="s">
        <v>17</v>
      </c>
      <c r="J61" s="28">
        <v>13838896</v>
      </c>
      <c r="K61" t="s">
        <v>18</v>
      </c>
      <c r="L61" t="s">
        <v>1811</v>
      </c>
      <c r="M61" s="39">
        <v>259900</v>
      </c>
      <c r="N61" s="29" t="s">
        <v>2826</v>
      </c>
      <c r="O61" s="36" t="s">
        <v>3218</v>
      </c>
      <c r="P61" s="28" t="s">
        <v>2826</v>
      </c>
    </row>
    <row r="62" spans="1:16" x14ac:dyDescent="0.3">
      <c r="A62" s="25" t="s">
        <v>3219</v>
      </c>
      <c r="B62" s="26">
        <v>46108</v>
      </c>
      <c r="C62" s="26">
        <v>46113</v>
      </c>
      <c r="D62" s="25">
        <v>3319</v>
      </c>
      <c r="E62" s="25">
        <v>327</v>
      </c>
      <c r="F62" s="25">
        <v>2</v>
      </c>
      <c r="G62" s="28">
        <v>1</v>
      </c>
      <c r="H62" s="28">
        <v>81433</v>
      </c>
      <c r="I62" s="28" t="s">
        <v>17</v>
      </c>
      <c r="J62" s="28">
        <v>13838903</v>
      </c>
      <c r="K62" t="s">
        <v>18</v>
      </c>
      <c r="L62" t="s">
        <v>1812</v>
      </c>
      <c r="M62" s="39">
        <v>259900</v>
      </c>
      <c r="N62" s="29" t="s">
        <v>2826</v>
      </c>
      <c r="O62" s="36" t="s">
        <v>3218</v>
      </c>
      <c r="P62" s="28" t="s">
        <v>2826</v>
      </c>
    </row>
    <row r="63" spans="1:16" x14ac:dyDescent="0.3">
      <c r="A63" s="25" t="s">
        <v>3219</v>
      </c>
      <c r="B63" s="26">
        <v>46108</v>
      </c>
      <c r="C63" s="26">
        <v>46113</v>
      </c>
      <c r="D63" s="25">
        <v>3319</v>
      </c>
      <c r="E63" s="25">
        <v>327</v>
      </c>
      <c r="F63" s="25">
        <v>2</v>
      </c>
      <c r="G63" s="28">
        <v>1</v>
      </c>
      <c r="H63" s="28">
        <v>81433</v>
      </c>
      <c r="I63" s="28" t="s">
        <v>17</v>
      </c>
      <c r="J63" s="28">
        <v>13838912</v>
      </c>
      <c r="K63" t="s">
        <v>18</v>
      </c>
      <c r="L63" t="s">
        <v>1813</v>
      </c>
      <c r="M63" s="39">
        <v>259900</v>
      </c>
      <c r="N63" s="29" t="s">
        <v>2826</v>
      </c>
      <c r="O63" s="36" t="s">
        <v>3218</v>
      </c>
      <c r="P63" s="28" t="s">
        <v>2826</v>
      </c>
    </row>
    <row r="64" spans="1:16" x14ac:dyDescent="0.3">
      <c r="A64" s="25" t="s">
        <v>3219</v>
      </c>
      <c r="B64" s="26">
        <v>46108</v>
      </c>
      <c r="C64" s="26">
        <v>46113</v>
      </c>
      <c r="D64" s="25">
        <v>3319</v>
      </c>
      <c r="E64" s="25">
        <v>327</v>
      </c>
      <c r="F64" s="25">
        <v>2</v>
      </c>
      <c r="G64" s="28">
        <v>1</v>
      </c>
      <c r="H64" s="28">
        <v>81433</v>
      </c>
      <c r="I64" s="28" t="s">
        <v>17</v>
      </c>
      <c r="J64" s="28">
        <v>13838921</v>
      </c>
      <c r="K64" t="s">
        <v>18</v>
      </c>
      <c r="L64" t="s">
        <v>1814</v>
      </c>
      <c r="M64" s="39">
        <v>259900</v>
      </c>
      <c r="N64" s="29" t="s">
        <v>2826</v>
      </c>
      <c r="O64" s="36" t="s">
        <v>3218</v>
      </c>
      <c r="P64" s="28" t="s">
        <v>2826</v>
      </c>
    </row>
    <row r="65" spans="1:16" x14ac:dyDescent="0.3">
      <c r="A65" s="25" t="s">
        <v>3219</v>
      </c>
      <c r="B65" s="26">
        <v>46108</v>
      </c>
      <c r="C65" s="26">
        <v>46113</v>
      </c>
      <c r="D65" s="25">
        <v>3319</v>
      </c>
      <c r="E65" s="25">
        <v>327</v>
      </c>
      <c r="F65" s="25">
        <v>2</v>
      </c>
      <c r="G65" s="28">
        <v>1</v>
      </c>
      <c r="H65" s="28">
        <v>81433</v>
      </c>
      <c r="I65" s="28" t="s">
        <v>17</v>
      </c>
      <c r="J65" s="28">
        <v>13838930</v>
      </c>
      <c r="K65" t="s">
        <v>18</v>
      </c>
      <c r="L65" t="s">
        <v>1815</v>
      </c>
      <c r="M65" s="39">
        <v>259900</v>
      </c>
      <c r="N65" s="29" t="s">
        <v>2826</v>
      </c>
      <c r="O65" s="36" t="s">
        <v>3218</v>
      </c>
      <c r="P65" s="28" t="s">
        <v>2826</v>
      </c>
    </row>
    <row r="66" spans="1:16" x14ac:dyDescent="0.3">
      <c r="A66" s="25" t="s">
        <v>3219</v>
      </c>
      <c r="B66" s="26">
        <v>46108</v>
      </c>
      <c r="C66" s="26">
        <v>46113</v>
      </c>
      <c r="D66" s="27">
        <v>3319</v>
      </c>
      <c r="E66" s="25">
        <v>327</v>
      </c>
      <c r="F66" s="25">
        <v>2</v>
      </c>
      <c r="G66" s="28">
        <v>1</v>
      </c>
      <c r="H66" s="28">
        <v>81433</v>
      </c>
      <c r="I66" s="28" t="s">
        <v>17</v>
      </c>
      <c r="J66" s="28">
        <v>66651425</v>
      </c>
      <c r="K66" s="38" t="s">
        <v>18</v>
      </c>
      <c r="L66" t="s">
        <v>1844</v>
      </c>
      <c r="M66" s="39">
        <v>259900</v>
      </c>
      <c r="N66" s="29" t="s">
        <v>2826</v>
      </c>
      <c r="O66" s="36" t="s">
        <v>3218</v>
      </c>
      <c r="P66" s="28" t="s">
        <v>2826</v>
      </c>
    </row>
    <row r="67" spans="1:16" x14ac:dyDescent="0.3">
      <c r="A67" s="25" t="s">
        <v>3219</v>
      </c>
      <c r="B67" s="26">
        <v>46108</v>
      </c>
      <c r="C67" s="26">
        <v>46113</v>
      </c>
      <c r="D67" s="25">
        <v>3319</v>
      </c>
      <c r="E67" s="25">
        <v>327</v>
      </c>
      <c r="F67" s="25">
        <v>2</v>
      </c>
      <c r="G67" s="28">
        <v>1</v>
      </c>
      <c r="H67" s="28">
        <v>81433</v>
      </c>
      <c r="I67" s="28" t="s">
        <v>17</v>
      </c>
      <c r="J67" s="28">
        <v>15806265</v>
      </c>
      <c r="K67" t="s">
        <v>2052</v>
      </c>
      <c r="L67" t="s">
        <v>2053</v>
      </c>
      <c r="M67" s="39">
        <v>259900</v>
      </c>
      <c r="N67" s="29" t="s">
        <v>2826</v>
      </c>
      <c r="O67" s="36" t="s">
        <v>3218</v>
      </c>
      <c r="P67" s="28" t="s">
        <v>2826</v>
      </c>
    </row>
    <row r="68" spans="1:16" x14ac:dyDescent="0.3">
      <c r="A68" s="25" t="s">
        <v>3219</v>
      </c>
      <c r="B68" s="26">
        <v>46108</v>
      </c>
      <c r="C68" s="26">
        <v>46113</v>
      </c>
      <c r="D68" s="25">
        <v>3319</v>
      </c>
      <c r="E68" s="25">
        <v>327</v>
      </c>
      <c r="F68" s="25">
        <v>2</v>
      </c>
      <c r="G68" s="28">
        <v>1</v>
      </c>
      <c r="H68" s="28">
        <v>81433</v>
      </c>
      <c r="I68" s="28" t="s">
        <v>17</v>
      </c>
      <c r="J68" s="28">
        <v>15806274</v>
      </c>
      <c r="K68" t="s">
        <v>2052</v>
      </c>
      <c r="L68" t="s">
        <v>2054</v>
      </c>
      <c r="M68" s="39">
        <v>259900</v>
      </c>
      <c r="N68" s="29" t="s">
        <v>2826</v>
      </c>
      <c r="O68" s="36" t="s">
        <v>3218</v>
      </c>
      <c r="P68" s="28" t="s">
        <v>2826</v>
      </c>
    </row>
    <row r="69" spans="1:16" x14ac:dyDescent="0.3">
      <c r="A69" s="25" t="s">
        <v>3219</v>
      </c>
      <c r="B69" s="26">
        <v>46108</v>
      </c>
      <c r="C69" s="26">
        <v>46113</v>
      </c>
      <c r="D69" s="25">
        <v>3319</v>
      </c>
      <c r="E69" s="25">
        <v>327</v>
      </c>
      <c r="F69" s="25">
        <v>2</v>
      </c>
      <c r="G69" s="28">
        <v>1</v>
      </c>
      <c r="H69" s="28">
        <v>81433</v>
      </c>
      <c r="I69" s="28" t="s">
        <v>17</v>
      </c>
      <c r="J69" s="28">
        <v>15806283</v>
      </c>
      <c r="K69" t="s">
        <v>2052</v>
      </c>
      <c r="L69" t="s">
        <v>2055</v>
      </c>
      <c r="M69" s="39">
        <v>259900</v>
      </c>
      <c r="N69" s="29" t="s">
        <v>2826</v>
      </c>
      <c r="O69" s="36" t="s">
        <v>3218</v>
      </c>
      <c r="P69" s="28" t="s">
        <v>2826</v>
      </c>
    </row>
    <row r="70" spans="1:16" x14ac:dyDescent="0.3">
      <c r="A70" s="25" t="s">
        <v>3219</v>
      </c>
      <c r="B70" s="26">
        <v>46108</v>
      </c>
      <c r="C70" s="26">
        <v>46113</v>
      </c>
      <c r="D70" s="25">
        <v>3319</v>
      </c>
      <c r="E70" s="25">
        <v>327</v>
      </c>
      <c r="F70" s="25">
        <v>2</v>
      </c>
      <c r="G70" s="28">
        <v>1</v>
      </c>
      <c r="H70" s="28">
        <v>81433</v>
      </c>
      <c r="I70" s="28" t="s">
        <v>17</v>
      </c>
      <c r="J70" s="28">
        <v>15806292</v>
      </c>
      <c r="K70" t="s">
        <v>2052</v>
      </c>
      <c r="L70" t="s">
        <v>2056</v>
      </c>
      <c r="M70" s="39">
        <v>259900</v>
      </c>
      <c r="N70" s="29" t="s">
        <v>2826</v>
      </c>
      <c r="O70" s="36" t="s">
        <v>3218</v>
      </c>
      <c r="P70" s="28" t="s">
        <v>2826</v>
      </c>
    </row>
    <row r="71" spans="1:16" x14ac:dyDescent="0.3">
      <c r="A71" s="25" t="s">
        <v>3219</v>
      </c>
      <c r="B71" s="26">
        <v>46108</v>
      </c>
      <c r="C71" s="26">
        <v>46113</v>
      </c>
      <c r="D71" s="25">
        <v>3319</v>
      </c>
      <c r="E71" s="25">
        <v>327</v>
      </c>
      <c r="F71" s="25">
        <v>2</v>
      </c>
      <c r="G71" s="28">
        <v>1</v>
      </c>
      <c r="H71" s="28">
        <v>81433</v>
      </c>
      <c r="I71" s="28" t="s">
        <v>17</v>
      </c>
      <c r="J71" s="28">
        <v>15806309</v>
      </c>
      <c r="K71" t="s">
        <v>2052</v>
      </c>
      <c r="L71" t="s">
        <v>2057</v>
      </c>
      <c r="M71" s="39">
        <v>259900</v>
      </c>
      <c r="N71" s="29" t="s">
        <v>2826</v>
      </c>
      <c r="O71" s="36" t="s">
        <v>3218</v>
      </c>
      <c r="P71" s="28" t="s">
        <v>2826</v>
      </c>
    </row>
    <row r="72" spans="1:16" x14ac:dyDescent="0.3">
      <c r="A72" s="25" t="s">
        <v>3219</v>
      </c>
      <c r="B72" s="26">
        <v>46108</v>
      </c>
      <c r="C72" s="26">
        <v>46113</v>
      </c>
      <c r="D72" s="25">
        <v>3319</v>
      </c>
      <c r="E72" s="25">
        <v>327</v>
      </c>
      <c r="F72" s="25">
        <v>2</v>
      </c>
      <c r="G72" s="28">
        <v>1</v>
      </c>
      <c r="H72" s="28">
        <v>81433</v>
      </c>
      <c r="I72" s="28" t="s">
        <v>17</v>
      </c>
      <c r="J72" s="28">
        <v>19296461</v>
      </c>
      <c r="K72" t="s">
        <v>2241</v>
      </c>
      <c r="L72" t="s">
        <v>2242</v>
      </c>
      <c r="M72" s="39">
        <v>299900</v>
      </c>
      <c r="N72" s="29" t="s">
        <v>2826</v>
      </c>
      <c r="O72" s="36" t="s">
        <v>3218</v>
      </c>
      <c r="P72" s="28" t="s">
        <v>2826</v>
      </c>
    </row>
    <row r="73" spans="1:16" x14ac:dyDescent="0.3">
      <c r="A73" s="25" t="s">
        <v>3219</v>
      </c>
      <c r="B73" s="26">
        <v>46108</v>
      </c>
      <c r="C73" s="26">
        <v>46113</v>
      </c>
      <c r="D73" s="25">
        <v>3319</v>
      </c>
      <c r="E73" s="25">
        <v>327</v>
      </c>
      <c r="F73" s="25">
        <v>2</v>
      </c>
      <c r="G73" s="28">
        <v>1</v>
      </c>
      <c r="H73" s="28">
        <v>81433</v>
      </c>
      <c r="I73" s="28" t="s">
        <v>17</v>
      </c>
      <c r="J73" s="28">
        <v>19296443</v>
      </c>
      <c r="K73" t="s">
        <v>2241</v>
      </c>
      <c r="L73" t="s">
        <v>2243</v>
      </c>
      <c r="M73" s="39">
        <v>299900</v>
      </c>
      <c r="N73" s="29" t="s">
        <v>2826</v>
      </c>
      <c r="O73" s="36" t="s">
        <v>3218</v>
      </c>
      <c r="P73" s="28" t="s">
        <v>2826</v>
      </c>
    </row>
    <row r="74" spans="1:16" x14ac:dyDescent="0.3">
      <c r="A74" s="25" t="s">
        <v>3219</v>
      </c>
      <c r="B74" s="26">
        <v>46108</v>
      </c>
      <c r="C74" s="26">
        <v>46113</v>
      </c>
      <c r="D74" s="25">
        <v>3319</v>
      </c>
      <c r="E74" s="25">
        <v>327</v>
      </c>
      <c r="F74" s="25">
        <v>2</v>
      </c>
      <c r="G74" s="28">
        <v>1</v>
      </c>
      <c r="H74" s="28">
        <v>81433</v>
      </c>
      <c r="I74" s="28" t="s">
        <v>17</v>
      </c>
      <c r="J74" s="28">
        <v>19296532</v>
      </c>
      <c r="K74" t="s">
        <v>2241</v>
      </c>
      <c r="L74" t="s">
        <v>2244</v>
      </c>
      <c r="M74" s="39">
        <v>299900</v>
      </c>
      <c r="N74" s="29" t="s">
        <v>2826</v>
      </c>
      <c r="O74" s="36" t="s">
        <v>3218</v>
      </c>
      <c r="P74" s="28" t="s">
        <v>2826</v>
      </c>
    </row>
    <row r="75" spans="1:16" x14ac:dyDescent="0.3">
      <c r="A75" s="25" t="s">
        <v>3219</v>
      </c>
      <c r="B75" s="26">
        <v>46108</v>
      </c>
      <c r="C75" s="26">
        <v>46113</v>
      </c>
      <c r="D75" s="25">
        <v>3319</v>
      </c>
      <c r="E75" s="25">
        <v>327</v>
      </c>
      <c r="F75" s="25">
        <v>2</v>
      </c>
      <c r="G75" s="28">
        <v>1</v>
      </c>
      <c r="H75" s="28">
        <v>81433</v>
      </c>
      <c r="I75" s="28" t="s">
        <v>17</v>
      </c>
      <c r="J75" s="28">
        <v>19296541</v>
      </c>
      <c r="K75" t="s">
        <v>2241</v>
      </c>
      <c r="L75" t="s">
        <v>2245</v>
      </c>
      <c r="M75" s="39">
        <v>299900</v>
      </c>
      <c r="N75" s="29" t="s">
        <v>2826</v>
      </c>
      <c r="O75" s="36" t="s">
        <v>3218</v>
      </c>
      <c r="P75" s="28" t="s">
        <v>2826</v>
      </c>
    </row>
    <row r="76" spans="1:16" x14ac:dyDescent="0.3">
      <c r="A76" s="25" t="s">
        <v>3219</v>
      </c>
      <c r="B76" s="26">
        <v>46108</v>
      </c>
      <c r="C76" s="26">
        <v>46113</v>
      </c>
      <c r="D76" s="25">
        <v>3319</v>
      </c>
      <c r="E76" s="25">
        <v>327</v>
      </c>
      <c r="F76" s="25">
        <v>2</v>
      </c>
      <c r="G76" s="28">
        <v>1</v>
      </c>
      <c r="H76" s="28">
        <v>81433</v>
      </c>
      <c r="I76" s="28" t="s">
        <v>17</v>
      </c>
      <c r="J76" s="28">
        <v>19296569</v>
      </c>
      <c r="K76" t="s">
        <v>2241</v>
      </c>
      <c r="L76" t="s">
        <v>2246</v>
      </c>
      <c r="M76" s="39">
        <v>299900</v>
      </c>
      <c r="N76" s="29" t="s">
        <v>2826</v>
      </c>
      <c r="O76" s="36" t="s">
        <v>3218</v>
      </c>
      <c r="P76" s="28" t="s">
        <v>2826</v>
      </c>
    </row>
    <row r="77" spans="1:16" x14ac:dyDescent="0.3">
      <c r="A77" s="25" t="s">
        <v>3219</v>
      </c>
      <c r="B77" s="26">
        <v>46108</v>
      </c>
      <c r="C77" s="26">
        <v>46113</v>
      </c>
      <c r="D77" s="25">
        <v>3319</v>
      </c>
      <c r="E77" s="25">
        <v>327</v>
      </c>
      <c r="F77" s="25">
        <v>2</v>
      </c>
      <c r="G77" s="28">
        <v>1</v>
      </c>
      <c r="H77" s="28">
        <v>81433</v>
      </c>
      <c r="I77" s="28" t="s">
        <v>17</v>
      </c>
      <c r="J77" s="28">
        <v>19296587</v>
      </c>
      <c r="K77" t="s">
        <v>2241</v>
      </c>
      <c r="L77" t="s">
        <v>2247</v>
      </c>
      <c r="M77" s="39">
        <v>299900</v>
      </c>
      <c r="N77" s="29" t="s">
        <v>2826</v>
      </c>
      <c r="O77" s="36" t="s">
        <v>3218</v>
      </c>
      <c r="P77" s="28" t="s">
        <v>2826</v>
      </c>
    </row>
    <row r="78" spans="1:16" x14ac:dyDescent="0.3">
      <c r="A78" s="25" t="s">
        <v>3219</v>
      </c>
      <c r="B78" s="26">
        <v>46108</v>
      </c>
      <c r="C78" s="26">
        <v>46113</v>
      </c>
      <c r="D78" s="25">
        <v>3319</v>
      </c>
      <c r="E78" s="25">
        <v>327</v>
      </c>
      <c r="F78" s="25">
        <v>2</v>
      </c>
      <c r="G78" s="28">
        <v>1</v>
      </c>
      <c r="H78" s="28">
        <v>81433</v>
      </c>
      <c r="I78" s="28" t="s">
        <v>17</v>
      </c>
      <c r="J78" s="28">
        <v>19296596</v>
      </c>
      <c r="K78" t="s">
        <v>2241</v>
      </c>
      <c r="L78" t="s">
        <v>2248</v>
      </c>
      <c r="M78" s="39">
        <v>299900</v>
      </c>
      <c r="N78" s="29" t="s">
        <v>2826</v>
      </c>
      <c r="O78" s="36" t="s">
        <v>3218</v>
      </c>
      <c r="P78" s="28" t="s">
        <v>2826</v>
      </c>
    </row>
    <row r="79" spans="1:16" x14ac:dyDescent="0.3">
      <c r="A79" s="25" t="s">
        <v>3219</v>
      </c>
      <c r="B79" s="26">
        <v>46108</v>
      </c>
      <c r="C79" s="26">
        <v>46113</v>
      </c>
      <c r="D79" s="25">
        <v>3319</v>
      </c>
      <c r="E79" s="25">
        <v>327</v>
      </c>
      <c r="F79" s="25">
        <v>2</v>
      </c>
      <c r="G79" s="28">
        <v>1</v>
      </c>
      <c r="H79" s="28">
        <v>81433</v>
      </c>
      <c r="I79" s="28" t="s">
        <v>17</v>
      </c>
      <c r="J79" s="28">
        <v>19296603</v>
      </c>
      <c r="K79" t="s">
        <v>2241</v>
      </c>
      <c r="L79" t="s">
        <v>2249</v>
      </c>
      <c r="M79" s="39">
        <v>299900</v>
      </c>
      <c r="N79" s="29" t="s">
        <v>2826</v>
      </c>
      <c r="O79" s="36" t="s">
        <v>3218</v>
      </c>
      <c r="P79" s="28" t="s">
        <v>2826</v>
      </c>
    </row>
    <row r="80" spans="1:16" x14ac:dyDescent="0.3">
      <c r="A80" s="25" t="s">
        <v>3219</v>
      </c>
      <c r="B80" s="26">
        <v>46108</v>
      </c>
      <c r="C80" s="26">
        <v>46113</v>
      </c>
      <c r="D80" s="25">
        <v>3319</v>
      </c>
      <c r="E80" s="25">
        <v>327</v>
      </c>
      <c r="F80" s="25">
        <v>2</v>
      </c>
      <c r="G80" s="28">
        <v>1</v>
      </c>
      <c r="H80" s="28">
        <v>81433</v>
      </c>
      <c r="I80" s="28" t="s">
        <v>17</v>
      </c>
      <c r="J80" s="28">
        <v>19296612</v>
      </c>
      <c r="K80" t="s">
        <v>2241</v>
      </c>
      <c r="L80" t="s">
        <v>2250</v>
      </c>
      <c r="M80" s="39">
        <v>299900</v>
      </c>
      <c r="N80" s="29" t="s">
        <v>2826</v>
      </c>
      <c r="O80" s="36" t="s">
        <v>3218</v>
      </c>
      <c r="P80" s="28" t="s">
        <v>2826</v>
      </c>
    </row>
    <row r="81" spans="1:16" x14ac:dyDescent="0.3">
      <c r="A81" s="25" t="s">
        <v>3219</v>
      </c>
      <c r="B81" s="26">
        <v>46108</v>
      </c>
      <c r="C81" s="26">
        <v>46113</v>
      </c>
      <c r="D81" s="25">
        <v>3319</v>
      </c>
      <c r="E81" s="25">
        <v>327</v>
      </c>
      <c r="F81" s="25">
        <v>2</v>
      </c>
      <c r="G81" s="28">
        <v>1</v>
      </c>
      <c r="H81" s="28">
        <v>81433</v>
      </c>
      <c r="I81" s="28" t="s">
        <v>17</v>
      </c>
      <c r="J81" s="28">
        <v>19296621</v>
      </c>
      <c r="K81" t="s">
        <v>2241</v>
      </c>
      <c r="L81" t="s">
        <v>2251</v>
      </c>
      <c r="M81" s="39">
        <v>299900</v>
      </c>
      <c r="N81" s="29" t="s">
        <v>2826</v>
      </c>
      <c r="O81" s="36" t="s">
        <v>3218</v>
      </c>
      <c r="P81" s="28" t="s">
        <v>2826</v>
      </c>
    </row>
    <row r="82" spans="1:16" x14ac:dyDescent="0.3">
      <c r="A82" s="25" t="s">
        <v>3219</v>
      </c>
      <c r="B82" s="26">
        <v>46108</v>
      </c>
      <c r="C82" s="26">
        <v>46113</v>
      </c>
      <c r="D82" s="25">
        <v>3319</v>
      </c>
      <c r="E82" s="25">
        <v>327</v>
      </c>
      <c r="F82" s="25">
        <v>2</v>
      </c>
      <c r="G82" s="28">
        <v>1</v>
      </c>
      <c r="H82" s="28">
        <v>81778</v>
      </c>
      <c r="I82" s="28" t="s">
        <v>17</v>
      </c>
      <c r="J82" s="28">
        <v>13838083</v>
      </c>
      <c r="K82" t="s">
        <v>1827</v>
      </c>
      <c r="L82" t="s">
        <v>1828</v>
      </c>
      <c r="M82" s="39">
        <v>279900</v>
      </c>
      <c r="N82" s="29" t="s">
        <v>2826</v>
      </c>
      <c r="O82" s="36" t="s">
        <v>3218</v>
      </c>
      <c r="P82" s="28" t="s">
        <v>2826</v>
      </c>
    </row>
    <row r="83" spans="1:16" x14ac:dyDescent="0.3">
      <c r="A83" s="25" t="s">
        <v>3219</v>
      </c>
      <c r="B83" s="26">
        <v>46108</v>
      </c>
      <c r="C83" s="26">
        <v>46113</v>
      </c>
      <c r="D83" s="25">
        <v>3319</v>
      </c>
      <c r="E83" s="25">
        <v>327</v>
      </c>
      <c r="F83" s="25">
        <v>2</v>
      </c>
      <c r="G83" s="28">
        <v>1</v>
      </c>
      <c r="H83" s="28">
        <v>81778</v>
      </c>
      <c r="I83" s="28" t="s">
        <v>17</v>
      </c>
      <c r="J83" s="28">
        <v>13838092</v>
      </c>
      <c r="K83" t="s">
        <v>1827</v>
      </c>
      <c r="L83" t="s">
        <v>1829</v>
      </c>
      <c r="M83" s="39">
        <v>279900</v>
      </c>
      <c r="N83" s="29" t="s">
        <v>2826</v>
      </c>
      <c r="O83" s="36" t="s">
        <v>3218</v>
      </c>
      <c r="P83" s="28" t="s">
        <v>2826</v>
      </c>
    </row>
    <row r="84" spans="1:16" x14ac:dyDescent="0.3">
      <c r="A84" s="25" t="s">
        <v>3219</v>
      </c>
      <c r="B84" s="26">
        <v>46108</v>
      </c>
      <c r="C84" s="26">
        <v>46113</v>
      </c>
      <c r="D84" s="25">
        <v>3319</v>
      </c>
      <c r="E84" s="25">
        <v>327</v>
      </c>
      <c r="F84" s="25">
        <v>2</v>
      </c>
      <c r="G84" s="28">
        <v>1</v>
      </c>
      <c r="H84" s="28">
        <v>81778</v>
      </c>
      <c r="I84" s="28" t="s">
        <v>17</v>
      </c>
      <c r="J84" s="28">
        <v>13838109</v>
      </c>
      <c r="K84" t="s">
        <v>1827</v>
      </c>
      <c r="L84" t="s">
        <v>1830</v>
      </c>
      <c r="M84" s="39">
        <v>279900</v>
      </c>
      <c r="N84" s="29" t="s">
        <v>2826</v>
      </c>
      <c r="O84" s="36" t="s">
        <v>3218</v>
      </c>
      <c r="P84" s="28" t="s">
        <v>2826</v>
      </c>
    </row>
    <row r="85" spans="1:16" x14ac:dyDescent="0.3">
      <c r="A85" s="25" t="s">
        <v>3219</v>
      </c>
      <c r="B85" s="26">
        <v>46108</v>
      </c>
      <c r="C85" s="26">
        <v>46113</v>
      </c>
      <c r="D85" s="25">
        <v>3319</v>
      </c>
      <c r="E85" s="25">
        <v>327</v>
      </c>
      <c r="F85" s="25">
        <v>2</v>
      </c>
      <c r="G85" s="28">
        <v>1</v>
      </c>
      <c r="H85" s="28">
        <v>81778</v>
      </c>
      <c r="I85" s="28" t="s">
        <v>17</v>
      </c>
      <c r="J85" s="28">
        <v>13838118</v>
      </c>
      <c r="K85" t="s">
        <v>1827</v>
      </c>
      <c r="L85" t="s">
        <v>1831</v>
      </c>
      <c r="M85" s="39">
        <v>279900</v>
      </c>
      <c r="N85" s="29" t="s">
        <v>2826</v>
      </c>
      <c r="O85" s="36" t="s">
        <v>3218</v>
      </c>
      <c r="P85" s="28" t="s">
        <v>2826</v>
      </c>
    </row>
    <row r="86" spans="1:16" x14ac:dyDescent="0.3">
      <c r="A86" s="25" t="s">
        <v>3219</v>
      </c>
      <c r="B86" s="26">
        <v>46108</v>
      </c>
      <c r="C86" s="26">
        <v>46113</v>
      </c>
      <c r="D86" s="25">
        <v>3319</v>
      </c>
      <c r="E86" s="25">
        <v>327</v>
      </c>
      <c r="F86" s="25">
        <v>2</v>
      </c>
      <c r="G86" s="28">
        <v>1</v>
      </c>
      <c r="H86" s="28">
        <v>81778</v>
      </c>
      <c r="I86" s="28" t="s">
        <v>17</v>
      </c>
      <c r="J86" s="28">
        <v>13838127</v>
      </c>
      <c r="K86" t="s">
        <v>1827</v>
      </c>
      <c r="L86" t="s">
        <v>1832</v>
      </c>
      <c r="M86" s="39">
        <v>279900</v>
      </c>
      <c r="N86" s="29" t="s">
        <v>2826</v>
      </c>
      <c r="O86" s="36" t="s">
        <v>3218</v>
      </c>
      <c r="P86" s="28" t="s">
        <v>2826</v>
      </c>
    </row>
    <row r="87" spans="1:16" x14ac:dyDescent="0.3">
      <c r="A87" s="25" t="s">
        <v>3219</v>
      </c>
      <c r="B87" s="26">
        <v>46108</v>
      </c>
      <c r="C87" s="26">
        <v>46113</v>
      </c>
      <c r="D87" s="25">
        <v>3319</v>
      </c>
      <c r="E87" s="25">
        <v>327</v>
      </c>
      <c r="F87" s="25">
        <v>2</v>
      </c>
      <c r="G87" s="28">
        <v>1</v>
      </c>
      <c r="H87" s="28">
        <v>81778</v>
      </c>
      <c r="I87" s="28" t="s">
        <v>17</v>
      </c>
      <c r="J87" s="28">
        <v>13838136</v>
      </c>
      <c r="K87" t="s">
        <v>1827</v>
      </c>
      <c r="L87" t="s">
        <v>1833</v>
      </c>
      <c r="M87" s="39">
        <v>279900</v>
      </c>
      <c r="N87" s="29" t="s">
        <v>2826</v>
      </c>
      <c r="O87" s="36" t="s">
        <v>3218</v>
      </c>
      <c r="P87" s="28" t="s">
        <v>2826</v>
      </c>
    </row>
    <row r="88" spans="1:16" x14ac:dyDescent="0.3">
      <c r="A88" s="25" t="s">
        <v>3219</v>
      </c>
      <c r="B88" s="26">
        <v>46108</v>
      </c>
      <c r="C88" s="26">
        <v>46113</v>
      </c>
      <c r="D88" s="25">
        <v>3319</v>
      </c>
      <c r="E88" s="25">
        <v>327</v>
      </c>
      <c r="F88" s="25">
        <v>2</v>
      </c>
      <c r="G88" s="28">
        <v>1</v>
      </c>
      <c r="H88" s="28">
        <v>81778</v>
      </c>
      <c r="I88" s="28" t="s">
        <v>17</v>
      </c>
      <c r="J88" s="28">
        <v>13838145</v>
      </c>
      <c r="K88" t="s">
        <v>1827</v>
      </c>
      <c r="L88" t="s">
        <v>1834</v>
      </c>
      <c r="M88" s="39">
        <v>279900</v>
      </c>
      <c r="N88" s="29" t="s">
        <v>2826</v>
      </c>
      <c r="O88" s="36" t="s">
        <v>3218</v>
      </c>
      <c r="P88" s="28" t="s">
        <v>2826</v>
      </c>
    </row>
    <row r="89" spans="1:16" x14ac:dyDescent="0.3">
      <c r="A89" s="25" t="s">
        <v>3219</v>
      </c>
      <c r="B89" s="26">
        <v>46108</v>
      </c>
      <c r="C89" s="26">
        <v>46113</v>
      </c>
      <c r="D89" s="25">
        <v>3319</v>
      </c>
      <c r="E89" s="25">
        <v>327</v>
      </c>
      <c r="F89" s="25">
        <v>2</v>
      </c>
      <c r="G89" s="28">
        <v>1</v>
      </c>
      <c r="H89" s="28">
        <v>81778</v>
      </c>
      <c r="I89" s="28" t="s">
        <v>17</v>
      </c>
      <c r="J89" s="28">
        <v>13838154</v>
      </c>
      <c r="K89" t="s">
        <v>1827</v>
      </c>
      <c r="L89" t="s">
        <v>1835</v>
      </c>
      <c r="M89" s="39">
        <v>279900</v>
      </c>
      <c r="N89" s="29" t="s">
        <v>2826</v>
      </c>
      <c r="O89" s="36" t="s">
        <v>3218</v>
      </c>
      <c r="P89" s="28" t="s">
        <v>2826</v>
      </c>
    </row>
    <row r="90" spans="1:16" x14ac:dyDescent="0.3">
      <c r="A90" s="25" t="s">
        <v>3219</v>
      </c>
      <c r="B90" s="26">
        <v>46108</v>
      </c>
      <c r="C90" s="26">
        <v>46113</v>
      </c>
      <c r="D90" s="25">
        <v>3319</v>
      </c>
      <c r="E90" s="25">
        <v>327</v>
      </c>
      <c r="F90" s="25">
        <v>2</v>
      </c>
      <c r="G90" s="28">
        <v>1</v>
      </c>
      <c r="H90" s="28">
        <v>81778</v>
      </c>
      <c r="I90" s="28" t="s">
        <v>17</v>
      </c>
      <c r="J90" s="28">
        <v>13838163</v>
      </c>
      <c r="K90" t="s">
        <v>1827</v>
      </c>
      <c r="L90" t="s">
        <v>1836</v>
      </c>
      <c r="M90" s="39">
        <v>279900</v>
      </c>
      <c r="N90" s="29" t="s">
        <v>2826</v>
      </c>
      <c r="O90" s="36" t="s">
        <v>3218</v>
      </c>
      <c r="P90" s="28" t="s">
        <v>2826</v>
      </c>
    </row>
    <row r="91" spans="1:16" x14ac:dyDescent="0.3">
      <c r="A91" s="25" t="s">
        <v>3219</v>
      </c>
      <c r="B91" s="26">
        <v>46108</v>
      </c>
      <c r="C91" s="26">
        <v>46113</v>
      </c>
      <c r="D91" s="25">
        <v>3319</v>
      </c>
      <c r="E91" s="25">
        <v>327</v>
      </c>
      <c r="F91" s="25">
        <v>2</v>
      </c>
      <c r="G91" s="28">
        <v>1</v>
      </c>
      <c r="H91" s="28">
        <v>81778</v>
      </c>
      <c r="I91" s="28" t="s">
        <v>17</v>
      </c>
      <c r="J91" s="28">
        <v>13838172</v>
      </c>
      <c r="K91" t="s">
        <v>1827</v>
      </c>
      <c r="L91" t="s">
        <v>1837</v>
      </c>
      <c r="M91" s="39">
        <v>279900</v>
      </c>
      <c r="N91" s="29" t="s">
        <v>2826</v>
      </c>
      <c r="O91" s="36" t="s">
        <v>3218</v>
      </c>
      <c r="P91" s="28" t="s">
        <v>2826</v>
      </c>
    </row>
    <row r="92" spans="1:16" x14ac:dyDescent="0.3">
      <c r="A92" s="25" t="s">
        <v>3219</v>
      </c>
      <c r="B92" s="26">
        <v>46108</v>
      </c>
      <c r="C92" s="26">
        <v>46113</v>
      </c>
      <c r="D92" s="25">
        <v>3319</v>
      </c>
      <c r="E92" s="25">
        <v>327</v>
      </c>
      <c r="F92" s="25">
        <v>2</v>
      </c>
      <c r="G92" s="28">
        <v>1</v>
      </c>
      <c r="H92" s="28">
        <v>81778</v>
      </c>
      <c r="I92" s="28" t="s">
        <v>17</v>
      </c>
      <c r="J92" s="28">
        <v>22407343</v>
      </c>
      <c r="K92" t="s">
        <v>2296</v>
      </c>
      <c r="L92" t="s">
        <v>2297</v>
      </c>
      <c r="M92" s="39">
        <v>279900</v>
      </c>
      <c r="N92" s="29" t="s">
        <v>2826</v>
      </c>
      <c r="O92" s="36" t="s">
        <v>3218</v>
      </c>
      <c r="P92" s="28" t="s">
        <v>2826</v>
      </c>
    </row>
    <row r="93" spans="1:16" x14ac:dyDescent="0.3">
      <c r="A93" s="25" t="s">
        <v>3219</v>
      </c>
      <c r="B93" s="26">
        <v>46108</v>
      </c>
      <c r="C93" s="26">
        <v>46113</v>
      </c>
      <c r="D93" s="25">
        <v>3319</v>
      </c>
      <c r="E93" s="25">
        <v>327</v>
      </c>
      <c r="F93" s="25">
        <v>2</v>
      </c>
      <c r="G93" s="28">
        <v>1</v>
      </c>
      <c r="H93" s="28">
        <v>81778</v>
      </c>
      <c r="I93" s="28" t="s">
        <v>17</v>
      </c>
      <c r="J93" s="28">
        <v>22407352</v>
      </c>
      <c r="K93" t="s">
        <v>2296</v>
      </c>
      <c r="L93" t="s">
        <v>2298</v>
      </c>
      <c r="M93" s="39">
        <v>279900</v>
      </c>
      <c r="N93" s="29" t="s">
        <v>2826</v>
      </c>
      <c r="O93" s="36" t="s">
        <v>3218</v>
      </c>
      <c r="P93" s="28" t="s">
        <v>2826</v>
      </c>
    </row>
    <row r="94" spans="1:16" x14ac:dyDescent="0.3">
      <c r="A94" s="25" t="s">
        <v>3219</v>
      </c>
      <c r="B94" s="26">
        <v>46108</v>
      </c>
      <c r="C94" s="26">
        <v>46113</v>
      </c>
      <c r="D94" s="25">
        <v>3319</v>
      </c>
      <c r="E94" s="25">
        <v>327</v>
      </c>
      <c r="F94" s="25">
        <v>2</v>
      </c>
      <c r="G94" s="28">
        <v>1</v>
      </c>
      <c r="H94" s="28">
        <v>81778</v>
      </c>
      <c r="I94" s="28" t="s">
        <v>17</v>
      </c>
      <c r="J94" s="28">
        <v>22407361</v>
      </c>
      <c r="K94" t="s">
        <v>2296</v>
      </c>
      <c r="L94" t="s">
        <v>2299</v>
      </c>
      <c r="M94" s="39">
        <v>279900</v>
      </c>
      <c r="N94" s="29" t="s">
        <v>2826</v>
      </c>
      <c r="O94" s="36" t="s">
        <v>3218</v>
      </c>
      <c r="P94" s="28" t="s">
        <v>2826</v>
      </c>
    </row>
    <row r="95" spans="1:16" x14ac:dyDescent="0.3">
      <c r="A95" s="25" t="s">
        <v>3219</v>
      </c>
      <c r="B95" s="26">
        <v>46108</v>
      </c>
      <c r="C95" s="26">
        <v>46113</v>
      </c>
      <c r="D95" s="25">
        <v>3319</v>
      </c>
      <c r="E95" s="25">
        <v>327</v>
      </c>
      <c r="F95" s="25">
        <v>2</v>
      </c>
      <c r="G95" s="28">
        <v>1</v>
      </c>
      <c r="H95" s="28">
        <v>81778</v>
      </c>
      <c r="I95" s="28" t="s">
        <v>17</v>
      </c>
      <c r="J95" s="28">
        <v>22407370</v>
      </c>
      <c r="K95" t="s">
        <v>2296</v>
      </c>
      <c r="L95" t="s">
        <v>2300</v>
      </c>
      <c r="M95" s="39">
        <v>279900</v>
      </c>
      <c r="N95" s="29" t="s">
        <v>2826</v>
      </c>
      <c r="O95" s="36" t="s">
        <v>3218</v>
      </c>
      <c r="P95" s="28" t="s">
        <v>2826</v>
      </c>
    </row>
    <row r="96" spans="1:16" x14ac:dyDescent="0.3">
      <c r="A96" s="25" t="s">
        <v>3219</v>
      </c>
      <c r="B96" s="26">
        <v>46108</v>
      </c>
      <c r="C96" s="26">
        <v>46113</v>
      </c>
      <c r="D96" s="25">
        <v>3319</v>
      </c>
      <c r="E96" s="25">
        <v>327</v>
      </c>
      <c r="F96" s="25">
        <v>2</v>
      </c>
      <c r="G96" s="28">
        <v>1</v>
      </c>
      <c r="H96" s="28">
        <v>81778</v>
      </c>
      <c r="I96" s="28" t="s">
        <v>17</v>
      </c>
      <c r="J96" s="28">
        <v>22407683</v>
      </c>
      <c r="K96" t="s">
        <v>2296</v>
      </c>
      <c r="L96" t="s">
        <v>2301</v>
      </c>
      <c r="M96" s="39">
        <v>279900</v>
      </c>
      <c r="N96" s="29" t="s">
        <v>2826</v>
      </c>
      <c r="O96" s="36" t="s">
        <v>3218</v>
      </c>
      <c r="P96" s="28" t="s">
        <v>2826</v>
      </c>
    </row>
    <row r="97" spans="1:16" x14ac:dyDescent="0.3">
      <c r="A97" s="25" t="s">
        <v>3219</v>
      </c>
      <c r="B97" s="26">
        <v>46108</v>
      </c>
      <c r="C97" s="26">
        <v>46113</v>
      </c>
      <c r="D97" s="25">
        <v>3319</v>
      </c>
      <c r="E97" s="25">
        <v>327</v>
      </c>
      <c r="F97" s="25">
        <v>2</v>
      </c>
      <c r="G97" s="28">
        <v>1</v>
      </c>
      <c r="H97" s="28">
        <v>81778</v>
      </c>
      <c r="I97" s="28" t="s">
        <v>17</v>
      </c>
      <c r="J97" s="28">
        <v>22407692</v>
      </c>
      <c r="K97" t="s">
        <v>2296</v>
      </c>
      <c r="L97" t="s">
        <v>2302</v>
      </c>
      <c r="M97" s="39">
        <v>279900</v>
      </c>
      <c r="N97" s="29" t="s">
        <v>2826</v>
      </c>
      <c r="O97" s="36" t="s">
        <v>3218</v>
      </c>
      <c r="P97" s="28" t="s">
        <v>2826</v>
      </c>
    </row>
    <row r="98" spans="1:16" x14ac:dyDescent="0.3">
      <c r="A98" s="25" t="s">
        <v>3219</v>
      </c>
      <c r="B98" s="26">
        <v>46108</v>
      </c>
      <c r="C98" s="26">
        <v>46113</v>
      </c>
      <c r="D98" s="25">
        <v>3319</v>
      </c>
      <c r="E98" s="25">
        <v>327</v>
      </c>
      <c r="F98" s="25">
        <v>2</v>
      </c>
      <c r="G98" s="28">
        <v>1</v>
      </c>
      <c r="H98" s="28">
        <v>81778</v>
      </c>
      <c r="I98" s="28" t="s">
        <v>17</v>
      </c>
      <c r="J98" s="28">
        <v>22407709</v>
      </c>
      <c r="K98" t="s">
        <v>2296</v>
      </c>
      <c r="L98" t="s">
        <v>2303</v>
      </c>
      <c r="M98" s="39">
        <v>279900</v>
      </c>
      <c r="N98" s="29" t="s">
        <v>2826</v>
      </c>
      <c r="O98" s="36" t="s">
        <v>3218</v>
      </c>
      <c r="P98" s="28" t="s">
        <v>2826</v>
      </c>
    </row>
    <row r="99" spans="1:16" x14ac:dyDescent="0.3">
      <c r="A99" s="25" t="s">
        <v>3219</v>
      </c>
      <c r="B99" s="26">
        <v>46108</v>
      </c>
      <c r="C99" s="26">
        <v>46113</v>
      </c>
      <c r="D99" s="25">
        <v>3319</v>
      </c>
      <c r="E99" s="25">
        <v>327</v>
      </c>
      <c r="F99" s="25">
        <v>2</v>
      </c>
      <c r="G99" s="28">
        <v>1</v>
      </c>
      <c r="H99" s="28">
        <v>81778</v>
      </c>
      <c r="I99" s="28" t="s">
        <v>17</v>
      </c>
      <c r="J99" s="28">
        <v>22407718</v>
      </c>
      <c r="K99" t="s">
        <v>2296</v>
      </c>
      <c r="L99" t="s">
        <v>2304</v>
      </c>
      <c r="M99" s="39">
        <v>279900</v>
      </c>
      <c r="N99" s="29" t="s">
        <v>2826</v>
      </c>
      <c r="O99" s="36" t="s">
        <v>3218</v>
      </c>
      <c r="P99" s="28" t="s">
        <v>2826</v>
      </c>
    </row>
    <row r="100" spans="1:16" x14ac:dyDescent="0.3">
      <c r="A100" s="25" t="s">
        <v>3219</v>
      </c>
      <c r="B100" s="26">
        <v>46108</v>
      </c>
      <c r="C100" s="26">
        <v>46113</v>
      </c>
      <c r="D100" s="25">
        <v>3319</v>
      </c>
      <c r="E100" s="25">
        <v>327</v>
      </c>
      <c r="F100" s="25">
        <v>2</v>
      </c>
      <c r="G100" s="28">
        <v>1</v>
      </c>
      <c r="H100" s="28">
        <v>81778</v>
      </c>
      <c r="I100" s="28" t="s">
        <v>17</v>
      </c>
      <c r="J100" s="28">
        <v>22407727</v>
      </c>
      <c r="K100" t="s">
        <v>2296</v>
      </c>
      <c r="L100" t="s">
        <v>2305</v>
      </c>
      <c r="M100" s="39">
        <v>279900</v>
      </c>
      <c r="N100" s="29" t="s">
        <v>2826</v>
      </c>
      <c r="O100" s="36" t="s">
        <v>3218</v>
      </c>
      <c r="P100" s="28" t="s">
        <v>2826</v>
      </c>
    </row>
    <row r="101" spans="1:16" x14ac:dyDescent="0.3">
      <c r="A101" s="25" t="s">
        <v>3219</v>
      </c>
      <c r="B101" s="26">
        <v>46108</v>
      </c>
      <c r="C101" s="26">
        <v>46113</v>
      </c>
      <c r="D101" s="25">
        <v>3319</v>
      </c>
      <c r="E101" s="25">
        <v>327</v>
      </c>
      <c r="F101" s="25">
        <v>2</v>
      </c>
      <c r="G101" s="28">
        <v>1</v>
      </c>
      <c r="H101" s="28">
        <v>81778</v>
      </c>
      <c r="I101" s="28" t="s">
        <v>17</v>
      </c>
      <c r="J101" s="28">
        <v>22407736</v>
      </c>
      <c r="K101" t="s">
        <v>2296</v>
      </c>
      <c r="L101" t="s">
        <v>2306</v>
      </c>
      <c r="M101" s="39">
        <v>279900</v>
      </c>
      <c r="N101" s="29" t="s">
        <v>2826</v>
      </c>
      <c r="O101" s="36" t="s">
        <v>3218</v>
      </c>
      <c r="P101" s="28" t="s">
        <v>2826</v>
      </c>
    </row>
    <row r="102" spans="1:16" x14ac:dyDescent="0.3">
      <c r="A102" s="25" t="s">
        <v>3219</v>
      </c>
      <c r="B102" s="26">
        <v>46108</v>
      </c>
      <c r="C102" s="26">
        <v>46113</v>
      </c>
      <c r="D102" s="25">
        <v>3319</v>
      </c>
      <c r="E102" s="25">
        <v>327</v>
      </c>
      <c r="F102" s="25">
        <v>2</v>
      </c>
      <c r="G102" s="28">
        <v>1</v>
      </c>
      <c r="H102" s="28">
        <v>81433</v>
      </c>
      <c r="I102" s="28" t="s">
        <v>17</v>
      </c>
      <c r="J102" s="28">
        <v>24336112</v>
      </c>
      <c r="K102" s="28" t="s">
        <v>2527</v>
      </c>
      <c r="L102" t="s">
        <v>2528</v>
      </c>
      <c r="M102" s="39">
        <v>279900</v>
      </c>
      <c r="N102" s="29" t="s">
        <v>2826</v>
      </c>
      <c r="O102" s="36" t="s">
        <v>3218</v>
      </c>
      <c r="P102" s="28" t="s">
        <v>2826</v>
      </c>
    </row>
    <row r="103" spans="1:16" x14ac:dyDescent="0.3">
      <c r="A103" s="25" t="s">
        <v>3219</v>
      </c>
      <c r="B103" s="26">
        <v>46108</v>
      </c>
      <c r="C103" s="26">
        <v>46113</v>
      </c>
      <c r="D103" s="25">
        <v>3319</v>
      </c>
      <c r="E103" s="25">
        <v>327</v>
      </c>
      <c r="F103" s="25">
        <v>2</v>
      </c>
      <c r="G103" s="28">
        <v>1</v>
      </c>
      <c r="H103" s="28">
        <v>81433</v>
      </c>
      <c r="I103" s="28" t="s">
        <v>17</v>
      </c>
      <c r="J103" s="28">
        <v>24336130</v>
      </c>
      <c r="K103" s="28" t="s">
        <v>2527</v>
      </c>
      <c r="L103" t="s">
        <v>2529</v>
      </c>
      <c r="M103" s="39">
        <v>279900</v>
      </c>
      <c r="N103" s="29" t="s">
        <v>2826</v>
      </c>
      <c r="O103" s="36" t="s">
        <v>3218</v>
      </c>
      <c r="P103" s="28" t="s">
        <v>2826</v>
      </c>
    </row>
    <row r="104" spans="1:16" x14ac:dyDescent="0.3">
      <c r="A104" s="25" t="s">
        <v>3219</v>
      </c>
      <c r="B104" s="26">
        <v>46108</v>
      </c>
      <c r="C104" s="26">
        <v>46113</v>
      </c>
      <c r="D104" s="25">
        <v>3319</v>
      </c>
      <c r="E104" s="25">
        <v>327</v>
      </c>
      <c r="F104" s="25">
        <v>2</v>
      </c>
      <c r="G104" s="28">
        <v>1</v>
      </c>
      <c r="H104" s="28">
        <v>81433</v>
      </c>
      <c r="I104" s="28" t="s">
        <v>17</v>
      </c>
      <c r="J104" s="28">
        <v>24336149</v>
      </c>
      <c r="K104" s="28" t="s">
        <v>2527</v>
      </c>
      <c r="L104" t="s">
        <v>2530</v>
      </c>
      <c r="M104" s="39">
        <v>279900</v>
      </c>
      <c r="N104" s="29" t="s">
        <v>2826</v>
      </c>
      <c r="O104" s="36" t="s">
        <v>3218</v>
      </c>
      <c r="P104" s="28" t="s">
        <v>2826</v>
      </c>
    </row>
    <row r="105" spans="1:16" x14ac:dyDescent="0.3">
      <c r="A105" s="25" t="s">
        <v>3219</v>
      </c>
      <c r="B105" s="26">
        <v>46108</v>
      </c>
      <c r="C105" s="26">
        <v>46113</v>
      </c>
      <c r="D105" s="25">
        <v>3319</v>
      </c>
      <c r="E105" s="25">
        <v>327</v>
      </c>
      <c r="F105" s="25">
        <v>2</v>
      </c>
      <c r="G105" s="28">
        <v>1</v>
      </c>
      <c r="H105" s="28">
        <v>81433</v>
      </c>
      <c r="I105" s="28" t="s">
        <v>17</v>
      </c>
      <c r="J105" s="28">
        <v>24336158</v>
      </c>
      <c r="K105" s="28" t="s">
        <v>2527</v>
      </c>
      <c r="L105" t="s">
        <v>2531</v>
      </c>
      <c r="M105" s="39">
        <v>279900</v>
      </c>
      <c r="N105" s="29" t="s">
        <v>2826</v>
      </c>
      <c r="O105" s="36" t="s">
        <v>3218</v>
      </c>
      <c r="P105" s="28" t="s">
        <v>2826</v>
      </c>
    </row>
    <row r="106" spans="1:16" x14ac:dyDescent="0.3">
      <c r="A106" s="25" t="s">
        <v>3219</v>
      </c>
      <c r="B106" s="26">
        <v>46108</v>
      </c>
      <c r="C106" s="26">
        <v>46113</v>
      </c>
      <c r="D106" s="25">
        <v>3319</v>
      </c>
      <c r="E106" s="25">
        <v>327</v>
      </c>
      <c r="F106" s="25">
        <v>2</v>
      </c>
      <c r="G106" s="28">
        <v>1</v>
      </c>
      <c r="H106" s="28">
        <v>81433</v>
      </c>
      <c r="I106" s="28" t="s">
        <v>17</v>
      </c>
      <c r="J106" s="28">
        <v>24336167</v>
      </c>
      <c r="K106" s="28" t="s">
        <v>2527</v>
      </c>
      <c r="L106" t="s">
        <v>2532</v>
      </c>
      <c r="M106" s="39">
        <v>279900</v>
      </c>
      <c r="N106" s="29" t="s">
        <v>2826</v>
      </c>
      <c r="O106" s="36" t="s">
        <v>3218</v>
      </c>
      <c r="P106" s="28" t="s">
        <v>2826</v>
      </c>
    </row>
    <row r="107" spans="1:16" x14ac:dyDescent="0.3">
      <c r="A107" s="25" t="s">
        <v>3219</v>
      </c>
      <c r="B107" s="26">
        <v>46108</v>
      </c>
      <c r="C107" s="26">
        <v>46113</v>
      </c>
      <c r="D107" s="25">
        <v>3319</v>
      </c>
      <c r="E107" s="25">
        <v>327</v>
      </c>
      <c r="F107" s="25">
        <v>2</v>
      </c>
      <c r="G107" s="28">
        <v>1</v>
      </c>
      <c r="H107" s="28">
        <v>81433</v>
      </c>
      <c r="I107" s="28" t="s">
        <v>17</v>
      </c>
      <c r="J107" s="28">
        <v>24336336</v>
      </c>
      <c r="K107" s="28" t="s">
        <v>2527</v>
      </c>
      <c r="L107" t="s">
        <v>2533</v>
      </c>
      <c r="M107" s="39">
        <v>279900</v>
      </c>
      <c r="N107" s="29" t="s">
        <v>2826</v>
      </c>
      <c r="O107" s="36" t="s">
        <v>3218</v>
      </c>
      <c r="P107" s="28" t="s">
        <v>2826</v>
      </c>
    </row>
    <row r="108" spans="1:16" x14ac:dyDescent="0.3">
      <c r="A108" s="25" t="s">
        <v>3219</v>
      </c>
      <c r="B108" s="26">
        <v>46108</v>
      </c>
      <c r="C108" s="26">
        <v>46113</v>
      </c>
      <c r="D108" s="25">
        <v>3319</v>
      </c>
      <c r="E108" s="25">
        <v>327</v>
      </c>
      <c r="F108" s="25">
        <v>2</v>
      </c>
      <c r="G108" s="28">
        <v>1</v>
      </c>
      <c r="H108" s="28">
        <v>81433</v>
      </c>
      <c r="I108" s="28" t="s">
        <v>17</v>
      </c>
      <c r="J108" s="28">
        <v>24336345</v>
      </c>
      <c r="K108" s="28" t="s">
        <v>2527</v>
      </c>
      <c r="L108" t="s">
        <v>2534</v>
      </c>
      <c r="M108" s="39">
        <v>279900</v>
      </c>
      <c r="N108" s="29" t="s">
        <v>2826</v>
      </c>
      <c r="O108" s="36" t="s">
        <v>3218</v>
      </c>
      <c r="P108" s="28" t="s">
        <v>2826</v>
      </c>
    </row>
    <row r="109" spans="1:16" x14ac:dyDescent="0.3">
      <c r="A109" s="25" t="s">
        <v>3219</v>
      </c>
      <c r="B109" s="26">
        <v>46108</v>
      </c>
      <c r="C109" s="26">
        <v>46113</v>
      </c>
      <c r="D109" s="25">
        <v>3319</v>
      </c>
      <c r="E109" s="25">
        <v>327</v>
      </c>
      <c r="F109" s="25">
        <v>2</v>
      </c>
      <c r="G109" s="28">
        <v>1</v>
      </c>
      <c r="H109" s="28">
        <v>81433</v>
      </c>
      <c r="I109" s="28" t="s">
        <v>17</v>
      </c>
      <c r="J109" s="28">
        <v>24336354</v>
      </c>
      <c r="K109" s="28" t="s">
        <v>2527</v>
      </c>
      <c r="L109" t="s">
        <v>2535</v>
      </c>
      <c r="M109" s="39">
        <v>279900</v>
      </c>
      <c r="N109" s="29" t="s">
        <v>2826</v>
      </c>
      <c r="O109" s="36" t="s">
        <v>3218</v>
      </c>
      <c r="P109" s="28" t="s">
        <v>2826</v>
      </c>
    </row>
    <row r="110" spans="1:16" x14ac:dyDescent="0.3">
      <c r="A110" s="25" t="s">
        <v>3219</v>
      </c>
      <c r="B110" s="26">
        <v>46108</v>
      </c>
      <c r="C110" s="26">
        <v>46113</v>
      </c>
      <c r="D110" s="25">
        <v>3319</v>
      </c>
      <c r="E110" s="25">
        <v>327</v>
      </c>
      <c r="F110" s="25">
        <v>2</v>
      </c>
      <c r="G110" s="28">
        <v>1</v>
      </c>
      <c r="H110" s="28">
        <v>81433</v>
      </c>
      <c r="I110" s="28" t="s">
        <v>17</v>
      </c>
      <c r="J110" s="28">
        <v>24336363</v>
      </c>
      <c r="K110" s="28" t="s">
        <v>2527</v>
      </c>
      <c r="L110" t="s">
        <v>2536</v>
      </c>
      <c r="M110" s="39">
        <v>279900</v>
      </c>
      <c r="N110" s="29" t="s">
        <v>2826</v>
      </c>
      <c r="O110" s="36" t="s">
        <v>3218</v>
      </c>
      <c r="P110" s="28" t="s">
        <v>2826</v>
      </c>
    </row>
    <row r="111" spans="1:16" x14ac:dyDescent="0.3">
      <c r="A111" s="25" t="s">
        <v>3219</v>
      </c>
      <c r="B111" s="26">
        <v>46108</v>
      </c>
      <c r="C111" s="26">
        <v>46113</v>
      </c>
      <c r="D111" s="25">
        <v>3319</v>
      </c>
      <c r="E111" s="25">
        <v>327</v>
      </c>
      <c r="F111" s="25">
        <v>2</v>
      </c>
      <c r="G111" s="28">
        <v>1</v>
      </c>
      <c r="H111" s="28">
        <v>81433</v>
      </c>
      <c r="I111" s="28" t="s">
        <v>17</v>
      </c>
      <c r="J111" s="28">
        <v>24336372</v>
      </c>
      <c r="K111" s="28" t="s">
        <v>2527</v>
      </c>
      <c r="L111" t="s">
        <v>2537</v>
      </c>
      <c r="M111" s="39">
        <v>279900</v>
      </c>
      <c r="N111" s="29" t="s">
        <v>2826</v>
      </c>
      <c r="O111" s="36" t="s">
        <v>3218</v>
      </c>
      <c r="P111" s="28" t="s">
        <v>2826</v>
      </c>
    </row>
    <row r="112" spans="1:16" x14ac:dyDescent="0.3">
      <c r="A112" s="25" t="s">
        <v>3219</v>
      </c>
      <c r="B112" s="26">
        <v>46108</v>
      </c>
      <c r="C112" s="26">
        <v>46113</v>
      </c>
      <c r="D112" s="25">
        <v>3319</v>
      </c>
      <c r="E112" s="25">
        <v>327</v>
      </c>
      <c r="F112" s="25">
        <v>2</v>
      </c>
      <c r="G112" s="28">
        <v>1</v>
      </c>
      <c r="H112" s="28">
        <v>81433</v>
      </c>
      <c r="I112" s="28" t="s">
        <v>17</v>
      </c>
      <c r="J112" s="28">
        <v>22153448</v>
      </c>
      <c r="K112" s="28" t="s">
        <v>2252</v>
      </c>
      <c r="L112" t="s">
        <v>2257</v>
      </c>
      <c r="M112" s="39">
        <v>279900</v>
      </c>
      <c r="N112" s="29" t="s">
        <v>2826</v>
      </c>
      <c r="O112" s="36" t="s">
        <v>3218</v>
      </c>
      <c r="P112" s="28" t="s">
        <v>2826</v>
      </c>
    </row>
    <row r="113" spans="1:16" x14ac:dyDescent="0.3">
      <c r="A113" s="25" t="s">
        <v>3219</v>
      </c>
      <c r="B113" s="26">
        <v>46108</v>
      </c>
      <c r="C113" s="26">
        <v>46113</v>
      </c>
      <c r="D113" s="25">
        <v>3319</v>
      </c>
      <c r="E113" s="25">
        <v>327</v>
      </c>
      <c r="F113" s="25">
        <v>2</v>
      </c>
      <c r="G113" s="28">
        <v>1</v>
      </c>
      <c r="H113" s="28">
        <v>81433</v>
      </c>
      <c r="I113" s="28" t="s">
        <v>17</v>
      </c>
      <c r="J113" s="28">
        <v>22153457</v>
      </c>
      <c r="K113" s="28" t="s">
        <v>2252</v>
      </c>
      <c r="L113" t="s">
        <v>2258</v>
      </c>
      <c r="M113" s="39">
        <v>279900</v>
      </c>
      <c r="N113" s="29" t="s">
        <v>2826</v>
      </c>
      <c r="O113" s="36" t="s">
        <v>3218</v>
      </c>
      <c r="P113" s="28" t="s">
        <v>2826</v>
      </c>
    </row>
    <row r="114" spans="1:16" x14ac:dyDescent="0.3">
      <c r="A114" s="25" t="s">
        <v>3219</v>
      </c>
      <c r="B114" s="26">
        <v>46108</v>
      </c>
      <c r="C114" s="26">
        <v>46113</v>
      </c>
      <c r="D114" s="25">
        <v>3319</v>
      </c>
      <c r="E114" s="25">
        <v>327</v>
      </c>
      <c r="F114" s="25">
        <v>2</v>
      </c>
      <c r="G114" s="28">
        <v>1</v>
      </c>
      <c r="H114" s="28">
        <v>81433</v>
      </c>
      <c r="I114" s="28" t="s">
        <v>17</v>
      </c>
      <c r="J114" s="28">
        <v>22153466</v>
      </c>
      <c r="K114" s="28" t="s">
        <v>2252</v>
      </c>
      <c r="L114" t="s">
        <v>2259</v>
      </c>
      <c r="M114" s="39">
        <v>279900</v>
      </c>
      <c r="N114" s="29" t="s">
        <v>2826</v>
      </c>
      <c r="O114" s="36" t="s">
        <v>3218</v>
      </c>
      <c r="P114" s="28" t="s">
        <v>2826</v>
      </c>
    </row>
    <row r="115" spans="1:16" x14ac:dyDescent="0.3">
      <c r="A115" s="25" t="s">
        <v>3219</v>
      </c>
      <c r="B115" s="26">
        <v>46108</v>
      </c>
      <c r="C115" s="26">
        <v>46113</v>
      </c>
      <c r="D115" s="25">
        <v>3319</v>
      </c>
      <c r="E115" s="25">
        <v>327</v>
      </c>
      <c r="F115" s="25">
        <v>2</v>
      </c>
      <c r="G115" s="28">
        <v>1</v>
      </c>
      <c r="H115" s="28">
        <v>81433</v>
      </c>
      <c r="I115" s="28" t="s">
        <v>17</v>
      </c>
      <c r="J115" s="28">
        <v>22153475</v>
      </c>
      <c r="K115" s="28" t="s">
        <v>2252</v>
      </c>
      <c r="L115" t="s">
        <v>2260</v>
      </c>
      <c r="M115" s="39">
        <v>279900</v>
      </c>
      <c r="N115" s="29" t="s">
        <v>2826</v>
      </c>
      <c r="O115" s="36" t="s">
        <v>3218</v>
      </c>
      <c r="P115" s="28" t="s">
        <v>2826</v>
      </c>
    </row>
    <row r="116" spans="1:16" x14ac:dyDescent="0.3">
      <c r="A116" s="25" t="s">
        <v>3219</v>
      </c>
      <c r="B116" s="26">
        <v>46108</v>
      </c>
      <c r="C116" s="26">
        <v>46113</v>
      </c>
      <c r="D116" s="25">
        <v>3319</v>
      </c>
      <c r="E116" s="25">
        <v>327</v>
      </c>
      <c r="F116" s="25">
        <v>2</v>
      </c>
      <c r="G116" s="28">
        <v>1</v>
      </c>
      <c r="H116" s="28">
        <v>81433</v>
      </c>
      <c r="I116" s="28" t="s">
        <v>17</v>
      </c>
      <c r="J116" s="28">
        <v>22153484</v>
      </c>
      <c r="K116" s="28" t="s">
        <v>2252</v>
      </c>
      <c r="L116" t="s">
        <v>2261</v>
      </c>
      <c r="M116" s="39">
        <v>279900</v>
      </c>
      <c r="N116" s="29" t="s">
        <v>2826</v>
      </c>
      <c r="O116" s="36" t="s">
        <v>3218</v>
      </c>
      <c r="P116" s="28" t="s">
        <v>2826</v>
      </c>
    </row>
    <row r="117" spans="1:16" x14ac:dyDescent="0.3">
      <c r="A117" s="25" t="s">
        <v>3219</v>
      </c>
      <c r="B117" s="26">
        <v>46108</v>
      </c>
      <c r="C117" s="26">
        <v>46113</v>
      </c>
      <c r="D117" s="25">
        <v>3319</v>
      </c>
      <c r="E117" s="25">
        <v>327</v>
      </c>
      <c r="F117" s="25">
        <v>2</v>
      </c>
      <c r="G117" s="28">
        <v>1</v>
      </c>
      <c r="H117" s="28">
        <v>81433</v>
      </c>
      <c r="I117" s="28" t="s">
        <v>17</v>
      </c>
      <c r="J117" s="28">
        <v>45335173</v>
      </c>
      <c r="K117" s="28" t="s">
        <v>2263</v>
      </c>
      <c r="L117" t="s">
        <v>2269</v>
      </c>
      <c r="M117" s="39">
        <v>279900</v>
      </c>
      <c r="N117" s="29" t="s">
        <v>2826</v>
      </c>
      <c r="O117" s="36" t="s">
        <v>3218</v>
      </c>
      <c r="P117" s="28" t="s">
        <v>2826</v>
      </c>
    </row>
    <row r="118" spans="1:16" x14ac:dyDescent="0.3">
      <c r="A118" s="25" t="s">
        <v>3219</v>
      </c>
      <c r="B118" s="26">
        <v>46108</v>
      </c>
      <c r="C118" s="26">
        <v>46113</v>
      </c>
      <c r="D118" s="25">
        <v>3319</v>
      </c>
      <c r="E118" s="25">
        <v>327</v>
      </c>
      <c r="F118" s="25">
        <v>2</v>
      </c>
      <c r="G118" s="28">
        <v>1</v>
      </c>
      <c r="H118" s="28">
        <v>81433</v>
      </c>
      <c r="I118" s="28" t="s">
        <v>17</v>
      </c>
      <c r="J118" s="28">
        <v>45335182</v>
      </c>
      <c r="K118" s="28" t="s">
        <v>2263</v>
      </c>
      <c r="L118" t="s">
        <v>2270</v>
      </c>
      <c r="M118" s="39">
        <v>279900</v>
      </c>
      <c r="N118" s="29" t="s">
        <v>2826</v>
      </c>
      <c r="O118" s="36" t="s">
        <v>3218</v>
      </c>
      <c r="P118" s="28" t="s">
        <v>2826</v>
      </c>
    </row>
    <row r="119" spans="1:16" x14ac:dyDescent="0.3">
      <c r="A119" s="25" t="s">
        <v>3219</v>
      </c>
      <c r="B119" s="26">
        <v>46108</v>
      </c>
      <c r="C119" s="26">
        <v>46113</v>
      </c>
      <c r="D119" s="25">
        <v>3319</v>
      </c>
      <c r="E119" s="25">
        <v>327</v>
      </c>
      <c r="F119" s="25">
        <v>2</v>
      </c>
      <c r="G119" s="28">
        <v>1</v>
      </c>
      <c r="H119" s="28">
        <v>81433</v>
      </c>
      <c r="I119" s="28" t="s">
        <v>17</v>
      </c>
      <c r="J119" s="28">
        <v>45335191</v>
      </c>
      <c r="K119" s="28" t="s">
        <v>2263</v>
      </c>
      <c r="L119" t="s">
        <v>2271</v>
      </c>
      <c r="M119" s="39">
        <v>279900</v>
      </c>
      <c r="N119" s="29" t="s">
        <v>2826</v>
      </c>
      <c r="O119" s="36" t="s">
        <v>3218</v>
      </c>
      <c r="P119" s="28" t="s">
        <v>2826</v>
      </c>
    </row>
    <row r="120" spans="1:16" x14ac:dyDescent="0.3">
      <c r="A120" s="25" t="s">
        <v>3219</v>
      </c>
      <c r="B120" s="26">
        <v>46108</v>
      </c>
      <c r="C120" s="26">
        <v>46113</v>
      </c>
      <c r="D120" s="25">
        <v>3319</v>
      </c>
      <c r="E120" s="25">
        <v>327</v>
      </c>
      <c r="F120" s="25">
        <v>2</v>
      </c>
      <c r="G120" s="28">
        <v>1</v>
      </c>
      <c r="H120" s="28">
        <v>81433</v>
      </c>
      <c r="I120" s="28" t="s">
        <v>17</v>
      </c>
      <c r="J120" s="28">
        <v>45335208</v>
      </c>
      <c r="K120" s="28" t="s">
        <v>2263</v>
      </c>
      <c r="L120" t="s">
        <v>2272</v>
      </c>
      <c r="M120" s="39">
        <v>279900</v>
      </c>
      <c r="N120" s="29" t="s">
        <v>2826</v>
      </c>
      <c r="O120" s="36" t="s">
        <v>3218</v>
      </c>
      <c r="P120" s="28" t="s">
        <v>2826</v>
      </c>
    </row>
    <row r="121" spans="1:16" x14ac:dyDescent="0.3">
      <c r="A121" s="25" t="s">
        <v>3219</v>
      </c>
      <c r="B121" s="26">
        <v>46108</v>
      </c>
      <c r="C121" s="26">
        <v>46113</v>
      </c>
      <c r="D121" s="25">
        <v>3319</v>
      </c>
      <c r="E121" s="25">
        <v>327</v>
      </c>
      <c r="F121" s="25">
        <v>2</v>
      </c>
      <c r="G121" s="28">
        <v>1</v>
      </c>
      <c r="H121" s="28">
        <v>81433</v>
      </c>
      <c r="I121" s="28" t="s">
        <v>17</v>
      </c>
      <c r="J121" s="28">
        <v>45335217</v>
      </c>
      <c r="K121" s="28" t="s">
        <v>2263</v>
      </c>
      <c r="L121" t="s">
        <v>2273</v>
      </c>
      <c r="M121" s="39">
        <v>279900</v>
      </c>
      <c r="N121" s="29" t="s">
        <v>2826</v>
      </c>
      <c r="O121" s="36" t="s">
        <v>3218</v>
      </c>
      <c r="P121" s="28" t="s">
        <v>2826</v>
      </c>
    </row>
    <row r="122" spans="1:16" x14ac:dyDescent="0.3">
      <c r="A122" s="25" t="s">
        <v>3219</v>
      </c>
      <c r="B122" s="26">
        <v>46108</v>
      </c>
      <c r="C122" s="26">
        <v>46113</v>
      </c>
      <c r="D122" s="25">
        <v>3319</v>
      </c>
      <c r="E122" s="25">
        <v>327</v>
      </c>
      <c r="F122" s="25">
        <v>2</v>
      </c>
      <c r="G122" s="28">
        <v>1</v>
      </c>
      <c r="H122" s="28">
        <v>81433</v>
      </c>
      <c r="I122" s="28" t="s">
        <v>17</v>
      </c>
      <c r="J122" s="28">
        <v>45335226</v>
      </c>
      <c r="K122" s="28" t="s">
        <v>2263</v>
      </c>
      <c r="L122" t="s">
        <v>2274</v>
      </c>
      <c r="M122" s="39">
        <v>279900</v>
      </c>
      <c r="N122" s="29" t="s">
        <v>2826</v>
      </c>
      <c r="O122" s="36" t="s">
        <v>3218</v>
      </c>
      <c r="P122" s="28" t="s">
        <v>2826</v>
      </c>
    </row>
    <row r="123" spans="1:16" x14ac:dyDescent="0.3">
      <c r="A123" s="25" t="s">
        <v>3219</v>
      </c>
      <c r="B123" s="26">
        <v>46108</v>
      </c>
      <c r="C123" s="26">
        <v>46113</v>
      </c>
      <c r="D123" s="25">
        <v>3319</v>
      </c>
      <c r="E123" s="25">
        <v>327</v>
      </c>
      <c r="F123" s="25">
        <v>2</v>
      </c>
      <c r="G123" s="28">
        <v>1</v>
      </c>
      <c r="H123" s="28">
        <v>81433</v>
      </c>
      <c r="I123" s="28" t="s">
        <v>17</v>
      </c>
      <c r="J123" s="28">
        <v>45335235</v>
      </c>
      <c r="K123" s="28" t="s">
        <v>2263</v>
      </c>
      <c r="L123" t="s">
        <v>2275</v>
      </c>
      <c r="M123" s="39">
        <v>279900</v>
      </c>
      <c r="N123" s="29" t="s">
        <v>2826</v>
      </c>
      <c r="O123" s="36" t="s">
        <v>3218</v>
      </c>
      <c r="P123" s="28" t="s">
        <v>2826</v>
      </c>
    </row>
    <row r="124" spans="1:16" x14ac:dyDescent="0.3">
      <c r="A124" s="25" t="s">
        <v>3219</v>
      </c>
      <c r="B124" s="26">
        <v>46108</v>
      </c>
      <c r="C124" s="26">
        <v>46113</v>
      </c>
      <c r="D124" s="25">
        <v>3319</v>
      </c>
      <c r="E124" s="25">
        <v>327</v>
      </c>
      <c r="F124" s="25">
        <v>2</v>
      </c>
      <c r="G124" s="28">
        <v>1</v>
      </c>
      <c r="H124" s="28">
        <v>81433</v>
      </c>
      <c r="I124" s="28" t="s">
        <v>17</v>
      </c>
      <c r="J124" s="28">
        <v>45335244</v>
      </c>
      <c r="K124" s="28" t="s">
        <v>2263</v>
      </c>
      <c r="L124" t="s">
        <v>2276</v>
      </c>
      <c r="M124" s="39">
        <v>279900</v>
      </c>
      <c r="N124" s="29" t="s">
        <v>2826</v>
      </c>
      <c r="O124" s="36" t="s">
        <v>3218</v>
      </c>
      <c r="P124" s="28" t="s">
        <v>2826</v>
      </c>
    </row>
    <row r="125" spans="1:16" x14ac:dyDescent="0.3">
      <c r="A125" s="25" t="s">
        <v>3219</v>
      </c>
      <c r="B125" s="26">
        <v>46108</v>
      </c>
      <c r="C125" s="26">
        <v>46113</v>
      </c>
      <c r="D125" s="25">
        <v>3319</v>
      </c>
      <c r="E125" s="25">
        <v>327</v>
      </c>
      <c r="F125" s="25">
        <v>2</v>
      </c>
      <c r="G125" s="28">
        <v>1</v>
      </c>
      <c r="H125" s="28">
        <v>81433</v>
      </c>
      <c r="I125" s="28" t="s">
        <v>17</v>
      </c>
      <c r="J125" s="28">
        <v>45335253</v>
      </c>
      <c r="K125" s="28" t="s">
        <v>2263</v>
      </c>
      <c r="L125" t="s">
        <v>2277</v>
      </c>
      <c r="M125" s="39">
        <v>279900</v>
      </c>
      <c r="N125" s="29" t="s">
        <v>2826</v>
      </c>
      <c r="O125" s="36" t="s">
        <v>3218</v>
      </c>
      <c r="P125" s="28" t="s">
        <v>2826</v>
      </c>
    </row>
    <row r="126" spans="1:16" x14ac:dyDescent="0.3">
      <c r="A126" s="25" t="s">
        <v>3219</v>
      </c>
      <c r="B126" s="26">
        <v>46108</v>
      </c>
      <c r="C126" s="26">
        <v>46113</v>
      </c>
      <c r="D126" s="25">
        <v>3319</v>
      </c>
      <c r="E126" s="25">
        <v>327</v>
      </c>
      <c r="F126" s="25">
        <v>2</v>
      </c>
      <c r="G126" s="28">
        <v>1</v>
      </c>
      <c r="H126" s="28">
        <v>81433</v>
      </c>
      <c r="I126" s="28" t="s">
        <v>17</v>
      </c>
      <c r="J126" s="28">
        <v>45335262</v>
      </c>
      <c r="K126" s="28" t="s">
        <v>2263</v>
      </c>
      <c r="L126" t="s">
        <v>2278</v>
      </c>
      <c r="M126" s="39">
        <v>279900</v>
      </c>
      <c r="N126" s="29" t="s">
        <v>2826</v>
      </c>
      <c r="O126" s="36" t="s">
        <v>3218</v>
      </c>
      <c r="P126" s="28" t="s">
        <v>2826</v>
      </c>
    </row>
    <row r="127" spans="1:16" x14ac:dyDescent="0.3">
      <c r="A127" s="25" t="s">
        <v>3219</v>
      </c>
      <c r="B127" s="26">
        <v>46108</v>
      </c>
      <c r="C127" s="26">
        <v>46113</v>
      </c>
      <c r="D127" s="25">
        <v>3319</v>
      </c>
      <c r="E127" s="25">
        <v>327</v>
      </c>
      <c r="F127" s="25">
        <v>2</v>
      </c>
      <c r="G127" s="28">
        <v>1</v>
      </c>
      <c r="H127" s="28">
        <v>81778</v>
      </c>
      <c r="I127" s="28" t="s">
        <v>17</v>
      </c>
      <c r="J127" s="28">
        <v>22704496</v>
      </c>
      <c r="K127" s="28" t="s">
        <v>2499</v>
      </c>
      <c r="L127" t="s">
        <v>2500</v>
      </c>
      <c r="M127" s="39">
        <v>279900</v>
      </c>
      <c r="N127" s="29" t="s">
        <v>2826</v>
      </c>
      <c r="O127" s="36" t="s">
        <v>3218</v>
      </c>
      <c r="P127" s="28" t="s">
        <v>2826</v>
      </c>
    </row>
    <row r="128" spans="1:16" x14ac:dyDescent="0.3">
      <c r="A128" s="25" t="s">
        <v>3219</v>
      </c>
      <c r="B128" s="26">
        <v>46108</v>
      </c>
      <c r="C128" s="26">
        <v>46113</v>
      </c>
      <c r="D128" s="25">
        <v>3319</v>
      </c>
      <c r="E128" s="25">
        <v>327</v>
      </c>
      <c r="F128" s="25">
        <v>2</v>
      </c>
      <c r="G128" s="28">
        <v>1</v>
      </c>
      <c r="H128" s="28">
        <v>81778</v>
      </c>
      <c r="I128" s="28" t="s">
        <v>17</v>
      </c>
      <c r="J128" s="28">
        <v>22704503</v>
      </c>
      <c r="K128" s="28" t="s">
        <v>2499</v>
      </c>
      <c r="L128" t="s">
        <v>2501</v>
      </c>
      <c r="M128" s="39">
        <v>279900</v>
      </c>
      <c r="N128" s="29" t="s">
        <v>2826</v>
      </c>
      <c r="O128" s="36" t="s">
        <v>3218</v>
      </c>
      <c r="P128" s="28" t="s">
        <v>2826</v>
      </c>
    </row>
    <row r="129" spans="1:16" x14ac:dyDescent="0.3">
      <c r="A129" s="25" t="s">
        <v>3219</v>
      </c>
      <c r="B129" s="26">
        <v>46108</v>
      </c>
      <c r="C129" s="26">
        <v>46113</v>
      </c>
      <c r="D129" s="25">
        <v>3319</v>
      </c>
      <c r="E129" s="25">
        <v>327</v>
      </c>
      <c r="F129" s="25">
        <v>2</v>
      </c>
      <c r="G129" s="28">
        <v>1</v>
      </c>
      <c r="H129" s="28">
        <v>81778</v>
      </c>
      <c r="I129" s="28" t="s">
        <v>17</v>
      </c>
      <c r="J129" s="28">
        <v>22704469</v>
      </c>
      <c r="K129" s="28" t="s">
        <v>2499</v>
      </c>
      <c r="L129" t="s">
        <v>2507</v>
      </c>
      <c r="M129" s="39">
        <v>279900</v>
      </c>
      <c r="N129" s="29" t="s">
        <v>2826</v>
      </c>
      <c r="O129" s="36" t="s">
        <v>3218</v>
      </c>
      <c r="P129" s="28" t="s">
        <v>2826</v>
      </c>
    </row>
    <row r="130" spans="1:16" x14ac:dyDescent="0.3">
      <c r="A130" s="25" t="s">
        <v>3219</v>
      </c>
      <c r="B130" s="26">
        <v>46108</v>
      </c>
      <c r="C130" s="26">
        <v>46113</v>
      </c>
      <c r="D130" s="25">
        <v>3319</v>
      </c>
      <c r="E130" s="25">
        <v>327</v>
      </c>
      <c r="F130" s="25">
        <v>2</v>
      </c>
      <c r="G130" s="28">
        <v>1</v>
      </c>
      <c r="H130" s="28">
        <v>81778</v>
      </c>
      <c r="I130" s="28" t="s">
        <v>17</v>
      </c>
      <c r="J130" s="28">
        <v>22704478</v>
      </c>
      <c r="K130" s="28" t="s">
        <v>2499</v>
      </c>
      <c r="L130" t="s">
        <v>2508</v>
      </c>
      <c r="M130" s="39">
        <v>279900</v>
      </c>
      <c r="N130" s="29" t="s">
        <v>2826</v>
      </c>
      <c r="O130" s="36" t="s">
        <v>3218</v>
      </c>
      <c r="P130" s="28" t="s">
        <v>2826</v>
      </c>
    </row>
    <row r="131" spans="1:16" x14ac:dyDescent="0.3">
      <c r="A131" s="25" t="s">
        <v>3219</v>
      </c>
      <c r="B131" s="26">
        <v>46108</v>
      </c>
      <c r="C131" s="26">
        <v>46113</v>
      </c>
      <c r="D131" s="25">
        <v>3319</v>
      </c>
      <c r="E131" s="25">
        <v>327</v>
      </c>
      <c r="F131" s="25">
        <v>2</v>
      </c>
      <c r="G131" s="28">
        <v>1</v>
      </c>
      <c r="H131" s="28">
        <v>81778</v>
      </c>
      <c r="I131" s="28" t="s">
        <v>17</v>
      </c>
      <c r="J131" s="28">
        <v>22704487</v>
      </c>
      <c r="K131" s="28" t="s">
        <v>2499</v>
      </c>
      <c r="L131" t="s">
        <v>2509</v>
      </c>
      <c r="M131" s="39">
        <v>279900</v>
      </c>
      <c r="N131" s="29" t="s">
        <v>2826</v>
      </c>
      <c r="O131" s="36" t="s">
        <v>3218</v>
      </c>
      <c r="P131" s="28" t="s">
        <v>2826</v>
      </c>
    </row>
    <row r="132" spans="1:16" x14ac:dyDescent="0.3">
      <c r="A132" s="25" t="s">
        <v>3219</v>
      </c>
      <c r="B132" s="26">
        <v>46108</v>
      </c>
      <c r="C132" s="26">
        <v>46113</v>
      </c>
      <c r="D132" s="25">
        <v>3319</v>
      </c>
      <c r="E132" s="25">
        <v>327</v>
      </c>
      <c r="F132" s="25">
        <v>2</v>
      </c>
      <c r="G132" s="28">
        <v>1</v>
      </c>
      <c r="H132" s="28">
        <v>81433</v>
      </c>
      <c r="I132" s="28" t="s">
        <v>17</v>
      </c>
      <c r="J132" s="28">
        <v>22153493</v>
      </c>
      <c r="K132" s="28" t="s">
        <v>2814</v>
      </c>
      <c r="L132" t="s">
        <v>2815</v>
      </c>
      <c r="M132" s="37">
        <v>279900</v>
      </c>
      <c r="N132" s="29" t="s">
        <v>2826</v>
      </c>
      <c r="O132" s="36" t="s">
        <v>3218</v>
      </c>
      <c r="P132" s="28" t="s">
        <v>2826</v>
      </c>
    </row>
    <row r="133" spans="1:16" x14ac:dyDescent="0.3">
      <c r="A133" s="25" t="s">
        <v>3219</v>
      </c>
      <c r="B133" s="26">
        <v>46108</v>
      </c>
      <c r="C133" s="26">
        <v>46113</v>
      </c>
      <c r="D133" s="25">
        <v>3319</v>
      </c>
      <c r="E133" s="25">
        <v>327</v>
      </c>
      <c r="F133" s="25">
        <v>2</v>
      </c>
      <c r="G133" s="28">
        <v>1</v>
      </c>
      <c r="H133" s="28">
        <v>81433</v>
      </c>
      <c r="I133" s="28" t="s">
        <v>17</v>
      </c>
      <c r="J133" s="28">
        <v>22153500</v>
      </c>
      <c r="K133" s="28" t="s">
        <v>2814</v>
      </c>
      <c r="L133" t="s">
        <v>2816</v>
      </c>
      <c r="M133" s="37">
        <v>279900</v>
      </c>
      <c r="N133" s="29" t="s">
        <v>2826</v>
      </c>
      <c r="O133" s="36" t="s">
        <v>3218</v>
      </c>
      <c r="P133" s="28" t="s">
        <v>2826</v>
      </c>
    </row>
    <row r="134" spans="1:16" x14ac:dyDescent="0.3">
      <c r="A134" s="25" t="s">
        <v>3219</v>
      </c>
      <c r="B134" s="26">
        <v>46108</v>
      </c>
      <c r="C134" s="26">
        <v>46113</v>
      </c>
      <c r="D134" s="25">
        <v>3319</v>
      </c>
      <c r="E134" s="25">
        <v>327</v>
      </c>
      <c r="F134" s="25">
        <v>2</v>
      </c>
      <c r="G134" s="28">
        <v>1</v>
      </c>
      <c r="H134" s="28">
        <v>81433</v>
      </c>
      <c r="I134" s="28" t="s">
        <v>17</v>
      </c>
      <c r="J134" s="28">
        <v>22153519</v>
      </c>
      <c r="K134" s="28" t="s">
        <v>2814</v>
      </c>
      <c r="L134" t="s">
        <v>2817</v>
      </c>
      <c r="M134" s="37">
        <v>279900</v>
      </c>
      <c r="N134" s="29" t="s">
        <v>2826</v>
      </c>
      <c r="O134" s="36" t="s">
        <v>3218</v>
      </c>
      <c r="P134" s="28" t="s">
        <v>2826</v>
      </c>
    </row>
    <row r="135" spans="1:16" x14ac:dyDescent="0.3">
      <c r="A135" s="25" t="s">
        <v>3219</v>
      </c>
      <c r="B135" s="26">
        <v>46108</v>
      </c>
      <c r="C135" s="26">
        <v>46113</v>
      </c>
      <c r="D135" s="25">
        <v>3319</v>
      </c>
      <c r="E135" s="25">
        <v>327</v>
      </c>
      <c r="F135" s="25">
        <v>2</v>
      </c>
      <c r="G135" s="28">
        <v>1</v>
      </c>
      <c r="H135" s="28">
        <v>81433</v>
      </c>
      <c r="I135" s="28" t="s">
        <v>17</v>
      </c>
      <c r="J135" s="28">
        <v>22153528</v>
      </c>
      <c r="K135" s="28" t="s">
        <v>2814</v>
      </c>
      <c r="L135" t="s">
        <v>2818</v>
      </c>
      <c r="M135" s="37">
        <v>279900</v>
      </c>
      <c r="N135" s="29" t="s">
        <v>2826</v>
      </c>
      <c r="O135" s="36" t="s">
        <v>3218</v>
      </c>
      <c r="P135" s="28" t="s">
        <v>2826</v>
      </c>
    </row>
    <row r="136" spans="1:16" x14ac:dyDescent="0.3">
      <c r="A136" s="25" t="s">
        <v>3219</v>
      </c>
      <c r="B136" s="26">
        <v>46108</v>
      </c>
      <c r="C136" s="26">
        <v>46113</v>
      </c>
      <c r="D136" s="25">
        <v>3319</v>
      </c>
      <c r="E136" s="25">
        <v>327</v>
      </c>
      <c r="F136" s="25">
        <v>2</v>
      </c>
      <c r="G136" s="28">
        <v>1</v>
      </c>
      <c r="H136" s="28">
        <v>81433</v>
      </c>
      <c r="I136" s="28" t="s">
        <v>17</v>
      </c>
      <c r="J136" s="28">
        <v>22153537</v>
      </c>
      <c r="K136" s="28" t="s">
        <v>2814</v>
      </c>
      <c r="L136" t="s">
        <v>2819</v>
      </c>
      <c r="M136" s="37">
        <v>279900</v>
      </c>
      <c r="N136" s="29" t="s">
        <v>2826</v>
      </c>
      <c r="O136" s="36" t="s">
        <v>3218</v>
      </c>
      <c r="P136" s="28" t="s">
        <v>2826</v>
      </c>
    </row>
    <row r="137" spans="1:16" x14ac:dyDescent="0.3">
      <c r="A137" s="25" t="s">
        <v>3219</v>
      </c>
      <c r="B137" s="26">
        <v>46108</v>
      </c>
      <c r="C137" s="26">
        <v>46113</v>
      </c>
      <c r="D137" s="25">
        <v>3319</v>
      </c>
      <c r="E137" s="25">
        <v>327</v>
      </c>
      <c r="F137" s="25">
        <v>2</v>
      </c>
      <c r="G137" s="28">
        <v>1</v>
      </c>
      <c r="H137" s="28">
        <v>81433</v>
      </c>
      <c r="I137" s="28" t="s">
        <v>17</v>
      </c>
      <c r="J137" s="28">
        <v>22153644</v>
      </c>
      <c r="K137" s="28" t="s">
        <v>2820</v>
      </c>
      <c r="L137" t="s">
        <v>2821</v>
      </c>
      <c r="M137" s="37">
        <v>279900</v>
      </c>
      <c r="N137" s="29" t="s">
        <v>2826</v>
      </c>
      <c r="O137" s="36" t="s">
        <v>3218</v>
      </c>
      <c r="P137" s="28" t="s">
        <v>2826</v>
      </c>
    </row>
    <row r="138" spans="1:16" x14ac:dyDescent="0.3">
      <c r="A138" s="25" t="s">
        <v>3219</v>
      </c>
      <c r="B138" s="26">
        <v>46108</v>
      </c>
      <c r="C138" s="26">
        <v>46113</v>
      </c>
      <c r="D138" s="25">
        <v>3319</v>
      </c>
      <c r="E138" s="25">
        <v>327</v>
      </c>
      <c r="F138" s="25">
        <v>2</v>
      </c>
      <c r="G138" s="28">
        <v>1</v>
      </c>
      <c r="H138" s="28">
        <v>81433</v>
      </c>
      <c r="I138" s="28" t="s">
        <v>17</v>
      </c>
      <c r="J138" s="28">
        <v>22153653</v>
      </c>
      <c r="K138" s="28" t="s">
        <v>2820</v>
      </c>
      <c r="L138" t="s">
        <v>2822</v>
      </c>
      <c r="M138" s="37">
        <v>279900</v>
      </c>
      <c r="N138" s="29" t="s">
        <v>2826</v>
      </c>
      <c r="O138" s="36" t="s">
        <v>3218</v>
      </c>
      <c r="P138" s="28" t="s">
        <v>2826</v>
      </c>
    </row>
    <row r="139" spans="1:16" x14ac:dyDescent="0.3">
      <c r="A139" s="25" t="s">
        <v>3219</v>
      </c>
      <c r="B139" s="26">
        <v>46108</v>
      </c>
      <c r="C139" s="26">
        <v>46113</v>
      </c>
      <c r="D139" s="25">
        <v>3319</v>
      </c>
      <c r="E139" s="25">
        <v>327</v>
      </c>
      <c r="F139" s="25">
        <v>2</v>
      </c>
      <c r="G139" s="28">
        <v>1</v>
      </c>
      <c r="H139" s="28">
        <v>81433</v>
      </c>
      <c r="I139" s="28" t="s">
        <v>17</v>
      </c>
      <c r="J139" s="28">
        <v>22153662</v>
      </c>
      <c r="K139" s="28" t="s">
        <v>2820</v>
      </c>
      <c r="L139" t="s">
        <v>2823</v>
      </c>
      <c r="M139" s="37">
        <v>279900</v>
      </c>
      <c r="N139" s="29" t="s">
        <v>2826</v>
      </c>
      <c r="O139" s="36" t="s">
        <v>3218</v>
      </c>
      <c r="P139" s="28" t="s">
        <v>2826</v>
      </c>
    </row>
    <row r="140" spans="1:16" x14ac:dyDescent="0.3">
      <c r="A140" s="25" t="s">
        <v>3219</v>
      </c>
      <c r="B140" s="26">
        <v>46108</v>
      </c>
      <c r="C140" s="26">
        <v>46113</v>
      </c>
      <c r="D140" s="25">
        <v>3319</v>
      </c>
      <c r="E140" s="25">
        <v>327</v>
      </c>
      <c r="F140" s="25">
        <v>2</v>
      </c>
      <c r="G140" s="28">
        <v>1</v>
      </c>
      <c r="H140" s="28">
        <v>81433</v>
      </c>
      <c r="I140" s="28" t="s">
        <v>17</v>
      </c>
      <c r="J140" s="28">
        <v>22153671</v>
      </c>
      <c r="K140" s="28" t="s">
        <v>2820</v>
      </c>
      <c r="L140" t="s">
        <v>2824</v>
      </c>
      <c r="M140" s="37">
        <v>279900</v>
      </c>
      <c r="N140" s="29" t="s">
        <v>2826</v>
      </c>
      <c r="O140" s="36" t="s">
        <v>3218</v>
      </c>
      <c r="P140" s="28" t="s">
        <v>2826</v>
      </c>
    </row>
    <row r="141" spans="1:16" x14ac:dyDescent="0.3">
      <c r="A141" s="25" t="s">
        <v>3219</v>
      </c>
      <c r="B141" s="26">
        <v>46108</v>
      </c>
      <c r="C141" s="26">
        <v>46113</v>
      </c>
      <c r="D141" s="25">
        <v>3319</v>
      </c>
      <c r="E141" s="25">
        <v>327</v>
      </c>
      <c r="F141" s="25">
        <v>2</v>
      </c>
      <c r="G141" s="28">
        <v>1</v>
      </c>
      <c r="H141" s="28">
        <v>81433</v>
      </c>
      <c r="I141" s="28" t="s">
        <v>17</v>
      </c>
      <c r="J141" s="28">
        <v>22153680</v>
      </c>
      <c r="K141" s="28" t="s">
        <v>2820</v>
      </c>
      <c r="L141" t="s">
        <v>2825</v>
      </c>
      <c r="M141" s="37">
        <v>279900</v>
      </c>
      <c r="N141" s="29" t="s">
        <v>2826</v>
      </c>
      <c r="O141" s="36" t="s">
        <v>3218</v>
      </c>
      <c r="P141" s="28" t="s">
        <v>2826</v>
      </c>
    </row>
    <row r="142" spans="1:16" x14ac:dyDescent="0.3">
      <c r="A142" s="25" t="s">
        <v>3219</v>
      </c>
      <c r="B142" s="26">
        <v>46108</v>
      </c>
      <c r="C142" s="26">
        <v>46113</v>
      </c>
      <c r="D142" s="6">
        <v>3319</v>
      </c>
      <c r="E142" s="6">
        <v>327</v>
      </c>
      <c r="F142" s="25">
        <v>2</v>
      </c>
      <c r="G142" s="28">
        <v>1</v>
      </c>
      <c r="H142" s="28">
        <v>81433</v>
      </c>
      <c r="I142" s="28" t="s">
        <v>17</v>
      </c>
      <c r="J142" s="28">
        <v>24337773</v>
      </c>
      <c r="K142" s="28" t="s">
        <v>2402</v>
      </c>
      <c r="L142" t="s">
        <v>2403</v>
      </c>
      <c r="M142" s="39">
        <v>279900</v>
      </c>
      <c r="N142" s="29" t="s">
        <v>2826</v>
      </c>
      <c r="O142" s="36" t="s">
        <v>3218</v>
      </c>
      <c r="P142" s="28" t="s">
        <v>2826</v>
      </c>
    </row>
    <row r="143" spans="1:16" x14ac:dyDescent="0.3">
      <c r="A143" s="25" t="s">
        <v>3219</v>
      </c>
      <c r="B143" s="26">
        <v>46108</v>
      </c>
      <c r="C143" s="26">
        <v>46113</v>
      </c>
      <c r="D143" s="6">
        <v>3319</v>
      </c>
      <c r="E143" s="6">
        <v>327</v>
      </c>
      <c r="F143" s="25">
        <v>2</v>
      </c>
      <c r="G143" s="28">
        <v>1</v>
      </c>
      <c r="H143" s="28">
        <v>81433</v>
      </c>
      <c r="I143" s="28" t="s">
        <v>17</v>
      </c>
      <c r="J143" s="28">
        <v>24337620</v>
      </c>
      <c r="K143" s="28" t="s">
        <v>2402</v>
      </c>
      <c r="L143" t="s">
        <v>2404</v>
      </c>
      <c r="M143" s="39">
        <v>279900</v>
      </c>
      <c r="N143" s="29" t="s">
        <v>2826</v>
      </c>
      <c r="O143" s="36" t="s">
        <v>3218</v>
      </c>
      <c r="P143" s="28" t="s">
        <v>2826</v>
      </c>
    </row>
    <row r="144" spans="1:16" x14ac:dyDescent="0.3">
      <c r="A144" s="25" t="s">
        <v>3219</v>
      </c>
      <c r="B144" s="26">
        <v>46108</v>
      </c>
      <c r="C144" s="26">
        <v>46113</v>
      </c>
      <c r="D144" s="6">
        <v>3319</v>
      </c>
      <c r="E144" s="6">
        <v>327</v>
      </c>
      <c r="F144" s="25">
        <v>2</v>
      </c>
      <c r="G144" s="28">
        <v>1</v>
      </c>
      <c r="H144" s="28">
        <v>81433</v>
      </c>
      <c r="I144" s="28" t="s">
        <v>17</v>
      </c>
      <c r="J144" s="28">
        <v>24337639</v>
      </c>
      <c r="K144" s="28" t="s">
        <v>2402</v>
      </c>
      <c r="L144" t="s">
        <v>2405</v>
      </c>
      <c r="M144" s="39">
        <v>279900</v>
      </c>
      <c r="N144" s="29" t="s">
        <v>2826</v>
      </c>
      <c r="O144" s="36" t="s">
        <v>3218</v>
      </c>
      <c r="P144" s="28" t="s">
        <v>2826</v>
      </c>
    </row>
    <row r="145" spans="1:16" x14ac:dyDescent="0.3">
      <c r="A145" s="25" t="s">
        <v>3219</v>
      </c>
      <c r="B145" s="26">
        <v>46108</v>
      </c>
      <c r="C145" s="26">
        <v>46113</v>
      </c>
      <c r="D145" s="6">
        <v>3319</v>
      </c>
      <c r="E145" s="6">
        <v>327</v>
      </c>
      <c r="F145" s="25">
        <v>2</v>
      </c>
      <c r="G145" s="28">
        <v>1</v>
      </c>
      <c r="H145" s="28">
        <v>81433</v>
      </c>
      <c r="I145" s="28" t="s">
        <v>17</v>
      </c>
      <c r="J145" s="28">
        <v>24337648</v>
      </c>
      <c r="K145" s="28" t="s">
        <v>2402</v>
      </c>
      <c r="L145" t="s">
        <v>2406</v>
      </c>
      <c r="M145" s="39">
        <v>279900</v>
      </c>
      <c r="N145" s="29" t="s">
        <v>2826</v>
      </c>
      <c r="O145" s="36" t="s">
        <v>3218</v>
      </c>
      <c r="P145" s="28" t="s">
        <v>2826</v>
      </c>
    </row>
    <row r="146" spans="1:16" x14ac:dyDescent="0.3">
      <c r="A146" s="25" t="s">
        <v>3219</v>
      </c>
      <c r="B146" s="26">
        <v>46108</v>
      </c>
      <c r="C146" s="26">
        <v>46113</v>
      </c>
      <c r="D146" s="6">
        <v>3319</v>
      </c>
      <c r="E146" s="6">
        <v>327</v>
      </c>
      <c r="F146" s="25">
        <v>2</v>
      </c>
      <c r="G146" s="28">
        <v>1</v>
      </c>
      <c r="H146" s="28">
        <v>81433</v>
      </c>
      <c r="I146" s="28" t="s">
        <v>17</v>
      </c>
      <c r="J146" s="28">
        <v>24337737</v>
      </c>
      <c r="K146" s="28" t="s">
        <v>2402</v>
      </c>
      <c r="L146" t="s">
        <v>2407</v>
      </c>
      <c r="M146" s="39">
        <v>279900</v>
      </c>
      <c r="N146" s="29" t="s">
        <v>2826</v>
      </c>
      <c r="O146" s="36" t="s">
        <v>3218</v>
      </c>
      <c r="P146" s="28" t="s">
        <v>2826</v>
      </c>
    </row>
    <row r="147" spans="1:16" x14ac:dyDescent="0.3">
      <c r="A147" s="25" t="s">
        <v>3219</v>
      </c>
      <c r="B147" s="26">
        <v>46108</v>
      </c>
      <c r="C147" s="26">
        <v>46113</v>
      </c>
      <c r="D147" s="6">
        <v>3319</v>
      </c>
      <c r="E147" s="6">
        <v>327</v>
      </c>
      <c r="F147" s="25">
        <v>2</v>
      </c>
      <c r="G147" s="28">
        <v>1</v>
      </c>
      <c r="H147" s="28">
        <v>81433</v>
      </c>
      <c r="I147" s="28" t="s">
        <v>17</v>
      </c>
      <c r="J147" s="28">
        <v>24337746</v>
      </c>
      <c r="K147" s="28" t="s">
        <v>2402</v>
      </c>
      <c r="L147" t="s">
        <v>2408</v>
      </c>
      <c r="M147" s="39">
        <v>279900</v>
      </c>
      <c r="N147" s="29" t="s">
        <v>2826</v>
      </c>
      <c r="O147" s="36" t="s">
        <v>3218</v>
      </c>
      <c r="P147" s="28" t="s">
        <v>2826</v>
      </c>
    </row>
    <row r="148" spans="1:16" x14ac:dyDescent="0.3">
      <c r="A148" s="25" t="s">
        <v>3219</v>
      </c>
      <c r="B148" s="26">
        <v>46108</v>
      </c>
      <c r="C148" s="26">
        <v>46113</v>
      </c>
      <c r="D148" s="6">
        <v>3319</v>
      </c>
      <c r="E148" s="6">
        <v>327</v>
      </c>
      <c r="F148" s="25">
        <v>2</v>
      </c>
      <c r="G148" s="28">
        <v>1</v>
      </c>
      <c r="H148" s="28">
        <v>81433</v>
      </c>
      <c r="I148" s="28" t="s">
        <v>17</v>
      </c>
      <c r="J148" s="28">
        <v>24337755</v>
      </c>
      <c r="K148" s="28" t="s">
        <v>2402</v>
      </c>
      <c r="L148" t="s">
        <v>2409</v>
      </c>
      <c r="M148" s="39">
        <v>279900</v>
      </c>
      <c r="N148" s="29" t="s">
        <v>2826</v>
      </c>
      <c r="O148" s="36" t="s">
        <v>3218</v>
      </c>
      <c r="P148" s="28" t="s">
        <v>2826</v>
      </c>
    </row>
    <row r="149" spans="1:16" x14ac:dyDescent="0.3">
      <c r="A149" s="25" t="s">
        <v>3219</v>
      </c>
      <c r="B149" s="26">
        <v>46108</v>
      </c>
      <c r="C149" s="26">
        <v>46113</v>
      </c>
      <c r="D149" s="6">
        <v>3319</v>
      </c>
      <c r="E149" s="6">
        <v>327</v>
      </c>
      <c r="F149" s="25">
        <v>2</v>
      </c>
      <c r="G149" s="28">
        <v>1</v>
      </c>
      <c r="H149" s="28">
        <v>81433</v>
      </c>
      <c r="I149" s="28" t="s">
        <v>17</v>
      </c>
      <c r="J149" s="28">
        <v>24337764</v>
      </c>
      <c r="K149" s="28" t="s">
        <v>2402</v>
      </c>
      <c r="L149" t="s">
        <v>2410</v>
      </c>
      <c r="M149" s="39">
        <v>279900</v>
      </c>
      <c r="N149" s="29" t="s">
        <v>2826</v>
      </c>
      <c r="O149" s="36" t="s">
        <v>3218</v>
      </c>
      <c r="P149" s="28" t="s">
        <v>2826</v>
      </c>
    </row>
    <row r="150" spans="1:16" x14ac:dyDescent="0.3">
      <c r="A150" s="25" t="s">
        <v>3219</v>
      </c>
      <c r="B150" s="26">
        <v>46108</v>
      </c>
      <c r="C150" s="26">
        <v>46113</v>
      </c>
      <c r="D150" s="6">
        <v>3319</v>
      </c>
      <c r="E150" s="6">
        <v>327</v>
      </c>
      <c r="F150" s="25">
        <v>2</v>
      </c>
      <c r="G150" s="28">
        <v>1</v>
      </c>
      <c r="H150" s="28">
        <v>81433</v>
      </c>
      <c r="I150" s="28" t="s">
        <v>17</v>
      </c>
      <c r="J150" s="28">
        <v>24337602</v>
      </c>
      <c r="K150" s="28" t="s">
        <v>2402</v>
      </c>
      <c r="L150" t="s">
        <v>2411</v>
      </c>
      <c r="M150" s="39">
        <v>279900</v>
      </c>
      <c r="N150" s="29" t="s">
        <v>2826</v>
      </c>
      <c r="O150" s="36" t="s">
        <v>3218</v>
      </c>
      <c r="P150" s="28" t="s">
        <v>2826</v>
      </c>
    </row>
    <row r="151" spans="1:16" x14ac:dyDescent="0.3">
      <c r="A151" s="25" t="s">
        <v>3219</v>
      </c>
      <c r="B151" s="26">
        <v>46108</v>
      </c>
      <c r="C151" s="26">
        <v>46113</v>
      </c>
      <c r="D151" s="6">
        <v>3319</v>
      </c>
      <c r="E151" s="6">
        <v>327</v>
      </c>
      <c r="F151" s="25">
        <v>2</v>
      </c>
      <c r="G151" s="28">
        <v>1</v>
      </c>
      <c r="H151" s="28">
        <v>81433</v>
      </c>
      <c r="I151" s="28" t="s">
        <v>17</v>
      </c>
      <c r="J151" s="28">
        <v>24337611</v>
      </c>
      <c r="K151" s="28" t="s">
        <v>2402</v>
      </c>
      <c r="L151" t="s">
        <v>2412</v>
      </c>
      <c r="M151" s="39">
        <v>279900</v>
      </c>
      <c r="N151" s="29" t="s">
        <v>2826</v>
      </c>
      <c r="O151" s="36" t="s">
        <v>3218</v>
      </c>
      <c r="P151" s="28" t="s">
        <v>2826</v>
      </c>
    </row>
    <row r="152" spans="1:16" x14ac:dyDescent="0.3">
      <c r="A152" s="25" t="s">
        <v>3219</v>
      </c>
      <c r="B152" s="26">
        <v>46108</v>
      </c>
      <c r="C152" s="26">
        <v>46113</v>
      </c>
      <c r="D152" s="6">
        <v>3319</v>
      </c>
      <c r="E152" s="6">
        <v>327</v>
      </c>
      <c r="F152" s="25">
        <v>2</v>
      </c>
      <c r="G152" s="28">
        <v>1</v>
      </c>
      <c r="H152" s="28">
        <v>81433</v>
      </c>
      <c r="I152" s="28" t="s">
        <v>17</v>
      </c>
      <c r="J152" s="28">
        <v>24338683</v>
      </c>
      <c r="K152" s="28" t="s">
        <v>2466</v>
      </c>
      <c r="L152" t="s">
        <v>2467</v>
      </c>
      <c r="M152" s="39">
        <v>279900</v>
      </c>
      <c r="N152" s="29" t="s">
        <v>2826</v>
      </c>
      <c r="O152" s="36" t="s">
        <v>3218</v>
      </c>
      <c r="P152" s="28" t="s">
        <v>2826</v>
      </c>
    </row>
    <row r="153" spans="1:16" x14ac:dyDescent="0.3">
      <c r="A153" s="25" t="s">
        <v>3219</v>
      </c>
      <c r="B153" s="26">
        <v>46108</v>
      </c>
      <c r="C153" s="26">
        <v>46113</v>
      </c>
      <c r="D153" s="6">
        <v>3319</v>
      </c>
      <c r="E153" s="6">
        <v>327</v>
      </c>
      <c r="F153" s="25">
        <v>2</v>
      </c>
      <c r="G153" s="28">
        <v>1</v>
      </c>
      <c r="H153" s="28">
        <v>81433</v>
      </c>
      <c r="I153" s="28" t="s">
        <v>17</v>
      </c>
      <c r="J153" s="28">
        <v>24338558</v>
      </c>
      <c r="K153" s="28" t="s">
        <v>2466</v>
      </c>
      <c r="L153" t="s">
        <v>2468</v>
      </c>
      <c r="M153" s="39">
        <v>279900</v>
      </c>
      <c r="N153" s="29" t="s">
        <v>2826</v>
      </c>
      <c r="O153" s="36" t="s">
        <v>3218</v>
      </c>
      <c r="P153" s="28" t="s">
        <v>2826</v>
      </c>
    </row>
    <row r="154" spans="1:16" x14ac:dyDescent="0.3">
      <c r="A154" s="25" t="s">
        <v>3219</v>
      </c>
      <c r="B154" s="26">
        <v>46108</v>
      </c>
      <c r="C154" s="26">
        <v>46113</v>
      </c>
      <c r="D154" s="6">
        <v>3319</v>
      </c>
      <c r="E154" s="6">
        <v>327</v>
      </c>
      <c r="F154" s="25">
        <v>2</v>
      </c>
      <c r="G154" s="28">
        <v>1</v>
      </c>
      <c r="H154" s="28">
        <v>81433</v>
      </c>
      <c r="I154" s="28" t="s">
        <v>17</v>
      </c>
      <c r="J154" s="28">
        <v>24338567</v>
      </c>
      <c r="K154" s="28" t="s">
        <v>2466</v>
      </c>
      <c r="L154" t="s">
        <v>2469</v>
      </c>
      <c r="M154" s="39">
        <v>279900</v>
      </c>
      <c r="N154" s="29" t="s">
        <v>2826</v>
      </c>
      <c r="O154" s="36" t="s">
        <v>3218</v>
      </c>
      <c r="P154" s="28" t="s">
        <v>2826</v>
      </c>
    </row>
    <row r="155" spans="1:16" x14ac:dyDescent="0.3">
      <c r="A155" s="25" t="s">
        <v>3219</v>
      </c>
      <c r="B155" s="26">
        <v>46108</v>
      </c>
      <c r="C155" s="26">
        <v>46113</v>
      </c>
      <c r="D155" s="6">
        <v>3319</v>
      </c>
      <c r="E155" s="6">
        <v>327</v>
      </c>
      <c r="F155" s="25">
        <v>2</v>
      </c>
      <c r="G155" s="28">
        <v>1</v>
      </c>
      <c r="H155" s="28">
        <v>81433</v>
      </c>
      <c r="I155" s="28" t="s">
        <v>17</v>
      </c>
      <c r="J155" s="28">
        <v>24338576</v>
      </c>
      <c r="K155" s="28" t="s">
        <v>2466</v>
      </c>
      <c r="L155" t="s">
        <v>2470</v>
      </c>
      <c r="M155" s="39">
        <v>279900</v>
      </c>
      <c r="N155" s="29" t="s">
        <v>2826</v>
      </c>
      <c r="O155" s="36" t="s">
        <v>3218</v>
      </c>
      <c r="P155" s="28" t="s">
        <v>2826</v>
      </c>
    </row>
    <row r="156" spans="1:16" x14ac:dyDescent="0.3">
      <c r="A156" s="25" t="s">
        <v>3219</v>
      </c>
      <c r="B156" s="26">
        <v>46108</v>
      </c>
      <c r="C156" s="26">
        <v>46113</v>
      </c>
      <c r="D156" s="6">
        <v>3319</v>
      </c>
      <c r="E156" s="6">
        <v>327</v>
      </c>
      <c r="F156" s="25">
        <v>2</v>
      </c>
      <c r="G156" s="28">
        <v>1</v>
      </c>
      <c r="H156" s="28">
        <v>81433</v>
      </c>
      <c r="I156" s="28" t="s">
        <v>17</v>
      </c>
      <c r="J156" s="28">
        <v>24338585</v>
      </c>
      <c r="K156" s="28" t="s">
        <v>2466</v>
      </c>
      <c r="L156" t="s">
        <v>2471</v>
      </c>
      <c r="M156" s="39">
        <v>279900</v>
      </c>
      <c r="N156" s="29" t="s">
        <v>2826</v>
      </c>
      <c r="O156" s="36" t="s">
        <v>3218</v>
      </c>
      <c r="P156" s="28" t="s">
        <v>2826</v>
      </c>
    </row>
    <row r="157" spans="1:16" x14ac:dyDescent="0.3">
      <c r="A157" s="25" t="s">
        <v>3219</v>
      </c>
      <c r="B157" s="26">
        <v>46108</v>
      </c>
      <c r="C157" s="26">
        <v>46113</v>
      </c>
      <c r="D157" s="6">
        <v>3319</v>
      </c>
      <c r="E157" s="6">
        <v>327</v>
      </c>
      <c r="F157" s="25">
        <v>2</v>
      </c>
      <c r="G157" s="28">
        <v>1</v>
      </c>
      <c r="H157" s="28">
        <v>81433</v>
      </c>
      <c r="I157" s="28" t="s">
        <v>17</v>
      </c>
      <c r="J157" s="28">
        <v>24338594</v>
      </c>
      <c r="K157" s="28" t="s">
        <v>2466</v>
      </c>
      <c r="L157" t="s">
        <v>2472</v>
      </c>
      <c r="M157" s="39">
        <v>279900</v>
      </c>
      <c r="N157" s="29" t="s">
        <v>2826</v>
      </c>
      <c r="O157" s="36" t="s">
        <v>3218</v>
      </c>
      <c r="P157" s="28" t="s">
        <v>2826</v>
      </c>
    </row>
    <row r="158" spans="1:16" x14ac:dyDescent="0.3">
      <c r="A158" s="25" t="s">
        <v>3219</v>
      </c>
      <c r="B158" s="26">
        <v>46108</v>
      </c>
      <c r="C158" s="26">
        <v>46113</v>
      </c>
      <c r="D158" s="6">
        <v>3319</v>
      </c>
      <c r="E158" s="6">
        <v>327</v>
      </c>
      <c r="F158" s="25">
        <v>2</v>
      </c>
      <c r="G158" s="28">
        <v>1</v>
      </c>
      <c r="H158" s="28">
        <v>81433</v>
      </c>
      <c r="I158" s="28" t="s">
        <v>17</v>
      </c>
      <c r="J158" s="28">
        <v>24338601</v>
      </c>
      <c r="K158" s="28" t="s">
        <v>2466</v>
      </c>
      <c r="L158" t="s">
        <v>2473</v>
      </c>
      <c r="M158" s="39">
        <v>279900</v>
      </c>
      <c r="N158" s="29" t="s">
        <v>2826</v>
      </c>
      <c r="O158" s="36" t="s">
        <v>3218</v>
      </c>
      <c r="P158" s="28" t="s">
        <v>2826</v>
      </c>
    </row>
    <row r="159" spans="1:16" x14ac:dyDescent="0.3">
      <c r="A159" s="25" t="s">
        <v>3219</v>
      </c>
      <c r="B159" s="26">
        <v>46108</v>
      </c>
      <c r="C159" s="26">
        <v>46113</v>
      </c>
      <c r="D159" s="6">
        <v>3319</v>
      </c>
      <c r="E159" s="6">
        <v>327</v>
      </c>
      <c r="F159" s="25">
        <v>2</v>
      </c>
      <c r="G159" s="28">
        <v>1</v>
      </c>
      <c r="H159" s="28">
        <v>81433</v>
      </c>
      <c r="I159" s="28" t="s">
        <v>17</v>
      </c>
      <c r="J159" s="28">
        <v>24338656</v>
      </c>
      <c r="K159" s="28" t="s">
        <v>2466</v>
      </c>
      <c r="L159" t="s">
        <v>2474</v>
      </c>
      <c r="M159" s="39">
        <v>279900</v>
      </c>
      <c r="N159" s="29" t="s">
        <v>2826</v>
      </c>
      <c r="O159" s="36" t="s">
        <v>3218</v>
      </c>
      <c r="P159" s="28" t="s">
        <v>2826</v>
      </c>
    </row>
    <row r="160" spans="1:16" x14ac:dyDescent="0.3">
      <c r="A160" s="25" t="s">
        <v>3219</v>
      </c>
      <c r="B160" s="26">
        <v>46108</v>
      </c>
      <c r="C160" s="26">
        <v>46113</v>
      </c>
      <c r="D160" s="6">
        <v>3319</v>
      </c>
      <c r="E160" s="6">
        <v>327</v>
      </c>
      <c r="F160" s="25">
        <v>2</v>
      </c>
      <c r="G160" s="28">
        <v>1</v>
      </c>
      <c r="H160" s="28">
        <v>81433</v>
      </c>
      <c r="I160" s="28" t="s">
        <v>17</v>
      </c>
      <c r="J160" s="28">
        <v>24338665</v>
      </c>
      <c r="K160" s="28" t="s">
        <v>2466</v>
      </c>
      <c r="L160" t="s">
        <v>2475</v>
      </c>
      <c r="M160" s="39">
        <v>279900</v>
      </c>
      <c r="N160" s="29" t="s">
        <v>2826</v>
      </c>
      <c r="O160" s="36" t="s">
        <v>3218</v>
      </c>
      <c r="P160" s="28" t="s">
        <v>2826</v>
      </c>
    </row>
    <row r="161" spans="1:16" x14ac:dyDescent="0.3">
      <c r="A161" s="25" t="s">
        <v>3219</v>
      </c>
      <c r="B161" s="26">
        <v>46108</v>
      </c>
      <c r="C161" s="26">
        <v>46113</v>
      </c>
      <c r="D161" s="6">
        <v>3319</v>
      </c>
      <c r="E161" s="6">
        <v>327</v>
      </c>
      <c r="F161" s="25">
        <v>2</v>
      </c>
      <c r="G161" s="28">
        <v>1</v>
      </c>
      <c r="H161" s="28">
        <v>81433</v>
      </c>
      <c r="I161" s="28" t="s">
        <v>17</v>
      </c>
      <c r="J161" s="28">
        <v>24338674</v>
      </c>
      <c r="K161" s="28" t="s">
        <v>2466</v>
      </c>
      <c r="L161" t="s">
        <v>2476</v>
      </c>
      <c r="M161" s="39">
        <v>279900</v>
      </c>
      <c r="N161" s="29" t="s">
        <v>2826</v>
      </c>
      <c r="O161" s="36" t="s">
        <v>3218</v>
      </c>
      <c r="P161" s="28" t="s">
        <v>2826</v>
      </c>
    </row>
    <row r="162" spans="1:16" x14ac:dyDescent="0.3">
      <c r="A162" s="25" t="s">
        <v>3219</v>
      </c>
      <c r="B162" s="26">
        <v>46108</v>
      </c>
      <c r="C162" s="26">
        <v>46113</v>
      </c>
      <c r="D162" s="6">
        <v>3319</v>
      </c>
      <c r="E162" s="6">
        <v>327</v>
      </c>
      <c r="F162" s="25">
        <v>2</v>
      </c>
      <c r="G162" s="28">
        <v>1</v>
      </c>
      <c r="H162" s="28">
        <v>81433</v>
      </c>
      <c r="I162" s="28" t="s">
        <v>17</v>
      </c>
      <c r="J162" s="28">
        <v>24335864</v>
      </c>
      <c r="K162" s="28" t="s">
        <v>2428</v>
      </c>
      <c r="L162" t="s">
        <v>2429</v>
      </c>
      <c r="M162" s="39">
        <v>279900</v>
      </c>
      <c r="N162" s="29" t="s">
        <v>2826</v>
      </c>
      <c r="O162" s="36" t="s">
        <v>3218</v>
      </c>
      <c r="P162" s="28" t="s">
        <v>2826</v>
      </c>
    </row>
    <row r="163" spans="1:16" x14ac:dyDescent="0.3">
      <c r="A163" s="25" t="s">
        <v>3219</v>
      </c>
      <c r="B163" s="26">
        <v>46108</v>
      </c>
      <c r="C163" s="26">
        <v>46113</v>
      </c>
      <c r="D163" s="6">
        <v>3319</v>
      </c>
      <c r="E163" s="6">
        <v>327</v>
      </c>
      <c r="F163" s="25">
        <v>2</v>
      </c>
      <c r="G163" s="28">
        <v>1</v>
      </c>
      <c r="H163" s="28">
        <v>81433</v>
      </c>
      <c r="I163" s="28" t="s">
        <v>17</v>
      </c>
      <c r="J163" s="28">
        <v>24335711</v>
      </c>
      <c r="K163" s="28" t="s">
        <v>2428</v>
      </c>
      <c r="L163" t="s">
        <v>2430</v>
      </c>
      <c r="M163" s="39">
        <v>279900</v>
      </c>
      <c r="N163" s="29" t="s">
        <v>2826</v>
      </c>
      <c r="O163" s="36" t="s">
        <v>3218</v>
      </c>
      <c r="P163" s="28" t="s">
        <v>2826</v>
      </c>
    </row>
    <row r="164" spans="1:16" x14ac:dyDescent="0.3">
      <c r="A164" s="25" t="s">
        <v>3219</v>
      </c>
      <c r="B164" s="26">
        <v>46108</v>
      </c>
      <c r="C164" s="26">
        <v>46113</v>
      </c>
      <c r="D164" s="6">
        <v>3319</v>
      </c>
      <c r="E164" s="6">
        <v>327</v>
      </c>
      <c r="F164" s="25">
        <v>2</v>
      </c>
      <c r="G164" s="28">
        <v>1</v>
      </c>
      <c r="H164" s="28">
        <v>81433</v>
      </c>
      <c r="I164" s="28" t="s">
        <v>17</v>
      </c>
      <c r="J164" s="28">
        <v>24335739</v>
      </c>
      <c r="K164" s="28" t="s">
        <v>2428</v>
      </c>
      <c r="L164" t="s">
        <v>2431</v>
      </c>
      <c r="M164" s="39">
        <v>279900</v>
      </c>
      <c r="N164" s="29" t="s">
        <v>2826</v>
      </c>
      <c r="O164" s="36" t="s">
        <v>3218</v>
      </c>
      <c r="P164" s="28" t="s">
        <v>2826</v>
      </c>
    </row>
    <row r="165" spans="1:16" x14ac:dyDescent="0.3">
      <c r="A165" s="25" t="s">
        <v>3219</v>
      </c>
      <c r="B165" s="26">
        <v>46108</v>
      </c>
      <c r="C165" s="26">
        <v>46113</v>
      </c>
      <c r="D165" s="6">
        <v>3319</v>
      </c>
      <c r="E165" s="6">
        <v>327</v>
      </c>
      <c r="F165" s="25">
        <v>2</v>
      </c>
      <c r="G165" s="28">
        <v>1</v>
      </c>
      <c r="H165" s="28">
        <v>81433</v>
      </c>
      <c r="I165" s="28" t="s">
        <v>17</v>
      </c>
      <c r="J165" s="28">
        <v>24335748</v>
      </c>
      <c r="K165" s="28" t="s">
        <v>2428</v>
      </c>
      <c r="L165" t="s">
        <v>2432</v>
      </c>
      <c r="M165" s="39">
        <v>279900</v>
      </c>
      <c r="N165" s="29" t="s">
        <v>2826</v>
      </c>
      <c r="O165" s="36" t="s">
        <v>3218</v>
      </c>
      <c r="P165" s="28" t="s">
        <v>2826</v>
      </c>
    </row>
    <row r="166" spans="1:16" x14ac:dyDescent="0.3">
      <c r="A166" s="25" t="s">
        <v>3219</v>
      </c>
      <c r="B166" s="26">
        <v>46108</v>
      </c>
      <c r="C166" s="26">
        <v>46113</v>
      </c>
      <c r="D166" s="6">
        <v>3319</v>
      </c>
      <c r="E166" s="6">
        <v>327</v>
      </c>
      <c r="F166" s="25">
        <v>2</v>
      </c>
      <c r="G166" s="28">
        <v>1</v>
      </c>
      <c r="H166" s="28">
        <v>81433</v>
      </c>
      <c r="I166" s="28" t="s">
        <v>17</v>
      </c>
      <c r="J166" s="28">
        <v>24335757</v>
      </c>
      <c r="K166" s="28" t="s">
        <v>2428</v>
      </c>
      <c r="L166" t="s">
        <v>2433</v>
      </c>
      <c r="M166" s="39">
        <v>279900</v>
      </c>
      <c r="N166" s="29" t="s">
        <v>2826</v>
      </c>
      <c r="O166" s="36" t="s">
        <v>3218</v>
      </c>
      <c r="P166" s="28" t="s">
        <v>2826</v>
      </c>
    </row>
    <row r="167" spans="1:16" x14ac:dyDescent="0.3">
      <c r="A167" s="25" t="s">
        <v>3219</v>
      </c>
      <c r="B167" s="26">
        <v>46108</v>
      </c>
      <c r="C167" s="26">
        <v>46113</v>
      </c>
      <c r="D167" s="6">
        <v>3319</v>
      </c>
      <c r="E167" s="6">
        <v>327</v>
      </c>
      <c r="F167" s="25">
        <v>2</v>
      </c>
      <c r="G167" s="28">
        <v>1</v>
      </c>
      <c r="H167" s="28">
        <v>81433</v>
      </c>
      <c r="I167" s="28" t="s">
        <v>17</v>
      </c>
      <c r="J167" s="28">
        <v>24335766</v>
      </c>
      <c r="K167" s="28" t="s">
        <v>2428</v>
      </c>
      <c r="L167" t="s">
        <v>2434</v>
      </c>
      <c r="M167" s="39">
        <v>279900</v>
      </c>
      <c r="N167" s="29" t="s">
        <v>2826</v>
      </c>
      <c r="O167" s="36" t="s">
        <v>3218</v>
      </c>
      <c r="P167" s="28" t="s">
        <v>2826</v>
      </c>
    </row>
    <row r="168" spans="1:16" x14ac:dyDescent="0.3">
      <c r="A168" s="25" t="s">
        <v>3219</v>
      </c>
      <c r="B168" s="26">
        <v>46108</v>
      </c>
      <c r="C168" s="26">
        <v>46113</v>
      </c>
      <c r="D168" s="6">
        <v>3319</v>
      </c>
      <c r="E168" s="6">
        <v>327</v>
      </c>
      <c r="F168" s="25">
        <v>2</v>
      </c>
      <c r="G168" s="28">
        <v>1</v>
      </c>
      <c r="H168" s="28">
        <v>81433</v>
      </c>
      <c r="I168" s="28" t="s">
        <v>17</v>
      </c>
      <c r="J168" s="28">
        <v>24335793</v>
      </c>
      <c r="K168" s="28" t="s">
        <v>2428</v>
      </c>
      <c r="L168" t="s">
        <v>2435</v>
      </c>
      <c r="M168" s="39">
        <v>279900</v>
      </c>
      <c r="N168" s="29" t="s">
        <v>2826</v>
      </c>
      <c r="O168" s="36" t="s">
        <v>3218</v>
      </c>
      <c r="P168" s="28" t="s">
        <v>2826</v>
      </c>
    </row>
    <row r="169" spans="1:16" x14ac:dyDescent="0.3">
      <c r="A169" s="25" t="s">
        <v>3219</v>
      </c>
      <c r="B169" s="26">
        <v>46108</v>
      </c>
      <c r="C169" s="26">
        <v>46113</v>
      </c>
      <c r="D169" s="6">
        <v>3319</v>
      </c>
      <c r="E169" s="6">
        <v>327</v>
      </c>
      <c r="F169" s="25">
        <v>2</v>
      </c>
      <c r="G169" s="28">
        <v>1</v>
      </c>
      <c r="H169" s="28">
        <v>81433</v>
      </c>
      <c r="I169" s="28" t="s">
        <v>17</v>
      </c>
      <c r="J169" s="28">
        <v>24335800</v>
      </c>
      <c r="K169" s="28" t="s">
        <v>2428</v>
      </c>
      <c r="L169" t="s">
        <v>2436</v>
      </c>
      <c r="M169" s="39">
        <v>279900</v>
      </c>
      <c r="N169" s="29" t="s">
        <v>2826</v>
      </c>
      <c r="O169" s="36" t="s">
        <v>3218</v>
      </c>
      <c r="P169" s="28" t="s">
        <v>2826</v>
      </c>
    </row>
    <row r="170" spans="1:16" x14ac:dyDescent="0.3">
      <c r="A170" s="25" t="s">
        <v>3219</v>
      </c>
      <c r="B170" s="26">
        <v>46108</v>
      </c>
      <c r="C170" s="26">
        <v>46113</v>
      </c>
      <c r="D170" s="6">
        <v>3319</v>
      </c>
      <c r="E170" s="6">
        <v>327</v>
      </c>
      <c r="F170" s="25">
        <v>2</v>
      </c>
      <c r="G170" s="28">
        <v>1</v>
      </c>
      <c r="H170" s="28">
        <v>81433</v>
      </c>
      <c r="I170" s="28" t="s">
        <v>17</v>
      </c>
      <c r="J170" s="28">
        <v>24335828</v>
      </c>
      <c r="K170" s="28" t="s">
        <v>2428</v>
      </c>
      <c r="L170" t="s">
        <v>2437</v>
      </c>
      <c r="M170" s="39">
        <v>279900</v>
      </c>
      <c r="N170" s="29" t="s">
        <v>2826</v>
      </c>
      <c r="O170" s="36" t="s">
        <v>3218</v>
      </c>
      <c r="P170" s="28" t="s">
        <v>2826</v>
      </c>
    </row>
    <row r="171" spans="1:16" x14ac:dyDescent="0.3">
      <c r="A171" s="25" t="s">
        <v>3219</v>
      </c>
      <c r="B171" s="26">
        <v>46108</v>
      </c>
      <c r="C171" s="26">
        <v>46113</v>
      </c>
      <c r="D171" s="6">
        <v>3319</v>
      </c>
      <c r="E171" s="6">
        <v>327</v>
      </c>
      <c r="F171" s="25">
        <v>2</v>
      </c>
      <c r="G171" s="28">
        <v>1</v>
      </c>
      <c r="H171" s="28">
        <v>81433</v>
      </c>
      <c r="I171" s="28" t="s">
        <v>17</v>
      </c>
      <c r="J171" s="28">
        <v>24335855</v>
      </c>
      <c r="K171" s="28" t="s">
        <v>2428</v>
      </c>
      <c r="L171" t="s">
        <v>2438</v>
      </c>
      <c r="M171" s="39">
        <v>279900</v>
      </c>
      <c r="N171" s="29" t="s">
        <v>2826</v>
      </c>
      <c r="O171" s="36" t="s">
        <v>3218</v>
      </c>
      <c r="P171" s="28" t="s">
        <v>2826</v>
      </c>
    </row>
    <row r="172" spans="1:16" x14ac:dyDescent="0.3">
      <c r="A172" s="25" t="s">
        <v>3219</v>
      </c>
      <c r="B172" s="26">
        <v>46108</v>
      </c>
      <c r="C172" s="26">
        <v>46113</v>
      </c>
      <c r="D172" s="6">
        <v>3319</v>
      </c>
      <c r="E172" s="6">
        <v>327</v>
      </c>
      <c r="F172" s="25">
        <v>2</v>
      </c>
      <c r="G172" s="28">
        <v>1</v>
      </c>
      <c r="H172" s="28">
        <v>81433</v>
      </c>
      <c r="I172" s="28" t="s">
        <v>17</v>
      </c>
      <c r="J172" s="28">
        <v>24337782</v>
      </c>
      <c r="K172" s="28" t="s">
        <v>2439</v>
      </c>
      <c r="L172" t="s">
        <v>2465</v>
      </c>
      <c r="M172" s="39">
        <v>279900</v>
      </c>
      <c r="N172" s="29" t="s">
        <v>2826</v>
      </c>
      <c r="O172" s="36" t="s">
        <v>3218</v>
      </c>
      <c r="P172" s="28" t="s">
        <v>2826</v>
      </c>
    </row>
    <row r="173" spans="1:16" x14ac:dyDescent="0.3">
      <c r="A173" s="25" t="s">
        <v>3219</v>
      </c>
      <c r="B173" s="26">
        <v>46108</v>
      </c>
      <c r="C173" s="26">
        <v>46113</v>
      </c>
      <c r="D173" s="6">
        <v>3319</v>
      </c>
      <c r="E173" s="6">
        <v>327</v>
      </c>
      <c r="F173" s="25">
        <v>2</v>
      </c>
      <c r="G173" s="28">
        <v>1</v>
      </c>
      <c r="H173" s="28">
        <v>81433</v>
      </c>
      <c r="I173" s="28" t="s">
        <v>17</v>
      </c>
      <c r="J173" s="28">
        <v>24337791</v>
      </c>
      <c r="K173" s="28" t="s">
        <v>2439</v>
      </c>
      <c r="L173" t="s">
        <v>2440</v>
      </c>
      <c r="M173" s="39">
        <v>279900</v>
      </c>
      <c r="N173" s="29" t="s">
        <v>2826</v>
      </c>
      <c r="O173" s="36" t="s">
        <v>3218</v>
      </c>
      <c r="P173" s="28" t="s">
        <v>2826</v>
      </c>
    </row>
    <row r="174" spans="1:16" x14ac:dyDescent="0.3">
      <c r="A174" s="25" t="s">
        <v>3219</v>
      </c>
      <c r="B174" s="26">
        <v>46108</v>
      </c>
      <c r="C174" s="26">
        <v>46113</v>
      </c>
      <c r="D174" s="6">
        <v>3319</v>
      </c>
      <c r="E174" s="6">
        <v>327</v>
      </c>
      <c r="F174" s="25">
        <v>2</v>
      </c>
      <c r="G174" s="28">
        <v>1</v>
      </c>
      <c r="H174" s="28">
        <v>81433</v>
      </c>
      <c r="I174" s="28" t="s">
        <v>17</v>
      </c>
      <c r="J174" s="28">
        <v>24337808</v>
      </c>
      <c r="K174" s="28" t="s">
        <v>2439</v>
      </c>
      <c r="L174" t="s">
        <v>2441</v>
      </c>
      <c r="M174" s="39">
        <v>279900</v>
      </c>
      <c r="N174" s="29" t="s">
        <v>2826</v>
      </c>
      <c r="O174" s="36" t="s">
        <v>3218</v>
      </c>
      <c r="P174" s="28" t="s">
        <v>2826</v>
      </c>
    </row>
    <row r="175" spans="1:16" x14ac:dyDescent="0.3">
      <c r="A175" s="25" t="s">
        <v>3219</v>
      </c>
      <c r="B175" s="26">
        <v>46108</v>
      </c>
      <c r="C175" s="26">
        <v>46113</v>
      </c>
      <c r="D175" s="6">
        <v>3319</v>
      </c>
      <c r="E175" s="6">
        <v>327</v>
      </c>
      <c r="F175" s="25">
        <v>2</v>
      </c>
      <c r="G175" s="28">
        <v>1</v>
      </c>
      <c r="H175" s="28">
        <v>81433</v>
      </c>
      <c r="I175" s="28" t="s">
        <v>17</v>
      </c>
      <c r="J175" s="28">
        <v>24337817</v>
      </c>
      <c r="K175" s="28" t="s">
        <v>2439</v>
      </c>
      <c r="L175" t="s">
        <v>2442</v>
      </c>
      <c r="M175" s="39">
        <v>279900</v>
      </c>
      <c r="N175" s="29" t="s">
        <v>2826</v>
      </c>
      <c r="O175" s="36" t="s">
        <v>3218</v>
      </c>
      <c r="P175" s="28" t="s">
        <v>2826</v>
      </c>
    </row>
    <row r="176" spans="1:16" x14ac:dyDescent="0.3">
      <c r="A176" s="25" t="s">
        <v>3219</v>
      </c>
      <c r="B176" s="26">
        <v>46108</v>
      </c>
      <c r="C176" s="26">
        <v>46113</v>
      </c>
      <c r="D176" s="6">
        <v>3319</v>
      </c>
      <c r="E176" s="6">
        <v>327</v>
      </c>
      <c r="F176" s="25">
        <v>2</v>
      </c>
      <c r="G176" s="28">
        <v>1</v>
      </c>
      <c r="H176" s="28">
        <v>81433</v>
      </c>
      <c r="I176" s="28" t="s">
        <v>17</v>
      </c>
      <c r="J176" s="28">
        <v>24337826</v>
      </c>
      <c r="K176" s="28" t="s">
        <v>2439</v>
      </c>
      <c r="L176" t="s">
        <v>2443</v>
      </c>
      <c r="M176" s="39">
        <v>279900</v>
      </c>
      <c r="N176" s="29" t="s">
        <v>2826</v>
      </c>
      <c r="O176" s="36" t="s">
        <v>3218</v>
      </c>
      <c r="P176" s="28" t="s">
        <v>2826</v>
      </c>
    </row>
    <row r="177" spans="1:16" x14ac:dyDescent="0.3">
      <c r="A177" s="25" t="s">
        <v>3219</v>
      </c>
      <c r="B177" s="26">
        <v>46108</v>
      </c>
      <c r="C177" s="26">
        <v>46113</v>
      </c>
      <c r="D177" s="6">
        <v>3319</v>
      </c>
      <c r="E177" s="6">
        <v>327</v>
      </c>
      <c r="F177" s="25">
        <v>2</v>
      </c>
      <c r="G177" s="28">
        <v>1</v>
      </c>
      <c r="H177" s="28">
        <v>81433</v>
      </c>
      <c r="I177" s="28" t="s">
        <v>17</v>
      </c>
      <c r="J177" s="28">
        <v>24337835</v>
      </c>
      <c r="K177" s="28" t="s">
        <v>2439</v>
      </c>
      <c r="L177" t="s">
        <v>2444</v>
      </c>
      <c r="M177" s="39">
        <v>279900</v>
      </c>
      <c r="N177" s="29" t="s">
        <v>2826</v>
      </c>
      <c r="O177" s="36" t="s">
        <v>3218</v>
      </c>
      <c r="P177" s="28" t="s">
        <v>2826</v>
      </c>
    </row>
    <row r="178" spans="1:16" x14ac:dyDescent="0.3">
      <c r="A178" s="25" t="s">
        <v>3219</v>
      </c>
      <c r="B178" s="26">
        <v>46108</v>
      </c>
      <c r="C178" s="26">
        <v>46113</v>
      </c>
      <c r="D178" s="6">
        <v>3319</v>
      </c>
      <c r="E178" s="6">
        <v>327</v>
      </c>
      <c r="F178" s="25">
        <v>2</v>
      </c>
      <c r="G178" s="28">
        <v>1</v>
      </c>
      <c r="H178" s="28">
        <v>81433</v>
      </c>
      <c r="I178" s="28" t="s">
        <v>17</v>
      </c>
      <c r="J178" s="28">
        <v>24337844</v>
      </c>
      <c r="K178" s="28" t="s">
        <v>2439</v>
      </c>
      <c r="L178" t="s">
        <v>2445</v>
      </c>
      <c r="M178" s="39">
        <v>279900</v>
      </c>
      <c r="N178" s="29" t="s">
        <v>2826</v>
      </c>
      <c r="O178" s="36" t="s">
        <v>3218</v>
      </c>
      <c r="P178" s="28" t="s">
        <v>2826</v>
      </c>
    </row>
    <row r="179" spans="1:16" x14ac:dyDescent="0.3">
      <c r="A179" s="25" t="s">
        <v>3219</v>
      </c>
      <c r="B179" s="26">
        <v>46108</v>
      </c>
      <c r="C179" s="26">
        <v>46113</v>
      </c>
      <c r="D179" s="6">
        <v>3319</v>
      </c>
      <c r="E179" s="6">
        <v>327</v>
      </c>
      <c r="F179" s="25">
        <v>2</v>
      </c>
      <c r="G179" s="28">
        <v>1</v>
      </c>
      <c r="H179" s="28">
        <v>81433</v>
      </c>
      <c r="I179" s="28" t="s">
        <v>17</v>
      </c>
      <c r="J179" s="28">
        <v>24337853</v>
      </c>
      <c r="K179" s="28" t="s">
        <v>2439</v>
      </c>
      <c r="L179" t="s">
        <v>2446</v>
      </c>
      <c r="M179" s="39">
        <v>279900</v>
      </c>
      <c r="N179" s="29" t="s">
        <v>2826</v>
      </c>
      <c r="O179" s="36" t="s">
        <v>3218</v>
      </c>
      <c r="P179" s="28" t="s">
        <v>2826</v>
      </c>
    </row>
    <row r="180" spans="1:16" x14ac:dyDescent="0.3">
      <c r="A180" s="25" t="s">
        <v>3219</v>
      </c>
      <c r="B180" s="26">
        <v>46108</v>
      </c>
      <c r="C180" s="26">
        <v>46113</v>
      </c>
      <c r="D180" s="6">
        <v>3319</v>
      </c>
      <c r="E180" s="6">
        <v>327</v>
      </c>
      <c r="F180" s="25">
        <v>2</v>
      </c>
      <c r="G180" s="28">
        <v>1</v>
      </c>
      <c r="H180" s="28">
        <v>81433</v>
      </c>
      <c r="I180" s="28" t="s">
        <v>17</v>
      </c>
      <c r="J180" s="28">
        <v>24337862</v>
      </c>
      <c r="K180" s="28" t="s">
        <v>2439</v>
      </c>
      <c r="L180" t="s">
        <v>2447</v>
      </c>
      <c r="M180" s="39">
        <v>279900</v>
      </c>
      <c r="N180" s="29" t="s">
        <v>2826</v>
      </c>
      <c r="O180" s="36" t="s">
        <v>3218</v>
      </c>
      <c r="P180" s="28" t="s">
        <v>2826</v>
      </c>
    </row>
    <row r="181" spans="1:16" x14ac:dyDescent="0.3">
      <c r="A181" s="25" t="s">
        <v>3219</v>
      </c>
      <c r="B181" s="26">
        <v>46108</v>
      </c>
      <c r="C181" s="26">
        <v>46113</v>
      </c>
      <c r="D181" s="6">
        <v>3319</v>
      </c>
      <c r="E181" s="6">
        <v>327</v>
      </c>
      <c r="F181" s="25">
        <v>2</v>
      </c>
      <c r="G181" s="28">
        <v>1</v>
      </c>
      <c r="H181" s="28">
        <v>81433</v>
      </c>
      <c r="I181" s="28" t="s">
        <v>17</v>
      </c>
      <c r="J181" s="28">
        <v>24337871</v>
      </c>
      <c r="K181" s="28" t="s">
        <v>2439</v>
      </c>
      <c r="L181" t="s">
        <v>2448</v>
      </c>
      <c r="M181" s="39">
        <v>279900</v>
      </c>
      <c r="N181" s="29" t="s">
        <v>2826</v>
      </c>
      <c r="O181" s="36" t="s">
        <v>3218</v>
      </c>
      <c r="P181" s="28" t="s">
        <v>2826</v>
      </c>
    </row>
    <row r="182" spans="1:16" x14ac:dyDescent="0.3">
      <c r="A182" s="25" t="s">
        <v>3219</v>
      </c>
      <c r="B182" s="26">
        <v>46108</v>
      </c>
      <c r="C182" s="26">
        <v>46113</v>
      </c>
      <c r="D182" s="6">
        <v>3319</v>
      </c>
      <c r="E182" s="6">
        <v>327</v>
      </c>
      <c r="F182" s="25">
        <v>2</v>
      </c>
      <c r="G182" s="28">
        <v>1</v>
      </c>
      <c r="H182" s="28">
        <v>81433</v>
      </c>
      <c r="I182" s="28" t="s">
        <v>17</v>
      </c>
      <c r="J182" s="28">
        <v>24337880</v>
      </c>
      <c r="K182" s="28" t="s">
        <v>2439</v>
      </c>
      <c r="L182" t="s">
        <v>2449</v>
      </c>
      <c r="M182" s="39">
        <v>279900</v>
      </c>
      <c r="N182" s="29" t="s">
        <v>2826</v>
      </c>
      <c r="O182" s="36" t="s">
        <v>3218</v>
      </c>
      <c r="P182" s="28" t="s">
        <v>2826</v>
      </c>
    </row>
    <row r="183" spans="1:16" x14ac:dyDescent="0.3">
      <c r="A183" s="25" t="s">
        <v>3219</v>
      </c>
      <c r="B183" s="26">
        <v>46108</v>
      </c>
      <c r="C183" s="26">
        <v>46113</v>
      </c>
      <c r="D183" s="6">
        <v>3319</v>
      </c>
      <c r="E183" s="6">
        <v>327</v>
      </c>
      <c r="F183" s="25">
        <v>2</v>
      </c>
      <c r="G183" s="28">
        <v>1</v>
      </c>
      <c r="H183" s="28">
        <v>81433</v>
      </c>
      <c r="I183" s="28" t="s">
        <v>17</v>
      </c>
      <c r="J183" s="28">
        <v>24337933</v>
      </c>
      <c r="K183" s="28" t="s">
        <v>2439</v>
      </c>
      <c r="L183" t="s">
        <v>2450</v>
      </c>
      <c r="M183" s="39">
        <v>279900</v>
      </c>
      <c r="N183" s="29" t="s">
        <v>2826</v>
      </c>
      <c r="O183" s="36" t="s">
        <v>3218</v>
      </c>
      <c r="P183" s="28" t="s">
        <v>2826</v>
      </c>
    </row>
    <row r="184" spans="1:16" x14ac:dyDescent="0.3">
      <c r="A184" s="25" t="s">
        <v>3219</v>
      </c>
      <c r="B184" s="26">
        <v>46108</v>
      </c>
      <c r="C184" s="26">
        <v>46113</v>
      </c>
      <c r="D184" s="6">
        <v>3319</v>
      </c>
      <c r="E184" s="6">
        <v>327</v>
      </c>
      <c r="F184" s="25">
        <v>2</v>
      </c>
      <c r="G184" s="28">
        <v>1</v>
      </c>
      <c r="H184" s="28">
        <v>81433</v>
      </c>
      <c r="I184" s="28" t="s">
        <v>17</v>
      </c>
      <c r="J184" s="28">
        <v>24337942</v>
      </c>
      <c r="K184" s="28" t="s">
        <v>2439</v>
      </c>
      <c r="L184" t="s">
        <v>2451</v>
      </c>
      <c r="M184" s="39">
        <v>279900</v>
      </c>
      <c r="N184" s="29" t="s">
        <v>2826</v>
      </c>
      <c r="O184" s="36" t="s">
        <v>3218</v>
      </c>
      <c r="P184" s="28" t="s">
        <v>2826</v>
      </c>
    </row>
    <row r="185" spans="1:16" x14ac:dyDescent="0.3">
      <c r="A185" s="25" t="s">
        <v>3219</v>
      </c>
      <c r="B185" s="26">
        <v>46108</v>
      </c>
      <c r="C185" s="26">
        <v>46113</v>
      </c>
      <c r="D185" s="6">
        <v>3319</v>
      </c>
      <c r="E185" s="6">
        <v>327</v>
      </c>
      <c r="F185" s="25">
        <v>2</v>
      </c>
      <c r="G185" s="28">
        <v>1</v>
      </c>
      <c r="H185" s="28">
        <v>81433</v>
      </c>
      <c r="I185" s="28" t="s">
        <v>17</v>
      </c>
      <c r="J185" s="28">
        <v>24337951</v>
      </c>
      <c r="K185" s="28" t="s">
        <v>2439</v>
      </c>
      <c r="L185" t="s">
        <v>2452</v>
      </c>
      <c r="M185" s="39">
        <v>279900</v>
      </c>
      <c r="N185" s="29" t="s">
        <v>2826</v>
      </c>
      <c r="O185" s="36" t="s">
        <v>3218</v>
      </c>
      <c r="P185" s="28" t="s">
        <v>2826</v>
      </c>
    </row>
    <row r="186" spans="1:16" x14ac:dyDescent="0.3">
      <c r="A186" s="25" t="s">
        <v>3219</v>
      </c>
      <c r="B186" s="26">
        <v>46108</v>
      </c>
      <c r="C186" s="26">
        <v>46113</v>
      </c>
      <c r="D186" s="6">
        <v>3319</v>
      </c>
      <c r="E186" s="6">
        <v>327</v>
      </c>
      <c r="F186" s="25">
        <v>2</v>
      </c>
      <c r="G186" s="28">
        <v>1</v>
      </c>
      <c r="H186" s="28">
        <v>81433</v>
      </c>
      <c r="I186" s="28" t="s">
        <v>17</v>
      </c>
      <c r="J186" s="28">
        <v>24337960</v>
      </c>
      <c r="K186" s="28" t="s">
        <v>2439</v>
      </c>
      <c r="L186" t="s">
        <v>2453</v>
      </c>
      <c r="M186" s="39">
        <v>279900</v>
      </c>
      <c r="N186" s="29" t="s">
        <v>2826</v>
      </c>
      <c r="O186" s="36" t="s">
        <v>3218</v>
      </c>
      <c r="P186" s="28" t="s">
        <v>2826</v>
      </c>
    </row>
    <row r="187" spans="1:16" x14ac:dyDescent="0.3">
      <c r="A187" s="25" t="s">
        <v>3219</v>
      </c>
      <c r="B187" s="26">
        <v>46108</v>
      </c>
      <c r="C187" s="26">
        <v>46113</v>
      </c>
      <c r="D187" s="6">
        <v>3319</v>
      </c>
      <c r="E187" s="6">
        <v>327</v>
      </c>
      <c r="F187" s="25">
        <v>2</v>
      </c>
      <c r="G187" s="28">
        <v>1</v>
      </c>
      <c r="H187" s="28">
        <v>81433</v>
      </c>
      <c r="I187" s="28" t="s">
        <v>17</v>
      </c>
      <c r="J187" s="28">
        <v>24338450</v>
      </c>
      <c r="K187" s="28" t="s">
        <v>2454</v>
      </c>
      <c r="L187" t="s">
        <v>2455</v>
      </c>
      <c r="M187" s="39">
        <v>279900</v>
      </c>
      <c r="N187" s="29" t="s">
        <v>2826</v>
      </c>
      <c r="O187" s="36" t="s">
        <v>3218</v>
      </c>
      <c r="P187" s="28" t="s">
        <v>2826</v>
      </c>
    </row>
    <row r="188" spans="1:16" x14ac:dyDescent="0.3">
      <c r="A188" s="25" t="s">
        <v>3219</v>
      </c>
      <c r="B188" s="26">
        <v>46108</v>
      </c>
      <c r="C188" s="26">
        <v>46113</v>
      </c>
      <c r="D188" s="6">
        <v>3319</v>
      </c>
      <c r="E188" s="6">
        <v>327</v>
      </c>
      <c r="F188" s="25">
        <v>2</v>
      </c>
      <c r="G188" s="28">
        <v>1</v>
      </c>
      <c r="H188" s="28">
        <v>81433</v>
      </c>
      <c r="I188" s="28" t="s">
        <v>17</v>
      </c>
      <c r="J188" s="28">
        <v>24338469</v>
      </c>
      <c r="K188" s="28" t="s">
        <v>2454</v>
      </c>
      <c r="L188" t="s">
        <v>2456</v>
      </c>
      <c r="M188" s="39">
        <v>279900</v>
      </c>
      <c r="N188" s="29" t="s">
        <v>2826</v>
      </c>
      <c r="O188" s="36" t="s">
        <v>3218</v>
      </c>
      <c r="P188" s="28" t="s">
        <v>2826</v>
      </c>
    </row>
    <row r="189" spans="1:16" x14ac:dyDescent="0.3">
      <c r="A189" s="25" t="s">
        <v>3219</v>
      </c>
      <c r="B189" s="26">
        <v>46108</v>
      </c>
      <c r="C189" s="26">
        <v>46113</v>
      </c>
      <c r="D189" s="6">
        <v>3319</v>
      </c>
      <c r="E189" s="6">
        <v>327</v>
      </c>
      <c r="F189" s="25">
        <v>2</v>
      </c>
      <c r="G189" s="28">
        <v>1</v>
      </c>
      <c r="H189" s="28">
        <v>81433</v>
      </c>
      <c r="I189" s="28" t="s">
        <v>17</v>
      </c>
      <c r="J189" s="28">
        <v>24338478</v>
      </c>
      <c r="K189" s="28" t="s">
        <v>2454</v>
      </c>
      <c r="L189" t="s">
        <v>2457</v>
      </c>
      <c r="M189" s="39">
        <v>279900</v>
      </c>
      <c r="N189" s="29" t="s">
        <v>2826</v>
      </c>
      <c r="O189" s="36" t="s">
        <v>3218</v>
      </c>
      <c r="P189" s="28" t="s">
        <v>2826</v>
      </c>
    </row>
    <row r="190" spans="1:16" x14ac:dyDescent="0.3">
      <c r="A190" s="25" t="s">
        <v>3219</v>
      </c>
      <c r="B190" s="26">
        <v>46108</v>
      </c>
      <c r="C190" s="26">
        <v>46113</v>
      </c>
      <c r="D190" s="6">
        <v>3319</v>
      </c>
      <c r="E190" s="6">
        <v>327</v>
      </c>
      <c r="F190" s="25">
        <v>2</v>
      </c>
      <c r="G190" s="28">
        <v>1</v>
      </c>
      <c r="H190" s="28">
        <v>81433</v>
      </c>
      <c r="I190" s="28" t="s">
        <v>17</v>
      </c>
      <c r="J190" s="28">
        <v>24338487</v>
      </c>
      <c r="K190" s="28" t="s">
        <v>2454</v>
      </c>
      <c r="L190" t="s">
        <v>2458</v>
      </c>
      <c r="M190" s="39">
        <v>279900</v>
      </c>
      <c r="N190" s="29" t="s">
        <v>2826</v>
      </c>
      <c r="O190" s="36" t="s">
        <v>3218</v>
      </c>
      <c r="P190" s="28" t="s">
        <v>2826</v>
      </c>
    </row>
    <row r="191" spans="1:16" x14ac:dyDescent="0.3">
      <c r="A191" s="25" t="s">
        <v>3219</v>
      </c>
      <c r="B191" s="26">
        <v>46108</v>
      </c>
      <c r="C191" s="26">
        <v>46113</v>
      </c>
      <c r="D191" s="6">
        <v>3319</v>
      </c>
      <c r="E191" s="6">
        <v>327</v>
      </c>
      <c r="F191" s="25">
        <v>2</v>
      </c>
      <c r="G191" s="28">
        <v>1</v>
      </c>
      <c r="H191" s="28">
        <v>81433</v>
      </c>
      <c r="I191" s="28" t="s">
        <v>17</v>
      </c>
      <c r="J191" s="28">
        <v>24338496</v>
      </c>
      <c r="K191" s="28" t="s">
        <v>2454</v>
      </c>
      <c r="L191" t="s">
        <v>2459</v>
      </c>
      <c r="M191" s="39">
        <v>279900</v>
      </c>
      <c r="N191" s="29" t="s">
        <v>2826</v>
      </c>
      <c r="O191" s="36" t="s">
        <v>3218</v>
      </c>
      <c r="P191" s="28" t="s">
        <v>2826</v>
      </c>
    </row>
    <row r="192" spans="1:16" x14ac:dyDescent="0.3">
      <c r="A192" s="25" t="s">
        <v>3219</v>
      </c>
      <c r="B192" s="26">
        <v>46108</v>
      </c>
      <c r="C192" s="26">
        <v>46113</v>
      </c>
      <c r="D192" s="6">
        <v>3319</v>
      </c>
      <c r="E192" s="6">
        <v>327</v>
      </c>
      <c r="F192" s="25">
        <v>2</v>
      </c>
      <c r="G192" s="28">
        <v>1</v>
      </c>
      <c r="H192" s="28">
        <v>81433</v>
      </c>
      <c r="I192" s="28" t="s">
        <v>17</v>
      </c>
      <c r="J192" s="28">
        <v>24338503</v>
      </c>
      <c r="K192" s="28" t="s">
        <v>2454</v>
      </c>
      <c r="L192" t="s">
        <v>2460</v>
      </c>
      <c r="M192" s="39">
        <v>279900</v>
      </c>
      <c r="N192" s="29" t="s">
        <v>2826</v>
      </c>
      <c r="O192" s="36" t="s">
        <v>3218</v>
      </c>
      <c r="P192" s="28" t="s">
        <v>2826</v>
      </c>
    </row>
    <row r="193" spans="1:16" x14ac:dyDescent="0.3">
      <c r="A193" s="25" t="s">
        <v>3219</v>
      </c>
      <c r="B193" s="26">
        <v>46108</v>
      </c>
      <c r="C193" s="26">
        <v>46113</v>
      </c>
      <c r="D193" s="6">
        <v>3319</v>
      </c>
      <c r="E193" s="6">
        <v>327</v>
      </c>
      <c r="F193" s="25">
        <v>2</v>
      </c>
      <c r="G193" s="28">
        <v>1</v>
      </c>
      <c r="H193" s="28">
        <v>81433</v>
      </c>
      <c r="I193" s="28" t="s">
        <v>17</v>
      </c>
      <c r="J193" s="28">
        <v>24338512</v>
      </c>
      <c r="K193" s="28" t="s">
        <v>2454</v>
      </c>
      <c r="L193" t="s">
        <v>2461</v>
      </c>
      <c r="M193" s="39">
        <v>279900</v>
      </c>
      <c r="N193" s="29" t="s">
        <v>2826</v>
      </c>
      <c r="O193" s="36" t="s">
        <v>3218</v>
      </c>
      <c r="P193" s="28" t="s">
        <v>2826</v>
      </c>
    </row>
    <row r="194" spans="1:16" x14ac:dyDescent="0.3">
      <c r="A194" s="25" t="s">
        <v>3219</v>
      </c>
      <c r="B194" s="26">
        <v>46108</v>
      </c>
      <c r="C194" s="26">
        <v>46113</v>
      </c>
      <c r="D194" s="6">
        <v>3319</v>
      </c>
      <c r="E194" s="6">
        <v>327</v>
      </c>
      <c r="F194" s="25">
        <v>2</v>
      </c>
      <c r="G194" s="28">
        <v>1</v>
      </c>
      <c r="H194" s="28">
        <v>81433</v>
      </c>
      <c r="I194" s="28" t="s">
        <v>17</v>
      </c>
      <c r="J194" s="28">
        <v>24338521</v>
      </c>
      <c r="K194" s="28" t="s">
        <v>2454</v>
      </c>
      <c r="L194" t="s">
        <v>2462</v>
      </c>
      <c r="M194" s="39">
        <v>279900</v>
      </c>
      <c r="N194" s="29" t="s">
        <v>2826</v>
      </c>
      <c r="O194" s="36" t="s">
        <v>3218</v>
      </c>
      <c r="P194" s="28" t="s">
        <v>2826</v>
      </c>
    </row>
    <row r="195" spans="1:16" x14ac:dyDescent="0.3">
      <c r="A195" s="25" t="s">
        <v>3219</v>
      </c>
      <c r="B195" s="26">
        <v>46108</v>
      </c>
      <c r="C195" s="26">
        <v>46113</v>
      </c>
      <c r="D195" s="6">
        <v>3319</v>
      </c>
      <c r="E195" s="6">
        <v>327</v>
      </c>
      <c r="F195" s="25">
        <v>2</v>
      </c>
      <c r="G195" s="28">
        <v>1</v>
      </c>
      <c r="H195" s="28">
        <v>81433</v>
      </c>
      <c r="I195" s="28" t="s">
        <v>17</v>
      </c>
      <c r="J195" s="28">
        <v>24338530</v>
      </c>
      <c r="K195" s="28" t="s">
        <v>2454</v>
      </c>
      <c r="L195" t="s">
        <v>2463</v>
      </c>
      <c r="M195" s="39">
        <v>279900</v>
      </c>
      <c r="N195" s="29" t="s">
        <v>2826</v>
      </c>
      <c r="O195" s="36" t="s">
        <v>3218</v>
      </c>
      <c r="P195" s="28" t="s">
        <v>2826</v>
      </c>
    </row>
    <row r="196" spans="1:16" x14ac:dyDescent="0.3">
      <c r="A196" s="25" t="s">
        <v>3219</v>
      </c>
      <c r="B196" s="26">
        <v>46108</v>
      </c>
      <c r="C196" s="26">
        <v>46113</v>
      </c>
      <c r="D196" s="6">
        <v>3319</v>
      </c>
      <c r="E196" s="6">
        <v>327</v>
      </c>
      <c r="F196" s="25">
        <v>2</v>
      </c>
      <c r="G196" s="28">
        <v>1</v>
      </c>
      <c r="H196" s="28">
        <v>81433</v>
      </c>
      <c r="I196" s="28" t="s">
        <v>17</v>
      </c>
      <c r="J196" s="28">
        <v>24338549</v>
      </c>
      <c r="K196" s="28" t="s">
        <v>2454</v>
      </c>
      <c r="L196" t="s">
        <v>2464</v>
      </c>
      <c r="M196" s="39">
        <v>279900</v>
      </c>
      <c r="N196" s="29" t="s">
        <v>2826</v>
      </c>
      <c r="O196" s="36" t="s">
        <v>3218</v>
      </c>
      <c r="P196" s="28" t="s">
        <v>2826</v>
      </c>
    </row>
    <row r="197" spans="1:16" x14ac:dyDescent="0.3">
      <c r="A197" s="25" t="s">
        <v>3219</v>
      </c>
      <c r="B197" s="26">
        <v>46108</v>
      </c>
      <c r="C197" s="26">
        <v>46113</v>
      </c>
      <c r="D197" s="27">
        <v>3319</v>
      </c>
      <c r="E197" s="6">
        <v>327</v>
      </c>
      <c r="F197" s="25">
        <v>2</v>
      </c>
      <c r="G197" s="28">
        <v>1</v>
      </c>
      <c r="H197" s="28">
        <v>81433</v>
      </c>
      <c r="I197" s="28" t="s">
        <v>17</v>
      </c>
      <c r="J197" s="28">
        <v>15909556</v>
      </c>
      <c r="K197" s="38" t="s">
        <v>1846</v>
      </c>
      <c r="L197" t="s">
        <v>1847</v>
      </c>
      <c r="M197" s="39">
        <v>259900</v>
      </c>
      <c r="N197" s="29" t="s">
        <v>2826</v>
      </c>
      <c r="O197" s="36" t="s">
        <v>3218</v>
      </c>
      <c r="P197" s="28" t="s">
        <v>2826</v>
      </c>
    </row>
    <row r="198" spans="1:16" x14ac:dyDescent="0.3">
      <c r="A198" s="25" t="s">
        <v>3219</v>
      </c>
      <c r="B198" s="26">
        <v>46108</v>
      </c>
      <c r="C198" s="26">
        <v>46113</v>
      </c>
      <c r="D198" s="27">
        <v>3319</v>
      </c>
      <c r="E198" s="6">
        <v>327</v>
      </c>
      <c r="F198" s="25">
        <v>2</v>
      </c>
      <c r="G198" s="28">
        <v>1</v>
      </c>
      <c r="H198" s="28">
        <v>81433</v>
      </c>
      <c r="I198" s="28" t="s">
        <v>17</v>
      </c>
      <c r="J198" s="28">
        <v>15909565</v>
      </c>
      <c r="K198" s="38" t="s">
        <v>1846</v>
      </c>
      <c r="L198" t="s">
        <v>1848</v>
      </c>
      <c r="M198" s="39">
        <v>259900</v>
      </c>
      <c r="N198" s="29" t="s">
        <v>2826</v>
      </c>
      <c r="O198" s="36" t="s">
        <v>3218</v>
      </c>
      <c r="P198" s="28" t="s">
        <v>2826</v>
      </c>
    </row>
    <row r="199" spans="1:16" x14ac:dyDescent="0.3">
      <c r="A199" s="25" t="s">
        <v>3219</v>
      </c>
      <c r="B199" s="26">
        <v>46108</v>
      </c>
      <c r="C199" s="26">
        <v>46113</v>
      </c>
      <c r="D199" s="27">
        <v>3319</v>
      </c>
      <c r="E199" s="6">
        <v>327</v>
      </c>
      <c r="F199" s="25">
        <v>2</v>
      </c>
      <c r="G199" s="28">
        <v>1</v>
      </c>
      <c r="H199" s="28">
        <v>81433</v>
      </c>
      <c r="I199" s="28" t="s">
        <v>17</v>
      </c>
      <c r="J199" s="28">
        <v>15909574</v>
      </c>
      <c r="K199" s="38" t="s">
        <v>1846</v>
      </c>
      <c r="L199" t="s">
        <v>1849</v>
      </c>
      <c r="M199" s="39">
        <v>259900</v>
      </c>
      <c r="N199" s="29" t="s">
        <v>2826</v>
      </c>
      <c r="O199" s="36" t="s">
        <v>3218</v>
      </c>
      <c r="P199" s="28" t="s">
        <v>2826</v>
      </c>
    </row>
    <row r="200" spans="1:16" x14ac:dyDescent="0.3">
      <c r="A200" s="25" t="s">
        <v>3219</v>
      </c>
      <c r="B200" s="26">
        <v>46108</v>
      </c>
      <c r="C200" s="26">
        <v>46113</v>
      </c>
      <c r="D200" s="27">
        <v>3319</v>
      </c>
      <c r="E200" s="6">
        <v>327</v>
      </c>
      <c r="F200" s="25">
        <v>2</v>
      </c>
      <c r="G200" s="28">
        <v>1</v>
      </c>
      <c r="H200" s="28">
        <v>81433</v>
      </c>
      <c r="I200" s="28" t="s">
        <v>17</v>
      </c>
      <c r="J200" s="28">
        <v>15909583</v>
      </c>
      <c r="K200" s="38" t="s">
        <v>1846</v>
      </c>
      <c r="L200" t="s">
        <v>1850</v>
      </c>
      <c r="M200" s="39">
        <v>259900</v>
      </c>
      <c r="N200" s="29" t="s">
        <v>2826</v>
      </c>
      <c r="O200" s="36" t="s">
        <v>3218</v>
      </c>
      <c r="P200" s="28" t="s">
        <v>2826</v>
      </c>
    </row>
    <row r="201" spans="1:16" x14ac:dyDescent="0.3">
      <c r="A201" s="25" t="s">
        <v>3219</v>
      </c>
      <c r="B201" s="26">
        <v>46108</v>
      </c>
      <c r="C201" s="26">
        <v>46113</v>
      </c>
      <c r="D201" s="27">
        <v>3319</v>
      </c>
      <c r="E201" s="6">
        <v>327</v>
      </c>
      <c r="F201" s="25">
        <v>2</v>
      </c>
      <c r="G201" s="28">
        <v>1</v>
      </c>
      <c r="H201" s="28">
        <v>81433</v>
      </c>
      <c r="I201" s="28" t="s">
        <v>17</v>
      </c>
      <c r="J201" s="28">
        <v>15909592</v>
      </c>
      <c r="K201" s="38" t="s">
        <v>1846</v>
      </c>
      <c r="L201" t="s">
        <v>1851</v>
      </c>
      <c r="M201" s="39">
        <v>259900</v>
      </c>
      <c r="N201" s="29" t="s">
        <v>2826</v>
      </c>
      <c r="O201" s="36" t="s">
        <v>3218</v>
      </c>
      <c r="P201" s="28" t="s">
        <v>2826</v>
      </c>
    </row>
    <row r="202" spans="1:16" x14ac:dyDescent="0.3">
      <c r="A202" s="25" t="s">
        <v>3219</v>
      </c>
      <c r="B202" s="26">
        <v>46108</v>
      </c>
      <c r="C202" s="26">
        <v>46113</v>
      </c>
      <c r="D202" s="27">
        <v>3319</v>
      </c>
      <c r="E202" s="6">
        <v>327</v>
      </c>
      <c r="F202" s="25">
        <v>2</v>
      </c>
      <c r="G202" s="28">
        <v>1</v>
      </c>
      <c r="H202" s="28">
        <v>81433</v>
      </c>
      <c r="I202" s="28" t="s">
        <v>17</v>
      </c>
      <c r="J202" s="28">
        <v>15909609</v>
      </c>
      <c r="K202" s="38" t="s">
        <v>1846</v>
      </c>
      <c r="L202" t="s">
        <v>1852</v>
      </c>
      <c r="M202" s="39">
        <v>259900</v>
      </c>
      <c r="N202" s="29" t="s">
        <v>2826</v>
      </c>
      <c r="O202" s="36" t="s">
        <v>3218</v>
      </c>
      <c r="P202" s="28" t="s">
        <v>2826</v>
      </c>
    </row>
    <row r="203" spans="1:16" x14ac:dyDescent="0.3">
      <c r="A203" s="25" t="s">
        <v>3219</v>
      </c>
      <c r="B203" s="26">
        <v>46108</v>
      </c>
      <c r="C203" s="26">
        <v>46113</v>
      </c>
      <c r="D203" s="27">
        <v>3319</v>
      </c>
      <c r="E203" s="6">
        <v>327</v>
      </c>
      <c r="F203" s="25">
        <v>2</v>
      </c>
      <c r="G203" s="28">
        <v>1</v>
      </c>
      <c r="H203" s="28">
        <v>81433</v>
      </c>
      <c r="I203" s="28" t="s">
        <v>17</v>
      </c>
      <c r="J203" s="28">
        <v>15909618</v>
      </c>
      <c r="K203" s="38" t="s">
        <v>1846</v>
      </c>
      <c r="L203" t="s">
        <v>1853</v>
      </c>
      <c r="M203" s="39">
        <v>259900</v>
      </c>
      <c r="N203" s="29" t="s">
        <v>2826</v>
      </c>
      <c r="O203" s="36" t="s">
        <v>3218</v>
      </c>
      <c r="P203" s="28" t="s">
        <v>2826</v>
      </c>
    </row>
    <row r="204" spans="1:16" x14ac:dyDescent="0.3">
      <c r="A204" s="25" t="s">
        <v>3219</v>
      </c>
      <c r="B204" s="26">
        <v>46108</v>
      </c>
      <c r="C204" s="26">
        <v>46113</v>
      </c>
      <c r="D204" s="27">
        <v>3319</v>
      </c>
      <c r="E204" s="6">
        <v>327</v>
      </c>
      <c r="F204" s="25">
        <v>2</v>
      </c>
      <c r="G204" s="28">
        <v>1</v>
      </c>
      <c r="H204" s="28">
        <v>81433</v>
      </c>
      <c r="I204" s="28" t="s">
        <v>17</v>
      </c>
      <c r="J204" s="28">
        <v>15909627</v>
      </c>
      <c r="K204" s="38" t="s">
        <v>1846</v>
      </c>
      <c r="L204" t="s">
        <v>1854</v>
      </c>
      <c r="M204" s="39">
        <v>259900</v>
      </c>
      <c r="N204" s="29" t="s">
        <v>2826</v>
      </c>
      <c r="O204" s="36" t="s">
        <v>3218</v>
      </c>
      <c r="P204" s="28" t="s">
        <v>2826</v>
      </c>
    </row>
    <row r="205" spans="1:16" x14ac:dyDescent="0.3">
      <c r="A205" s="25" t="s">
        <v>3219</v>
      </c>
      <c r="B205" s="26">
        <v>46108</v>
      </c>
      <c r="C205" s="26">
        <v>46113</v>
      </c>
      <c r="D205" s="27">
        <v>3319</v>
      </c>
      <c r="E205" s="6">
        <v>327</v>
      </c>
      <c r="F205" s="25">
        <v>2</v>
      </c>
      <c r="G205" s="28">
        <v>1</v>
      </c>
      <c r="H205" s="28">
        <v>81433</v>
      </c>
      <c r="I205" s="28" t="s">
        <v>17</v>
      </c>
      <c r="J205" s="28">
        <v>15909636</v>
      </c>
      <c r="K205" s="38" t="s">
        <v>1846</v>
      </c>
      <c r="L205" t="s">
        <v>1855</v>
      </c>
      <c r="M205" s="39">
        <v>259900</v>
      </c>
      <c r="N205" s="29" t="s">
        <v>2826</v>
      </c>
      <c r="O205" s="36" t="s">
        <v>3218</v>
      </c>
      <c r="P205" s="28" t="s">
        <v>2826</v>
      </c>
    </row>
    <row r="206" spans="1:16" x14ac:dyDescent="0.3">
      <c r="A206" s="25" t="s">
        <v>3219</v>
      </c>
      <c r="B206" s="26">
        <v>46108</v>
      </c>
      <c r="C206" s="26">
        <v>46113</v>
      </c>
      <c r="D206" s="27">
        <v>3319</v>
      </c>
      <c r="E206" s="6">
        <v>327</v>
      </c>
      <c r="F206" s="25">
        <v>2</v>
      </c>
      <c r="G206" s="28">
        <v>1</v>
      </c>
      <c r="H206" s="28">
        <v>81433</v>
      </c>
      <c r="I206" s="28" t="s">
        <v>17</v>
      </c>
      <c r="J206" s="28">
        <v>15909645</v>
      </c>
      <c r="K206" s="38" t="s">
        <v>1846</v>
      </c>
      <c r="L206" t="s">
        <v>1856</v>
      </c>
      <c r="M206" s="39">
        <v>259900</v>
      </c>
      <c r="N206" s="29" t="s">
        <v>2826</v>
      </c>
      <c r="O206" s="36" t="s">
        <v>3218</v>
      </c>
      <c r="P206" s="28" t="s">
        <v>2826</v>
      </c>
    </row>
    <row r="207" spans="1:16" x14ac:dyDescent="0.3">
      <c r="A207" s="25" t="s">
        <v>3219</v>
      </c>
      <c r="B207" s="26">
        <v>46108</v>
      </c>
      <c r="C207" s="26">
        <v>46113</v>
      </c>
      <c r="D207" s="27">
        <v>3319</v>
      </c>
      <c r="E207" s="6">
        <v>327</v>
      </c>
      <c r="F207" s="25">
        <v>2</v>
      </c>
      <c r="G207" s="28">
        <v>1</v>
      </c>
      <c r="H207" s="28">
        <v>81433</v>
      </c>
      <c r="I207" s="28" t="s">
        <v>17</v>
      </c>
      <c r="J207" s="28">
        <v>15909654</v>
      </c>
      <c r="K207" s="38" t="s">
        <v>1857</v>
      </c>
      <c r="L207" t="s">
        <v>1858</v>
      </c>
      <c r="M207" s="39">
        <v>259900</v>
      </c>
      <c r="N207" s="29" t="s">
        <v>2826</v>
      </c>
      <c r="O207" s="36" t="s">
        <v>3218</v>
      </c>
      <c r="P207" s="28" t="s">
        <v>2826</v>
      </c>
    </row>
    <row r="208" spans="1:16" x14ac:dyDescent="0.3">
      <c r="A208" s="25" t="s">
        <v>3219</v>
      </c>
      <c r="B208" s="26">
        <v>46108</v>
      </c>
      <c r="C208" s="26">
        <v>46113</v>
      </c>
      <c r="D208" s="27">
        <v>3319</v>
      </c>
      <c r="E208" s="6">
        <v>327</v>
      </c>
      <c r="F208" s="25">
        <v>2</v>
      </c>
      <c r="G208" s="28">
        <v>1</v>
      </c>
      <c r="H208" s="28">
        <v>81433</v>
      </c>
      <c r="I208" s="28" t="s">
        <v>17</v>
      </c>
      <c r="J208" s="28">
        <v>15909663</v>
      </c>
      <c r="K208" s="38" t="s">
        <v>1857</v>
      </c>
      <c r="L208" t="s">
        <v>1859</v>
      </c>
      <c r="M208" s="39">
        <v>259900</v>
      </c>
      <c r="N208" s="29" t="s">
        <v>2826</v>
      </c>
      <c r="O208" s="36" t="s">
        <v>3218</v>
      </c>
      <c r="P208" s="28" t="s">
        <v>2826</v>
      </c>
    </row>
    <row r="209" spans="1:16" x14ac:dyDescent="0.3">
      <c r="A209" s="25" t="s">
        <v>3219</v>
      </c>
      <c r="B209" s="26">
        <v>46108</v>
      </c>
      <c r="C209" s="26">
        <v>46113</v>
      </c>
      <c r="D209" s="27">
        <v>3319</v>
      </c>
      <c r="E209" s="6">
        <v>327</v>
      </c>
      <c r="F209" s="25">
        <v>2</v>
      </c>
      <c r="G209" s="28">
        <v>1</v>
      </c>
      <c r="H209" s="28">
        <v>81433</v>
      </c>
      <c r="I209" s="28" t="s">
        <v>17</v>
      </c>
      <c r="J209" s="28">
        <v>15909672</v>
      </c>
      <c r="K209" s="38" t="s">
        <v>1857</v>
      </c>
      <c r="L209" t="s">
        <v>1860</v>
      </c>
      <c r="M209" s="39">
        <v>259900</v>
      </c>
      <c r="N209" s="29" t="s">
        <v>2826</v>
      </c>
      <c r="O209" s="36" t="s">
        <v>3218</v>
      </c>
      <c r="P209" s="28" t="s">
        <v>2826</v>
      </c>
    </row>
    <row r="210" spans="1:16" x14ac:dyDescent="0.3">
      <c r="A210" s="25" t="s">
        <v>3219</v>
      </c>
      <c r="B210" s="26">
        <v>46108</v>
      </c>
      <c r="C210" s="26">
        <v>46113</v>
      </c>
      <c r="D210" s="27">
        <v>3319</v>
      </c>
      <c r="E210" s="6">
        <v>327</v>
      </c>
      <c r="F210" s="25">
        <v>2</v>
      </c>
      <c r="G210" s="28">
        <v>1</v>
      </c>
      <c r="H210" s="28">
        <v>81433</v>
      </c>
      <c r="I210" s="28" t="s">
        <v>17</v>
      </c>
      <c r="J210" s="28">
        <v>15909681</v>
      </c>
      <c r="K210" s="38" t="s">
        <v>1857</v>
      </c>
      <c r="L210" t="s">
        <v>1861</v>
      </c>
      <c r="M210" s="39">
        <v>259900</v>
      </c>
      <c r="N210" s="29" t="s">
        <v>2826</v>
      </c>
      <c r="O210" s="36" t="s">
        <v>3218</v>
      </c>
      <c r="P210" s="28" t="s">
        <v>2826</v>
      </c>
    </row>
    <row r="211" spans="1:16" x14ac:dyDescent="0.3">
      <c r="A211" s="25" t="s">
        <v>3219</v>
      </c>
      <c r="B211" s="26">
        <v>46108</v>
      </c>
      <c r="C211" s="26">
        <v>46113</v>
      </c>
      <c r="D211" s="27">
        <v>3319</v>
      </c>
      <c r="E211" s="6">
        <v>327</v>
      </c>
      <c r="F211" s="25">
        <v>2</v>
      </c>
      <c r="G211" s="28">
        <v>1</v>
      </c>
      <c r="H211" s="28">
        <v>81433</v>
      </c>
      <c r="I211" s="28" t="s">
        <v>17</v>
      </c>
      <c r="J211" s="28">
        <v>15909690</v>
      </c>
      <c r="K211" s="38" t="s">
        <v>1857</v>
      </c>
      <c r="L211" t="s">
        <v>1862</v>
      </c>
      <c r="M211" s="39">
        <v>259900</v>
      </c>
      <c r="N211" s="29" t="s">
        <v>2826</v>
      </c>
      <c r="O211" s="36" t="s">
        <v>3218</v>
      </c>
      <c r="P211" s="28" t="s">
        <v>2826</v>
      </c>
    </row>
    <row r="212" spans="1:16" x14ac:dyDescent="0.3">
      <c r="A212" s="25" t="s">
        <v>3219</v>
      </c>
      <c r="B212" s="26">
        <v>46108</v>
      </c>
      <c r="C212" s="26">
        <v>46113</v>
      </c>
      <c r="D212" s="27">
        <v>3319</v>
      </c>
      <c r="E212" s="6">
        <v>327</v>
      </c>
      <c r="F212" s="25">
        <v>2</v>
      </c>
      <c r="G212" s="28">
        <v>1</v>
      </c>
      <c r="H212" s="28">
        <v>81433</v>
      </c>
      <c r="I212" s="28" t="s">
        <v>17</v>
      </c>
      <c r="J212" s="28">
        <v>15909707</v>
      </c>
      <c r="K212" s="38" t="s">
        <v>1857</v>
      </c>
      <c r="L212" t="s">
        <v>1863</v>
      </c>
      <c r="M212" s="39">
        <v>259900</v>
      </c>
      <c r="N212" s="29" t="s">
        <v>2826</v>
      </c>
      <c r="O212" s="36" t="s">
        <v>3218</v>
      </c>
      <c r="P212" s="28" t="s">
        <v>2826</v>
      </c>
    </row>
    <row r="213" spans="1:16" x14ac:dyDescent="0.3">
      <c r="A213" s="25" t="s">
        <v>3219</v>
      </c>
      <c r="B213" s="26">
        <v>46108</v>
      </c>
      <c r="C213" s="26">
        <v>46113</v>
      </c>
      <c r="D213" s="27">
        <v>3319</v>
      </c>
      <c r="E213" s="6">
        <v>327</v>
      </c>
      <c r="F213" s="25">
        <v>2</v>
      </c>
      <c r="G213" s="28">
        <v>1</v>
      </c>
      <c r="H213" s="28">
        <v>81433</v>
      </c>
      <c r="I213" s="28" t="s">
        <v>17</v>
      </c>
      <c r="J213" s="28">
        <v>15909716</v>
      </c>
      <c r="K213" s="38" t="s">
        <v>1857</v>
      </c>
      <c r="L213" t="s">
        <v>1864</v>
      </c>
      <c r="M213" s="39">
        <v>259900</v>
      </c>
      <c r="N213" s="29" t="s">
        <v>2826</v>
      </c>
      <c r="O213" s="36" t="s">
        <v>3218</v>
      </c>
      <c r="P213" s="28" t="s">
        <v>2826</v>
      </c>
    </row>
    <row r="214" spans="1:16" x14ac:dyDescent="0.3">
      <c r="A214" s="25" t="s">
        <v>3219</v>
      </c>
      <c r="B214" s="26">
        <v>46108</v>
      </c>
      <c r="C214" s="26">
        <v>46113</v>
      </c>
      <c r="D214" s="27">
        <v>3319</v>
      </c>
      <c r="E214" s="6">
        <v>327</v>
      </c>
      <c r="F214" s="25">
        <v>2</v>
      </c>
      <c r="G214" s="28">
        <v>1</v>
      </c>
      <c r="H214" s="28">
        <v>81433</v>
      </c>
      <c r="I214" s="28" t="s">
        <v>17</v>
      </c>
      <c r="J214" s="28">
        <v>15909725</v>
      </c>
      <c r="K214" s="38" t="s">
        <v>1857</v>
      </c>
      <c r="L214" t="s">
        <v>1865</v>
      </c>
      <c r="M214" s="39">
        <v>259900</v>
      </c>
      <c r="N214" s="29" t="s">
        <v>2826</v>
      </c>
      <c r="O214" s="36" t="s">
        <v>3218</v>
      </c>
      <c r="P214" s="28" t="s">
        <v>2826</v>
      </c>
    </row>
    <row r="215" spans="1:16" x14ac:dyDescent="0.3">
      <c r="A215" s="25" t="s">
        <v>3219</v>
      </c>
      <c r="B215" s="26">
        <v>46108</v>
      </c>
      <c r="C215" s="26">
        <v>46113</v>
      </c>
      <c r="D215" s="27">
        <v>3319</v>
      </c>
      <c r="E215" s="6">
        <v>327</v>
      </c>
      <c r="F215" s="25">
        <v>2</v>
      </c>
      <c r="G215" s="28">
        <v>1</v>
      </c>
      <c r="H215" s="28">
        <v>81433</v>
      </c>
      <c r="I215" s="28" t="s">
        <v>17</v>
      </c>
      <c r="J215" s="28">
        <v>15909734</v>
      </c>
      <c r="K215" s="38" t="s">
        <v>1857</v>
      </c>
      <c r="L215" t="s">
        <v>1866</v>
      </c>
      <c r="M215" s="39">
        <v>259900</v>
      </c>
      <c r="N215" s="29" t="s">
        <v>2826</v>
      </c>
      <c r="O215" s="36" t="s">
        <v>3218</v>
      </c>
      <c r="P215" s="28" t="s">
        <v>2826</v>
      </c>
    </row>
    <row r="216" spans="1:16" x14ac:dyDescent="0.3">
      <c r="A216" s="25" t="s">
        <v>3219</v>
      </c>
      <c r="B216" s="26">
        <v>46108</v>
      </c>
      <c r="C216" s="26">
        <v>46113</v>
      </c>
      <c r="D216" s="27">
        <v>3319</v>
      </c>
      <c r="E216" s="6">
        <v>327</v>
      </c>
      <c r="F216" s="25">
        <v>2</v>
      </c>
      <c r="G216" s="28">
        <v>1</v>
      </c>
      <c r="H216" s="28">
        <v>81433</v>
      </c>
      <c r="I216" s="28" t="s">
        <v>17</v>
      </c>
      <c r="J216" s="28">
        <v>15909743</v>
      </c>
      <c r="K216" s="38" t="s">
        <v>1857</v>
      </c>
      <c r="L216" t="s">
        <v>1867</v>
      </c>
      <c r="M216" s="39">
        <v>259900</v>
      </c>
      <c r="N216" s="29" t="s">
        <v>2826</v>
      </c>
      <c r="O216" s="36" t="s">
        <v>3218</v>
      </c>
      <c r="P216" s="28" t="s">
        <v>2826</v>
      </c>
    </row>
    <row r="217" spans="1:16" x14ac:dyDescent="0.3">
      <c r="A217" s="25" t="s">
        <v>3219</v>
      </c>
      <c r="B217" s="26">
        <v>46108</v>
      </c>
      <c r="C217" s="26">
        <v>46113</v>
      </c>
      <c r="D217" s="27">
        <v>3319</v>
      </c>
      <c r="E217" s="6">
        <v>327</v>
      </c>
      <c r="F217" s="25">
        <v>2</v>
      </c>
      <c r="G217" s="28">
        <v>1</v>
      </c>
      <c r="H217" s="28">
        <v>81433</v>
      </c>
      <c r="I217" s="28" t="s">
        <v>17</v>
      </c>
      <c r="J217" s="28">
        <v>13839091</v>
      </c>
      <c r="K217" s="38" t="s">
        <v>1879</v>
      </c>
      <c r="L217" t="s">
        <v>1880</v>
      </c>
      <c r="M217" s="39">
        <v>259900</v>
      </c>
      <c r="N217" s="29" t="s">
        <v>2826</v>
      </c>
      <c r="O217" s="36" t="s">
        <v>3218</v>
      </c>
      <c r="P217" s="28" t="s">
        <v>2826</v>
      </c>
    </row>
    <row r="218" spans="1:16" x14ac:dyDescent="0.3">
      <c r="A218" s="25" t="s">
        <v>3219</v>
      </c>
      <c r="B218" s="26">
        <v>46108</v>
      </c>
      <c r="C218" s="26">
        <v>46113</v>
      </c>
      <c r="D218" s="27">
        <v>3319</v>
      </c>
      <c r="E218" s="6">
        <v>327</v>
      </c>
      <c r="F218" s="25">
        <v>2</v>
      </c>
      <c r="G218" s="28">
        <v>1</v>
      </c>
      <c r="H218" s="28">
        <v>81433</v>
      </c>
      <c r="I218" s="28" t="s">
        <v>17</v>
      </c>
      <c r="J218" s="28">
        <v>13839108</v>
      </c>
      <c r="K218" s="38" t="s">
        <v>1879</v>
      </c>
      <c r="L218" t="s">
        <v>1881</v>
      </c>
      <c r="M218" s="39">
        <v>259900</v>
      </c>
      <c r="N218" s="29" t="s">
        <v>2826</v>
      </c>
      <c r="O218" s="36" t="s">
        <v>3218</v>
      </c>
      <c r="P218" s="28" t="s">
        <v>2826</v>
      </c>
    </row>
    <row r="219" spans="1:16" x14ac:dyDescent="0.3">
      <c r="A219" s="25" t="s">
        <v>3219</v>
      </c>
      <c r="B219" s="26">
        <v>46108</v>
      </c>
      <c r="C219" s="26">
        <v>46113</v>
      </c>
      <c r="D219" s="27">
        <v>3319</v>
      </c>
      <c r="E219" s="6">
        <v>327</v>
      </c>
      <c r="F219" s="25">
        <v>2</v>
      </c>
      <c r="G219" s="28">
        <v>1</v>
      </c>
      <c r="H219" s="28">
        <v>81433</v>
      </c>
      <c r="I219" s="28" t="s">
        <v>17</v>
      </c>
      <c r="J219" s="28">
        <v>13839117</v>
      </c>
      <c r="K219" s="38" t="s">
        <v>1879</v>
      </c>
      <c r="L219" t="s">
        <v>1882</v>
      </c>
      <c r="M219" s="39">
        <v>259900</v>
      </c>
      <c r="N219" s="29" t="s">
        <v>2826</v>
      </c>
      <c r="O219" s="36" t="s">
        <v>3218</v>
      </c>
      <c r="P219" s="28" t="s">
        <v>2826</v>
      </c>
    </row>
    <row r="220" spans="1:16" x14ac:dyDescent="0.3">
      <c r="A220" s="25" t="s">
        <v>3219</v>
      </c>
      <c r="B220" s="26">
        <v>46108</v>
      </c>
      <c r="C220" s="26">
        <v>46113</v>
      </c>
      <c r="D220" s="27">
        <v>3319</v>
      </c>
      <c r="E220" s="6">
        <v>327</v>
      </c>
      <c r="F220" s="25">
        <v>2</v>
      </c>
      <c r="G220" s="28">
        <v>1</v>
      </c>
      <c r="H220" s="28">
        <v>81433</v>
      </c>
      <c r="I220" s="28" t="s">
        <v>17</v>
      </c>
      <c r="J220" s="28">
        <v>13839126</v>
      </c>
      <c r="K220" s="38" t="s">
        <v>1879</v>
      </c>
      <c r="L220" t="s">
        <v>1883</v>
      </c>
      <c r="M220" s="39">
        <v>259900</v>
      </c>
      <c r="N220" s="29" t="s">
        <v>2826</v>
      </c>
      <c r="O220" s="36" t="s">
        <v>3218</v>
      </c>
      <c r="P220" s="28" t="s">
        <v>2826</v>
      </c>
    </row>
    <row r="221" spans="1:16" x14ac:dyDescent="0.3">
      <c r="A221" s="25" t="s">
        <v>3219</v>
      </c>
      <c r="B221" s="26">
        <v>46108</v>
      </c>
      <c r="C221" s="26">
        <v>46113</v>
      </c>
      <c r="D221" s="27">
        <v>3319</v>
      </c>
      <c r="E221" s="6">
        <v>327</v>
      </c>
      <c r="F221" s="25">
        <v>2</v>
      </c>
      <c r="G221" s="28">
        <v>1</v>
      </c>
      <c r="H221" s="28">
        <v>81433</v>
      </c>
      <c r="I221" s="28" t="s">
        <v>17</v>
      </c>
      <c r="J221" s="28">
        <v>13839135</v>
      </c>
      <c r="K221" s="38" t="s">
        <v>1879</v>
      </c>
      <c r="L221" t="s">
        <v>1884</v>
      </c>
      <c r="M221" s="39">
        <v>259900</v>
      </c>
      <c r="N221" s="29" t="s">
        <v>2826</v>
      </c>
      <c r="O221" s="36" t="s">
        <v>3218</v>
      </c>
      <c r="P221" s="28" t="s">
        <v>2826</v>
      </c>
    </row>
    <row r="222" spans="1:16" x14ac:dyDescent="0.3">
      <c r="A222" s="25" t="s">
        <v>3219</v>
      </c>
      <c r="B222" s="26">
        <v>46108</v>
      </c>
      <c r="C222" s="26">
        <v>46113</v>
      </c>
      <c r="D222" s="27">
        <v>3319</v>
      </c>
      <c r="E222" s="6">
        <v>327</v>
      </c>
      <c r="F222" s="25">
        <v>2</v>
      </c>
      <c r="G222" s="28">
        <v>1</v>
      </c>
      <c r="H222" s="28">
        <v>81433</v>
      </c>
      <c r="I222" s="28" t="s">
        <v>17</v>
      </c>
      <c r="J222" s="28">
        <v>13839144</v>
      </c>
      <c r="K222" s="38" t="s">
        <v>1879</v>
      </c>
      <c r="L222" t="s">
        <v>1885</v>
      </c>
      <c r="M222" s="39">
        <v>259900</v>
      </c>
      <c r="N222" s="29" t="s">
        <v>2826</v>
      </c>
      <c r="O222" s="36" t="s">
        <v>3218</v>
      </c>
      <c r="P222" s="28" t="s">
        <v>2826</v>
      </c>
    </row>
    <row r="223" spans="1:16" x14ac:dyDescent="0.3">
      <c r="A223" s="25" t="s">
        <v>3219</v>
      </c>
      <c r="B223" s="26">
        <v>46108</v>
      </c>
      <c r="C223" s="26">
        <v>46113</v>
      </c>
      <c r="D223" s="27">
        <v>3319</v>
      </c>
      <c r="E223" s="6">
        <v>327</v>
      </c>
      <c r="F223" s="25">
        <v>2</v>
      </c>
      <c r="G223" s="28">
        <v>1</v>
      </c>
      <c r="H223" s="28">
        <v>81433</v>
      </c>
      <c r="I223" s="28" t="s">
        <v>17</v>
      </c>
      <c r="J223" s="28">
        <v>13839153</v>
      </c>
      <c r="K223" s="38" t="s">
        <v>1879</v>
      </c>
      <c r="L223" t="s">
        <v>1886</v>
      </c>
      <c r="M223" s="39">
        <v>259900</v>
      </c>
      <c r="N223" s="29" t="s">
        <v>2826</v>
      </c>
      <c r="O223" s="36" t="s">
        <v>3218</v>
      </c>
      <c r="P223" s="28" t="s">
        <v>2826</v>
      </c>
    </row>
    <row r="224" spans="1:16" x14ac:dyDescent="0.3">
      <c r="A224" s="25" t="s">
        <v>3219</v>
      </c>
      <c r="B224" s="26">
        <v>46108</v>
      </c>
      <c r="C224" s="26">
        <v>46113</v>
      </c>
      <c r="D224" s="27">
        <v>3319</v>
      </c>
      <c r="E224" s="6">
        <v>327</v>
      </c>
      <c r="F224" s="25">
        <v>2</v>
      </c>
      <c r="G224" s="28">
        <v>1</v>
      </c>
      <c r="H224" s="28">
        <v>81433</v>
      </c>
      <c r="I224" s="28" t="s">
        <v>17</v>
      </c>
      <c r="J224" s="28">
        <v>13839162</v>
      </c>
      <c r="K224" s="38" t="s">
        <v>1879</v>
      </c>
      <c r="L224" t="s">
        <v>1887</v>
      </c>
      <c r="M224" s="39">
        <v>259900</v>
      </c>
      <c r="N224" s="29" t="s">
        <v>2826</v>
      </c>
      <c r="O224" s="36" t="s">
        <v>3218</v>
      </c>
      <c r="P224" s="28" t="s">
        <v>2826</v>
      </c>
    </row>
    <row r="225" spans="1:16" x14ac:dyDescent="0.3">
      <c r="A225" s="25" t="s">
        <v>3219</v>
      </c>
      <c r="B225" s="26">
        <v>46108</v>
      </c>
      <c r="C225" s="26">
        <v>46113</v>
      </c>
      <c r="D225" s="27">
        <v>3319</v>
      </c>
      <c r="E225" s="6">
        <v>327</v>
      </c>
      <c r="F225" s="25">
        <v>2</v>
      </c>
      <c r="G225" s="28">
        <v>1</v>
      </c>
      <c r="H225" s="28">
        <v>81433</v>
      </c>
      <c r="I225" s="28" t="s">
        <v>17</v>
      </c>
      <c r="J225" s="28">
        <v>13839171</v>
      </c>
      <c r="K225" s="38" t="s">
        <v>1879</v>
      </c>
      <c r="L225" t="s">
        <v>1888</v>
      </c>
      <c r="M225" s="39">
        <v>259900</v>
      </c>
      <c r="N225" s="29" t="s">
        <v>2826</v>
      </c>
      <c r="O225" s="36" t="s">
        <v>3218</v>
      </c>
      <c r="P225" s="28" t="s">
        <v>2826</v>
      </c>
    </row>
    <row r="226" spans="1:16" x14ac:dyDescent="0.3">
      <c r="A226" s="25" t="s">
        <v>3219</v>
      </c>
      <c r="B226" s="26">
        <v>46108</v>
      </c>
      <c r="C226" s="26">
        <v>46113</v>
      </c>
      <c r="D226" s="27">
        <v>3319</v>
      </c>
      <c r="E226" s="6">
        <v>327</v>
      </c>
      <c r="F226" s="25">
        <v>2</v>
      </c>
      <c r="G226" s="28">
        <v>1</v>
      </c>
      <c r="H226" s="28">
        <v>81433</v>
      </c>
      <c r="I226" s="28" t="s">
        <v>17</v>
      </c>
      <c r="J226" s="28">
        <v>13839233</v>
      </c>
      <c r="K226" s="38" t="s">
        <v>1900</v>
      </c>
      <c r="L226" t="s">
        <v>1901</v>
      </c>
      <c r="M226" s="39">
        <v>259900</v>
      </c>
      <c r="N226" s="29" t="s">
        <v>2826</v>
      </c>
      <c r="O226" s="36" t="s">
        <v>3218</v>
      </c>
      <c r="P226" s="28" t="s">
        <v>2826</v>
      </c>
    </row>
    <row r="227" spans="1:16" x14ac:dyDescent="0.3">
      <c r="A227" s="25" t="s">
        <v>3219</v>
      </c>
      <c r="B227" s="26">
        <v>46108</v>
      </c>
      <c r="C227" s="26">
        <v>46113</v>
      </c>
      <c r="D227" s="27">
        <v>3319</v>
      </c>
      <c r="E227" s="6">
        <v>327</v>
      </c>
      <c r="F227" s="25">
        <v>2</v>
      </c>
      <c r="G227" s="28">
        <v>1</v>
      </c>
      <c r="H227" s="28">
        <v>81433</v>
      </c>
      <c r="I227" s="28" t="s">
        <v>17</v>
      </c>
      <c r="J227" s="28">
        <v>13839242</v>
      </c>
      <c r="K227" s="38" t="s">
        <v>1900</v>
      </c>
      <c r="L227" t="s">
        <v>1902</v>
      </c>
      <c r="M227" s="39">
        <v>259900</v>
      </c>
      <c r="N227" s="29" t="s">
        <v>2826</v>
      </c>
      <c r="O227" s="36" t="s">
        <v>3218</v>
      </c>
      <c r="P227" s="28" t="s">
        <v>2826</v>
      </c>
    </row>
    <row r="228" spans="1:16" x14ac:dyDescent="0.3">
      <c r="A228" s="25" t="s">
        <v>3219</v>
      </c>
      <c r="B228" s="26">
        <v>46108</v>
      </c>
      <c r="C228" s="26">
        <v>46113</v>
      </c>
      <c r="D228" s="27">
        <v>3319</v>
      </c>
      <c r="E228" s="6">
        <v>327</v>
      </c>
      <c r="F228" s="25">
        <v>2</v>
      </c>
      <c r="G228" s="28">
        <v>1</v>
      </c>
      <c r="H228" s="28">
        <v>81433</v>
      </c>
      <c r="I228" s="28" t="s">
        <v>17</v>
      </c>
      <c r="J228" s="28">
        <v>13839251</v>
      </c>
      <c r="K228" s="38" t="s">
        <v>1900</v>
      </c>
      <c r="L228" t="s">
        <v>1903</v>
      </c>
      <c r="M228" s="39">
        <v>259900</v>
      </c>
      <c r="N228" s="29" t="s">
        <v>2826</v>
      </c>
      <c r="O228" s="36" t="s">
        <v>3218</v>
      </c>
      <c r="P228" s="28" t="s">
        <v>2826</v>
      </c>
    </row>
    <row r="229" spans="1:16" x14ac:dyDescent="0.3">
      <c r="A229" s="25" t="s">
        <v>3219</v>
      </c>
      <c r="B229" s="26">
        <v>46108</v>
      </c>
      <c r="C229" s="26">
        <v>46113</v>
      </c>
      <c r="D229" s="27">
        <v>3319</v>
      </c>
      <c r="E229" s="6">
        <v>327</v>
      </c>
      <c r="F229" s="25">
        <v>2</v>
      </c>
      <c r="G229" s="28">
        <v>1</v>
      </c>
      <c r="H229" s="28">
        <v>81433</v>
      </c>
      <c r="I229" s="28" t="s">
        <v>17</v>
      </c>
      <c r="J229" s="28">
        <v>13839260</v>
      </c>
      <c r="K229" s="38" t="s">
        <v>1900</v>
      </c>
      <c r="L229" t="s">
        <v>1904</v>
      </c>
      <c r="M229" s="39">
        <v>259900</v>
      </c>
      <c r="N229" s="29" t="s">
        <v>2826</v>
      </c>
      <c r="O229" s="36" t="s">
        <v>3218</v>
      </c>
      <c r="P229" s="28" t="s">
        <v>2826</v>
      </c>
    </row>
    <row r="230" spans="1:16" x14ac:dyDescent="0.3">
      <c r="A230" s="25" t="s">
        <v>3219</v>
      </c>
      <c r="B230" s="26">
        <v>46108</v>
      </c>
      <c r="C230" s="26">
        <v>46113</v>
      </c>
      <c r="D230" s="27">
        <v>3319</v>
      </c>
      <c r="E230" s="6">
        <v>327</v>
      </c>
      <c r="F230" s="25">
        <v>2</v>
      </c>
      <c r="G230" s="28">
        <v>1</v>
      </c>
      <c r="H230" s="28">
        <v>81433</v>
      </c>
      <c r="I230" s="28" t="s">
        <v>17</v>
      </c>
      <c r="J230" s="28">
        <v>13839279</v>
      </c>
      <c r="K230" s="38" t="s">
        <v>1900</v>
      </c>
      <c r="L230" t="s">
        <v>1905</v>
      </c>
      <c r="M230" s="39">
        <v>259900</v>
      </c>
      <c r="N230" s="29" t="s">
        <v>2826</v>
      </c>
      <c r="O230" s="36" t="s">
        <v>3218</v>
      </c>
      <c r="P230" s="28" t="s">
        <v>2826</v>
      </c>
    </row>
    <row r="231" spans="1:16" x14ac:dyDescent="0.3">
      <c r="A231" s="25" t="s">
        <v>3219</v>
      </c>
      <c r="B231" s="26">
        <v>46108</v>
      </c>
      <c r="C231" s="26">
        <v>46113</v>
      </c>
      <c r="D231" s="27">
        <v>3319</v>
      </c>
      <c r="E231" s="6">
        <v>327</v>
      </c>
      <c r="F231" s="25">
        <v>2</v>
      </c>
      <c r="G231" s="28">
        <v>1</v>
      </c>
      <c r="H231" s="28">
        <v>81433</v>
      </c>
      <c r="I231" s="28" t="s">
        <v>17</v>
      </c>
      <c r="J231" s="28">
        <v>15909378</v>
      </c>
      <c r="K231" s="38" t="s">
        <v>1928</v>
      </c>
      <c r="L231" t="s">
        <v>1929</v>
      </c>
      <c r="M231" s="39">
        <v>259900</v>
      </c>
      <c r="N231" s="29" t="s">
        <v>2826</v>
      </c>
      <c r="O231" s="36" t="s">
        <v>3218</v>
      </c>
      <c r="P231" s="28" t="s">
        <v>2826</v>
      </c>
    </row>
    <row r="232" spans="1:16" x14ac:dyDescent="0.3">
      <c r="A232" s="25" t="s">
        <v>3219</v>
      </c>
      <c r="B232" s="26">
        <v>46108</v>
      </c>
      <c r="C232" s="26">
        <v>46113</v>
      </c>
      <c r="D232" s="27">
        <v>3319</v>
      </c>
      <c r="E232" s="6">
        <v>327</v>
      </c>
      <c r="F232" s="25">
        <v>2</v>
      </c>
      <c r="G232" s="28">
        <v>1</v>
      </c>
      <c r="H232" s="28">
        <v>81433</v>
      </c>
      <c r="I232" s="28" t="s">
        <v>17</v>
      </c>
      <c r="J232" s="28">
        <v>15909387</v>
      </c>
      <c r="K232" s="38" t="s">
        <v>1928</v>
      </c>
      <c r="L232" t="s">
        <v>1930</v>
      </c>
      <c r="M232" s="39">
        <v>259900</v>
      </c>
      <c r="N232" s="29" t="s">
        <v>2826</v>
      </c>
      <c r="O232" s="36" t="s">
        <v>3218</v>
      </c>
      <c r="P232" s="28" t="s">
        <v>2826</v>
      </c>
    </row>
    <row r="233" spans="1:16" x14ac:dyDescent="0.3">
      <c r="A233" s="25" t="s">
        <v>3219</v>
      </c>
      <c r="B233" s="26">
        <v>46108</v>
      </c>
      <c r="C233" s="26">
        <v>46113</v>
      </c>
      <c r="D233" s="27">
        <v>3319</v>
      </c>
      <c r="E233" s="6">
        <v>327</v>
      </c>
      <c r="F233" s="25">
        <v>2</v>
      </c>
      <c r="G233" s="28">
        <v>1</v>
      </c>
      <c r="H233" s="28">
        <v>81433</v>
      </c>
      <c r="I233" s="28" t="s">
        <v>17</v>
      </c>
      <c r="J233" s="28">
        <v>15909396</v>
      </c>
      <c r="K233" s="38" t="s">
        <v>1928</v>
      </c>
      <c r="L233" t="s">
        <v>1931</v>
      </c>
      <c r="M233" s="39">
        <v>259900</v>
      </c>
      <c r="N233" s="29" t="s">
        <v>2826</v>
      </c>
      <c r="O233" s="36" t="s">
        <v>3218</v>
      </c>
      <c r="P233" s="28" t="s">
        <v>2826</v>
      </c>
    </row>
    <row r="234" spans="1:16" x14ac:dyDescent="0.3">
      <c r="A234" s="25" t="s">
        <v>3219</v>
      </c>
      <c r="B234" s="26">
        <v>46108</v>
      </c>
      <c r="C234" s="26">
        <v>46113</v>
      </c>
      <c r="D234" s="27">
        <v>3319</v>
      </c>
      <c r="E234" s="6">
        <v>327</v>
      </c>
      <c r="F234" s="25">
        <v>2</v>
      </c>
      <c r="G234" s="28">
        <v>1</v>
      </c>
      <c r="H234" s="28">
        <v>81433</v>
      </c>
      <c r="I234" s="28" t="s">
        <v>17</v>
      </c>
      <c r="J234" s="28">
        <v>15909403</v>
      </c>
      <c r="K234" s="38" t="s">
        <v>1928</v>
      </c>
      <c r="L234" t="s">
        <v>1932</v>
      </c>
      <c r="M234" s="39">
        <v>259900</v>
      </c>
      <c r="N234" s="29" t="s">
        <v>2826</v>
      </c>
      <c r="O234" s="36" t="s">
        <v>3218</v>
      </c>
      <c r="P234" s="28" t="s">
        <v>2826</v>
      </c>
    </row>
    <row r="235" spans="1:16" x14ac:dyDescent="0.3">
      <c r="A235" s="25" t="s">
        <v>3219</v>
      </c>
      <c r="B235" s="26">
        <v>46108</v>
      </c>
      <c r="C235" s="26">
        <v>46113</v>
      </c>
      <c r="D235" s="27">
        <v>3319</v>
      </c>
      <c r="E235" s="6">
        <v>327</v>
      </c>
      <c r="F235" s="25">
        <v>2</v>
      </c>
      <c r="G235" s="28">
        <v>1</v>
      </c>
      <c r="H235" s="28">
        <v>81433</v>
      </c>
      <c r="I235" s="28" t="s">
        <v>17</v>
      </c>
      <c r="J235" s="28">
        <v>15909412</v>
      </c>
      <c r="K235" s="38" t="s">
        <v>1928</v>
      </c>
      <c r="L235" t="s">
        <v>1933</v>
      </c>
      <c r="M235" s="39">
        <v>259900</v>
      </c>
      <c r="N235" s="29" t="s">
        <v>2826</v>
      </c>
      <c r="O235" s="36" t="s">
        <v>3218</v>
      </c>
      <c r="P235" s="28" t="s">
        <v>2826</v>
      </c>
    </row>
    <row r="236" spans="1:16" x14ac:dyDescent="0.3">
      <c r="A236" s="25" t="s">
        <v>3219</v>
      </c>
      <c r="B236" s="26">
        <v>46108</v>
      </c>
      <c r="C236" s="26">
        <v>46113</v>
      </c>
      <c r="D236" s="27">
        <v>3319</v>
      </c>
      <c r="E236" s="6">
        <v>327</v>
      </c>
      <c r="F236" s="25">
        <v>2</v>
      </c>
      <c r="G236" s="28">
        <v>1</v>
      </c>
      <c r="H236" s="28">
        <v>81433</v>
      </c>
      <c r="I236" s="28" t="s">
        <v>17</v>
      </c>
      <c r="J236" s="28">
        <v>15909421</v>
      </c>
      <c r="K236" s="38" t="s">
        <v>1928</v>
      </c>
      <c r="L236" t="s">
        <v>1934</v>
      </c>
      <c r="M236" s="39">
        <v>259900</v>
      </c>
      <c r="N236" s="29" t="s">
        <v>2826</v>
      </c>
      <c r="O236" s="36" t="s">
        <v>3218</v>
      </c>
      <c r="P236" s="28" t="s">
        <v>2826</v>
      </c>
    </row>
    <row r="237" spans="1:16" x14ac:dyDescent="0.3">
      <c r="A237" s="25" t="s">
        <v>3219</v>
      </c>
      <c r="B237" s="26">
        <v>46108</v>
      </c>
      <c r="C237" s="26">
        <v>46113</v>
      </c>
      <c r="D237" s="27">
        <v>3319</v>
      </c>
      <c r="E237" s="6">
        <v>327</v>
      </c>
      <c r="F237" s="25">
        <v>2</v>
      </c>
      <c r="G237" s="28">
        <v>1</v>
      </c>
      <c r="H237" s="28">
        <v>81433</v>
      </c>
      <c r="I237" s="28" t="s">
        <v>17</v>
      </c>
      <c r="J237" s="28">
        <v>15909430</v>
      </c>
      <c r="K237" s="38" t="s">
        <v>1928</v>
      </c>
      <c r="L237" t="s">
        <v>1935</v>
      </c>
      <c r="M237" s="39">
        <v>259900</v>
      </c>
      <c r="N237" s="29" t="s">
        <v>2826</v>
      </c>
      <c r="O237" s="36" t="s">
        <v>3218</v>
      </c>
      <c r="P237" s="28" t="s">
        <v>2826</v>
      </c>
    </row>
    <row r="238" spans="1:16" x14ac:dyDescent="0.3">
      <c r="A238" s="25" t="s">
        <v>3219</v>
      </c>
      <c r="B238" s="26">
        <v>46108</v>
      </c>
      <c r="C238" s="26">
        <v>46113</v>
      </c>
      <c r="D238" s="27">
        <v>3319</v>
      </c>
      <c r="E238" s="6">
        <v>327</v>
      </c>
      <c r="F238" s="25">
        <v>2</v>
      </c>
      <c r="G238" s="28">
        <v>1</v>
      </c>
      <c r="H238" s="28">
        <v>81433</v>
      </c>
      <c r="I238" s="28" t="s">
        <v>17</v>
      </c>
      <c r="J238" s="28">
        <v>15909449</v>
      </c>
      <c r="K238" s="38" t="s">
        <v>1928</v>
      </c>
      <c r="L238" t="s">
        <v>1936</v>
      </c>
      <c r="M238" s="39">
        <v>259900</v>
      </c>
      <c r="N238" s="29" t="s">
        <v>2826</v>
      </c>
      <c r="O238" s="36" t="s">
        <v>3218</v>
      </c>
      <c r="P238" s="28" t="s">
        <v>2826</v>
      </c>
    </row>
    <row r="239" spans="1:16" x14ac:dyDescent="0.3">
      <c r="A239" s="25" t="s">
        <v>3219</v>
      </c>
      <c r="B239" s="26">
        <v>46108</v>
      </c>
      <c r="C239" s="26">
        <v>46113</v>
      </c>
      <c r="D239" s="27">
        <v>3319</v>
      </c>
      <c r="E239" s="6">
        <v>327</v>
      </c>
      <c r="F239" s="25">
        <v>2</v>
      </c>
      <c r="G239" s="28">
        <v>1</v>
      </c>
      <c r="H239" s="28">
        <v>81433</v>
      </c>
      <c r="I239" s="28" t="s">
        <v>17</v>
      </c>
      <c r="J239" s="28">
        <v>15909458</v>
      </c>
      <c r="K239" s="38" t="s">
        <v>1928</v>
      </c>
      <c r="L239" t="s">
        <v>1937</v>
      </c>
      <c r="M239" s="39">
        <v>259900</v>
      </c>
      <c r="N239" s="29" t="s">
        <v>2826</v>
      </c>
      <c r="O239" s="36" t="s">
        <v>3218</v>
      </c>
      <c r="P239" s="28" t="s">
        <v>2826</v>
      </c>
    </row>
    <row r="240" spans="1:16" x14ac:dyDescent="0.3">
      <c r="A240" s="25" t="s">
        <v>3219</v>
      </c>
      <c r="B240" s="26">
        <v>46108</v>
      </c>
      <c r="C240" s="26">
        <v>46113</v>
      </c>
      <c r="D240" s="27">
        <v>3319</v>
      </c>
      <c r="E240" s="6">
        <v>327</v>
      </c>
      <c r="F240" s="25">
        <v>2</v>
      </c>
      <c r="G240" s="28">
        <v>1</v>
      </c>
      <c r="H240" s="28">
        <v>81433</v>
      </c>
      <c r="I240" s="28" t="s">
        <v>17</v>
      </c>
      <c r="J240" s="28">
        <v>15909467</v>
      </c>
      <c r="K240" s="38" t="s">
        <v>1928</v>
      </c>
      <c r="L240" t="s">
        <v>1938</v>
      </c>
      <c r="M240" s="39">
        <v>259900</v>
      </c>
      <c r="N240" s="29" t="s">
        <v>2826</v>
      </c>
      <c r="O240" s="36" t="s">
        <v>3218</v>
      </c>
      <c r="P240" s="28" t="s">
        <v>2826</v>
      </c>
    </row>
    <row r="241" spans="1:16" x14ac:dyDescent="0.3">
      <c r="A241" s="25" t="s">
        <v>3219</v>
      </c>
      <c r="B241" s="26">
        <v>46108</v>
      </c>
      <c r="C241" s="26">
        <v>46113</v>
      </c>
      <c r="D241" s="27">
        <v>3319</v>
      </c>
      <c r="E241" s="6">
        <v>327</v>
      </c>
      <c r="F241" s="25">
        <v>2</v>
      </c>
      <c r="G241" s="28">
        <v>1</v>
      </c>
      <c r="H241" s="28">
        <v>81433</v>
      </c>
      <c r="I241" s="28" t="s">
        <v>17</v>
      </c>
      <c r="J241" s="28">
        <v>13839180</v>
      </c>
      <c r="K241" s="38" t="s">
        <v>1900</v>
      </c>
      <c r="L241" t="s">
        <v>1949</v>
      </c>
      <c r="M241" s="39">
        <v>259900</v>
      </c>
      <c r="N241" s="29" t="s">
        <v>2826</v>
      </c>
      <c r="O241" s="36" t="s">
        <v>3218</v>
      </c>
      <c r="P241" s="28" t="s">
        <v>2826</v>
      </c>
    </row>
    <row r="242" spans="1:16" x14ac:dyDescent="0.3">
      <c r="A242" s="25" t="s">
        <v>3219</v>
      </c>
      <c r="B242" s="26">
        <v>46108</v>
      </c>
      <c r="C242" s="26">
        <v>46113</v>
      </c>
      <c r="D242" s="27">
        <v>3319</v>
      </c>
      <c r="E242" s="6">
        <v>327</v>
      </c>
      <c r="F242" s="25">
        <v>2</v>
      </c>
      <c r="G242" s="28">
        <v>1</v>
      </c>
      <c r="H242" s="28">
        <v>81433</v>
      </c>
      <c r="I242" s="28" t="s">
        <v>17</v>
      </c>
      <c r="J242" s="28">
        <v>13839199</v>
      </c>
      <c r="K242" s="38" t="s">
        <v>1900</v>
      </c>
      <c r="L242" t="s">
        <v>1950</v>
      </c>
      <c r="M242" s="39">
        <v>259900</v>
      </c>
      <c r="N242" s="29" t="s">
        <v>2826</v>
      </c>
      <c r="O242" s="36" t="s">
        <v>3218</v>
      </c>
      <c r="P242" s="28" t="s">
        <v>2826</v>
      </c>
    </row>
    <row r="243" spans="1:16" x14ac:dyDescent="0.3">
      <c r="A243" s="25" t="s">
        <v>3219</v>
      </c>
      <c r="B243" s="26">
        <v>46108</v>
      </c>
      <c r="C243" s="26">
        <v>46113</v>
      </c>
      <c r="D243" s="27">
        <v>3319</v>
      </c>
      <c r="E243" s="6">
        <v>327</v>
      </c>
      <c r="F243" s="25">
        <v>2</v>
      </c>
      <c r="G243" s="28">
        <v>1</v>
      </c>
      <c r="H243" s="28">
        <v>81433</v>
      </c>
      <c r="I243" s="28" t="s">
        <v>17</v>
      </c>
      <c r="J243" s="28">
        <v>13839206</v>
      </c>
      <c r="K243" s="38" t="s">
        <v>1900</v>
      </c>
      <c r="L243" t="s">
        <v>1951</v>
      </c>
      <c r="M243" s="39">
        <v>259900</v>
      </c>
      <c r="N243" s="29" t="s">
        <v>2826</v>
      </c>
      <c r="O243" s="36" t="s">
        <v>3218</v>
      </c>
      <c r="P243" s="28" t="s">
        <v>2826</v>
      </c>
    </row>
    <row r="244" spans="1:16" x14ac:dyDescent="0.3">
      <c r="A244" s="25" t="s">
        <v>3219</v>
      </c>
      <c r="B244" s="26">
        <v>46108</v>
      </c>
      <c r="C244" s="26">
        <v>46113</v>
      </c>
      <c r="D244" s="27">
        <v>3319</v>
      </c>
      <c r="E244" s="6">
        <v>327</v>
      </c>
      <c r="F244" s="25">
        <v>2</v>
      </c>
      <c r="G244" s="28">
        <v>1</v>
      </c>
      <c r="H244" s="28">
        <v>81433</v>
      </c>
      <c r="I244" s="28" t="s">
        <v>17</v>
      </c>
      <c r="J244" s="28">
        <v>13839215</v>
      </c>
      <c r="K244" s="38" t="s">
        <v>1900</v>
      </c>
      <c r="L244" t="s">
        <v>1952</v>
      </c>
      <c r="M244" s="39">
        <v>259900</v>
      </c>
      <c r="N244" s="29" t="s">
        <v>2826</v>
      </c>
      <c r="O244" s="36" t="s">
        <v>3218</v>
      </c>
      <c r="P244" s="28" t="s">
        <v>2826</v>
      </c>
    </row>
    <row r="245" spans="1:16" x14ac:dyDescent="0.3">
      <c r="A245" s="25" t="s">
        <v>3219</v>
      </c>
      <c r="B245" s="26">
        <v>46108</v>
      </c>
      <c r="C245" s="26">
        <v>46113</v>
      </c>
      <c r="D245" s="27">
        <v>3319</v>
      </c>
      <c r="E245" s="6">
        <v>327</v>
      </c>
      <c r="F245" s="25">
        <v>2</v>
      </c>
      <c r="G245" s="28">
        <v>1</v>
      </c>
      <c r="H245" s="28">
        <v>81433</v>
      </c>
      <c r="I245" s="28" t="s">
        <v>17</v>
      </c>
      <c r="J245" s="28">
        <v>13839224</v>
      </c>
      <c r="K245" s="38" t="s">
        <v>1900</v>
      </c>
      <c r="L245" t="s">
        <v>1953</v>
      </c>
      <c r="M245" s="39">
        <v>259900</v>
      </c>
      <c r="N245" s="29" t="s">
        <v>2826</v>
      </c>
      <c r="O245" s="36" t="s">
        <v>3218</v>
      </c>
      <c r="P245" s="28" t="s">
        <v>2826</v>
      </c>
    </row>
    <row r="246" spans="1:16" x14ac:dyDescent="0.3">
      <c r="A246" s="25" t="s">
        <v>3219</v>
      </c>
      <c r="B246" s="26">
        <v>46108</v>
      </c>
      <c r="C246" s="26">
        <v>46113</v>
      </c>
      <c r="D246" s="27">
        <v>3319</v>
      </c>
      <c r="E246" s="6">
        <v>327</v>
      </c>
      <c r="F246" s="25">
        <v>2</v>
      </c>
      <c r="G246" s="28">
        <v>1</v>
      </c>
      <c r="H246" s="28">
        <v>81778</v>
      </c>
      <c r="I246" s="28" t="s">
        <v>17</v>
      </c>
      <c r="J246" s="28">
        <v>14226992</v>
      </c>
      <c r="K246" s="38" t="s">
        <v>1976</v>
      </c>
      <c r="L246" t="s">
        <v>1977</v>
      </c>
      <c r="M246" s="39">
        <v>259900</v>
      </c>
      <c r="N246" s="29" t="s">
        <v>2826</v>
      </c>
      <c r="O246" s="36" t="s">
        <v>3218</v>
      </c>
      <c r="P246" s="28" t="s">
        <v>2826</v>
      </c>
    </row>
    <row r="247" spans="1:16" x14ac:dyDescent="0.3">
      <c r="A247" s="25" t="s">
        <v>3219</v>
      </c>
      <c r="B247" s="26">
        <v>46108</v>
      </c>
      <c r="C247" s="26">
        <v>46113</v>
      </c>
      <c r="D247" s="27">
        <v>3319</v>
      </c>
      <c r="E247" s="6">
        <v>327</v>
      </c>
      <c r="F247" s="25">
        <v>2</v>
      </c>
      <c r="G247" s="28">
        <v>1</v>
      </c>
      <c r="H247" s="28">
        <v>81778</v>
      </c>
      <c r="I247" s="28" t="s">
        <v>17</v>
      </c>
      <c r="J247" s="28">
        <v>14227008</v>
      </c>
      <c r="K247" s="38" t="s">
        <v>1976</v>
      </c>
      <c r="L247" t="s">
        <v>1978</v>
      </c>
      <c r="M247" s="39">
        <v>259900</v>
      </c>
      <c r="N247" s="29" t="s">
        <v>2826</v>
      </c>
      <c r="O247" s="36" t="s">
        <v>3218</v>
      </c>
      <c r="P247" s="28" t="s">
        <v>2826</v>
      </c>
    </row>
    <row r="248" spans="1:16" x14ac:dyDescent="0.3">
      <c r="A248" s="25" t="s">
        <v>3219</v>
      </c>
      <c r="B248" s="26">
        <v>46108</v>
      </c>
      <c r="C248" s="26">
        <v>46113</v>
      </c>
      <c r="D248" s="27">
        <v>3319</v>
      </c>
      <c r="E248" s="6">
        <v>327</v>
      </c>
      <c r="F248" s="25">
        <v>2</v>
      </c>
      <c r="G248" s="28">
        <v>1</v>
      </c>
      <c r="H248" s="28">
        <v>81778</v>
      </c>
      <c r="I248" s="28" t="s">
        <v>17</v>
      </c>
      <c r="J248" s="28">
        <v>14227017</v>
      </c>
      <c r="K248" s="38" t="s">
        <v>1976</v>
      </c>
      <c r="L248" t="s">
        <v>1979</v>
      </c>
      <c r="M248" s="39">
        <v>259900</v>
      </c>
      <c r="N248" s="29" t="s">
        <v>2826</v>
      </c>
      <c r="O248" s="36" t="s">
        <v>3218</v>
      </c>
      <c r="P248" s="28" t="s">
        <v>2826</v>
      </c>
    </row>
    <row r="249" spans="1:16" x14ac:dyDescent="0.3">
      <c r="A249" s="25" t="s">
        <v>3219</v>
      </c>
      <c r="B249" s="26">
        <v>46108</v>
      </c>
      <c r="C249" s="26">
        <v>46113</v>
      </c>
      <c r="D249" s="27">
        <v>3319</v>
      </c>
      <c r="E249" s="6">
        <v>327</v>
      </c>
      <c r="F249" s="25">
        <v>2</v>
      </c>
      <c r="G249" s="28">
        <v>1</v>
      </c>
      <c r="H249" s="28">
        <v>81778</v>
      </c>
      <c r="I249" s="28" t="s">
        <v>17</v>
      </c>
      <c r="J249" s="28">
        <v>14227026</v>
      </c>
      <c r="K249" s="38" t="s">
        <v>1976</v>
      </c>
      <c r="L249" t="s">
        <v>1980</v>
      </c>
      <c r="M249" s="39">
        <v>259900</v>
      </c>
      <c r="N249" s="29" t="s">
        <v>2826</v>
      </c>
      <c r="O249" s="36" t="s">
        <v>3218</v>
      </c>
      <c r="P249" s="28" t="s">
        <v>2826</v>
      </c>
    </row>
    <row r="250" spans="1:16" x14ac:dyDescent="0.3">
      <c r="A250" s="25" t="s">
        <v>3219</v>
      </c>
      <c r="B250" s="26">
        <v>46108</v>
      </c>
      <c r="C250" s="26">
        <v>46113</v>
      </c>
      <c r="D250" s="27">
        <v>3319</v>
      </c>
      <c r="E250" s="6">
        <v>327</v>
      </c>
      <c r="F250" s="25">
        <v>2</v>
      </c>
      <c r="G250" s="28">
        <v>1</v>
      </c>
      <c r="H250" s="28">
        <v>81778</v>
      </c>
      <c r="I250" s="28" t="s">
        <v>17</v>
      </c>
      <c r="J250" s="28">
        <v>14227035</v>
      </c>
      <c r="K250" s="38" t="s">
        <v>1976</v>
      </c>
      <c r="L250" t="s">
        <v>1981</v>
      </c>
      <c r="M250" s="39">
        <v>259900</v>
      </c>
      <c r="N250" s="29" t="s">
        <v>2826</v>
      </c>
      <c r="O250" s="36" t="s">
        <v>3218</v>
      </c>
      <c r="P250" s="28" t="s">
        <v>2826</v>
      </c>
    </row>
    <row r="251" spans="1:16" x14ac:dyDescent="0.3">
      <c r="A251" s="25" t="s">
        <v>3219</v>
      </c>
      <c r="B251" s="26">
        <v>46108</v>
      </c>
      <c r="C251" s="26">
        <v>46113</v>
      </c>
      <c r="D251" s="27">
        <v>3319</v>
      </c>
      <c r="E251" s="6">
        <v>327</v>
      </c>
      <c r="F251" s="25">
        <v>2</v>
      </c>
      <c r="G251" s="28">
        <v>1</v>
      </c>
      <c r="H251" s="28">
        <v>81778</v>
      </c>
      <c r="I251" s="28" t="s">
        <v>17</v>
      </c>
      <c r="J251" s="28">
        <v>14227044</v>
      </c>
      <c r="K251" s="38" t="s">
        <v>1976</v>
      </c>
      <c r="L251" t="s">
        <v>1982</v>
      </c>
      <c r="M251" s="39">
        <v>259900</v>
      </c>
      <c r="N251" s="29" t="s">
        <v>2826</v>
      </c>
      <c r="O251" s="36" t="s">
        <v>3218</v>
      </c>
      <c r="P251" s="28" t="s">
        <v>2826</v>
      </c>
    </row>
    <row r="252" spans="1:16" x14ac:dyDescent="0.3">
      <c r="A252" s="25" t="s">
        <v>3219</v>
      </c>
      <c r="B252" s="26">
        <v>46108</v>
      </c>
      <c r="C252" s="26">
        <v>46113</v>
      </c>
      <c r="D252" s="27">
        <v>3319</v>
      </c>
      <c r="E252" s="6">
        <v>327</v>
      </c>
      <c r="F252" s="25">
        <v>2</v>
      </c>
      <c r="G252" s="28">
        <v>1</v>
      </c>
      <c r="H252" s="28">
        <v>81778</v>
      </c>
      <c r="I252" s="28" t="s">
        <v>17</v>
      </c>
      <c r="J252" s="28">
        <v>14227053</v>
      </c>
      <c r="K252" s="38" t="s">
        <v>1976</v>
      </c>
      <c r="L252" t="s">
        <v>1983</v>
      </c>
      <c r="M252" s="39">
        <v>259900</v>
      </c>
      <c r="N252" s="29" t="s">
        <v>2826</v>
      </c>
      <c r="O252" s="36" t="s">
        <v>3218</v>
      </c>
      <c r="P252" s="28" t="s">
        <v>2826</v>
      </c>
    </row>
    <row r="253" spans="1:16" x14ac:dyDescent="0.3">
      <c r="A253" s="25" t="s">
        <v>3219</v>
      </c>
      <c r="B253" s="26">
        <v>46108</v>
      </c>
      <c r="C253" s="26">
        <v>46113</v>
      </c>
      <c r="D253" s="27">
        <v>3319</v>
      </c>
      <c r="E253" s="6">
        <v>327</v>
      </c>
      <c r="F253" s="25">
        <v>2</v>
      </c>
      <c r="G253" s="28">
        <v>1</v>
      </c>
      <c r="H253" s="28">
        <v>81778</v>
      </c>
      <c r="I253" s="28" t="s">
        <v>17</v>
      </c>
      <c r="J253" s="28">
        <v>14227062</v>
      </c>
      <c r="K253" s="38" t="s">
        <v>1976</v>
      </c>
      <c r="L253" t="s">
        <v>1984</v>
      </c>
      <c r="M253" s="39">
        <v>259900</v>
      </c>
      <c r="N253" s="29" t="s">
        <v>2826</v>
      </c>
      <c r="O253" s="36" t="s">
        <v>3218</v>
      </c>
      <c r="P253" s="28" t="s">
        <v>2826</v>
      </c>
    </row>
    <row r="254" spans="1:16" x14ac:dyDescent="0.3">
      <c r="A254" s="25" t="s">
        <v>3219</v>
      </c>
      <c r="B254" s="26">
        <v>46108</v>
      </c>
      <c r="C254" s="26">
        <v>46113</v>
      </c>
      <c r="D254" s="27">
        <v>3319</v>
      </c>
      <c r="E254" s="6">
        <v>327</v>
      </c>
      <c r="F254" s="25">
        <v>2</v>
      </c>
      <c r="G254" s="28">
        <v>1</v>
      </c>
      <c r="H254" s="28">
        <v>81778</v>
      </c>
      <c r="I254" s="28" t="s">
        <v>17</v>
      </c>
      <c r="J254" s="28">
        <v>14227071</v>
      </c>
      <c r="K254" s="38" t="s">
        <v>1976</v>
      </c>
      <c r="L254" t="s">
        <v>1985</v>
      </c>
      <c r="M254" s="39">
        <v>259900</v>
      </c>
      <c r="N254" s="29" t="s">
        <v>2826</v>
      </c>
      <c r="O254" s="36" t="s">
        <v>3218</v>
      </c>
      <c r="P254" s="28" t="s">
        <v>2826</v>
      </c>
    </row>
    <row r="255" spans="1:16" x14ac:dyDescent="0.3">
      <c r="A255" s="25" t="s">
        <v>3219</v>
      </c>
      <c r="B255" s="26">
        <v>46108</v>
      </c>
      <c r="C255" s="26">
        <v>46113</v>
      </c>
      <c r="D255" s="27">
        <v>3319</v>
      </c>
      <c r="E255" s="6">
        <v>327</v>
      </c>
      <c r="F255" s="25">
        <v>2</v>
      </c>
      <c r="G255" s="28">
        <v>1</v>
      </c>
      <c r="H255" s="28">
        <v>81778</v>
      </c>
      <c r="I255" s="28" t="s">
        <v>17</v>
      </c>
      <c r="J255" s="28">
        <v>14227080</v>
      </c>
      <c r="K255" s="38" t="s">
        <v>1976</v>
      </c>
      <c r="L255" t="s">
        <v>1986</v>
      </c>
      <c r="M255" s="39">
        <v>259900</v>
      </c>
      <c r="N255" s="29" t="s">
        <v>2826</v>
      </c>
      <c r="O255" s="36" t="s">
        <v>3218</v>
      </c>
      <c r="P255" s="28" t="s">
        <v>2826</v>
      </c>
    </row>
    <row r="256" spans="1:16" x14ac:dyDescent="0.3">
      <c r="A256" s="25" t="s">
        <v>3219</v>
      </c>
      <c r="B256" s="26">
        <v>46108</v>
      </c>
      <c r="C256" s="26">
        <v>46113</v>
      </c>
      <c r="D256" s="27">
        <v>3319</v>
      </c>
      <c r="E256" s="6">
        <v>327</v>
      </c>
      <c r="F256" s="25">
        <v>2</v>
      </c>
      <c r="G256" s="28">
        <v>1</v>
      </c>
      <c r="H256" s="28">
        <v>81433</v>
      </c>
      <c r="I256" s="28" t="s">
        <v>17</v>
      </c>
      <c r="J256" s="28">
        <v>15806363</v>
      </c>
      <c r="K256" s="38" t="s">
        <v>2063</v>
      </c>
      <c r="L256" t="s">
        <v>2064</v>
      </c>
      <c r="M256" s="39">
        <v>259900</v>
      </c>
      <c r="N256" s="29" t="s">
        <v>2826</v>
      </c>
      <c r="O256" s="36" t="s">
        <v>3218</v>
      </c>
      <c r="P256" s="28" t="s">
        <v>2826</v>
      </c>
    </row>
    <row r="257" spans="1:16" x14ac:dyDescent="0.3">
      <c r="A257" s="25" t="s">
        <v>3219</v>
      </c>
      <c r="B257" s="26">
        <v>46108</v>
      </c>
      <c r="C257" s="26">
        <v>46113</v>
      </c>
      <c r="D257" s="27">
        <v>3319</v>
      </c>
      <c r="E257" s="6">
        <v>327</v>
      </c>
      <c r="F257" s="25">
        <v>2</v>
      </c>
      <c r="G257" s="28">
        <v>1</v>
      </c>
      <c r="H257" s="28">
        <v>81433</v>
      </c>
      <c r="I257" s="28" t="s">
        <v>17</v>
      </c>
      <c r="J257" s="28">
        <v>15806372</v>
      </c>
      <c r="K257" s="38" t="s">
        <v>2063</v>
      </c>
      <c r="L257" t="s">
        <v>2065</v>
      </c>
      <c r="M257" s="39">
        <v>259900</v>
      </c>
      <c r="N257" s="29" t="s">
        <v>2826</v>
      </c>
      <c r="O257" s="36" t="s">
        <v>3218</v>
      </c>
      <c r="P257" s="28" t="s">
        <v>2826</v>
      </c>
    </row>
    <row r="258" spans="1:16" x14ac:dyDescent="0.3">
      <c r="A258" s="25" t="s">
        <v>3219</v>
      </c>
      <c r="B258" s="26">
        <v>46108</v>
      </c>
      <c r="C258" s="26">
        <v>46113</v>
      </c>
      <c r="D258" s="27">
        <v>3319</v>
      </c>
      <c r="E258" s="6">
        <v>327</v>
      </c>
      <c r="F258" s="25">
        <v>2</v>
      </c>
      <c r="G258" s="28">
        <v>1</v>
      </c>
      <c r="H258" s="28">
        <v>81433</v>
      </c>
      <c r="I258" s="28" t="s">
        <v>17</v>
      </c>
      <c r="J258" s="28">
        <v>15806381</v>
      </c>
      <c r="K258" s="38" t="s">
        <v>2063</v>
      </c>
      <c r="L258" t="s">
        <v>2066</v>
      </c>
      <c r="M258" s="39">
        <v>259900</v>
      </c>
      <c r="N258" s="29" t="s">
        <v>2826</v>
      </c>
      <c r="O258" s="36" t="s">
        <v>3218</v>
      </c>
      <c r="P258" s="28" t="s">
        <v>2826</v>
      </c>
    </row>
    <row r="259" spans="1:16" x14ac:dyDescent="0.3">
      <c r="A259" s="25" t="s">
        <v>3219</v>
      </c>
      <c r="B259" s="26">
        <v>46108</v>
      </c>
      <c r="C259" s="26">
        <v>46113</v>
      </c>
      <c r="D259" s="27">
        <v>3319</v>
      </c>
      <c r="E259" s="6">
        <v>327</v>
      </c>
      <c r="F259" s="25">
        <v>2</v>
      </c>
      <c r="G259" s="28">
        <v>1</v>
      </c>
      <c r="H259" s="28">
        <v>81433</v>
      </c>
      <c r="I259" s="28" t="s">
        <v>17</v>
      </c>
      <c r="J259" s="28">
        <v>15806390</v>
      </c>
      <c r="K259" s="38" t="s">
        <v>2063</v>
      </c>
      <c r="L259" t="s">
        <v>2067</v>
      </c>
      <c r="M259" s="39">
        <v>259900</v>
      </c>
      <c r="N259" s="29" t="s">
        <v>2826</v>
      </c>
      <c r="O259" s="36" t="s">
        <v>3218</v>
      </c>
      <c r="P259" s="28" t="s">
        <v>2826</v>
      </c>
    </row>
    <row r="260" spans="1:16" x14ac:dyDescent="0.3">
      <c r="A260" s="25" t="s">
        <v>3219</v>
      </c>
      <c r="B260" s="26">
        <v>46108</v>
      </c>
      <c r="C260" s="26">
        <v>46113</v>
      </c>
      <c r="D260" s="27">
        <v>3319</v>
      </c>
      <c r="E260" s="6">
        <v>327</v>
      </c>
      <c r="F260" s="25">
        <v>2</v>
      </c>
      <c r="G260" s="28">
        <v>1</v>
      </c>
      <c r="H260" s="28">
        <v>81433</v>
      </c>
      <c r="I260" s="28" t="s">
        <v>17</v>
      </c>
      <c r="J260" s="28">
        <v>15806407</v>
      </c>
      <c r="K260" s="38" t="s">
        <v>2063</v>
      </c>
      <c r="L260" t="s">
        <v>2068</v>
      </c>
      <c r="M260" s="39">
        <v>259900</v>
      </c>
      <c r="N260" s="29" t="s">
        <v>2826</v>
      </c>
      <c r="O260" s="36" t="s">
        <v>3218</v>
      </c>
      <c r="P260" s="28" t="s">
        <v>2826</v>
      </c>
    </row>
    <row r="261" spans="1:16" x14ac:dyDescent="0.3">
      <c r="A261" s="25" t="s">
        <v>3219</v>
      </c>
      <c r="B261" s="26">
        <v>46108</v>
      </c>
      <c r="C261" s="26">
        <v>46113</v>
      </c>
      <c r="D261" s="27">
        <v>3319</v>
      </c>
      <c r="E261" s="6">
        <v>327</v>
      </c>
      <c r="F261" s="25">
        <v>2</v>
      </c>
      <c r="G261" s="28">
        <v>1</v>
      </c>
      <c r="H261" s="28">
        <v>81433</v>
      </c>
      <c r="I261" s="28" t="s">
        <v>17</v>
      </c>
      <c r="J261" s="28">
        <v>15806318</v>
      </c>
      <c r="K261" s="38" t="s">
        <v>2052</v>
      </c>
      <c r="L261" t="s">
        <v>2058</v>
      </c>
      <c r="M261" s="39">
        <v>259900</v>
      </c>
      <c r="N261" s="29" t="s">
        <v>2826</v>
      </c>
      <c r="O261" s="36" t="s">
        <v>3218</v>
      </c>
      <c r="P261" s="28" t="s">
        <v>2826</v>
      </c>
    </row>
    <row r="262" spans="1:16" x14ac:dyDescent="0.3">
      <c r="A262" s="25" t="s">
        <v>3219</v>
      </c>
      <c r="B262" s="26">
        <v>46108</v>
      </c>
      <c r="C262" s="26">
        <v>46113</v>
      </c>
      <c r="D262" s="27">
        <v>3319</v>
      </c>
      <c r="E262" s="6">
        <v>327</v>
      </c>
      <c r="F262" s="25">
        <v>2</v>
      </c>
      <c r="G262" s="28">
        <v>1</v>
      </c>
      <c r="H262" s="28">
        <v>81433</v>
      </c>
      <c r="I262" s="28" t="s">
        <v>17</v>
      </c>
      <c r="J262" s="28">
        <v>15806327</v>
      </c>
      <c r="K262" s="38" t="s">
        <v>2052</v>
      </c>
      <c r="L262" t="s">
        <v>2059</v>
      </c>
      <c r="M262" s="39">
        <v>259900</v>
      </c>
      <c r="N262" s="29" t="s">
        <v>2826</v>
      </c>
      <c r="O262" s="36" t="s">
        <v>3218</v>
      </c>
      <c r="P262" s="28" t="s">
        <v>2826</v>
      </c>
    </row>
    <row r="263" spans="1:16" x14ac:dyDescent="0.3">
      <c r="A263" s="25" t="s">
        <v>3219</v>
      </c>
      <c r="B263" s="26">
        <v>46108</v>
      </c>
      <c r="C263" s="26">
        <v>46113</v>
      </c>
      <c r="D263" s="27">
        <v>3319</v>
      </c>
      <c r="E263" s="6">
        <v>327</v>
      </c>
      <c r="F263" s="25">
        <v>2</v>
      </c>
      <c r="G263" s="28">
        <v>1</v>
      </c>
      <c r="H263" s="28">
        <v>81433</v>
      </c>
      <c r="I263" s="28" t="s">
        <v>17</v>
      </c>
      <c r="J263" s="28">
        <v>15806336</v>
      </c>
      <c r="K263" s="38" t="s">
        <v>2052</v>
      </c>
      <c r="L263" t="s">
        <v>2060</v>
      </c>
      <c r="M263" s="39">
        <v>259900</v>
      </c>
      <c r="N263" s="29" t="s">
        <v>2826</v>
      </c>
      <c r="O263" s="36" t="s">
        <v>3218</v>
      </c>
      <c r="P263" s="28" t="s">
        <v>2826</v>
      </c>
    </row>
    <row r="264" spans="1:16" x14ac:dyDescent="0.3">
      <c r="A264" s="25" t="s">
        <v>3219</v>
      </c>
      <c r="B264" s="26">
        <v>46108</v>
      </c>
      <c r="C264" s="26">
        <v>46113</v>
      </c>
      <c r="D264" s="27">
        <v>3319</v>
      </c>
      <c r="E264" s="6">
        <v>327</v>
      </c>
      <c r="F264" s="25">
        <v>2</v>
      </c>
      <c r="G264" s="28">
        <v>1</v>
      </c>
      <c r="H264" s="28">
        <v>81433</v>
      </c>
      <c r="I264" s="28" t="s">
        <v>17</v>
      </c>
      <c r="J264" s="28">
        <v>15806345</v>
      </c>
      <c r="K264" s="38" t="s">
        <v>2052</v>
      </c>
      <c r="L264" t="s">
        <v>2061</v>
      </c>
      <c r="M264" s="39">
        <v>259900</v>
      </c>
      <c r="N264" s="29" t="s">
        <v>2826</v>
      </c>
      <c r="O264" s="36" t="s">
        <v>3218</v>
      </c>
      <c r="P264" s="28" t="s">
        <v>2826</v>
      </c>
    </row>
    <row r="265" spans="1:16" x14ac:dyDescent="0.3">
      <c r="A265" s="25" t="s">
        <v>3219</v>
      </c>
      <c r="B265" s="26">
        <v>46108</v>
      </c>
      <c r="C265" s="26">
        <v>46113</v>
      </c>
      <c r="D265" s="27">
        <v>3319</v>
      </c>
      <c r="E265" s="6">
        <v>327</v>
      </c>
      <c r="F265" s="25">
        <v>2</v>
      </c>
      <c r="G265" s="28">
        <v>1</v>
      </c>
      <c r="H265" s="28">
        <v>81433</v>
      </c>
      <c r="I265" s="28" t="s">
        <v>17</v>
      </c>
      <c r="J265" s="28">
        <v>15806354</v>
      </c>
      <c r="K265" s="38" t="s">
        <v>2052</v>
      </c>
      <c r="L265" t="s">
        <v>2062</v>
      </c>
      <c r="M265" s="39">
        <v>259900</v>
      </c>
      <c r="N265" s="29" t="s">
        <v>2826</v>
      </c>
      <c r="O265" s="36" t="s">
        <v>3218</v>
      </c>
      <c r="P265" s="28" t="s">
        <v>2826</v>
      </c>
    </row>
    <row r="266" spans="1:16" x14ac:dyDescent="0.3">
      <c r="A266" s="25" t="s">
        <v>3219</v>
      </c>
      <c r="B266" s="26">
        <v>46108</v>
      </c>
      <c r="C266" s="26">
        <v>46113</v>
      </c>
      <c r="D266" s="27">
        <v>3319</v>
      </c>
      <c r="E266" s="6">
        <v>327</v>
      </c>
      <c r="F266" s="25">
        <v>2</v>
      </c>
      <c r="G266" s="28">
        <v>1</v>
      </c>
      <c r="H266" s="28">
        <v>81433</v>
      </c>
      <c r="I266" s="28" t="s">
        <v>17</v>
      </c>
      <c r="J266" s="28">
        <v>13838850</v>
      </c>
      <c r="K266" s="38" t="s">
        <v>31</v>
      </c>
      <c r="L266" t="s">
        <v>1709</v>
      </c>
      <c r="M266" s="39">
        <v>279900</v>
      </c>
      <c r="N266" s="29" t="s">
        <v>2826</v>
      </c>
      <c r="O266" s="36" t="s">
        <v>3218</v>
      </c>
      <c r="P266" s="28" t="s">
        <v>2826</v>
      </c>
    </row>
    <row r="267" spans="1:16" x14ac:dyDescent="0.3">
      <c r="A267" s="25" t="s">
        <v>3219</v>
      </c>
      <c r="B267" s="26">
        <v>46108</v>
      </c>
      <c r="C267" s="26">
        <v>46113</v>
      </c>
      <c r="D267" s="27">
        <v>3319</v>
      </c>
      <c r="E267" s="6">
        <v>327</v>
      </c>
      <c r="F267" s="25">
        <v>2</v>
      </c>
      <c r="G267" s="28">
        <v>1</v>
      </c>
      <c r="H267" s="28">
        <v>81433</v>
      </c>
      <c r="I267" s="28" t="s">
        <v>17</v>
      </c>
      <c r="J267" s="28">
        <v>13838887</v>
      </c>
      <c r="K267" s="38" t="s">
        <v>31</v>
      </c>
      <c r="L267" t="s">
        <v>1712</v>
      </c>
      <c r="M267" s="39">
        <v>279900</v>
      </c>
      <c r="N267" s="29" t="s">
        <v>2826</v>
      </c>
      <c r="O267" s="36" t="s">
        <v>3218</v>
      </c>
      <c r="P267" s="28" t="s">
        <v>2826</v>
      </c>
    </row>
    <row r="268" spans="1:16" x14ac:dyDescent="0.3">
      <c r="A268" s="25" t="s">
        <v>3219</v>
      </c>
      <c r="B268" s="26">
        <v>46108</v>
      </c>
      <c r="C268" s="26">
        <v>46113</v>
      </c>
      <c r="D268" s="27">
        <v>3319</v>
      </c>
      <c r="E268" s="6">
        <v>327</v>
      </c>
      <c r="F268" s="25">
        <v>2</v>
      </c>
      <c r="G268" s="28">
        <v>1</v>
      </c>
      <c r="H268" s="28">
        <v>81778</v>
      </c>
      <c r="I268" s="28" t="s">
        <v>17</v>
      </c>
      <c r="J268" s="28">
        <v>13838270</v>
      </c>
      <c r="K268" s="38" t="s">
        <v>19</v>
      </c>
      <c r="L268" t="s">
        <v>24</v>
      </c>
      <c r="M268" s="39">
        <v>259900</v>
      </c>
      <c r="N268" s="29" t="s">
        <v>2826</v>
      </c>
      <c r="O268" s="36" t="s">
        <v>3218</v>
      </c>
      <c r="P268" s="28" t="s">
        <v>2826</v>
      </c>
    </row>
    <row r="269" spans="1:16" x14ac:dyDescent="0.3">
      <c r="A269" s="25" t="s">
        <v>3219</v>
      </c>
      <c r="B269" s="26">
        <v>46108</v>
      </c>
      <c r="C269" s="26">
        <v>46113</v>
      </c>
      <c r="D269" s="27">
        <v>3319</v>
      </c>
      <c r="E269" s="6">
        <v>327</v>
      </c>
      <c r="F269" s="25">
        <v>2</v>
      </c>
      <c r="G269" s="28">
        <v>1</v>
      </c>
      <c r="H269" s="28">
        <v>81433</v>
      </c>
      <c r="I269" s="28" t="s">
        <v>17</v>
      </c>
      <c r="J269" s="28">
        <v>82228906</v>
      </c>
      <c r="K269" s="38" t="s">
        <v>1681</v>
      </c>
      <c r="L269" t="s">
        <v>1684</v>
      </c>
      <c r="M269" s="39">
        <v>279900</v>
      </c>
      <c r="N269" s="29" t="s">
        <v>2826</v>
      </c>
      <c r="O269" s="36" t="s">
        <v>3218</v>
      </c>
      <c r="P269" s="28" t="s">
        <v>2826</v>
      </c>
    </row>
    <row r="270" spans="1:16" x14ac:dyDescent="0.3">
      <c r="A270" s="25" t="s">
        <v>3219</v>
      </c>
      <c r="B270" s="26">
        <v>46108</v>
      </c>
      <c r="C270" s="26">
        <v>46113</v>
      </c>
      <c r="D270" s="27">
        <v>3319</v>
      </c>
      <c r="E270" s="6">
        <v>327</v>
      </c>
      <c r="F270" s="25">
        <v>2</v>
      </c>
      <c r="G270" s="28">
        <v>1</v>
      </c>
      <c r="H270" s="28">
        <v>81433</v>
      </c>
      <c r="I270" s="28" t="s">
        <v>17</v>
      </c>
      <c r="J270" s="28">
        <v>13838387</v>
      </c>
      <c r="K270" s="38" t="s">
        <v>1816</v>
      </c>
      <c r="L270" t="s">
        <v>1822</v>
      </c>
      <c r="M270" s="39">
        <v>259900</v>
      </c>
      <c r="N270" s="29" t="s">
        <v>2826</v>
      </c>
      <c r="O270" s="36" t="s">
        <v>3218</v>
      </c>
      <c r="P270" s="28" t="s">
        <v>2826</v>
      </c>
    </row>
    <row r="271" spans="1:16" x14ac:dyDescent="0.3">
      <c r="A271" s="25" t="s">
        <v>3219</v>
      </c>
      <c r="B271" s="26">
        <v>46108</v>
      </c>
      <c r="C271" s="26">
        <v>46113</v>
      </c>
      <c r="D271" s="27">
        <v>3319</v>
      </c>
      <c r="E271" s="6">
        <v>327</v>
      </c>
      <c r="F271" s="25">
        <v>2</v>
      </c>
      <c r="G271" s="28">
        <v>1</v>
      </c>
      <c r="H271" s="28">
        <v>81433</v>
      </c>
      <c r="I271" s="28" t="s">
        <v>17</v>
      </c>
      <c r="J271" s="28">
        <v>13838396</v>
      </c>
      <c r="K271" s="38" t="s">
        <v>1816</v>
      </c>
      <c r="L271" t="s">
        <v>1823</v>
      </c>
      <c r="M271" s="39">
        <v>259900</v>
      </c>
      <c r="N271" s="29" t="s">
        <v>2826</v>
      </c>
      <c r="O271" s="36" t="s">
        <v>3218</v>
      </c>
      <c r="P271" s="28" t="s">
        <v>2826</v>
      </c>
    </row>
    <row r="272" spans="1:16" x14ac:dyDescent="0.3">
      <c r="A272" s="25" t="s">
        <v>3219</v>
      </c>
      <c r="B272" s="26">
        <v>46108</v>
      </c>
      <c r="C272" s="26">
        <v>46113</v>
      </c>
      <c r="D272" s="27">
        <v>3319</v>
      </c>
      <c r="E272" s="6">
        <v>327</v>
      </c>
      <c r="F272" s="25">
        <v>2</v>
      </c>
      <c r="G272" s="28">
        <v>1</v>
      </c>
      <c r="H272" s="28">
        <v>81433</v>
      </c>
      <c r="I272" s="28" t="s">
        <v>17</v>
      </c>
      <c r="J272" s="28">
        <v>13838403</v>
      </c>
      <c r="K272" s="38" t="s">
        <v>1816</v>
      </c>
      <c r="L272" t="s">
        <v>1824</v>
      </c>
      <c r="M272" s="39">
        <v>259900</v>
      </c>
      <c r="N272" s="29" t="s">
        <v>2826</v>
      </c>
      <c r="O272" s="36" t="s">
        <v>3218</v>
      </c>
      <c r="P272" s="28" t="s">
        <v>2826</v>
      </c>
    </row>
    <row r="273" spans="1:16" x14ac:dyDescent="0.3">
      <c r="A273" s="25" t="s">
        <v>3219</v>
      </c>
      <c r="B273" s="26">
        <v>46108</v>
      </c>
      <c r="C273" s="26">
        <v>46113</v>
      </c>
      <c r="D273" s="27">
        <v>3319</v>
      </c>
      <c r="E273" s="6">
        <v>327</v>
      </c>
      <c r="F273" s="25">
        <v>2</v>
      </c>
      <c r="G273" s="28">
        <v>1</v>
      </c>
      <c r="H273" s="28">
        <v>81433</v>
      </c>
      <c r="I273" s="28" t="s">
        <v>17</v>
      </c>
      <c r="J273" s="28">
        <v>13838412</v>
      </c>
      <c r="K273" s="38" t="s">
        <v>1816</v>
      </c>
      <c r="L273" t="s">
        <v>1825</v>
      </c>
      <c r="M273" s="39">
        <v>259900</v>
      </c>
      <c r="N273" s="29" t="s">
        <v>2826</v>
      </c>
      <c r="O273" s="36" t="s">
        <v>3218</v>
      </c>
      <c r="P273" s="28" t="s">
        <v>2826</v>
      </c>
    </row>
    <row r="274" spans="1:16" x14ac:dyDescent="0.3">
      <c r="A274" s="25" t="s">
        <v>3219</v>
      </c>
      <c r="B274" s="26">
        <v>46108</v>
      </c>
      <c r="C274" s="26">
        <v>46113</v>
      </c>
      <c r="D274" s="27">
        <v>3319</v>
      </c>
      <c r="E274" s="6">
        <v>327</v>
      </c>
      <c r="F274" s="25">
        <v>2</v>
      </c>
      <c r="G274" s="28">
        <v>1</v>
      </c>
      <c r="H274" s="28">
        <v>81433</v>
      </c>
      <c r="I274" s="28" t="s">
        <v>17</v>
      </c>
      <c r="J274" s="28">
        <v>13838421</v>
      </c>
      <c r="K274" s="38" t="s">
        <v>1816</v>
      </c>
      <c r="L274" t="s">
        <v>1826</v>
      </c>
      <c r="M274" s="39">
        <v>259900</v>
      </c>
      <c r="N274" s="29" t="s">
        <v>2826</v>
      </c>
      <c r="O274" s="36" t="s">
        <v>3218</v>
      </c>
      <c r="P274" s="28" t="s">
        <v>2826</v>
      </c>
    </row>
    <row r="275" spans="1:16" x14ac:dyDescent="0.3">
      <c r="A275" s="25" t="s">
        <v>3219</v>
      </c>
      <c r="B275" s="26">
        <v>46108</v>
      </c>
      <c r="C275" s="26">
        <v>46113</v>
      </c>
      <c r="D275" s="27">
        <v>3319</v>
      </c>
      <c r="E275" s="6">
        <v>327</v>
      </c>
      <c r="F275" s="25">
        <v>2</v>
      </c>
      <c r="G275" s="28">
        <v>1</v>
      </c>
      <c r="H275" s="28">
        <v>81778</v>
      </c>
      <c r="I275" s="28" t="s">
        <v>17</v>
      </c>
      <c r="J275" s="28">
        <v>13838181</v>
      </c>
      <c r="K275" s="38" t="s">
        <v>1838</v>
      </c>
      <c r="L275" t="s">
        <v>1839</v>
      </c>
      <c r="M275" s="39">
        <v>279900</v>
      </c>
      <c r="N275" s="29" t="s">
        <v>2826</v>
      </c>
      <c r="O275" s="36" t="s">
        <v>3218</v>
      </c>
      <c r="P275" s="28" t="s">
        <v>2826</v>
      </c>
    </row>
    <row r="276" spans="1:16" x14ac:dyDescent="0.3">
      <c r="A276" s="25" t="s">
        <v>3219</v>
      </c>
      <c r="B276" s="26">
        <v>46108</v>
      </c>
      <c r="C276" s="26">
        <v>46113</v>
      </c>
      <c r="D276" s="27">
        <v>3319</v>
      </c>
      <c r="E276" s="6">
        <v>327</v>
      </c>
      <c r="F276" s="25">
        <v>2</v>
      </c>
      <c r="G276" s="28">
        <v>1</v>
      </c>
      <c r="H276" s="28">
        <v>81778</v>
      </c>
      <c r="I276" s="28" t="s">
        <v>17</v>
      </c>
      <c r="J276" s="28">
        <v>13838207</v>
      </c>
      <c r="K276" s="38" t="s">
        <v>1838</v>
      </c>
      <c r="L276" t="s">
        <v>1841</v>
      </c>
      <c r="M276" s="39">
        <v>279900</v>
      </c>
      <c r="N276" s="29" t="s">
        <v>2826</v>
      </c>
      <c r="O276" s="36" t="s">
        <v>3218</v>
      </c>
      <c r="P276" s="28" t="s">
        <v>2826</v>
      </c>
    </row>
    <row r="277" spans="1:16" x14ac:dyDescent="0.3">
      <c r="A277" s="25" t="s">
        <v>3219</v>
      </c>
      <c r="B277" s="26">
        <v>46108</v>
      </c>
      <c r="C277" s="26">
        <v>46113</v>
      </c>
      <c r="D277" s="27">
        <v>3319</v>
      </c>
      <c r="E277" s="6">
        <v>327</v>
      </c>
      <c r="F277" s="25">
        <v>2</v>
      </c>
      <c r="G277" s="28">
        <v>1</v>
      </c>
      <c r="H277" s="28">
        <v>81433</v>
      </c>
      <c r="I277" s="28" t="s">
        <v>17</v>
      </c>
      <c r="J277" s="28">
        <v>13839288</v>
      </c>
      <c r="K277" s="38" t="s">
        <v>1889</v>
      </c>
      <c r="L277" t="s">
        <v>1890</v>
      </c>
      <c r="M277" s="39">
        <v>259900</v>
      </c>
      <c r="N277" s="29" t="s">
        <v>2826</v>
      </c>
      <c r="O277" s="36" t="s">
        <v>3218</v>
      </c>
      <c r="P277" s="28" t="s">
        <v>2826</v>
      </c>
    </row>
    <row r="278" spans="1:16" x14ac:dyDescent="0.3">
      <c r="A278" s="25" t="s">
        <v>3219</v>
      </c>
      <c r="B278" s="26">
        <v>46108</v>
      </c>
      <c r="C278" s="26">
        <v>46113</v>
      </c>
      <c r="D278" s="27">
        <v>3319</v>
      </c>
      <c r="E278" s="6">
        <v>327</v>
      </c>
      <c r="F278" s="25">
        <v>2</v>
      </c>
      <c r="G278" s="28">
        <v>1</v>
      </c>
      <c r="H278" s="28">
        <v>81433</v>
      </c>
      <c r="I278" s="28" t="s">
        <v>17</v>
      </c>
      <c r="J278" s="28">
        <v>13839297</v>
      </c>
      <c r="K278" s="38" t="s">
        <v>1889</v>
      </c>
      <c r="L278" t="s">
        <v>1891</v>
      </c>
      <c r="M278" s="39">
        <v>259900</v>
      </c>
      <c r="N278" s="29" t="s">
        <v>2826</v>
      </c>
      <c r="O278" s="36" t="s">
        <v>3218</v>
      </c>
      <c r="P278" s="28" t="s">
        <v>2826</v>
      </c>
    </row>
    <row r="279" spans="1:16" x14ac:dyDescent="0.3">
      <c r="A279" s="25" t="s">
        <v>3219</v>
      </c>
      <c r="B279" s="26">
        <v>46108</v>
      </c>
      <c r="C279" s="26">
        <v>46113</v>
      </c>
      <c r="D279" s="27">
        <v>3319</v>
      </c>
      <c r="E279" s="6">
        <v>327</v>
      </c>
      <c r="F279" s="25">
        <v>2</v>
      </c>
      <c r="G279" s="28">
        <v>1</v>
      </c>
      <c r="H279" s="28">
        <v>81433</v>
      </c>
      <c r="I279" s="28" t="s">
        <v>17</v>
      </c>
      <c r="J279" s="28">
        <v>13839304</v>
      </c>
      <c r="K279" s="38" t="s">
        <v>1889</v>
      </c>
      <c r="L279" t="s">
        <v>1892</v>
      </c>
      <c r="M279" s="39">
        <v>259900</v>
      </c>
      <c r="N279" s="29" t="s">
        <v>2826</v>
      </c>
      <c r="O279" s="36" t="s">
        <v>3218</v>
      </c>
      <c r="P279" s="28" t="s">
        <v>2826</v>
      </c>
    </row>
    <row r="280" spans="1:16" x14ac:dyDescent="0.3">
      <c r="A280" s="25" t="s">
        <v>3219</v>
      </c>
      <c r="B280" s="26">
        <v>46108</v>
      </c>
      <c r="C280" s="26">
        <v>46113</v>
      </c>
      <c r="D280" s="27">
        <v>3319</v>
      </c>
      <c r="E280" s="6">
        <v>327</v>
      </c>
      <c r="F280" s="25">
        <v>2</v>
      </c>
      <c r="G280" s="28">
        <v>1</v>
      </c>
      <c r="H280" s="28">
        <v>81433</v>
      </c>
      <c r="I280" s="28" t="s">
        <v>17</v>
      </c>
      <c r="J280" s="28">
        <v>13839313</v>
      </c>
      <c r="K280" s="38" t="s">
        <v>1889</v>
      </c>
      <c r="L280" t="s">
        <v>1893</v>
      </c>
      <c r="M280" s="39">
        <v>259900</v>
      </c>
      <c r="N280" s="29" t="s">
        <v>2826</v>
      </c>
      <c r="O280" s="36" t="s">
        <v>3218</v>
      </c>
      <c r="P280" s="28" t="s">
        <v>2826</v>
      </c>
    </row>
    <row r="281" spans="1:16" x14ac:dyDescent="0.3">
      <c r="A281" s="25" t="s">
        <v>3219</v>
      </c>
      <c r="B281" s="26">
        <v>46108</v>
      </c>
      <c r="C281" s="26">
        <v>46113</v>
      </c>
      <c r="D281" s="27">
        <v>3319</v>
      </c>
      <c r="E281" s="6">
        <v>327</v>
      </c>
      <c r="F281" s="25">
        <v>2</v>
      </c>
      <c r="G281" s="28">
        <v>1</v>
      </c>
      <c r="H281" s="28">
        <v>81433</v>
      </c>
      <c r="I281" s="28" t="s">
        <v>17</v>
      </c>
      <c r="J281" s="28">
        <v>13839322</v>
      </c>
      <c r="K281" s="38" t="s">
        <v>1889</v>
      </c>
      <c r="L281" t="s">
        <v>1894</v>
      </c>
      <c r="M281" s="39">
        <v>259900</v>
      </c>
      <c r="N281" s="29" t="s">
        <v>2826</v>
      </c>
      <c r="O281" s="36" t="s">
        <v>3218</v>
      </c>
      <c r="P281" s="28" t="s">
        <v>2826</v>
      </c>
    </row>
    <row r="282" spans="1:16" x14ac:dyDescent="0.3">
      <c r="A282" s="25" t="s">
        <v>3219</v>
      </c>
      <c r="B282" s="26">
        <v>46108</v>
      </c>
      <c r="C282" s="26">
        <v>46113</v>
      </c>
      <c r="D282" s="27">
        <v>3319</v>
      </c>
      <c r="E282" s="6">
        <v>327</v>
      </c>
      <c r="F282" s="25">
        <v>2</v>
      </c>
      <c r="G282" s="28">
        <v>1</v>
      </c>
      <c r="H282" s="28">
        <v>81433</v>
      </c>
      <c r="I282" s="28" t="s">
        <v>17</v>
      </c>
      <c r="J282" s="28">
        <v>13839331</v>
      </c>
      <c r="K282" s="38" t="s">
        <v>1889</v>
      </c>
      <c r="L282" t="s">
        <v>1895</v>
      </c>
      <c r="M282" s="39">
        <v>259900</v>
      </c>
      <c r="N282" s="29" t="s">
        <v>2826</v>
      </c>
      <c r="O282" s="36" t="s">
        <v>3218</v>
      </c>
      <c r="P282" s="28" t="s">
        <v>2826</v>
      </c>
    </row>
    <row r="283" spans="1:16" x14ac:dyDescent="0.3">
      <c r="A283" s="25" t="s">
        <v>3219</v>
      </c>
      <c r="B283" s="26">
        <v>46108</v>
      </c>
      <c r="C283" s="26">
        <v>46113</v>
      </c>
      <c r="D283" s="27">
        <v>3319</v>
      </c>
      <c r="E283" s="6">
        <v>327</v>
      </c>
      <c r="F283" s="25">
        <v>2</v>
      </c>
      <c r="G283" s="28">
        <v>1</v>
      </c>
      <c r="H283" s="28">
        <v>81433</v>
      </c>
      <c r="I283" s="28" t="s">
        <v>17</v>
      </c>
      <c r="J283" s="28">
        <v>13839340</v>
      </c>
      <c r="K283" s="38" t="s">
        <v>1889</v>
      </c>
      <c r="L283" t="s">
        <v>1896</v>
      </c>
      <c r="M283" s="39">
        <v>259900</v>
      </c>
      <c r="N283" s="29" t="s">
        <v>2826</v>
      </c>
      <c r="O283" s="36" t="s">
        <v>3218</v>
      </c>
      <c r="P283" s="28" t="s">
        <v>2826</v>
      </c>
    </row>
    <row r="284" spans="1:16" x14ac:dyDescent="0.3">
      <c r="A284" s="25" t="s">
        <v>3219</v>
      </c>
      <c r="B284" s="26">
        <v>46108</v>
      </c>
      <c r="C284" s="26">
        <v>46113</v>
      </c>
      <c r="D284" s="27">
        <v>3319</v>
      </c>
      <c r="E284" s="6">
        <v>327</v>
      </c>
      <c r="F284" s="25">
        <v>2</v>
      </c>
      <c r="G284" s="28">
        <v>1</v>
      </c>
      <c r="H284" s="28">
        <v>81433</v>
      </c>
      <c r="I284" s="28" t="s">
        <v>17</v>
      </c>
      <c r="J284" s="28">
        <v>13839368</v>
      </c>
      <c r="K284" s="38" t="s">
        <v>1889</v>
      </c>
      <c r="L284" t="s">
        <v>1897</v>
      </c>
      <c r="M284" s="39">
        <v>259900</v>
      </c>
      <c r="N284" s="29" t="s">
        <v>2826</v>
      </c>
      <c r="O284" s="36" t="s">
        <v>3218</v>
      </c>
      <c r="P284" s="28" t="s">
        <v>2826</v>
      </c>
    </row>
    <row r="285" spans="1:16" x14ac:dyDescent="0.3">
      <c r="A285" s="25" t="s">
        <v>3219</v>
      </c>
      <c r="B285" s="26">
        <v>46108</v>
      </c>
      <c r="C285" s="26">
        <v>46113</v>
      </c>
      <c r="D285" s="27">
        <v>3319</v>
      </c>
      <c r="E285" s="6">
        <v>327</v>
      </c>
      <c r="F285" s="25">
        <v>2</v>
      </c>
      <c r="G285" s="28">
        <v>1</v>
      </c>
      <c r="H285" s="28">
        <v>81433</v>
      </c>
      <c r="I285" s="28" t="s">
        <v>17</v>
      </c>
      <c r="J285" s="28">
        <v>13839377</v>
      </c>
      <c r="K285" s="38" t="s">
        <v>1889</v>
      </c>
      <c r="L285" t="s">
        <v>1898</v>
      </c>
      <c r="M285" s="39">
        <v>259900</v>
      </c>
      <c r="N285" s="29" t="s">
        <v>2826</v>
      </c>
      <c r="O285" s="36" t="s">
        <v>3218</v>
      </c>
      <c r="P285" s="28" t="s">
        <v>2826</v>
      </c>
    </row>
    <row r="286" spans="1:16" x14ac:dyDescent="0.3">
      <c r="A286" s="25" t="s">
        <v>3219</v>
      </c>
      <c r="B286" s="26">
        <v>46108</v>
      </c>
      <c r="C286" s="26">
        <v>46113</v>
      </c>
      <c r="D286" s="27">
        <v>3319</v>
      </c>
      <c r="E286" s="6">
        <v>327</v>
      </c>
      <c r="F286" s="25">
        <v>2</v>
      </c>
      <c r="G286" s="28">
        <v>1</v>
      </c>
      <c r="H286" s="28">
        <v>81433</v>
      </c>
      <c r="I286" s="28" t="s">
        <v>17</v>
      </c>
      <c r="J286" s="28">
        <v>13839359</v>
      </c>
      <c r="K286" s="38" t="s">
        <v>1889</v>
      </c>
      <c r="L286" t="s">
        <v>1899</v>
      </c>
      <c r="M286" s="39">
        <v>259900</v>
      </c>
      <c r="N286" s="29" t="s">
        <v>2826</v>
      </c>
      <c r="O286" s="36" t="s">
        <v>3218</v>
      </c>
      <c r="P286" s="28" t="s">
        <v>2826</v>
      </c>
    </row>
    <row r="287" spans="1:16" x14ac:dyDescent="0.3">
      <c r="A287" s="25" t="s">
        <v>3219</v>
      </c>
      <c r="B287" s="26">
        <v>46108</v>
      </c>
      <c r="C287" s="26">
        <v>46113</v>
      </c>
      <c r="D287" s="27">
        <v>3319</v>
      </c>
      <c r="E287" s="6">
        <v>327</v>
      </c>
      <c r="F287" s="25">
        <v>2</v>
      </c>
      <c r="G287" s="28">
        <v>1</v>
      </c>
      <c r="H287" s="28">
        <v>81433</v>
      </c>
      <c r="I287" s="28" t="s">
        <v>17</v>
      </c>
      <c r="J287" s="28">
        <v>81119704</v>
      </c>
      <c r="K287" s="38" t="s">
        <v>1917</v>
      </c>
      <c r="L287" t="s">
        <v>1923</v>
      </c>
      <c r="M287" s="39">
        <v>259900</v>
      </c>
      <c r="N287" s="29" t="s">
        <v>2826</v>
      </c>
      <c r="O287" s="36" t="s">
        <v>3218</v>
      </c>
      <c r="P287" s="28" t="s">
        <v>2826</v>
      </c>
    </row>
    <row r="288" spans="1:16" x14ac:dyDescent="0.3">
      <c r="A288" s="25" t="s">
        <v>3219</v>
      </c>
      <c r="B288" s="26">
        <v>46108</v>
      </c>
      <c r="C288" s="26">
        <v>46113</v>
      </c>
      <c r="D288" s="27">
        <v>3319</v>
      </c>
      <c r="E288" s="6">
        <v>327</v>
      </c>
      <c r="F288" s="25">
        <v>2</v>
      </c>
      <c r="G288" s="28">
        <v>1</v>
      </c>
      <c r="H288" s="28">
        <v>81433</v>
      </c>
      <c r="I288" s="28" t="s">
        <v>17</v>
      </c>
      <c r="J288" s="28">
        <v>81119713</v>
      </c>
      <c r="K288" s="38" t="s">
        <v>1917</v>
      </c>
      <c r="L288" t="s">
        <v>1924</v>
      </c>
      <c r="M288" s="39">
        <v>259900</v>
      </c>
      <c r="N288" s="29" t="s">
        <v>2826</v>
      </c>
      <c r="O288" s="36" t="s">
        <v>3218</v>
      </c>
      <c r="P288" s="28" t="s">
        <v>2826</v>
      </c>
    </row>
    <row r="289" spans="1:16" x14ac:dyDescent="0.3">
      <c r="A289" s="25" t="s">
        <v>3219</v>
      </c>
      <c r="B289" s="26">
        <v>46108</v>
      </c>
      <c r="C289" s="26">
        <v>46113</v>
      </c>
      <c r="D289" s="27">
        <v>3319</v>
      </c>
      <c r="E289" s="6">
        <v>327</v>
      </c>
      <c r="F289" s="25">
        <v>2</v>
      </c>
      <c r="G289" s="28">
        <v>1</v>
      </c>
      <c r="H289" s="28">
        <v>81433</v>
      </c>
      <c r="I289" s="28" t="s">
        <v>17</v>
      </c>
      <c r="J289" s="28">
        <v>81119722</v>
      </c>
      <c r="K289" s="38" t="s">
        <v>1917</v>
      </c>
      <c r="L289" t="s">
        <v>1925</v>
      </c>
      <c r="M289" s="39">
        <v>259900</v>
      </c>
      <c r="N289" s="29" t="s">
        <v>2826</v>
      </c>
      <c r="O289" s="36" t="s">
        <v>3218</v>
      </c>
      <c r="P289" s="28" t="s">
        <v>2826</v>
      </c>
    </row>
    <row r="290" spans="1:16" x14ac:dyDescent="0.3">
      <c r="A290" s="25" t="s">
        <v>3219</v>
      </c>
      <c r="B290" s="26">
        <v>46108</v>
      </c>
      <c r="C290" s="26">
        <v>46113</v>
      </c>
      <c r="D290" s="27">
        <v>3319</v>
      </c>
      <c r="E290" s="6">
        <v>327</v>
      </c>
      <c r="F290" s="25">
        <v>2</v>
      </c>
      <c r="G290" s="28">
        <v>1</v>
      </c>
      <c r="H290" s="28">
        <v>81433</v>
      </c>
      <c r="I290" s="28" t="s">
        <v>17</v>
      </c>
      <c r="J290" s="28">
        <v>81119731</v>
      </c>
      <c r="K290" s="38" t="s">
        <v>1917</v>
      </c>
      <c r="L290" t="s">
        <v>1926</v>
      </c>
      <c r="M290" s="39">
        <v>259900</v>
      </c>
      <c r="N290" s="29" t="s">
        <v>2826</v>
      </c>
      <c r="O290" s="36" t="s">
        <v>3218</v>
      </c>
      <c r="P290" s="28" t="s">
        <v>2826</v>
      </c>
    </row>
    <row r="291" spans="1:16" x14ac:dyDescent="0.3">
      <c r="A291" s="25" t="s">
        <v>3219</v>
      </c>
      <c r="B291" s="26">
        <v>46108</v>
      </c>
      <c r="C291" s="26">
        <v>46113</v>
      </c>
      <c r="D291" s="27">
        <v>3319</v>
      </c>
      <c r="E291" s="6">
        <v>327</v>
      </c>
      <c r="F291" s="25">
        <v>2</v>
      </c>
      <c r="G291" s="28">
        <v>1</v>
      </c>
      <c r="H291" s="28">
        <v>81433</v>
      </c>
      <c r="I291" s="28" t="s">
        <v>17</v>
      </c>
      <c r="J291" s="28">
        <v>81119740</v>
      </c>
      <c r="K291" s="38" t="s">
        <v>1917</v>
      </c>
      <c r="L291" t="s">
        <v>1927</v>
      </c>
      <c r="M291" s="39">
        <v>259900</v>
      </c>
      <c r="N291" s="29" t="s">
        <v>2826</v>
      </c>
      <c r="O291" s="36" t="s">
        <v>3218</v>
      </c>
      <c r="P291" s="28" t="s">
        <v>2826</v>
      </c>
    </row>
    <row r="292" spans="1:16" x14ac:dyDescent="0.3">
      <c r="A292" s="25" t="s">
        <v>3219</v>
      </c>
      <c r="B292" s="26">
        <v>46108</v>
      </c>
      <c r="C292" s="26">
        <v>46113</v>
      </c>
      <c r="D292" s="25">
        <v>3319</v>
      </c>
      <c r="E292" s="25">
        <v>327</v>
      </c>
      <c r="F292" s="25">
        <v>2</v>
      </c>
      <c r="G292" s="28">
        <v>1</v>
      </c>
      <c r="H292" s="28">
        <v>81433</v>
      </c>
      <c r="I292" s="28" t="s">
        <v>17</v>
      </c>
      <c r="J292" s="28">
        <v>66146472</v>
      </c>
      <c r="K292" t="s">
        <v>1407</v>
      </c>
      <c r="L292" t="s">
        <v>1703</v>
      </c>
      <c r="M292" s="39">
        <v>279900</v>
      </c>
      <c r="N292" s="29" t="s">
        <v>2826</v>
      </c>
      <c r="O292" s="36" t="s">
        <v>3218</v>
      </c>
      <c r="P292" s="28" t="s">
        <v>2826</v>
      </c>
    </row>
    <row r="293" spans="1:16" x14ac:dyDescent="0.3">
      <c r="A293" s="25" t="s">
        <v>3219</v>
      </c>
      <c r="B293" s="26">
        <v>46108</v>
      </c>
      <c r="C293" s="26">
        <v>46113</v>
      </c>
      <c r="D293" s="25">
        <v>3319</v>
      </c>
      <c r="E293" s="25">
        <v>327</v>
      </c>
      <c r="F293" s="25">
        <v>2</v>
      </c>
      <c r="G293" s="28">
        <v>1</v>
      </c>
      <c r="H293" s="28">
        <v>81433</v>
      </c>
      <c r="I293" s="28" t="s">
        <v>17</v>
      </c>
      <c r="J293" s="28">
        <v>66146454</v>
      </c>
      <c r="K293" t="s">
        <v>1407</v>
      </c>
      <c r="L293" t="s">
        <v>1704</v>
      </c>
      <c r="M293" s="39">
        <v>279900</v>
      </c>
      <c r="N293" s="29" t="s">
        <v>2826</v>
      </c>
      <c r="O293" s="36" t="s">
        <v>3218</v>
      </c>
      <c r="P293" s="28" t="s">
        <v>2826</v>
      </c>
    </row>
    <row r="294" spans="1:16" x14ac:dyDescent="0.3">
      <c r="A294" s="25" t="s">
        <v>3219</v>
      </c>
      <c r="B294" s="26">
        <v>46108</v>
      </c>
      <c r="C294" s="26">
        <v>46113</v>
      </c>
      <c r="D294" s="25">
        <v>3319</v>
      </c>
      <c r="E294" s="25">
        <v>327</v>
      </c>
      <c r="F294" s="25">
        <v>2</v>
      </c>
      <c r="G294" s="28">
        <v>1</v>
      </c>
      <c r="H294" s="28">
        <v>81433</v>
      </c>
      <c r="I294" s="28" t="s">
        <v>17</v>
      </c>
      <c r="J294" s="28">
        <v>66146445</v>
      </c>
      <c r="K294" t="s">
        <v>1407</v>
      </c>
      <c r="L294" t="s">
        <v>1705</v>
      </c>
      <c r="M294" s="39">
        <v>279900</v>
      </c>
      <c r="N294" s="29" t="s">
        <v>2826</v>
      </c>
      <c r="O294" s="36" t="s">
        <v>3218</v>
      </c>
      <c r="P294" s="28" t="s">
        <v>2826</v>
      </c>
    </row>
    <row r="295" spans="1:16" x14ac:dyDescent="0.3">
      <c r="A295" s="25" t="s">
        <v>3219</v>
      </c>
      <c r="B295" s="26">
        <v>46108</v>
      </c>
      <c r="C295" s="26">
        <v>46113</v>
      </c>
      <c r="D295" s="25">
        <v>3319</v>
      </c>
      <c r="E295" s="25">
        <v>327</v>
      </c>
      <c r="F295" s="25">
        <v>2</v>
      </c>
      <c r="G295" s="28">
        <v>1</v>
      </c>
      <c r="H295" s="28">
        <v>81433</v>
      </c>
      <c r="I295" s="28" t="s">
        <v>17</v>
      </c>
      <c r="J295" s="28">
        <v>66146463</v>
      </c>
      <c r="K295" t="s">
        <v>1407</v>
      </c>
      <c r="L295" t="s">
        <v>1706</v>
      </c>
      <c r="M295" s="39">
        <v>279900</v>
      </c>
      <c r="N295" s="29" t="s">
        <v>2826</v>
      </c>
      <c r="O295" s="36" t="s">
        <v>3218</v>
      </c>
      <c r="P295" s="28" t="s">
        <v>2826</v>
      </c>
    </row>
    <row r="296" spans="1:16" x14ac:dyDescent="0.3">
      <c r="A296" s="25" t="s">
        <v>3219</v>
      </c>
      <c r="B296" s="26">
        <v>46108</v>
      </c>
      <c r="C296" s="26">
        <v>46113</v>
      </c>
      <c r="D296" s="25">
        <v>3319</v>
      </c>
      <c r="E296" s="25">
        <v>327</v>
      </c>
      <c r="F296" s="25">
        <v>2</v>
      </c>
      <c r="G296" s="28">
        <v>1</v>
      </c>
      <c r="H296" s="28">
        <v>81433</v>
      </c>
      <c r="I296" s="28" t="s">
        <v>17</v>
      </c>
      <c r="J296" s="28">
        <v>66146481</v>
      </c>
      <c r="K296" t="s">
        <v>1407</v>
      </c>
      <c r="L296" t="s">
        <v>1707</v>
      </c>
      <c r="M296" s="39">
        <v>279900</v>
      </c>
      <c r="N296" s="29" t="s">
        <v>2826</v>
      </c>
      <c r="O296" s="36" t="s">
        <v>3218</v>
      </c>
      <c r="P296" s="28" t="s">
        <v>2826</v>
      </c>
    </row>
  </sheetData>
  <autoFilter ref="A1:Q101" xr:uid="{76876888-DEB8-404B-AAB6-CD1D118DF904}"/>
  <phoneticPr fontId="14" type="noConversion"/>
  <conditionalFormatting sqref="J1">
    <cfRule type="duplicateValues" dxfId="205" priority="63"/>
    <cfRule type="duplicateValues" dxfId="204" priority="64"/>
    <cfRule type="duplicateValues" dxfId="203" priority="65"/>
    <cfRule type="duplicateValues" dxfId="202" priority="66"/>
    <cfRule type="duplicateValues" dxfId="201" priority="67"/>
    <cfRule type="duplicateValues" dxfId="200" priority="68"/>
    <cfRule type="duplicateValues" dxfId="199" priority="69"/>
    <cfRule type="duplicateValues" dxfId="198" priority="70"/>
    <cfRule type="duplicateValues" dxfId="197" priority="71"/>
  </conditionalFormatting>
  <conditionalFormatting sqref="J57:J65">
    <cfRule type="duplicateValues" dxfId="196" priority="77"/>
    <cfRule type="duplicateValues" dxfId="195" priority="78"/>
    <cfRule type="duplicateValues" dxfId="194" priority="79"/>
  </conditionalFormatting>
  <conditionalFormatting sqref="J66">
    <cfRule type="duplicateValues" dxfId="193" priority="60"/>
    <cfRule type="duplicateValues" dxfId="192" priority="61"/>
    <cfRule type="duplicateValues" dxfId="191" priority="62"/>
  </conditionalFormatting>
  <conditionalFormatting sqref="J67:J71">
    <cfRule type="duplicateValues" dxfId="190" priority="72"/>
    <cfRule type="duplicateValues" dxfId="189" priority="73"/>
    <cfRule type="duplicateValues" dxfId="188" priority="74"/>
    <cfRule type="duplicateValues" dxfId="187" priority="75"/>
    <cfRule type="duplicateValues" dxfId="186" priority="76"/>
  </conditionalFormatting>
  <conditionalFormatting sqref="J72:J81 J2:J56">
    <cfRule type="duplicateValues" dxfId="185" priority="83"/>
    <cfRule type="duplicateValues" dxfId="184" priority="84"/>
    <cfRule type="duplicateValues" dxfId="183" priority="85"/>
    <cfRule type="duplicateValues" dxfId="182" priority="86"/>
  </conditionalFormatting>
  <conditionalFormatting sqref="J82:J101">
    <cfRule type="duplicateValues" dxfId="181" priority="518"/>
    <cfRule type="duplicateValues" dxfId="180" priority="519"/>
    <cfRule type="duplicateValues" dxfId="179" priority="520"/>
  </conditionalFormatting>
  <conditionalFormatting sqref="J102:J111">
    <cfRule type="duplicateValues" dxfId="178" priority="56"/>
    <cfRule type="duplicateValues" dxfId="177" priority="57"/>
    <cfRule type="duplicateValues" dxfId="176" priority="58"/>
    <cfRule type="duplicateValues" dxfId="175" priority="59"/>
  </conditionalFormatting>
  <conditionalFormatting sqref="J112:J116">
    <cfRule type="duplicateValues" dxfId="174" priority="50"/>
    <cfRule type="duplicateValues" dxfId="173" priority="51"/>
    <cfRule type="duplicateValues" dxfId="172" priority="52"/>
    <cfRule type="duplicateValues" dxfId="171" priority="53"/>
    <cfRule type="duplicateValues" dxfId="170" priority="54"/>
  </conditionalFormatting>
  <conditionalFormatting sqref="J117:J126">
    <cfRule type="duplicateValues" dxfId="169" priority="45"/>
    <cfRule type="duplicateValues" dxfId="168" priority="46"/>
    <cfRule type="duplicateValues" dxfId="167" priority="47"/>
    <cfRule type="duplicateValues" dxfId="166" priority="48"/>
    <cfRule type="duplicateValues" dxfId="165" priority="49"/>
  </conditionalFormatting>
  <conditionalFormatting sqref="J127:J131">
    <cfRule type="duplicateValues" dxfId="164" priority="40"/>
    <cfRule type="duplicateValues" dxfId="163" priority="41"/>
    <cfRule type="duplicateValues" dxfId="162" priority="42"/>
    <cfRule type="duplicateValues" dxfId="161" priority="43"/>
    <cfRule type="duplicateValues" dxfId="160" priority="44"/>
  </conditionalFormatting>
  <conditionalFormatting sqref="J132:J141 J102:J111">
    <cfRule type="duplicateValues" dxfId="159" priority="55"/>
  </conditionalFormatting>
  <conditionalFormatting sqref="J142:J151">
    <cfRule type="duplicateValues" dxfId="158" priority="31"/>
    <cfRule type="duplicateValues" dxfId="157" priority="32"/>
    <cfRule type="duplicateValues" dxfId="156" priority="33"/>
    <cfRule type="duplicateValues" dxfId="155" priority="34"/>
    <cfRule type="duplicateValues" dxfId="154" priority="35"/>
  </conditionalFormatting>
  <conditionalFormatting sqref="J152:J161">
    <cfRule type="duplicateValues" dxfId="153" priority="26"/>
    <cfRule type="duplicateValues" dxfId="152" priority="27"/>
    <cfRule type="duplicateValues" dxfId="151" priority="28"/>
    <cfRule type="duplicateValues" dxfId="150" priority="29"/>
    <cfRule type="duplicateValues" dxfId="149" priority="30"/>
  </conditionalFormatting>
  <conditionalFormatting sqref="J162:J196">
    <cfRule type="duplicateValues" dxfId="148" priority="36"/>
    <cfRule type="duplicateValues" dxfId="147" priority="37"/>
    <cfRule type="duplicateValues" dxfId="146" priority="38"/>
    <cfRule type="duplicateValues" dxfId="145" priority="39"/>
  </conditionalFormatting>
  <conditionalFormatting sqref="J197:J255">
    <cfRule type="duplicateValues" dxfId="144" priority="16"/>
  </conditionalFormatting>
  <conditionalFormatting sqref="J197:J265">
    <cfRule type="duplicateValues" dxfId="143" priority="5"/>
  </conditionalFormatting>
  <conditionalFormatting sqref="J256:J260">
    <cfRule type="duplicateValues" dxfId="142" priority="11"/>
    <cfRule type="duplicateValues" dxfId="141" priority="12"/>
    <cfRule type="duplicateValues" dxfId="140" priority="13"/>
    <cfRule type="duplicateValues" dxfId="139" priority="14"/>
    <cfRule type="duplicateValues" dxfId="138" priority="15"/>
  </conditionalFormatting>
  <conditionalFormatting sqref="J261:J265">
    <cfRule type="duplicateValues" dxfId="137" priority="6"/>
    <cfRule type="duplicateValues" dxfId="136" priority="7"/>
    <cfRule type="duplicateValues" dxfId="135" priority="8"/>
    <cfRule type="duplicateValues" dxfId="134" priority="9"/>
    <cfRule type="duplicateValues" dxfId="133" priority="10"/>
  </conditionalFormatting>
  <conditionalFormatting sqref="J266:J267">
    <cfRule type="duplicateValues" dxfId="132" priority="17"/>
  </conditionalFormatting>
  <conditionalFormatting sqref="J266:J291">
    <cfRule type="duplicateValues" dxfId="131" priority="25"/>
  </conditionalFormatting>
  <conditionalFormatting sqref="J268">
    <cfRule type="duplicateValues" dxfId="130" priority="18"/>
    <cfRule type="duplicateValues" dxfId="129" priority="19"/>
    <cfRule type="duplicateValues" dxfId="128" priority="20"/>
  </conditionalFormatting>
  <conditionalFormatting sqref="J269">
    <cfRule type="duplicateValues" dxfId="127" priority="21"/>
    <cfRule type="duplicateValues" dxfId="126" priority="22"/>
  </conditionalFormatting>
  <conditionalFormatting sqref="J270:J291">
    <cfRule type="duplicateValues" dxfId="125" priority="23"/>
    <cfRule type="duplicateValues" dxfId="124" priority="24"/>
  </conditionalFormatting>
  <conditionalFormatting sqref="J292:J296">
    <cfRule type="duplicateValues" dxfId="123" priority="1"/>
    <cfRule type="duplicateValues" dxfId="122" priority="2"/>
    <cfRule type="duplicateValues" dxfId="121" priority="3"/>
    <cfRule type="duplicateValues" dxfId="120" priority="4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91"/>
  <sheetViews>
    <sheetView zoomScale="85" zoomScaleNormal="85" workbookViewId="0">
      <selection activeCell="B11" sqref="B11"/>
    </sheetView>
  </sheetViews>
  <sheetFormatPr defaultRowHeight="14.4" x14ac:dyDescent="0.3"/>
  <cols>
    <col min="1" max="1" width="29.33203125" style="28" customWidth="1"/>
    <col min="2" max="3" width="11.6640625" style="28" customWidth="1"/>
    <col min="4" max="5" width="8.6640625" customWidth="1"/>
    <col min="6" max="7" width="8.6640625" style="28" customWidth="1"/>
    <col min="8" max="11" width="11.6640625" style="28" customWidth="1"/>
    <col min="12" max="12" width="50" customWidth="1"/>
    <col min="13" max="13" width="15.6640625" style="37" customWidth="1"/>
    <col min="14" max="14" width="8.6640625" style="28" customWidth="1"/>
    <col min="15" max="15" width="24.5546875" style="37" customWidth="1"/>
    <col min="16" max="16" width="15.6640625" customWidth="1"/>
  </cols>
  <sheetData>
    <row r="1" spans="1:16" ht="30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1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25" t="s">
        <v>3211</v>
      </c>
      <c r="B2" s="26">
        <v>46108</v>
      </c>
      <c r="C2" s="26">
        <v>46113</v>
      </c>
      <c r="D2" s="6">
        <v>3319</v>
      </c>
      <c r="E2" s="6">
        <v>327</v>
      </c>
      <c r="F2" s="25">
        <v>2</v>
      </c>
      <c r="G2" s="28">
        <v>1</v>
      </c>
      <c r="H2" s="28">
        <v>81433</v>
      </c>
      <c r="I2" s="28" t="s">
        <v>17</v>
      </c>
      <c r="J2" s="28">
        <v>33219857</v>
      </c>
      <c r="K2" s="28" t="s">
        <v>1797</v>
      </c>
      <c r="L2" t="s">
        <v>1798</v>
      </c>
      <c r="M2" s="39">
        <v>259900</v>
      </c>
      <c r="N2" s="29" t="s">
        <v>2826</v>
      </c>
      <c r="O2" s="36" t="s">
        <v>3212</v>
      </c>
      <c r="P2" s="28" t="s">
        <v>2826</v>
      </c>
    </row>
    <row r="3" spans="1:16" x14ac:dyDescent="0.3">
      <c r="A3" s="25" t="s">
        <v>3211</v>
      </c>
      <c r="B3" s="26">
        <v>46108</v>
      </c>
      <c r="C3" s="26">
        <v>46113</v>
      </c>
      <c r="D3" s="6">
        <v>3319</v>
      </c>
      <c r="E3" s="6">
        <v>327</v>
      </c>
      <c r="F3" s="25">
        <v>2</v>
      </c>
      <c r="G3" s="28">
        <v>1</v>
      </c>
      <c r="H3" s="28">
        <v>81433</v>
      </c>
      <c r="I3" s="28" t="s">
        <v>17</v>
      </c>
      <c r="J3" s="28">
        <v>33219866</v>
      </c>
      <c r="K3" s="28" t="s">
        <v>1797</v>
      </c>
      <c r="L3" t="s">
        <v>1799</v>
      </c>
      <c r="M3" s="39">
        <v>259900</v>
      </c>
      <c r="N3" s="29" t="s">
        <v>2826</v>
      </c>
      <c r="O3" s="36" t="s">
        <v>3212</v>
      </c>
      <c r="P3" s="28" t="s">
        <v>2826</v>
      </c>
    </row>
    <row r="4" spans="1:16" x14ac:dyDescent="0.3">
      <c r="A4" s="25" t="s">
        <v>3211</v>
      </c>
      <c r="B4" s="26">
        <v>46108</v>
      </c>
      <c r="C4" s="26">
        <v>46113</v>
      </c>
      <c r="D4" s="6">
        <v>3319</v>
      </c>
      <c r="E4" s="6">
        <v>327</v>
      </c>
      <c r="F4" s="25">
        <v>2</v>
      </c>
      <c r="G4" s="28">
        <v>1</v>
      </c>
      <c r="H4" s="28">
        <v>81433</v>
      </c>
      <c r="I4" s="28" t="s">
        <v>17</v>
      </c>
      <c r="J4" s="28">
        <v>33219875</v>
      </c>
      <c r="K4" s="28" t="s">
        <v>1797</v>
      </c>
      <c r="L4" t="s">
        <v>1801</v>
      </c>
      <c r="M4" s="39">
        <v>259900</v>
      </c>
      <c r="N4" s="29" t="s">
        <v>2826</v>
      </c>
      <c r="O4" s="36" t="s">
        <v>3212</v>
      </c>
      <c r="P4" s="28" t="s">
        <v>2826</v>
      </c>
    </row>
    <row r="5" spans="1:16" x14ac:dyDescent="0.3">
      <c r="A5" s="25" t="s">
        <v>3211</v>
      </c>
      <c r="B5" s="26">
        <v>46108</v>
      </c>
      <c r="C5" s="26">
        <v>46113</v>
      </c>
      <c r="D5" s="6">
        <v>3319</v>
      </c>
      <c r="E5" s="6">
        <v>327</v>
      </c>
      <c r="F5" s="25">
        <v>2</v>
      </c>
      <c r="G5" s="28">
        <v>1</v>
      </c>
      <c r="H5" s="28">
        <v>81433</v>
      </c>
      <c r="I5" s="28" t="s">
        <v>17</v>
      </c>
      <c r="J5" s="28">
        <v>33219884</v>
      </c>
      <c r="K5" s="28" t="s">
        <v>1797</v>
      </c>
      <c r="L5" t="s">
        <v>1802</v>
      </c>
      <c r="M5" s="39">
        <v>259900</v>
      </c>
      <c r="N5" s="29" t="s">
        <v>2826</v>
      </c>
      <c r="O5" s="36" t="s">
        <v>3212</v>
      </c>
      <c r="P5" s="28" t="s">
        <v>2826</v>
      </c>
    </row>
    <row r="6" spans="1:16" x14ac:dyDescent="0.3">
      <c r="A6" s="25" t="s">
        <v>3211</v>
      </c>
      <c r="B6" s="26">
        <v>46108</v>
      </c>
      <c r="C6" s="26">
        <v>46113</v>
      </c>
      <c r="D6" s="6">
        <v>3319</v>
      </c>
      <c r="E6" s="6">
        <v>327</v>
      </c>
      <c r="F6" s="25">
        <v>2</v>
      </c>
      <c r="G6" s="28">
        <v>1</v>
      </c>
      <c r="H6" s="28">
        <v>81433</v>
      </c>
      <c r="I6" s="28" t="s">
        <v>17</v>
      </c>
      <c r="J6" s="28">
        <v>33219893</v>
      </c>
      <c r="K6" s="28" t="s">
        <v>1797</v>
      </c>
      <c r="L6" t="s">
        <v>1806</v>
      </c>
      <c r="M6" s="39">
        <v>259900</v>
      </c>
      <c r="N6" s="29" t="s">
        <v>2826</v>
      </c>
      <c r="O6" s="36" t="s">
        <v>3212</v>
      </c>
      <c r="P6" s="28" t="s">
        <v>2826</v>
      </c>
    </row>
    <row r="7" spans="1:16" x14ac:dyDescent="0.3">
      <c r="A7" s="25" t="s">
        <v>3211</v>
      </c>
      <c r="B7" s="26">
        <v>46108</v>
      </c>
      <c r="C7" s="26">
        <v>46113</v>
      </c>
      <c r="D7" s="6">
        <v>3319</v>
      </c>
      <c r="E7" s="6">
        <v>327</v>
      </c>
      <c r="F7" s="25">
        <v>2</v>
      </c>
      <c r="G7" s="28">
        <v>1</v>
      </c>
      <c r="H7" s="28">
        <v>81433</v>
      </c>
      <c r="I7" s="28" t="s">
        <v>17</v>
      </c>
      <c r="J7" s="28">
        <v>81119651</v>
      </c>
      <c r="K7" s="28" t="s">
        <v>1917</v>
      </c>
      <c r="L7" t="s">
        <v>1918</v>
      </c>
      <c r="M7" s="39">
        <v>259900</v>
      </c>
      <c r="N7" s="29" t="s">
        <v>2826</v>
      </c>
      <c r="O7" s="36" t="s">
        <v>3212</v>
      </c>
      <c r="P7" s="28" t="s">
        <v>2826</v>
      </c>
    </row>
    <row r="8" spans="1:16" x14ac:dyDescent="0.3">
      <c r="A8" s="25" t="s">
        <v>3211</v>
      </c>
      <c r="B8" s="26">
        <v>46108</v>
      </c>
      <c r="C8" s="26">
        <v>46113</v>
      </c>
      <c r="D8" s="6">
        <v>3319</v>
      </c>
      <c r="E8" s="6">
        <v>327</v>
      </c>
      <c r="F8" s="25">
        <v>2</v>
      </c>
      <c r="G8" s="28">
        <v>1</v>
      </c>
      <c r="H8" s="28">
        <v>81433</v>
      </c>
      <c r="I8" s="28" t="s">
        <v>17</v>
      </c>
      <c r="J8" s="28">
        <v>81119660</v>
      </c>
      <c r="K8" s="28" t="s">
        <v>1917</v>
      </c>
      <c r="L8" t="s">
        <v>1919</v>
      </c>
      <c r="M8" s="39">
        <v>259900</v>
      </c>
      <c r="N8" s="29" t="s">
        <v>2826</v>
      </c>
      <c r="O8" s="36" t="s">
        <v>3212</v>
      </c>
      <c r="P8" s="28" t="s">
        <v>2826</v>
      </c>
    </row>
    <row r="9" spans="1:16" x14ac:dyDescent="0.3">
      <c r="A9" s="25" t="s">
        <v>3211</v>
      </c>
      <c r="B9" s="26">
        <v>46108</v>
      </c>
      <c r="C9" s="26">
        <v>46113</v>
      </c>
      <c r="D9" s="6">
        <v>3319</v>
      </c>
      <c r="E9" s="6">
        <v>327</v>
      </c>
      <c r="F9" s="25">
        <v>2</v>
      </c>
      <c r="G9" s="28">
        <v>1</v>
      </c>
      <c r="H9" s="28">
        <v>81433</v>
      </c>
      <c r="I9" s="28" t="s">
        <v>17</v>
      </c>
      <c r="J9" s="28">
        <v>81119679</v>
      </c>
      <c r="K9" s="28" t="s">
        <v>1917</v>
      </c>
      <c r="L9" t="s">
        <v>1920</v>
      </c>
      <c r="M9" s="39">
        <v>259900</v>
      </c>
      <c r="N9" s="29" t="s">
        <v>2826</v>
      </c>
      <c r="O9" s="36" t="s">
        <v>3212</v>
      </c>
      <c r="P9" s="28" t="s">
        <v>2826</v>
      </c>
    </row>
    <row r="10" spans="1:16" x14ac:dyDescent="0.3">
      <c r="A10" s="25" t="s">
        <v>3211</v>
      </c>
      <c r="B10" s="26">
        <v>46108</v>
      </c>
      <c r="C10" s="26">
        <v>46113</v>
      </c>
      <c r="D10" s="6">
        <v>3319</v>
      </c>
      <c r="E10" s="6">
        <v>327</v>
      </c>
      <c r="F10" s="25">
        <v>2</v>
      </c>
      <c r="G10" s="28">
        <v>1</v>
      </c>
      <c r="H10" s="28">
        <v>81433</v>
      </c>
      <c r="I10" s="28" t="s">
        <v>17</v>
      </c>
      <c r="J10" s="28">
        <v>81119688</v>
      </c>
      <c r="K10" s="28" t="s">
        <v>1917</v>
      </c>
      <c r="L10" t="s">
        <v>1921</v>
      </c>
      <c r="M10" s="39">
        <v>259900</v>
      </c>
      <c r="N10" s="29" t="s">
        <v>2826</v>
      </c>
      <c r="O10" s="36" t="s">
        <v>3212</v>
      </c>
      <c r="P10" s="28" t="s">
        <v>2826</v>
      </c>
    </row>
    <row r="11" spans="1:16" x14ac:dyDescent="0.3">
      <c r="A11" s="25" t="s">
        <v>3211</v>
      </c>
      <c r="B11" s="26">
        <v>46108</v>
      </c>
      <c r="C11" s="26">
        <v>46113</v>
      </c>
      <c r="D11" s="6">
        <v>3319</v>
      </c>
      <c r="E11" s="6">
        <v>327</v>
      </c>
      <c r="F11" s="25">
        <v>2</v>
      </c>
      <c r="G11" s="28">
        <v>1</v>
      </c>
      <c r="H11" s="28">
        <v>81433</v>
      </c>
      <c r="I11" s="28" t="s">
        <v>17</v>
      </c>
      <c r="J11" s="28">
        <v>81119697</v>
      </c>
      <c r="K11" s="28" t="s">
        <v>1917</v>
      </c>
      <c r="L11" t="s">
        <v>1922</v>
      </c>
      <c r="M11" s="39">
        <v>259900</v>
      </c>
      <c r="N11" s="29" t="s">
        <v>2826</v>
      </c>
      <c r="O11" s="36" t="s">
        <v>3212</v>
      </c>
      <c r="P11" s="28" t="s">
        <v>2826</v>
      </c>
    </row>
    <row r="12" spans="1:16" x14ac:dyDescent="0.3">
      <c r="A12" s="25" t="s">
        <v>3211</v>
      </c>
      <c r="B12" s="26">
        <v>46108</v>
      </c>
      <c r="C12" s="26">
        <v>46113</v>
      </c>
      <c r="D12" s="6">
        <v>3319</v>
      </c>
      <c r="E12" s="6">
        <v>327</v>
      </c>
      <c r="F12" s="25">
        <v>2</v>
      </c>
      <c r="G12" s="28">
        <v>1</v>
      </c>
      <c r="H12" s="28">
        <v>81433</v>
      </c>
      <c r="I12" s="28" t="s">
        <v>17</v>
      </c>
      <c r="J12" s="28">
        <v>19295971</v>
      </c>
      <c r="K12" s="28" t="s">
        <v>1816</v>
      </c>
      <c r="L12" t="s">
        <v>2114</v>
      </c>
      <c r="M12" s="39">
        <v>279900</v>
      </c>
      <c r="N12" s="29" t="s">
        <v>2826</v>
      </c>
      <c r="O12" s="36" t="s">
        <v>3212</v>
      </c>
      <c r="P12" s="28" t="s">
        <v>2826</v>
      </c>
    </row>
    <row r="13" spans="1:16" x14ac:dyDescent="0.3">
      <c r="A13" s="25" t="s">
        <v>3211</v>
      </c>
      <c r="B13" s="26">
        <v>46108</v>
      </c>
      <c r="C13" s="26">
        <v>46113</v>
      </c>
      <c r="D13" s="6">
        <v>3319</v>
      </c>
      <c r="E13" s="6">
        <v>327</v>
      </c>
      <c r="F13" s="25">
        <v>2</v>
      </c>
      <c r="G13" s="28">
        <v>1</v>
      </c>
      <c r="H13" s="28">
        <v>81433</v>
      </c>
      <c r="I13" s="28" t="s">
        <v>17</v>
      </c>
      <c r="J13" s="28">
        <v>19295980</v>
      </c>
      <c r="K13" s="28" t="s">
        <v>1816</v>
      </c>
      <c r="L13" t="s">
        <v>2115</v>
      </c>
      <c r="M13" s="39">
        <v>279900</v>
      </c>
      <c r="N13" s="29" t="s">
        <v>2826</v>
      </c>
      <c r="O13" s="36" t="s">
        <v>3212</v>
      </c>
      <c r="P13" s="28" t="s">
        <v>2826</v>
      </c>
    </row>
    <row r="14" spans="1:16" x14ac:dyDescent="0.3">
      <c r="A14" s="25" t="s">
        <v>3211</v>
      </c>
      <c r="B14" s="26">
        <v>46108</v>
      </c>
      <c r="C14" s="26">
        <v>46113</v>
      </c>
      <c r="D14" s="6">
        <v>3319</v>
      </c>
      <c r="E14" s="6">
        <v>327</v>
      </c>
      <c r="F14" s="25">
        <v>2</v>
      </c>
      <c r="G14" s="28">
        <v>1</v>
      </c>
      <c r="H14" s="28">
        <v>81433</v>
      </c>
      <c r="I14" s="28" t="s">
        <v>17</v>
      </c>
      <c r="J14" s="28">
        <v>19295999</v>
      </c>
      <c r="K14" s="28" t="s">
        <v>1816</v>
      </c>
      <c r="L14" t="s">
        <v>2116</v>
      </c>
      <c r="M14" s="39">
        <v>279900</v>
      </c>
      <c r="N14" s="29" t="s">
        <v>2826</v>
      </c>
      <c r="O14" s="36" t="s">
        <v>3212</v>
      </c>
      <c r="P14" s="28" t="s">
        <v>2826</v>
      </c>
    </row>
    <row r="15" spans="1:16" x14ac:dyDescent="0.3">
      <c r="A15" s="25" t="s">
        <v>3211</v>
      </c>
      <c r="B15" s="26">
        <v>46108</v>
      </c>
      <c r="C15" s="26">
        <v>46113</v>
      </c>
      <c r="D15" s="6">
        <v>3319</v>
      </c>
      <c r="E15" s="6">
        <v>327</v>
      </c>
      <c r="F15" s="25">
        <v>2</v>
      </c>
      <c r="G15" s="28">
        <v>1</v>
      </c>
      <c r="H15" s="28">
        <v>81433</v>
      </c>
      <c r="I15" s="28" t="s">
        <v>17</v>
      </c>
      <c r="J15" s="28">
        <v>19296005</v>
      </c>
      <c r="K15" s="28" t="s">
        <v>1816</v>
      </c>
      <c r="L15" t="s">
        <v>2117</v>
      </c>
      <c r="M15" s="39">
        <v>279900</v>
      </c>
      <c r="N15" s="29" t="s">
        <v>2826</v>
      </c>
      <c r="O15" s="36" t="s">
        <v>3212</v>
      </c>
      <c r="P15" s="28" t="s">
        <v>2826</v>
      </c>
    </row>
    <row r="16" spans="1:16" x14ac:dyDescent="0.3">
      <c r="A16" s="25" t="s">
        <v>3211</v>
      </c>
      <c r="B16" s="26">
        <v>46108</v>
      </c>
      <c r="C16" s="26">
        <v>46113</v>
      </c>
      <c r="D16" s="6">
        <v>3319</v>
      </c>
      <c r="E16" s="6">
        <v>327</v>
      </c>
      <c r="F16" s="25">
        <v>2</v>
      </c>
      <c r="G16" s="28">
        <v>1</v>
      </c>
      <c r="H16" s="28">
        <v>81433</v>
      </c>
      <c r="I16" s="28" t="s">
        <v>17</v>
      </c>
      <c r="J16" s="28">
        <v>19296014</v>
      </c>
      <c r="K16" s="28" t="s">
        <v>1816</v>
      </c>
      <c r="L16" t="s">
        <v>2118</v>
      </c>
      <c r="M16" s="39">
        <v>279900</v>
      </c>
      <c r="N16" s="29" t="s">
        <v>2826</v>
      </c>
      <c r="O16" s="36" t="s">
        <v>3212</v>
      </c>
      <c r="P16" s="28" t="s">
        <v>2826</v>
      </c>
    </row>
    <row r="17" spans="1:16" x14ac:dyDescent="0.3">
      <c r="A17" s="25" t="s">
        <v>3211</v>
      </c>
      <c r="B17" s="26">
        <v>46108</v>
      </c>
      <c r="C17" s="26">
        <v>46113</v>
      </c>
      <c r="D17" s="6">
        <v>3319</v>
      </c>
      <c r="E17" s="6">
        <v>327</v>
      </c>
      <c r="F17" s="25">
        <v>2</v>
      </c>
      <c r="G17" s="28">
        <v>1</v>
      </c>
      <c r="H17" s="28">
        <v>81433</v>
      </c>
      <c r="I17" s="28" t="s">
        <v>17</v>
      </c>
      <c r="J17" s="28">
        <v>67293767</v>
      </c>
      <c r="K17" s="28" t="s">
        <v>31</v>
      </c>
      <c r="L17" t="s">
        <v>1939</v>
      </c>
      <c r="M17" s="39">
        <v>279900</v>
      </c>
      <c r="N17" s="29" t="s">
        <v>2826</v>
      </c>
      <c r="O17" s="36" t="s">
        <v>3212</v>
      </c>
      <c r="P17" s="28" t="s">
        <v>2826</v>
      </c>
    </row>
    <row r="18" spans="1:16" x14ac:dyDescent="0.3">
      <c r="A18" s="25" t="s">
        <v>3211</v>
      </c>
      <c r="B18" s="26">
        <v>46108</v>
      </c>
      <c r="C18" s="26">
        <v>46113</v>
      </c>
      <c r="D18" s="6">
        <v>3319</v>
      </c>
      <c r="E18" s="6">
        <v>327</v>
      </c>
      <c r="F18" s="25">
        <v>2</v>
      </c>
      <c r="G18" s="28">
        <v>1</v>
      </c>
      <c r="H18" s="28">
        <v>81433</v>
      </c>
      <c r="I18" s="28" t="s">
        <v>17</v>
      </c>
      <c r="J18" s="28">
        <v>67293749</v>
      </c>
      <c r="K18" s="28" t="s">
        <v>31</v>
      </c>
      <c r="L18" t="s">
        <v>1940</v>
      </c>
      <c r="M18" s="39">
        <v>279900</v>
      </c>
      <c r="N18" s="29" t="s">
        <v>2826</v>
      </c>
      <c r="O18" s="36" t="s">
        <v>3212</v>
      </c>
      <c r="P18" s="28" t="s">
        <v>2826</v>
      </c>
    </row>
    <row r="19" spans="1:16" x14ac:dyDescent="0.3">
      <c r="A19" s="25" t="s">
        <v>3211</v>
      </c>
      <c r="B19" s="26">
        <v>46108</v>
      </c>
      <c r="C19" s="26">
        <v>46113</v>
      </c>
      <c r="D19" s="6">
        <v>3319</v>
      </c>
      <c r="E19" s="6">
        <v>327</v>
      </c>
      <c r="F19" s="25">
        <v>2</v>
      </c>
      <c r="G19" s="28">
        <v>1</v>
      </c>
      <c r="H19" s="28">
        <v>81433</v>
      </c>
      <c r="I19" s="28" t="s">
        <v>17</v>
      </c>
      <c r="J19" s="28">
        <v>67293721</v>
      </c>
      <c r="K19" s="28" t="s">
        <v>31</v>
      </c>
      <c r="L19" t="s">
        <v>1941</v>
      </c>
      <c r="M19" s="39">
        <v>279900</v>
      </c>
      <c r="N19" s="29" t="s">
        <v>2826</v>
      </c>
      <c r="O19" s="36" t="s">
        <v>3212</v>
      </c>
      <c r="P19" s="28" t="s">
        <v>2826</v>
      </c>
    </row>
    <row r="20" spans="1:16" x14ac:dyDescent="0.3">
      <c r="A20" s="25" t="s">
        <v>3211</v>
      </c>
      <c r="B20" s="26">
        <v>46108</v>
      </c>
      <c r="C20" s="26">
        <v>46113</v>
      </c>
      <c r="D20" s="6">
        <v>3319</v>
      </c>
      <c r="E20" s="6">
        <v>327</v>
      </c>
      <c r="F20" s="25">
        <v>2</v>
      </c>
      <c r="G20" s="28">
        <v>1</v>
      </c>
      <c r="H20" s="28">
        <v>81433</v>
      </c>
      <c r="I20" s="28" t="s">
        <v>17</v>
      </c>
      <c r="J20" s="28">
        <v>67293730</v>
      </c>
      <c r="K20" s="28" t="s">
        <v>31</v>
      </c>
      <c r="L20" t="s">
        <v>1942</v>
      </c>
      <c r="M20" s="39">
        <v>279900</v>
      </c>
      <c r="N20" s="29" t="s">
        <v>2826</v>
      </c>
      <c r="O20" s="36" t="s">
        <v>3212</v>
      </c>
      <c r="P20" s="28" t="s">
        <v>2826</v>
      </c>
    </row>
    <row r="21" spans="1:16" x14ac:dyDescent="0.3">
      <c r="A21" s="25" t="s">
        <v>3211</v>
      </c>
      <c r="B21" s="26">
        <v>46108</v>
      </c>
      <c r="C21" s="26">
        <v>46113</v>
      </c>
      <c r="D21" s="6">
        <v>3319</v>
      </c>
      <c r="E21" s="6">
        <v>327</v>
      </c>
      <c r="F21" s="25">
        <v>2</v>
      </c>
      <c r="G21" s="28">
        <v>1</v>
      </c>
      <c r="H21" s="28">
        <v>81433</v>
      </c>
      <c r="I21" s="28" t="s">
        <v>17</v>
      </c>
      <c r="J21" s="28">
        <v>67293758</v>
      </c>
      <c r="K21" s="28" t="s">
        <v>31</v>
      </c>
      <c r="L21" t="s">
        <v>1943</v>
      </c>
      <c r="M21" s="39">
        <v>279900</v>
      </c>
      <c r="N21" s="29" t="s">
        <v>2826</v>
      </c>
      <c r="O21" s="36" t="s">
        <v>3212</v>
      </c>
      <c r="P21" s="28" t="s">
        <v>2826</v>
      </c>
    </row>
    <row r="22" spans="1:16" x14ac:dyDescent="0.3">
      <c r="A22" s="25" t="s">
        <v>3211</v>
      </c>
      <c r="B22" s="26">
        <v>46108</v>
      </c>
      <c r="C22" s="26">
        <v>46113</v>
      </c>
      <c r="D22" s="6">
        <v>3319</v>
      </c>
      <c r="E22" s="6">
        <v>327</v>
      </c>
      <c r="F22" s="25">
        <v>2</v>
      </c>
      <c r="G22" s="28">
        <v>1</v>
      </c>
      <c r="H22" s="28">
        <v>81433</v>
      </c>
      <c r="I22" s="28" t="s">
        <v>17</v>
      </c>
      <c r="J22" s="28">
        <v>13838798</v>
      </c>
      <c r="K22" s="28" t="s">
        <v>31</v>
      </c>
      <c r="L22" t="s">
        <v>1944</v>
      </c>
      <c r="M22" s="39">
        <v>279900</v>
      </c>
      <c r="N22" s="29" t="s">
        <v>2826</v>
      </c>
      <c r="O22" s="36" t="s">
        <v>3212</v>
      </c>
      <c r="P22" s="28" t="s">
        <v>2826</v>
      </c>
    </row>
    <row r="23" spans="1:16" x14ac:dyDescent="0.3">
      <c r="A23" s="25" t="s">
        <v>3211</v>
      </c>
      <c r="B23" s="26">
        <v>46108</v>
      </c>
      <c r="C23" s="26">
        <v>46113</v>
      </c>
      <c r="D23" s="6">
        <v>3319</v>
      </c>
      <c r="E23" s="6">
        <v>327</v>
      </c>
      <c r="F23" s="25">
        <v>2</v>
      </c>
      <c r="G23" s="28">
        <v>1</v>
      </c>
      <c r="H23" s="28">
        <v>81433</v>
      </c>
      <c r="I23" s="28" t="s">
        <v>17</v>
      </c>
      <c r="J23" s="28">
        <v>13838805</v>
      </c>
      <c r="K23" s="28" t="s">
        <v>31</v>
      </c>
      <c r="L23" t="s">
        <v>1945</v>
      </c>
      <c r="M23" s="39">
        <v>279900</v>
      </c>
      <c r="N23" s="29" t="s">
        <v>2826</v>
      </c>
      <c r="O23" s="36" t="s">
        <v>3212</v>
      </c>
      <c r="P23" s="28" t="s">
        <v>2826</v>
      </c>
    </row>
    <row r="24" spans="1:16" x14ac:dyDescent="0.3">
      <c r="A24" s="25" t="s">
        <v>3211</v>
      </c>
      <c r="B24" s="26">
        <v>46108</v>
      </c>
      <c r="C24" s="26">
        <v>46113</v>
      </c>
      <c r="D24" s="6">
        <v>3319</v>
      </c>
      <c r="E24" s="6">
        <v>327</v>
      </c>
      <c r="F24" s="25">
        <v>2</v>
      </c>
      <c r="G24" s="28">
        <v>1</v>
      </c>
      <c r="H24" s="28">
        <v>81433</v>
      </c>
      <c r="I24" s="28" t="s">
        <v>17</v>
      </c>
      <c r="J24" s="28">
        <v>13838814</v>
      </c>
      <c r="K24" s="28" t="s">
        <v>31</v>
      </c>
      <c r="L24" t="s">
        <v>1946</v>
      </c>
      <c r="M24" s="39">
        <v>279900</v>
      </c>
      <c r="N24" s="29" t="s">
        <v>2826</v>
      </c>
      <c r="O24" s="36" t="s">
        <v>3212</v>
      </c>
      <c r="P24" s="28" t="s">
        <v>2826</v>
      </c>
    </row>
    <row r="25" spans="1:16" x14ac:dyDescent="0.3">
      <c r="A25" s="25" t="s">
        <v>3211</v>
      </c>
      <c r="B25" s="26">
        <v>46108</v>
      </c>
      <c r="C25" s="26">
        <v>46113</v>
      </c>
      <c r="D25" s="6">
        <v>3319</v>
      </c>
      <c r="E25" s="6">
        <v>327</v>
      </c>
      <c r="F25" s="25">
        <v>2</v>
      </c>
      <c r="G25" s="28">
        <v>1</v>
      </c>
      <c r="H25" s="28">
        <v>81433</v>
      </c>
      <c r="I25" s="28" t="s">
        <v>17</v>
      </c>
      <c r="J25" s="28">
        <v>13838823</v>
      </c>
      <c r="K25" s="28" t="s">
        <v>31</v>
      </c>
      <c r="L25" t="s">
        <v>1947</v>
      </c>
      <c r="M25" s="39">
        <v>279900</v>
      </c>
      <c r="N25" s="29" t="s">
        <v>2826</v>
      </c>
      <c r="O25" s="36" t="s">
        <v>3212</v>
      </c>
      <c r="P25" s="28" t="s">
        <v>2826</v>
      </c>
    </row>
    <row r="26" spans="1:16" x14ac:dyDescent="0.3">
      <c r="A26" s="25" t="s">
        <v>3211</v>
      </c>
      <c r="B26" s="26">
        <v>46108</v>
      </c>
      <c r="C26" s="26">
        <v>46113</v>
      </c>
      <c r="D26" s="6">
        <v>3319</v>
      </c>
      <c r="E26" s="6">
        <v>327</v>
      </c>
      <c r="F26" s="25">
        <v>2</v>
      </c>
      <c r="G26" s="28">
        <v>1</v>
      </c>
      <c r="H26" s="28">
        <v>81433</v>
      </c>
      <c r="I26" s="28" t="s">
        <v>17</v>
      </c>
      <c r="J26" s="28">
        <v>13838832</v>
      </c>
      <c r="K26" s="28" t="s">
        <v>31</v>
      </c>
      <c r="L26" t="s">
        <v>1948</v>
      </c>
      <c r="M26" s="39">
        <v>279900</v>
      </c>
      <c r="N26" s="29" t="s">
        <v>2826</v>
      </c>
      <c r="O26" s="36" t="s">
        <v>3212</v>
      </c>
      <c r="P26" s="28" t="s">
        <v>2826</v>
      </c>
    </row>
    <row r="27" spans="1:16" x14ac:dyDescent="0.3">
      <c r="A27" s="25" t="s">
        <v>3211</v>
      </c>
      <c r="B27" s="26">
        <v>46108</v>
      </c>
      <c r="C27" s="26">
        <v>46113</v>
      </c>
      <c r="D27" s="6">
        <v>3319</v>
      </c>
      <c r="E27" s="6">
        <v>327</v>
      </c>
      <c r="F27" s="25">
        <v>2</v>
      </c>
      <c r="G27" s="28">
        <v>1</v>
      </c>
      <c r="H27" s="28">
        <v>81433</v>
      </c>
      <c r="I27" s="28" t="s">
        <v>17</v>
      </c>
      <c r="J27" s="28">
        <v>33219946</v>
      </c>
      <c r="K27" s="28" t="s">
        <v>1797</v>
      </c>
      <c r="L27" t="s">
        <v>1805</v>
      </c>
      <c r="M27" s="39">
        <v>279900</v>
      </c>
      <c r="N27" s="29" t="s">
        <v>2826</v>
      </c>
      <c r="O27" s="36" t="s">
        <v>3212</v>
      </c>
      <c r="P27" s="28" t="s">
        <v>2826</v>
      </c>
    </row>
    <row r="28" spans="1:16" x14ac:dyDescent="0.3">
      <c r="A28" s="25" t="s">
        <v>3211</v>
      </c>
      <c r="B28" s="26">
        <v>46108</v>
      </c>
      <c r="C28" s="26">
        <v>46113</v>
      </c>
      <c r="D28" s="6">
        <v>3319</v>
      </c>
      <c r="E28" s="6">
        <v>327</v>
      </c>
      <c r="F28" s="25">
        <v>2</v>
      </c>
      <c r="G28" s="28">
        <v>1</v>
      </c>
      <c r="H28" s="28">
        <v>81433</v>
      </c>
      <c r="I28" s="28" t="s">
        <v>17</v>
      </c>
      <c r="J28" s="28">
        <v>33219900</v>
      </c>
      <c r="K28" s="28" t="s">
        <v>1797</v>
      </c>
      <c r="L28" t="s">
        <v>1800</v>
      </c>
      <c r="M28" s="39">
        <v>279900</v>
      </c>
      <c r="N28" s="29" t="s">
        <v>2826</v>
      </c>
      <c r="O28" s="36" t="s">
        <v>3212</v>
      </c>
      <c r="P28" s="28" t="s">
        <v>2826</v>
      </c>
    </row>
    <row r="29" spans="1:16" x14ac:dyDescent="0.3">
      <c r="A29" s="25" t="s">
        <v>3211</v>
      </c>
      <c r="B29" s="26">
        <v>46108</v>
      </c>
      <c r="C29" s="26">
        <v>46113</v>
      </c>
      <c r="D29" s="6">
        <v>3319</v>
      </c>
      <c r="E29" s="6">
        <v>327</v>
      </c>
      <c r="F29" s="25">
        <v>2</v>
      </c>
      <c r="G29" s="28">
        <v>1</v>
      </c>
      <c r="H29" s="28">
        <v>81433</v>
      </c>
      <c r="I29" s="28" t="s">
        <v>17</v>
      </c>
      <c r="J29" s="28">
        <v>33219937</v>
      </c>
      <c r="K29" s="28" t="s">
        <v>1797</v>
      </c>
      <c r="L29" t="s">
        <v>1803</v>
      </c>
      <c r="M29" s="39">
        <v>279900</v>
      </c>
      <c r="N29" s="29" t="s">
        <v>2826</v>
      </c>
      <c r="O29" s="36" t="s">
        <v>3212</v>
      </c>
      <c r="P29" s="28" t="s">
        <v>2826</v>
      </c>
    </row>
    <row r="30" spans="1:16" x14ac:dyDescent="0.3">
      <c r="A30" s="25" t="s">
        <v>3211</v>
      </c>
      <c r="B30" s="26">
        <v>46108</v>
      </c>
      <c r="C30" s="26">
        <v>46113</v>
      </c>
      <c r="D30" s="6">
        <v>3319</v>
      </c>
      <c r="E30" s="6">
        <v>327</v>
      </c>
      <c r="F30" s="25">
        <v>2</v>
      </c>
      <c r="G30" s="28">
        <v>1</v>
      </c>
      <c r="H30" s="28">
        <v>81433</v>
      </c>
      <c r="I30" s="28" t="s">
        <v>17</v>
      </c>
      <c r="J30" s="28">
        <v>33219928</v>
      </c>
      <c r="K30" s="28" t="s">
        <v>1797</v>
      </c>
      <c r="L30" t="s">
        <v>1804</v>
      </c>
      <c r="M30" s="39">
        <v>279900</v>
      </c>
      <c r="N30" s="29" t="s">
        <v>2826</v>
      </c>
      <c r="O30" s="36" t="s">
        <v>3212</v>
      </c>
      <c r="P30" s="28" t="s">
        <v>2826</v>
      </c>
    </row>
    <row r="31" spans="1:16" x14ac:dyDescent="0.3">
      <c r="A31" s="25" t="s">
        <v>3211</v>
      </c>
      <c r="B31" s="26">
        <v>46108</v>
      </c>
      <c r="C31" s="26">
        <v>46113</v>
      </c>
      <c r="D31" s="6">
        <v>3319</v>
      </c>
      <c r="E31" s="6">
        <v>327</v>
      </c>
      <c r="F31" s="25">
        <v>2</v>
      </c>
      <c r="G31" s="28">
        <v>1</v>
      </c>
      <c r="H31" s="28">
        <v>81433</v>
      </c>
      <c r="I31" s="28" t="s">
        <v>17</v>
      </c>
      <c r="J31" s="28">
        <v>33219919</v>
      </c>
      <c r="K31" s="28" t="s">
        <v>1797</v>
      </c>
      <c r="L31" t="s">
        <v>1845</v>
      </c>
      <c r="M31" s="39">
        <v>279900</v>
      </c>
      <c r="N31" s="29" t="s">
        <v>2826</v>
      </c>
      <c r="O31" s="36" t="s">
        <v>3212</v>
      </c>
      <c r="P31" s="28" t="s">
        <v>2826</v>
      </c>
    </row>
    <row r="32" spans="1:16" x14ac:dyDescent="0.3">
      <c r="A32" s="25" t="s">
        <v>3211</v>
      </c>
      <c r="B32" s="26">
        <v>46108</v>
      </c>
      <c r="C32" s="26">
        <v>46113</v>
      </c>
      <c r="D32" s="6">
        <v>3319</v>
      </c>
      <c r="E32" s="6">
        <v>327</v>
      </c>
      <c r="F32" s="25">
        <v>2</v>
      </c>
      <c r="G32" s="28">
        <v>1</v>
      </c>
      <c r="H32" s="28">
        <v>81433</v>
      </c>
      <c r="I32" s="28" t="s">
        <v>17</v>
      </c>
      <c r="J32" s="28">
        <v>51673224</v>
      </c>
      <c r="K32" s="28" t="s">
        <v>2148</v>
      </c>
      <c r="L32" t="s">
        <v>2413</v>
      </c>
      <c r="M32" s="39">
        <v>279900</v>
      </c>
      <c r="N32" s="29" t="s">
        <v>2826</v>
      </c>
      <c r="O32" s="36" t="s">
        <v>3212</v>
      </c>
      <c r="P32" s="28" t="s">
        <v>2826</v>
      </c>
    </row>
    <row r="33" spans="1:16" x14ac:dyDescent="0.3">
      <c r="A33" s="25" t="s">
        <v>3211</v>
      </c>
      <c r="B33" s="26">
        <v>46108</v>
      </c>
      <c r="C33" s="26">
        <v>46113</v>
      </c>
      <c r="D33" s="6">
        <v>3319</v>
      </c>
      <c r="E33" s="6">
        <v>327</v>
      </c>
      <c r="F33" s="25">
        <v>2</v>
      </c>
      <c r="G33" s="28">
        <v>1</v>
      </c>
      <c r="H33" s="28">
        <v>81433</v>
      </c>
      <c r="I33" s="28" t="s">
        <v>17</v>
      </c>
      <c r="J33" s="28">
        <v>51673180</v>
      </c>
      <c r="K33" s="28" t="s">
        <v>2148</v>
      </c>
      <c r="L33" t="s">
        <v>2419</v>
      </c>
      <c r="M33" s="39">
        <v>279900</v>
      </c>
      <c r="N33" s="29" t="s">
        <v>2826</v>
      </c>
      <c r="O33" s="36" t="s">
        <v>3212</v>
      </c>
      <c r="P33" s="28" t="s">
        <v>2826</v>
      </c>
    </row>
    <row r="34" spans="1:16" x14ac:dyDescent="0.3">
      <c r="A34" s="25" t="s">
        <v>3211</v>
      </c>
      <c r="B34" s="26">
        <v>46108</v>
      </c>
      <c r="C34" s="26">
        <v>46113</v>
      </c>
      <c r="D34" s="6">
        <v>3319</v>
      </c>
      <c r="E34" s="6">
        <v>327</v>
      </c>
      <c r="F34" s="25">
        <v>2</v>
      </c>
      <c r="G34" s="28">
        <v>1</v>
      </c>
      <c r="H34" s="28">
        <v>81433</v>
      </c>
      <c r="I34" s="28" t="s">
        <v>17</v>
      </c>
      <c r="J34" s="28">
        <v>51673199</v>
      </c>
      <c r="K34" s="28" t="s">
        <v>2148</v>
      </c>
      <c r="L34" t="s">
        <v>2420</v>
      </c>
      <c r="M34" s="39">
        <v>279900</v>
      </c>
      <c r="N34" s="29" t="s">
        <v>2826</v>
      </c>
      <c r="O34" s="36" t="s">
        <v>3212</v>
      </c>
      <c r="P34" s="28" t="s">
        <v>2826</v>
      </c>
    </row>
    <row r="35" spans="1:16" x14ac:dyDescent="0.3">
      <c r="A35" s="25" t="s">
        <v>3211</v>
      </c>
      <c r="B35" s="26">
        <v>46108</v>
      </c>
      <c r="C35" s="26">
        <v>46113</v>
      </c>
      <c r="D35" s="6">
        <v>3319</v>
      </c>
      <c r="E35" s="6">
        <v>327</v>
      </c>
      <c r="F35" s="25">
        <v>2</v>
      </c>
      <c r="G35" s="28">
        <v>1</v>
      </c>
      <c r="H35" s="28">
        <v>81433</v>
      </c>
      <c r="I35" s="28" t="s">
        <v>17</v>
      </c>
      <c r="J35" s="28">
        <v>51673206</v>
      </c>
      <c r="K35" s="28" t="s">
        <v>2148</v>
      </c>
      <c r="L35" t="s">
        <v>2421</v>
      </c>
      <c r="M35" s="39">
        <v>279900</v>
      </c>
      <c r="N35" s="29" t="s">
        <v>2826</v>
      </c>
      <c r="O35" s="36" t="s">
        <v>3212</v>
      </c>
      <c r="P35" s="28" t="s">
        <v>2826</v>
      </c>
    </row>
    <row r="36" spans="1:16" x14ac:dyDescent="0.3">
      <c r="A36" s="25" t="s">
        <v>3211</v>
      </c>
      <c r="B36" s="26">
        <v>46108</v>
      </c>
      <c r="C36" s="26">
        <v>46113</v>
      </c>
      <c r="D36" s="6">
        <v>3319</v>
      </c>
      <c r="E36" s="6">
        <v>327</v>
      </c>
      <c r="F36" s="25">
        <v>2</v>
      </c>
      <c r="G36" s="28">
        <v>1</v>
      </c>
      <c r="H36" s="28">
        <v>81433</v>
      </c>
      <c r="I36" s="28" t="s">
        <v>17</v>
      </c>
      <c r="J36" s="28">
        <v>51673215</v>
      </c>
      <c r="K36" s="28" t="s">
        <v>2148</v>
      </c>
      <c r="L36" t="s">
        <v>2422</v>
      </c>
      <c r="M36" s="39">
        <v>279900</v>
      </c>
      <c r="N36" s="29" t="s">
        <v>2826</v>
      </c>
      <c r="O36" s="36" t="s">
        <v>3212</v>
      </c>
      <c r="P36" s="28" t="s">
        <v>2826</v>
      </c>
    </row>
    <row r="37" spans="1:16" x14ac:dyDescent="0.3">
      <c r="A37" s="25" t="s">
        <v>3211</v>
      </c>
      <c r="B37" s="26">
        <v>46108</v>
      </c>
      <c r="C37" s="26">
        <v>46113</v>
      </c>
      <c r="D37" s="6">
        <v>3319</v>
      </c>
      <c r="E37" s="6">
        <v>327</v>
      </c>
      <c r="F37" s="25">
        <v>2</v>
      </c>
      <c r="G37" s="28">
        <v>1</v>
      </c>
      <c r="H37" s="28">
        <v>81433</v>
      </c>
      <c r="I37" s="28" t="s">
        <v>17</v>
      </c>
      <c r="J37" s="28">
        <v>51673322</v>
      </c>
      <c r="K37" s="28" t="s">
        <v>1917</v>
      </c>
      <c r="L37" t="s">
        <v>2423</v>
      </c>
      <c r="M37" s="39">
        <v>279900</v>
      </c>
      <c r="N37" s="29" t="s">
        <v>2826</v>
      </c>
      <c r="O37" s="36" t="s">
        <v>3212</v>
      </c>
      <c r="P37" s="28" t="s">
        <v>2826</v>
      </c>
    </row>
    <row r="38" spans="1:16" x14ac:dyDescent="0.3">
      <c r="A38" s="25" t="s">
        <v>3211</v>
      </c>
      <c r="B38" s="26">
        <v>46108</v>
      </c>
      <c r="C38" s="26">
        <v>46113</v>
      </c>
      <c r="D38" s="6">
        <v>3319</v>
      </c>
      <c r="E38" s="6">
        <v>327</v>
      </c>
      <c r="F38" s="25">
        <v>2</v>
      </c>
      <c r="G38" s="28">
        <v>1</v>
      </c>
      <c r="H38" s="28">
        <v>81433</v>
      </c>
      <c r="I38" s="28" t="s">
        <v>17</v>
      </c>
      <c r="J38" s="28">
        <v>51673313</v>
      </c>
      <c r="K38" s="28" t="s">
        <v>1917</v>
      </c>
      <c r="L38" t="s">
        <v>2424</v>
      </c>
      <c r="M38" s="39">
        <v>279900</v>
      </c>
      <c r="N38" s="29" t="s">
        <v>2826</v>
      </c>
      <c r="O38" s="36" t="s">
        <v>3212</v>
      </c>
      <c r="P38" s="28" t="s">
        <v>2826</v>
      </c>
    </row>
    <row r="39" spans="1:16" x14ac:dyDescent="0.3">
      <c r="A39" s="25" t="s">
        <v>3211</v>
      </c>
      <c r="B39" s="26">
        <v>46108</v>
      </c>
      <c r="C39" s="26">
        <v>46113</v>
      </c>
      <c r="D39" s="6">
        <v>3319</v>
      </c>
      <c r="E39" s="6">
        <v>327</v>
      </c>
      <c r="F39" s="25">
        <v>2</v>
      </c>
      <c r="G39" s="28">
        <v>1</v>
      </c>
      <c r="H39" s="28">
        <v>81433</v>
      </c>
      <c r="I39" s="28" t="s">
        <v>17</v>
      </c>
      <c r="J39" s="28">
        <v>51673288</v>
      </c>
      <c r="K39" s="28" t="s">
        <v>1917</v>
      </c>
      <c r="L39" t="s">
        <v>2425</v>
      </c>
      <c r="M39" s="39">
        <v>279900</v>
      </c>
      <c r="N39" s="29" t="s">
        <v>2826</v>
      </c>
      <c r="O39" s="36" t="s">
        <v>3212</v>
      </c>
      <c r="P39" s="28" t="s">
        <v>2826</v>
      </c>
    </row>
    <row r="40" spans="1:16" x14ac:dyDescent="0.3">
      <c r="A40" s="25" t="s">
        <v>3211</v>
      </c>
      <c r="B40" s="26">
        <v>46108</v>
      </c>
      <c r="C40" s="26">
        <v>46113</v>
      </c>
      <c r="D40" s="6">
        <v>3319</v>
      </c>
      <c r="E40" s="6">
        <v>327</v>
      </c>
      <c r="F40" s="25">
        <v>2</v>
      </c>
      <c r="G40" s="28">
        <v>1</v>
      </c>
      <c r="H40" s="28">
        <v>81433</v>
      </c>
      <c r="I40" s="28" t="s">
        <v>17</v>
      </c>
      <c r="J40" s="28">
        <v>51673297</v>
      </c>
      <c r="K40" s="28" t="s">
        <v>1917</v>
      </c>
      <c r="L40" t="s">
        <v>2426</v>
      </c>
      <c r="M40" s="39">
        <v>279900</v>
      </c>
      <c r="N40" s="29" t="s">
        <v>2826</v>
      </c>
      <c r="O40" s="36" t="s">
        <v>3212</v>
      </c>
      <c r="P40" s="28" t="s">
        <v>2826</v>
      </c>
    </row>
    <row r="41" spans="1:16" x14ac:dyDescent="0.3">
      <c r="A41" s="25" t="s">
        <v>3211</v>
      </c>
      <c r="B41" s="26">
        <v>46108</v>
      </c>
      <c r="C41" s="26">
        <v>46113</v>
      </c>
      <c r="D41" s="6">
        <v>3319</v>
      </c>
      <c r="E41" s="6">
        <v>327</v>
      </c>
      <c r="F41" s="25">
        <v>2</v>
      </c>
      <c r="G41" s="28">
        <v>1</v>
      </c>
      <c r="H41" s="28">
        <v>81433</v>
      </c>
      <c r="I41" s="28" t="s">
        <v>17</v>
      </c>
      <c r="J41" s="28">
        <v>51673304</v>
      </c>
      <c r="K41" s="28" t="s">
        <v>1917</v>
      </c>
      <c r="L41" t="s">
        <v>2427</v>
      </c>
      <c r="M41" s="39">
        <v>279900</v>
      </c>
      <c r="N41" s="29" t="s">
        <v>2826</v>
      </c>
      <c r="O41" s="36" t="s">
        <v>3212</v>
      </c>
      <c r="P41" s="28" t="s">
        <v>2826</v>
      </c>
    </row>
    <row r="42" spans="1:16" x14ac:dyDescent="0.3">
      <c r="A42" s="25" t="s">
        <v>3211</v>
      </c>
      <c r="B42" s="26">
        <v>46108</v>
      </c>
      <c r="C42" s="26">
        <v>46113</v>
      </c>
      <c r="D42" s="6">
        <v>3319</v>
      </c>
      <c r="E42" s="6">
        <v>327</v>
      </c>
      <c r="F42" s="25">
        <v>2</v>
      </c>
      <c r="G42" s="28">
        <v>1</v>
      </c>
      <c r="H42" s="28">
        <v>81433</v>
      </c>
      <c r="I42" s="28" t="s">
        <v>17</v>
      </c>
      <c r="J42" s="28">
        <v>24336381</v>
      </c>
      <c r="K42" s="28" t="s">
        <v>2477</v>
      </c>
      <c r="L42" t="s">
        <v>2478</v>
      </c>
      <c r="M42" s="39">
        <v>279900</v>
      </c>
      <c r="N42" s="29" t="s">
        <v>2826</v>
      </c>
      <c r="O42" s="36" t="s">
        <v>3212</v>
      </c>
      <c r="P42" s="28" t="s">
        <v>2826</v>
      </c>
    </row>
    <row r="43" spans="1:16" x14ac:dyDescent="0.3">
      <c r="A43" s="25" t="s">
        <v>3211</v>
      </c>
      <c r="B43" s="26">
        <v>46108</v>
      </c>
      <c r="C43" s="26">
        <v>46113</v>
      </c>
      <c r="D43" s="6">
        <v>3319</v>
      </c>
      <c r="E43" s="6">
        <v>327</v>
      </c>
      <c r="F43" s="25">
        <v>2</v>
      </c>
      <c r="G43" s="28">
        <v>1</v>
      </c>
      <c r="H43" s="28">
        <v>81433</v>
      </c>
      <c r="I43" s="28" t="s">
        <v>17</v>
      </c>
      <c r="J43" s="28">
        <v>24336390</v>
      </c>
      <c r="K43" s="28" t="s">
        <v>2477</v>
      </c>
      <c r="L43" t="s">
        <v>2479</v>
      </c>
      <c r="M43" s="39">
        <v>279900</v>
      </c>
      <c r="N43" s="29" t="s">
        <v>2826</v>
      </c>
      <c r="O43" s="36" t="s">
        <v>3212</v>
      </c>
      <c r="P43" s="28" t="s">
        <v>2826</v>
      </c>
    </row>
    <row r="44" spans="1:16" x14ac:dyDescent="0.3">
      <c r="A44" s="25" t="s">
        <v>3211</v>
      </c>
      <c r="B44" s="26">
        <v>46108</v>
      </c>
      <c r="C44" s="26">
        <v>46113</v>
      </c>
      <c r="D44" s="6">
        <v>3319</v>
      </c>
      <c r="E44" s="6">
        <v>327</v>
      </c>
      <c r="F44" s="25">
        <v>2</v>
      </c>
      <c r="G44" s="28">
        <v>1</v>
      </c>
      <c r="H44" s="28">
        <v>81433</v>
      </c>
      <c r="I44" s="28" t="s">
        <v>17</v>
      </c>
      <c r="J44" s="28">
        <v>24336452</v>
      </c>
      <c r="K44" s="28" t="s">
        <v>2477</v>
      </c>
      <c r="L44" t="s">
        <v>2480</v>
      </c>
      <c r="M44" s="39">
        <v>279900</v>
      </c>
      <c r="N44" s="29" t="s">
        <v>2826</v>
      </c>
      <c r="O44" s="36" t="s">
        <v>3212</v>
      </c>
      <c r="P44" s="28" t="s">
        <v>2826</v>
      </c>
    </row>
    <row r="45" spans="1:16" x14ac:dyDescent="0.3">
      <c r="A45" s="25" t="s">
        <v>3211</v>
      </c>
      <c r="B45" s="26">
        <v>46108</v>
      </c>
      <c r="C45" s="26">
        <v>46113</v>
      </c>
      <c r="D45" s="6">
        <v>3319</v>
      </c>
      <c r="E45" s="6">
        <v>327</v>
      </c>
      <c r="F45" s="25">
        <v>2</v>
      </c>
      <c r="G45" s="28">
        <v>1</v>
      </c>
      <c r="H45" s="28">
        <v>81433</v>
      </c>
      <c r="I45" s="28" t="s">
        <v>17</v>
      </c>
      <c r="J45" s="28">
        <v>24336461</v>
      </c>
      <c r="K45" s="28" t="s">
        <v>2477</v>
      </c>
      <c r="L45" t="s">
        <v>2481</v>
      </c>
      <c r="M45" s="39">
        <v>279900</v>
      </c>
      <c r="N45" s="29" t="s">
        <v>2826</v>
      </c>
      <c r="O45" s="36" t="s">
        <v>3212</v>
      </c>
      <c r="P45" s="28" t="s">
        <v>2826</v>
      </c>
    </row>
    <row r="46" spans="1:16" x14ac:dyDescent="0.3">
      <c r="A46" s="25" t="s">
        <v>3211</v>
      </c>
      <c r="B46" s="26">
        <v>46108</v>
      </c>
      <c r="C46" s="26">
        <v>46113</v>
      </c>
      <c r="D46" s="6">
        <v>3319</v>
      </c>
      <c r="E46" s="6">
        <v>327</v>
      </c>
      <c r="F46" s="25">
        <v>2</v>
      </c>
      <c r="G46" s="28">
        <v>1</v>
      </c>
      <c r="H46" s="28">
        <v>81433</v>
      </c>
      <c r="I46" s="28" t="s">
        <v>17</v>
      </c>
      <c r="J46" s="28">
        <v>24336470</v>
      </c>
      <c r="K46" s="28" t="s">
        <v>2477</v>
      </c>
      <c r="L46" t="s">
        <v>2482</v>
      </c>
      <c r="M46" s="39">
        <v>279900</v>
      </c>
      <c r="N46" s="29" t="s">
        <v>2826</v>
      </c>
      <c r="O46" s="36" t="s">
        <v>3212</v>
      </c>
      <c r="P46" s="28" t="s">
        <v>2826</v>
      </c>
    </row>
    <row r="47" spans="1:16" x14ac:dyDescent="0.3">
      <c r="A47" s="25" t="s">
        <v>3211</v>
      </c>
      <c r="B47" s="26">
        <v>46108</v>
      </c>
      <c r="C47" s="26">
        <v>46113</v>
      </c>
      <c r="D47" s="6">
        <v>3319</v>
      </c>
      <c r="E47" s="6">
        <v>327</v>
      </c>
      <c r="F47" s="25">
        <v>2</v>
      </c>
      <c r="G47" s="28">
        <v>1</v>
      </c>
      <c r="H47" s="28">
        <v>81433</v>
      </c>
      <c r="I47" s="28" t="s">
        <v>17</v>
      </c>
      <c r="J47" s="28">
        <v>24336489</v>
      </c>
      <c r="K47" s="28" t="s">
        <v>2477</v>
      </c>
      <c r="L47" t="s">
        <v>2483</v>
      </c>
      <c r="M47" s="39">
        <v>279900</v>
      </c>
      <c r="N47" s="29" t="s">
        <v>2826</v>
      </c>
      <c r="O47" s="36" t="s">
        <v>3212</v>
      </c>
      <c r="P47" s="28" t="s">
        <v>2826</v>
      </c>
    </row>
    <row r="48" spans="1:16" x14ac:dyDescent="0.3">
      <c r="A48" s="25" t="s">
        <v>3211</v>
      </c>
      <c r="B48" s="26">
        <v>46108</v>
      </c>
      <c r="C48" s="26">
        <v>46113</v>
      </c>
      <c r="D48" s="6">
        <v>3319</v>
      </c>
      <c r="E48" s="6">
        <v>327</v>
      </c>
      <c r="F48" s="25">
        <v>2</v>
      </c>
      <c r="G48" s="28">
        <v>1</v>
      </c>
      <c r="H48" s="28">
        <v>81433</v>
      </c>
      <c r="I48" s="28" t="s">
        <v>17</v>
      </c>
      <c r="J48" s="28">
        <v>24337193</v>
      </c>
      <c r="K48" s="28" t="s">
        <v>2477</v>
      </c>
      <c r="L48" t="s">
        <v>2484</v>
      </c>
      <c r="M48" s="39">
        <v>279900</v>
      </c>
      <c r="N48" s="29" t="s">
        <v>2826</v>
      </c>
      <c r="O48" s="36" t="s">
        <v>3212</v>
      </c>
      <c r="P48" s="28" t="s">
        <v>2826</v>
      </c>
    </row>
    <row r="49" spans="1:16" x14ac:dyDescent="0.3">
      <c r="A49" s="25" t="s">
        <v>3211</v>
      </c>
      <c r="B49" s="26">
        <v>46108</v>
      </c>
      <c r="C49" s="26">
        <v>46113</v>
      </c>
      <c r="D49" s="6">
        <v>3319</v>
      </c>
      <c r="E49" s="6">
        <v>327</v>
      </c>
      <c r="F49" s="25">
        <v>2</v>
      </c>
      <c r="G49" s="28">
        <v>1</v>
      </c>
      <c r="H49" s="28">
        <v>81433</v>
      </c>
      <c r="I49" s="28" t="s">
        <v>17</v>
      </c>
      <c r="J49" s="28">
        <v>24337577</v>
      </c>
      <c r="K49" s="28" t="s">
        <v>2477</v>
      </c>
      <c r="L49" t="s">
        <v>2485</v>
      </c>
      <c r="M49" s="39">
        <v>279900</v>
      </c>
      <c r="N49" s="29" t="s">
        <v>2826</v>
      </c>
      <c r="O49" s="36" t="s">
        <v>3212</v>
      </c>
      <c r="P49" s="28" t="s">
        <v>2826</v>
      </c>
    </row>
    <row r="50" spans="1:16" x14ac:dyDescent="0.3">
      <c r="A50" s="25" t="s">
        <v>3211</v>
      </c>
      <c r="B50" s="26">
        <v>46108</v>
      </c>
      <c r="C50" s="26">
        <v>46113</v>
      </c>
      <c r="D50" s="6">
        <v>3319</v>
      </c>
      <c r="E50" s="6">
        <v>327</v>
      </c>
      <c r="F50" s="25">
        <v>2</v>
      </c>
      <c r="G50" s="28">
        <v>1</v>
      </c>
      <c r="H50" s="28">
        <v>81433</v>
      </c>
      <c r="I50" s="28" t="s">
        <v>17</v>
      </c>
      <c r="J50" s="28">
        <v>24337586</v>
      </c>
      <c r="K50" s="28" t="s">
        <v>2477</v>
      </c>
      <c r="L50" t="s">
        <v>2486</v>
      </c>
      <c r="M50" s="39">
        <v>279900</v>
      </c>
      <c r="N50" s="29" t="s">
        <v>2826</v>
      </c>
      <c r="O50" s="36" t="s">
        <v>3212</v>
      </c>
      <c r="P50" s="28" t="s">
        <v>2826</v>
      </c>
    </row>
    <row r="51" spans="1:16" x14ac:dyDescent="0.3">
      <c r="A51" s="25" t="s">
        <v>3211</v>
      </c>
      <c r="B51" s="26">
        <v>46108</v>
      </c>
      <c r="C51" s="26">
        <v>46113</v>
      </c>
      <c r="D51" s="6">
        <v>3319</v>
      </c>
      <c r="E51" s="6">
        <v>327</v>
      </c>
      <c r="F51" s="25">
        <v>2</v>
      </c>
      <c r="G51" s="28">
        <v>1</v>
      </c>
      <c r="H51" s="28">
        <v>81433</v>
      </c>
      <c r="I51" s="28" t="s">
        <v>17</v>
      </c>
      <c r="J51" s="28">
        <v>24337595</v>
      </c>
      <c r="K51" s="28" t="s">
        <v>2477</v>
      </c>
      <c r="L51" t="s">
        <v>2487</v>
      </c>
      <c r="M51" s="39">
        <v>279900</v>
      </c>
      <c r="N51" s="29" t="s">
        <v>2826</v>
      </c>
      <c r="O51" s="36" t="s">
        <v>3212</v>
      </c>
      <c r="P51" s="28" t="s">
        <v>2826</v>
      </c>
    </row>
    <row r="52" spans="1:16" x14ac:dyDescent="0.3">
      <c r="A52" s="25" t="s">
        <v>3211</v>
      </c>
      <c r="B52" s="26">
        <v>46108</v>
      </c>
      <c r="C52" s="26">
        <v>46113</v>
      </c>
      <c r="D52" s="6">
        <v>3319</v>
      </c>
      <c r="E52" s="6">
        <v>327</v>
      </c>
      <c r="F52" s="25">
        <v>2</v>
      </c>
      <c r="G52" s="28">
        <v>1</v>
      </c>
      <c r="H52" s="28">
        <v>81433</v>
      </c>
      <c r="I52" s="28" t="s">
        <v>17</v>
      </c>
      <c r="J52" s="28">
        <v>24335873</v>
      </c>
      <c r="K52" s="28" t="s">
        <v>2488</v>
      </c>
      <c r="L52" t="s">
        <v>2489</v>
      </c>
      <c r="M52" s="39">
        <v>279900</v>
      </c>
      <c r="N52" s="29" t="s">
        <v>2826</v>
      </c>
      <c r="O52" s="36" t="s">
        <v>3212</v>
      </c>
      <c r="P52" s="28" t="s">
        <v>2826</v>
      </c>
    </row>
    <row r="53" spans="1:16" x14ac:dyDescent="0.3">
      <c r="A53" s="25" t="s">
        <v>3211</v>
      </c>
      <c r="B53" s="26">
        <v>46108</v>
      </c>
      <c r="C53" s="26">
        <v>46113</v>
      </c>
      <c r="D53" s="6">
        <v>3319</v>
      </c>
      <c r="E53" s="6">
        <v>327</v>
      </c>
      <c r="F53" s="25">
        <v>2</v>
      </c>
      <c r="G53" s="28">
        <v>1</v>
      </c>
      <c r="H53" s="28">
        <v>81433</v>
      </c>
      <c r="I53" s="28" t="s">
        <v>17</v>
      </c>
      <c r="J53" s="28">
        <v>24335882</v>
      </c>
      <c r="K53" s="28" t="s">
        <v>2488</v>
      </c>
      <c r="L53" t="s">
        <v>2490</v>
      </c>
      <c r="M53" s="39">
        <v>279900</v>
      </c>
      <c r="N53" s="29" t="s">
        <v>2826</v>
      </c>
      <c r="O53" s="36" t="s">
        <v>3212</v>
      </c>
      <c r="P53" s="28" t="s">
        <v>2826</v>
      </c>
    </row>
    <row r="54" spans="1:16" x14ac:dyDescent="0.3">
      <c r="A54" s="25" t="s">
        <v>3211</v>
      </c>
      <c r="B54" s="26">
        <v>46108</v>
      </c>
      <c r="C54" s="26">
        <v>46113</v>
      </c>
      <c r="D54" s="6">
        <v>3319</v>
      </c>
      <c r="E54" s="6">
        <v>327</v>
      </c>
      <c r="F54" s="25">
        <v>2</v>
      </c>
      <c r="G54" s="28">
        <v>1</v>
      </c>
      <c r="H54" s="28">
        <v>81433</v>
      </c>
      <c r="I54" s="28" t="s">
        <v>17</v>
      </c>
      <c r="J54" s="28">
        <v>24335980</v>
      </c>
      <c r="K54" s="28" t="s">
        <v>2488</v>
      </c>
      <c r="L54" t="s">
        <v>2491</v>
      </c>
      <c r="M54" s="39">
        <v>279900</v>
      </c>
      <c r="N54" s="29" t="s">
        <v>2826</v>
      </c>
      <c r="O54" s="36" t="s">
        <v>3212</v>
      </c>
      <c r="P54" s="28" t="s">
        <v>2826</v>
      </c>
    </row>
    <row r="55" spans="1:16" x14ac:dyDescent="0.3">
      <c r="A55" s="25" t="s">
        <v>3211</v>
      </c>
      <c r="B55" s="26">
        <v>46108</v>
      </c>
      <c r="C55" s="26">
        <v>46113</v>
      </c>
      <c r="D55" s="6">
        <v>3319</v>
      </c>
      <c r="E55" s="6">
        <v>327</v>
      </c>
      <c r="F55" s="25">
        <v>2</v>
      </c>
      <c r="G55" s="28">
        <v>1</v>
      </c>
      <c r="H55" s="28">
        <v>81433</v>
      </c>
      <c r="I55" s="28" t="s">
        <v>17</v>
      </c>
      <c r="J55" s="28">
        <v>24336014</v>
      </c>
      <c r="K55" s="28" t="s">
        <v>2488</v>
      </c>
      <c r="L55" t="s">
        <v>2492</v>
      </c>
      <c r="M55" s="39">
        <v>279900</v>
      </c>
      <c r="N55" s="29" t="s">
        <v>2826</v>
      </c>
      <c r="O55" s="36" t="s">
        <v>3212</v>
      </c>
      <c r="P55" s="28" t="s">
        <v>2826</v>
      </c>
    </row>
    <row r="56" spans="1:16" x14ac:dyDescent="0.3">
      <c r="A56" s="25" t="s">
        <v>3211</v>
      </c>
      <c r="B56" s="26">
        <v>46108</v>
      </c>
      <c r="C56" s="26">
        <v>46113</v>
      </c>
      <c r="D56" s="6">
        <v>3319</v>
      </c>
      <c r="E56" s="6">
        <v>327</v>
      </c>
      <c r="F56" s="25">
        <v>2</v>
      </c>
      <c r="G56" s="28">
        <v>1</v>
      </c>
      <c r="H56" s="28">
        <v>81433</v>
      </c>
      <c r="I56" s="28" t="s">
        <v>17</v>
      </c>
      <c r="J56" s="28">
        <v>24336023</v>
      </c>
      <c r="K56" s="28" t="s">
        <v>2488</v>
      </c>
      <c r="L56" t="s">
        <v>2493</v>
      </c>
      <c r="M56" s="39">
        <v>279900</v>
      </c>
      <c r="N56" s="29" t="s">
        <v>2826</v>
      </c>
      <c r="O56" s="36" t="s">
        <v>3212</v>
      </c>
      <c r="P56" s="28" t="s">
        <v>2826</v>
      </c>
    </row>
    <row r="57" spans="1:16" x14ac:dyDescent="0.3">
      <c r="A57" s="25" t="s">
        <v>3211</v>
      </c>
      <c r="B57" s="26">
        <v>46108</v>
      </c>
      <c r="C57" s="26">
        <v>46113</v>
      </c>
      <c r="D57" s="6">
        <v>3319</v>
      </c>
      <c r="E57" s="6">
        <v>327</v>
      </c>
      <c r="F57" s="25">
        <v>2</v>
      </c>
      <c r="G57" s="28">
        <v>1</v>
      </c>
      <c r="H57" s="28">
        <v>81433</v>
      </c>
      <c r="I57" s="28" t="s">
        <v>17</v>
      </c>
      <c r="J57" s="28">
        <v>24336032</v>
      </c>
      <c r="K57" s="28" t="s">
        <v>2488</v>
      </c>
      <c r="L57" t="s">
        <v>2494</v>
      </c>
      <c r="M57" s="39">
        <v>279900</v>
      </c>
      <c r="N57" s="29" t="s">
        <v>2826</v>
      </c>
      <c r="O57" s="36" t="s">
        <v>3212</v>
      </c>
      <c r="P57" s="28" t="s">
        <v>2826</v>
      </c>
    </row>
    <row r="58" spans="1:16" x14ac:dyDescent="0.3">
      <c r="A58" s="25" t="s">
        <v>3211</v>
      </c>
      <c r="B58" s="26">
        <v>46108</v>
      </c>
      <c r="C58" s="26">
        <v>46113</v>
      </c>
      <c r="D58" s="6">
        <v>3319</v>
      </c>
      <c r="E58" s="6">
        <v>327</v>
      </c>
      <c r="F58" s="25">
        <v>2</v>
      </c>
      <c r="G58" s="28">
        <v>1</v>
      </c>
      <c r="H58" s="28">
        <v>81433</v>
      </c>
      <c r="I58" s="28" t="s">
        <v>17</v>
      </c>
      <c r="J58" s="28">
        <v>24336041</v>
      </c>
      <c r="K58" s="28" t="s">
        <v>2488</v>
      </c>
      <c r="L58" t="s">
        <v>2495</v>
      </c>
      <c r="M58" s="39">
        <v>279900</v>
      </c>
      <c r="N58" s="29" t="s">
        <v>2826</v>
      </c>
      <c r="O58" s="36" t="s">
        <v>3212</v>
      </c>
      <c r="P58" s="28" t="s">
        <v>2826</v>
      </c>
    </row>
    <row r="59" spans="1:16" x14ac:dyDescent="0.3">
      <c r="A59" s="25" t="s">
        <v>3211</v>
      </c>
      <c r="B59" s="26">
        <v>46108</v>
      </c>
      <c r="C59" s="26">
        <v>46113</v>
      </c>
      <c r="D59" s="6">
        <v>3319</v>
      </c>
      <c r="E59" s="6">
        <v>327</v>
      </c>
      <c r="F59" s="25">
        <v>2</v>
      </c>
      <c r="G59" s="28">
        <v>1</v>
      </c>
      <c r="H59" s="28">
        <v>81433</v>
      </c>
      <c r="I59" s="28" t="s">
        <v>17</v>
      </c>
      <c r="J59" s="28">
        <v>24336087</v>
      </c>
      <c r="K59" s="28" t="s">
        <v>2488</v>
      </c>
      <c r="L59" t="s">
        <v>2496</v>
      </c>
      <c r="M59" s="39">
        <v>279900</v>
      </c>
      <c r="N59" s="29" t="s">
        <v>2826</v>
      </c>
      <c r="O59" s="36" t="s">
        <v>3212</v>
      </c>
      <c r="P59" s="28" t="s">
        <v>2826</v>
      </c>
    </row>
    <row r="60" spans="1:16" x14ac:dyDescent="0.3">
      <c r="A60" s="25" t="s">
        <v>3211</v>
      </c>
      <c r="B60" s="26">
        <v>46108</v>
      </c>
      <c r="C60" s="26">
        <v>46113</v>
      </c>
      <c r="D60" s="6">
        <v>3319</v>
      </c>
      <c r="E60" s="6">
        <v>327</v>
      </c>
      <c r="F60" s="25">
        <v>2</v>
      </c>
      <c r="G60" s="28">
        <v>1</v>
      </c>
      <c r="H60" s="28">
        <v>81433</v>
      </c>
      <c r="I60" s="28" t="s">
        <v>17</v>
      </c>
      <c r="J60" s="28">
        <v>24336096</v>
      </c>
      <c r="K60" s="28" t="s">
        <v>2488</v>
      </c>
      <c r="L60" t="s">
        <v>2497</v>
      </c>
      <c r="M60" s="39">
        <v>279900</v>
      </c>
      <c r="N60" s="29" t="s">
        <v>2826</v>
      </c>
      <c r="O60" s="36" t="s">
        <v>3212</v>
      </c>
      <c r="P60" s="28" t="s">
        <v>2826</v>
      </c>
    </row>
    <row r="61" spans="1:16" x14ac:dyDescent="0.3">
      <c r="A61" s="25" t="s">
        <v>3211</v>
      </c>
      <c r="B61" s="26">
        <v>46108</v>
      </c>
      <c r="C61" s="26">
        <v>46113</v>
      </c>
      <c r="D61" s="6">
        <v>3319</v>
      </c>
      <c r="E61" s="6">
        <v>327</v>
      </c>
      <c r="F61" s="25">
        <v>2</v>
      </c>
      <c r="G61" s="28">
        <v>1</v>
      </c>
      <c r="H61" s="28">
        <v>81433</v>
      </c>
      <c r="I61" s="28" t="s">
        <v>17</v>
      </c>
      <c r="J61" s="28">
        <v>24336103</v>
      </c>
      <c r="K61" s="28" t="s">
        <v>2488</v>
      </c>
      <c r="L61" t="s">
        <v>2498</v>
      </c>
      <c r="M61" s="39">
        <v>279900</v>
      </c>
      <c r="N61" s="29" t="s">
        <v>2826</v>
      </c>
      <c r="O61" s="36" t="s">
        <v>3212</v>
      </c>
      <c r="P61" s="28" t="s">
        <v>2826</v>
      </c>
    </row>
    <row r="62" spans="1:16" x14ac:dyDescent="0.3">
      <c r="A62" s="25" t="s">
        <v>3211</v>
      </c>
      <c r="B62" s="26">
        <v>46108</v>
      </c>
      <c r="C62" s="26">
        <v>46113</v>
      </c>
      <c r="D62" s="6">
        <v>3319</v>
      </c>
      <c r="E62" s="6">
        <v>327</v>
      </c>
      <c r="F62" s="25">
        <v>2</v>
      </c>
      <c r="G62" s="28">
        <v>1</v>
      </c>
      <c r="H62" s="28">
        <v>81433</v>
      </c>
      <c r="I62" s="28" t="s">
        <v>17</v>
      </c>
      <c r="J62" s="28">
        <v>24338692</v>
      </c>
      <c r="K62" s="28" t="s">
        <v>2576</v>
      </c>
      <c r="L62" t="s">
        <v>2577</v>
      </c>
      <c r="M62" s="39">
        <v>279900</v>
      </c>
      <c r="N62" s="29" t="s">
        <v>2826</v>
      </c>
      <c r="O62" s="36" t="s">
        <v>3212</v>
      </c>
      <c r="P62" s="28" t="s">
        <v>2826</v>
      </c>
    </row>
    <row r="63" spans="1:16" x14ac:dyDescent="0.3">
      <c r="A63" s="25" t="s">
        <v>3211</v>
      </c>
      <c r="B63" s="26">
        <v>46108</v>
      </c>
      <c r="C63" s="26">
        <v>46113</v>
      </c>
      <c r="D63" s="6">
        <v>3319</v>
      </c>
      <c r="E63" s="6">
        <v>327</v>
      </c>
      <c r="F63" s="25">
        <v>2</v>
      </c>
      <c r="G63" s="28">
        <v>1</v>
      </c>
      <c r="H63" s="28">
        <v>81433</v>
      </c>
      <c r="I63" s="28" t="s">
        <v>17</v>
      </c>
      <c r="J63" s="28">
        <v>24338718</v>
      </c>
      <c r="K63" s="28" t="s">
        <v>2576</v>
      </c>
      <c r="L63" t="s">
        <v>2578</v>
      </c>
      <c r="M63" s="39">
        <v>279900</v>
      </c>
      <c r="N63" s="29" t="s">
        <v>2826</v>
      </c>
      <c r="O63" s="36" t="s">
        <v>3212</v>
      </c>
      <c r="P63" s="28" t="s">
        <v>2826</v>
      </c>
    </row>
    <row r="64" spans="1:16" x14ac:dyDescent="0.3">
      <c r="A64" s="25" t="s">
        <v>3211</v>
      </c>
      <c r="B64" s="26">
        <v>46108</v>
      </c>
      <c r="C64" s="26">
        <v>46113</v>
      </c>
      <c r="D64" s="6">
        <v>3319</v>
      </c>
      <c r="E64" s="6">
        <v>327</v>
      </c>
      <c r="F64" s="25">
        <v>2</v>
      </c>
      <c r="G64" s="28">
        <v>1</v>
      </c>
      <c r="H64" s="28">
        <v>81433</v>
      </c>
      <c r="I64" s="28" t="s">
        <v>17</v>
      </c>
      <c r="J64" s="28">
        <v>24338727</v>
      </c>
      <c r="K64" s="28" t="s">
        <v>2576</v>
      </c>
      <c r="L64" t="s">
        <v>2579</v>
      </c>
      <c r="M64" s="39">
        <v>279900</v>
      </c>
      <c r="N64" s="29" t="s">
        <v>2826</v>
      </c>
      <c r="O64" s="36" t="s">
        <v>3212</v>
      </c>
      <c r="P64" s="28" t="s">
        <v>2826</v>
      </c>
    </row>
    <row r="65" spans="1:16" x14ac:dyDescent="0.3">
      <c r="A65" s="25" t="s">
        <v>3211</v>
      </c>
      <c r="B65" s="26">
        <v>46108</v>
      </c>
      <c r="C65" s="26">
        <v>46113</v>
      </c>
      <c r="D65" s="6">
        <v>3319</v>
      </c>
      <c r="E65" s="6">
        <v>327</v>
      </c>
      <c r="F65" s="25">
        <v>2</v>
      </c>
      <c r="G65" s="28">
        <v>1</v>
      </c>
      <c r="H65" s="28">
        <v>81433</v>
      </c>
      <c r="I65" s="28" t="s">
        <v>17</v>
      </c>
      <c r="J65" s="28">
        <v>24338736</v>
      </c>
      <c r="K65" s="28" t="s">
        <v>2576</v>
      </c>
      <c r="L65" t="s">
        <v>2580</v>
      </c>
      <c r="M65" s="39">
        <v>279900</v>
      </c>
      <c r="N65" s="29" t="s">
        <v>2826</v>
      </c>
      <c r="O65" s="36" t="s">
        <v>3212</v>
      </c>
      <c r="P65" s="28" t="s">
        <v>2826</v>
      </c>
    </row>
    <row r="66" spans="1:16" x14ac:dyDescent="0.3">
      <c r="A66" s="25" t="s">
        <v>3211</v>
      </c>
      <c r="B66" s="26">
        <v>46108</v>
      </c>
      <c r="C66" s="26">
        <v>46113</v>
      </c>
      <c r="D66" s="6">
        <v>3319</v>
      </c>
      <c r="E66" s="6">
        <v>327</v>
      </c>
      <c r="F66" s="25">
        <v>2</v>
      </c>
      <c r="G66" s="28">
        <v>1</v>
      </c>
      <c r="H66" s="28">
        <v>81433</v>
      </c>
      <c r="I66" s="28" t="s">
        <v>17</v>
      </c>
      <c r="J66" s="28">
        <v>24338745</v>
      </c>
      <c r="K66" s="28" t="s">
        <v>2576</v>
      </c>
      <c r="L66" t="s">
        <v>2581</v>
      </c>
      <c r="M66" s="39">
        <v>279900</v>
      </c>
      <c r="N66" s="29" t="s">
        <v>2826</v>
      </c>
      <c r="O66" s="36" t="s">
        <v>3212</v>
      </c>
      <c r="P66" s="28" t="s">
        <v>2826</v>
      </c>
    </row>
    <row r="67" spans="1:16" x14ac:dyDescent="0.3">
      <c r="A67" s="25" t="s">
        <v>3211</v>
      </c>
      <c r="B67" s="26">
        <v>46108</v>
      </c>
      <c r="C67" s="26">
        <v>46113</v>
      </c>
      <c r="D67" s="6">
        <v>3319</v>
      </c>
      <c r="E67" s="6">
        <v>327</v>
      </c>
      <c r="F67" s="25">
        <v>2</v>
      </c>
      <c r="G67" s="28">
        <v>1</v>
      </c>
      <c r="H67" s="28">
        <v>81433</v>
      </c>
      <c r="I67" s="28" t="s">
        <v>17</v>
      </c>
      <c r="J67" s="28">
        <v>24338754</v>
      </c>
      <c r="K67" s="28" t="s">
        <v>2576</v>
      </c>
      <c r="L67" t="s">
        <v>2582</v>
      </c>
      <c r="M67" s="39">
        <v>279900</v>
      </c>
      <c r="N67" s="29" t="s">
        <v>2826</v>
      </c>
      <c r="O67" s="36" t="s">
        <v>3212</v>
      </c>
      <c r="P67" s="28" t="s">
        <v>2826</v>
      </c>
    </row>
    <row r="68" spans="1:16" x14ac:dyDescent="0.3">
      <c r="A68" s="25" t="s">
        <v>3211</v>
      </c>
      <c r="B68" s="26">
        <v>46108</v>
      </c>
      <c r="C68" s="26">
        <v>46113</v>
      </c>
      <c r="D68" s="6">
        <v>3319</v>
      </c>
      <c r="E68" s="6">
        <v>327</v>
      </c>
      <c r="F68" s="25">
        <v>2</v>
      </c>
      <c r="G68" s="28">
        <v>1</v>
      </c>
      <c r="H68" s="28">
        <v>81433</v>
      </c>
      <c r="I68" s="28" t="s">
        <v>17</v>
      </c>
      <c r="J68" s="28">
        <v>24338790</v>
      </c>
      <c r="K68" s="28" t="s">
        <v>2576</v>
      </c>
      <c r="L68" t="s">
        <v>2583</v>
      </c>
      <c r="M68" s="39">
        <v>279900</v>
      </c>
      <c r="N68" s="29" t="s">
        <v>2826</v>
      </c>
      <c r="O68" s="36" t="s">
        <v>3212</v>
      </c>
      <c r="P68" s="28" t="s">
        <v>2826</v>
      </c>
    </row>
    <row r="69" spans="1:16" x14ac:dyDescent="0.3">
      <c r="A69" s="25" t="s">
        <v>3211</v>
      </c>
      <c r="B69" s="26">
        <v>46108</v>
      </c>
      <c r="C69" s="26">
        <v>46113</v>
      </c>
      <c r="D69" s="6">
        <v>3319</v>
      </c>
      <c r="E69" s="6">
        <v>327</v>
      </c>
      <c r="F69" s="25">
        <v>2</v>
      </c>
      <c r="G69" s="28">
        <v>1</v>
      </c>
      <c r="H69" s="28">
        <v>81433</v>
      </c>
      <c r="I69" s="28" t="s">
        <v>17</v>
      </c>
      <c r="J69" s="28">
        <v>24338807</v>
      </c>
      <c r="K69" s="28" t="s">
        <v>2576</v>
      </c>
      <c r="L69" t="s">
        <v>2584</v>
      </c>
      <c r="M69" s="39">
        <v>279900</v>
      </c>
      <c r="N69" s="29" t="s">
        <v>2826</v>
      </c>
      <c r="O69" s="36" t="s">
        <v>3212</v>
      </c>
      <c r="P69" s="28" t="s">
        <v>2826</v>
      </c>
    </row>
    <row r="70" spans="1:16" x14ac:dyDescent="0.3">
      <c r="A70" s="25" t="s">
        <v>3211</v>
      </c>
      <c r="B70" s="26">
        <v>46108</v>
      </c>
      <c r="C70" s="26">
        <v>46113</v>
      </c>
      <c r="D70" s="6">
        <v>3319</v>
      </c>
      <c r="E70" s="6">
        <v>327</v>
      </c>
      <c r="F70" s="25">
        <v>2</v>
      </c>
      <c r="G70" s="28">
        <v>1</v>
      </c>
      <c r="H70" s="28">
        <v>81433</v>
      </c>
      <c r="I70" s="28" t="s">
        <v>17</v>
      </c>
      <c r="J70" s="28">
        <v>24338816</v>
      </c>
      <c r="K70" s="28" t="s">
        <v>2576</v>
      </c>
      <c r="L70" t="s">
        <v>2585</v>
      </c>
      <c r="M70" s="39">
        <v>279900</v>
      </c>
      <c r="N70" s="29" t="s">
        <v>2826</v>
      </c>
      <c r="O70" s="36" t="s">
        <v>3212</v>
      </c>
      <c r="P70" s="28" t="s">
        <v>2826</v>
      </c>
    </row>
    <row r="71" spans="1:16" x14ac:dyDescent="0.3">
      <c r="A71" s="25" t="s">
        <v>3211</v>
      </c>
      <c r="B71" s="26">
        <v>46108</v>
      </c>
      <c r="C71" s="26">
        <v>46113</v>
      </c>
      <c r="D71" s="6">
        <v>3319</v>
      </c>
      <c r="E71" s="6">
        <v>327</v>
      </c>
      <c r="F71" s="25">
        <v>2</v>
      </c>
      <c r="G71" s="28">
        <v>1</v>
      </c>
      <c r="H71" s="28">
        <v>81433</v>
      </c>
      <c r="I71" s="28" t="s">
        <v>17</v>
      </c>
      <c r="J71" s="28">
        <v>24337979</v>
      </c>
      <c r="K71" s="28" t="s">
        <v>2586</v>
      </c>
      <c r="L71" t="s">
        <v>2587</v>
      </c>
      <c r="M71" s="39">
        <v>279900</v>
      </c>
      <c r="N71" s="29" t="s">
        <v>2826</v>
      </c>
      <c r="O71" s="36" t="s">
        <v>3212</v>
      </c>
      <c r="P71" s="28" t="s">
        <v>2826</v>
      </c>
    </row>
    <row r="72" spans="1:16" x14ac:dyDescent="0.3">
      <c r="A72" s="25" t="s">
        <v>3211</v>
      </c>
      <c r="B72" s="26">
        <v>46108</v>
      </c>
      <c r="C72" s="26">
        <v>46113</v>
      </c>
      <c r="D72" s="6">
        <v>3319</v>
      </c>
      <c r="E72" s="6">
        <v>327</v>
      </c>
      <c r="F72" s="25">
        <v>2</v>
      </c>
      <c r="G72" s="28">
        <v>1</v>
      </c>
      <c r="H72" s="28">
        <v>81433</v>
      </c>
      <c r="I72" s="28" t="s">
        <v>17</v>
      </c>
      <c r="J72" s="28">
        <v>24337988</v>
      </c>
      <c r="K72" s="28" t="s">
        <v>2586</v>
      </c>
      <c r="L72" t="s">
        <v>2588</v>
      </c>
      <c r="M72" s="39">
        <v>279900</v>
      </c>
      <c r="N72" s="29" t="s">
        <v>2826</v>
      </c>
      <c r="O72" s="36" t="s">
        <v>3212</v>
      </c>
      <c r="P72" s="28" t="s">
        <v>2826</v>
      </c>
    </row>
    <row r="73" spans="1:16" x14ac:dyDescent="0.3">
      <c r="A73" s="25" t="s">
        <v>3211</v>
      </c>
      <c r="B73" s="26">
        <v>46108</v>
      </c>
      <c r="C73" s="26">
        <v>46113</v>
      </c>
      <c r="D73" s="6">
        <v>3319</v>
      </c>
      <c r="E73" s="6">
        <v>327</v>
      </c>
      <c r="F73" s="25">
        <v>2</v>
      </c>
      <c r="G73" s="28">
        <v>1</v>
      </c>
      <c r="H73" s="28">
        <v>81433</v>
      </c>
      <c r="I73" s="28" t="s">
        <v>17</v>
      </c>
      <c r="J73" s="28">
        <v>24338236</v>
      </c>
      <c r="K73" s="28" t="s">
        <v>2586</v>
      </c>
      <c r="L73" t="s">
        <v>2589</v>
      </c>
      <c r="M73" s="39">
        <v>279900</v>
      </c>
      <c r="N73" s="29" t="s">
        <v>2826</v>
      </c>
      <c r="O73" s="36" t="s">
        <v>3212</v>
      </c>
      <c r="P73" s="28" t="s">
        <v>2826</v>
      </c>
    </row>
    <row r="74" spans="1:16" x14ac:dyDescent="0.3">
      <c r="A74" s="25" t="s">
        <v>3211</v>
      </c>
      <c r="B74" s="26">
        <v>46108</v>
      </c>
      <c r="C74" s="26">
        <v>46113</v>
      </c>
      <c r="D74" s="6">
        <v>3319</v>
      </c>
      <c r="E74" s="6">
        <v>327</v>
      </c>
      <c r="F74" s="25">
        <v>2</v>
      </c>
      <c r="G74" s="28">
        <v>1</v>
      </c>
      <c r="H74" s="28">
        <v>81433</v>
      </c>
      <c r="I74" s="28" t="s">
        <v>17</v>
      </c>
      <c r="J74" s="28">
        <v>24337997</v>
      </c>
      <c r="K74" s="28" t="s">
        <v>2586</v>
      </c>
      <c r="L74" t="s">
        <v>2590</v>
      </c>
      <c r="M74" s="39">
        <v>279900</v>
      </c>
      <c r="N74" s="29" t="s">
        <v>2826</v>
      </c>
      <c r="O74" s="36" t="s">
        <v>3212</v>
      </c>
      <c r="P74" s="28" t="s">
        <v>2826</v>
      </c>
    </row>
    <row r="75" spans="1:16" x14ac:dyDescent="0.3">
      <c r="A75" s="25" t="s">
        <v>3211</v>
      </c>
      <c r="B75" s="26">
        <v>46108</v>
      </c>
      <c r="C75" s="26">
        <v>46113</v>
      </c>
      <c r="D75" s="6">
        <v>3319</v>
      </c>
      <c r="E75" s="6">
        <v>327</v>
      </c>
      <c r="F75" s="25">
        <v>2</v>
      </c>
      <c r="G75" s="28">
        <v>1</v>
      </c>
      <c r="H75" s="28">
        <v>81433</v>
      </c>
      <c r="I75" s="28" t="s">
        <v>17</v>
      </c>
      <c r="J75" s="28">
        <v>24338003</v>
      </c>
      <c r="K75" s="28" t="s">
        <v>2586</v>
      </c>
      <c r="L75" t="s">
        <v>2591</v>
      </c>
      <c r="M75" s="39">
        <v>279900</v>
      </c>
      <c r="N75" s="29" t="s">
        <v>2826</v>
      </c>
      <c r="O75" s="36" t="s">
        <v>3212</v>
      </c>
      <c r="P75" s="28" t="s">
        <v>2826</v>
      </c>
    </row>
    <row r="76" spans="1:16" x14ac:dyDescent="0.3">
      <c r="A76" s="25" t="s">
        <v>3211</v>
      </c>
      <c r="B76" s="26">
        <v>46108</v>
      </c>
      <c r="C76" s="26">
        <v>46113</v>
      </c>
      <c r="D76" s="6">
        <v>3319</v>
      </c>
      <c r="E76" s="6">
        <v>327</v>
      </c>
      <c r="F76" s="25">
        <v>2</v>
      </c>
      <c r="G76" s="28">
        <v>1</v>
      </c>
      <c r="H76" s="28">
        <v>81433</v>
      </c>
      <c r="I76" s="28" t="s">
        <v>17</v>
      </c>
      <c r="J76" s="28">
        <v>24338058</v>
      </c>
      <c r="K76" s="28" t="s">
        <v>2586</v>
      </c>
      <c r="L76" t="s">
        <v>2592</v>
      </c>
      <c r="M76" s="39">
        <v>279900</v>
      </c>
      <c r="N76" s="29" t="s">
        <v>2826</v>
      </c>
      <c r="O76" s="36" t="s">
        <v>3212</v>
      </c>
      <c r="P76" s="28" t="s">
        <v>2826</v>
      </c>
    </row>
    <row r="77" spans="1:16" x14ac:dyDescent="0.3">
      <c r="A77" s="25" t="s">
        <v>3211</v>
      </c>
      <c r="B77" s="26">
        <v>46108</v>
      </c>
      <c r="C77" s="26">
        <v>46113</v>
      </c>
      <c r="D77" s="6">
        <v>3319</v>
      </c>
      <c r="E77" s="6">
        <v>327</v>
      </c>
      <c r="F77" s="25">
        <v>2</v>
      </c>
      <c r="G77" s="28">
        <v>1</v>
      </c>
      <c r="H77" s="28">
        <v>81433</v>
      </c>
      <c r="I77" s="28" t="s">
        <v>17</v>
      </c>
      <c r="J77" s="28">
        <v>24338218</v>
      </c>
      <c r="K77" s="28" t="s">
        <v>2586</v>
      </c>
      <c r="L77" t="s">
        <v>2593</v>
      </c>
      <c r="M77" s="39">
        <v>279900</v>
      </c>
      <c r="N77" s="29" t="s">
        <v>2826</v>
      </c>
      <c r="O77" s="36" t="s">
        <v>3212</v>
      </c>
      <c r="P77" s="28" t="s">
        <v>2826</v>
      </c>
    </row>
    <row r="78" spans="1:16" x14ac:dyDescent="0.3">
      <c r="A78" s="25" t="s">
        <v>3211</v>
      </c>
      <c r="B78" s="26">
        <v>46108</v>
      </c>
      <c r="C78" s="26">
        <v>46113</v>
      </c>
      <c r="D78" s="6">
        <v>3319</v>
      </c>
      <c r="E78" s="6">
        <v>327</v>
      </c>
      <c r="F78" s="25">
        <v>2</v>
      </c>
      <c r="G78" s="28">
        <v>1</v>
      </c>
      <c r="H78" s="28">
        <v>81433</v>
      </c>
      <c r="I78" s="28" t="s">
        <v>17</v>
      </c>
      <c r="J78" s="28">
        <v>24338227</v>
      </c>
      <c r="K78" s="28" t="s">
        <v>2586</v>
      </c>
      <c r="L78" t="s">
        <v>2594</v>
      </c>
      <c r="M78" s="39">
        <v>279900</v>
      </c>
      <c r="N78" s="29" t="s">
        <v>2826</v>
      </c>
      <c r="O78" s="36" t="s">
        <v>3212</v>
      </c>
      <c r="P78" s="28" t="s">
        <v>2826</v>
      </c>
    </row>
    <row r="79" spans="1:16" x14ac:dyDescent="0.3">
      <c r="A79" s="25" t="s">
        <v>3211</v>
      </c>
      <c r="B79" s="26">
        <v>46108</v>
      </c>
      <c r="C79" s="26">
        <v>46113</v>
      </c>
      <c r="D79" s="6">
        <v>3319</v>
      </c>
      <c r="E79" s="6">
        <v>327</v>
      </c>
      <c r="F79" s="25">
        <v>2</v>
      </c>
      <c r="G79" s="28">
        <v>1</v>
      </c>
      <c r="H79" s="28">
        <v>81433</v>
      </c>
      <c r="I79" s="28" t="s">
        <v>17</v>
      </c>
      <c r="J79" s="28">
        <v>24338245</v>
      </c>
      <c r="K79" s="28" t="s">
        <v>2586</v>
      </c>
      <c r="L79" t="s">
        <v>2595</v>
      </c>
      <c r="M79" s="39">
        <v>279900</v>
      </c>
      <c r="N79" s="29" t="s">
        <v>2826</v>
      </c>
      <c r="O79" s="36" t="s">
        <v>3212</v>
      </c>
      <c r="P79" s="28" t="s">
        <v>2826</v>
      </c>
    </row>
    <row r="80" spans="1:16" x14ac:dyDescent="0.3">
      <c r="A80" s="25" t="s">
        <v>3211</v>
      </c>
      <c r="B80" s="26">
        <v>46108</v>
      </c>
      <c r="C80" s="26">
        <v>46113</v>
      </c>
      <c r="D80" s="6">
        <v>3319</v>
      </c>
      <c r="E80" s="6">
        <v>327</v>
      </c>
      <c r="F80" s="25">
        <v>2</v>
      </c>
      <c r="G80" s="28">
        <v>1</v>
      </c>
      <c r="H80" s="28">
        <v>81433</v>
      </c>
      <c r="I80" s="28" t="s">
        <v>17</v>
      </c>
      <c r="J80" s="28">
        <v>24338254</v>
      </c>
      <c r="K80" s="28" t="s">
        <v>2586</v>
      </c>
      <c r="L80" t="s">
        <v>2596</v>
      </c>
      <c r="M80" s="39">
        <v>279900</v>
      </c>
      <c r="N80" s="29" t="s">
        <v>2826</v>
      </c>
      <c r="O80" s="36" t="s">
        <v>3212</v>
      </c>
      <c r="P80" s="28" t="s">
        <v>2826</v>
      </c>
    </row>
    <row r="81" spans="1:16" x14ac:dyDescent="0.3">
      <c r="A81" s="25" t="s">
        <v>3211</v>
      </c>
      <c r="B81" s="26">
        <v>46108</v>
      </c>
      <c r="C81" s="26">
        <v>46113</v>
      </c>
      <c r="D81" s="6">
        <v>3319</v>
      </c>
      <c r="E81" s="6">
        <v>327</v>
      </c>
      <c r="F81" s="25">
        <v>2</v>
      </c>
      <c r="G81" s="28">
        <v>1</v>
      </c>
      <c r="H81" s="28">
        <v>81433</v>
      </c>
      <c r="I81" s="28" t="s">
        <v>17</v>
      </c>
      <c r="J81" s="28">
        <v>24338709</v>
      </c>
      <c r="K81" s="28" t="s">
        <v>2576</v>
      </c>
      <c r="L81" t="s">
        <v>2597</v>
      </c>
      <c r="M81" s="39">
        <v>279900</v>
      </c>
      <c r="N81" s="29" t="s">
        <v>2826</v>
      </c>
      <c r="O81" s="36" t="s">
        <v>3212</v>
      </c>
      <c r="P81" s="28" t="s">
        <v>2826</v>
      </c>
    </row>
    <row r="82" spans="1:16" x14ac:dyDescent="0.3">
      <c r="A82" s="25" t="s">
        <v>3211</v>
      </c>
      <c r="B82" s="26">
        <v>46108</v>
      </c>
      <c r="C82" s="26">
        <v>46113</v>
      </c>
      <c r="D82">
        <v>3319</v>
      </c>
      <c r="E82">
        <v>327</v>
      </c>
      <c r="F82" s="28">
        <v>2</v>
      </c>
      <c r="G82" s="28">
        <v>1</v>
      </c>
      <c r="H82" s="28">
        <v>81433</v>
      </c>
      <c r="I82" s="28" t="s">
        <v>17</v>
      </c>
      <c r="J82" s="28">
        <v>52703636</v>
      </c>
      <c r="K82" s="28" t="s">
        <v>2616</v>
      </c>
      <c r="L82" t="s">
        <v>2617</v>
      </c>
      <c r="M82" s="37">
        <v>279900</v>
      </c>
      <c r="N82" s="29" t="s">
        <v>2826</v>
      </c>
      <c r="O82" s="36" t="s">
        <v>3212</v>
      </c>
      <c r="P82" s="28" t="s">
        <v>2826</v>
      </c>
    </row>
    <row r="83" spans="1:16" x14ac:dyDescent="0.3">
      <c r="A83" s="25" t="s">
        <v>3211</v>
      </c>
      <c r="B83" s="26">
        <v>46108</v>
      </c>
      <c r="C83" s="26">
        <v>46113</v>
      </c>
      <c r="D83">
        <v>3319</v>
      </c>
      <c r="E83">
        <v>327</v>
      </c>
      <c r="F83" s="28">
        <v>2</v>
      </c>
      <c r="G83" s="28">
        <v>1</v>
      </c>
      <c r="H83" s="28">
        <v>81433</v>
      </c>
      <c r="I83" s="28" t="s">
        <v>17</v>
      </c>
      <c r="J83" s="28">
        <v>52703645</v>
      </c>
      <c r="K83" s="28" t="s">
        <v>2616</v>
      </c>
      <c r="L83" t="s">
        <v>2618</v>
      </c>
      <c r="M83" s="37">
        <v>279900</v>
      </c>
      <c r="N83" s="29" t="s">
        <v>2826</v>
      </c>
      <c r="O83" s="36" t="s">
        <v>3212</v>
      </c>
      <c r="P83" s="28" t="s">
        <v>2826</v>
      </c>
    </row>
    <row r="84" spans="1:16" x14ac:dyDescent="0.3">
      <c r="A84" s="25" t="s">
        <v>3211</v>
      </c>
      <c r="B84" s="26">
        <v>46108</v>
      </c>
      <c r="C84" s="26">
        <v>46113</v>
      </c>
      <c r="D84">
        <v>3319</v>
      </c>
      <c r="E84">
        <v>327</v>
      </c>
      <c r="F84" s="28">
        <v>2</v>
      </c>
      <c r="G84" s="28">
        <v>1</v>
      </c>
      <c r="H84" s="28">
        <v>81433</v>
      </c>
      <c r="I84" s="28" t="s">
        <v>17</v>
      </c>
      <c r="J84" s="28">
        <v>52703681</v>
      </c>
      <c r="K84" s="28" t="s">
        <v>2616</v>
      </c>
      <c r="L84" t="s">
        <v>2619</v>
      </c>
      <c r="M84" s="37">
        <v>279900</v>
      </c>
      <c r="N84" s="29" t="s">
        <v>2826</v>
      </c>
      <c r="O84" s="36" t="s">
        <v>3212</v>
      </c>
      <c r="P84" s="28" t="s">
        <v>2826</v>
      </c>
    </row>
    <row r="85" spans="1:16" x14ac:dyDescent="0.3">
      <c r="A85" s="25" t="s">
        <v>3211</v>
      </c>
      <c r="B85" s="26">
        <v>46108</v>
      </c>
      <c r="C85" s="26">
        <v>46113</v>
      </c>
      <c r="D85">
        <v>3319</v>
      </c>
      <c r="E85">
        <v>327</v>
      </c>
      <c r="F85" s="28">
        <v>2</v>
      </c>
      <c r="G85" s="28">
        <v>1</v>
      </c>
      <c r="H85" s="28">
        <v>81433</v>
      </c>
      <c r="I85" s="28" t="s">
        <v>17</v>
      </c>
      <c r="J85" s="28">
        <v>52703627</v>
      </c>
      <c r="K85" s="28" t="s">
        <v>2616</v>
      </c>
      <c r="L85" t="s">
        <v>2620</v>
      </c>
      <c r="M85" s="37">
        <v>279900</v>
      </c>
      <c r="N85" s="29" t="s">
        <v>2826</v>
      </c>
      <c r="O85" s="36" t="s">
        <v>3212</v>
      </c>
      <c r="P85" s="28" t="s">
        <v>2826</v>
      </c>
    </row>
    <row r="86" spans="1:16" x14ac:dyDescent="0.3">
      <c r="A86" s="25" t="s">
        <v>3211</v>
      </c>
      <c r="B86" s="26">
        <v>46108</v>
      </c>
      <c r="C86" s="26">
        <v>46113</v>
      </c>
      <c r="D86">
        <v>3319</v>
      </c>
      <c r="E86">
        <v>327</v>
      </c>
      <c r="F86" s="28">
        <v>2</v>
      </c>
      <c r="G86" s="28">
        <v>1</v>
      </c>
      <c r="H86" s="28">
        <v>81433</v>
      </c>
      <c r="I86" s="28" t="s">
        <v>17</v>
      </c>
      <c r="J86" s="28">
        <v>52703618</v>
      </c>
      <c r="K86" s="28" t="s">
        <v>2616</v>
      </c>
      <c r="L86" t="s">
        <v>2621</v>
      </c>
      <c r="M86" s="37">
        <v>279900</v>
      </c>
      <c r="N86" s="29" t="s">
        <v>2826</v>
      </c>
      <c r="O86" s="36" t="s">
        <v>3212</v>
      </c>
      <c r="P86" s="28" t="s">
        <v>2826</v>
      </c>
    </row>
    <row r="87" spans="1:16" x14ac:dyDescent="0.3">
      <c r="A87" s="25" t="s">
        <v>3211</v>
      </c>
      <c r="B87" s="26">
        <v>46108</v>
      </c>
      <c r="C87" s="26">
        <v>46113</v>
      </c>
      <c r="D87">
        <v>3319</v>
      </c>
      <c r="E87">
        <v>327</v>
      </c>
      <c r="F87" s="28">
        <v>2</v>
      </c>
      <c r="G87" s="28">
        <v>1</v>
      </c>
      <c r="H87" s="28">
        <v>81433</v>
      </c>
      <c r="I87" s="28" t="s">
        <v>17</v>
      </c>
      <c r="J87" s="28">
        <v>52703707</v>
      </c>
      <c r="K87" s="28" t="s">
        <v>2616</v>
      </c>
      <c r="L87" t="s">
        <v>2622</v>
      </c>
      <c r="M87" s="37">
        <v>279900</v>
      </c>
      <c r="N87" s="29" t="s">
        <v>2826</v>
      </c>
      <c r="O87" s="36" t="s">
        <v>3212</v>
      </c>
      <c r="P87" s="28" t="s">
        <v>2826</v>
      </c>
    </row>
    <row r="88" spans="1:16" x14ac:dyDescent="0.3">
      <c r="A88" s="25" t="s">
        <v>3211</v>
      </c>
      <c r="B88" s="26">
        <v>46108</v>
      </c>
      <c r="C88" s="26">
        <v>46113</v>
      </c>
      <c r="D88">
        <v>3319</v>
      </c>
      <c r="E88">
        <v>327</v>
      </c>
      <c r="F88" s="28">
        <v>2</v>
      </c>
      <c r="G88" s="28">
        <v>1</v>
      </c>
      <c r="H88" s="28">
        <v>81433</v>
      </c>
      <c r="I88" s="28" t="s">
        <v>17</v>
      </c>
      <c r="J88" s="28">
        <v>52703672</v>
      </c>
      <c r="K88" s="28" t="s">
        <v>2616</v>
      </c>
      <c r="L88" t="s">
        <v>2623</v>
      </c>
      <c r="M88" s="37">
        <v>279900</v>
      </c>
      <c r="N88" s="29" t="s">
        <v>2826</v>
      </c>
      <c r="O88" s="36" t="s">
        <v>3212</v>
      </c>
      <c r="P88" s="28" t="s">
        <v>2826</v>
      </c>
    </row>
    <row r="89" spans="1:16" x14ac:dyDescent="0.3">
      <c r="A89" s="25" t="s">
        <v>3211</v>
      </c>
      <c r="B89" s="26">
        <v>46108</v>
      </c>
      <c r="C89" s="26">
        <v>46113</v>
      </c>
      <c r="D89">
        <v>3319</v>
      </c>
      <c r="E89">
        <v>327</v>
      </c>
      <c r="F89" s="28">
        <v>2</v>
      </c>
      <c r="G89" s="28">
        <v>1</v>
      </c>
      <c r="H89" s="28">
        <v>81433</v>
      </c>
      <c r="I89" s="28" t="s">
        <v>17</v>
      </c>
      <c r="J89" s="28">
        <v>52703690</v>
      </c>
      <c r="K89" s="28" t="s">
        <v>2616</v>
      </c>
      <c r="L89" t="s">
        <v>2624</v>
      </c>
      <c r="M89" s="37">
        <v>279900</v>
      </c>
      <c r="N89" s="29" t="s">
        <v>2826</v>
      </c>
      <c r="O89" s="36" t="s">
        <v>3212</v>
      </c>
      <c r="P89" s="28" t="s">
        <v>2826</v>
      </c>
    </row>
    <row r="90" spans="1:16" x14ac:dyDescent="0.3">
      <c r="A90" s="25" t="s">
        <v>3211</v>
      </c>
      <c r="B90" s="26">
        <v>46108</v>
      </c>
      <c r="C90" s="26">
        <v>46113</v>
      </c>
      <c r="D90">
        <v>3319</v>
      </c>
      <c r="E90">
        <v>327</v>
      </c>
      <c r="F90" s="28">
        <v>2</v>
      </c>
      <c r="G90" s="28">
        <v>1</v>
      </c>
      <c r="H90" s="28">
        <v>81433</v>
      </c>
      <c r="I90" s="28" t="s">
        <v>17</v>
      </c>
      <c r="J90" s="28">
        <v>52703663</v>
      </c>
      <c r="K90" s="28" t="s">
        <v>2616</v>
      </c>
      <c r="L90" t="s">
        <v>2625</v>
      </c>
      <c r="M90" s="37">
        <v>279900</v>
      </c>
      <c r="N90" s="29" t="s">
        <v>2826</v>
      </c>
      <c r="O90" s="36" t="s">
        <v>3212</v>
      </c>
      <c r="P90" s="28" t="s">
        <v>2826</v>
      </c>
    </row>
    <row r="91" spans="1:16" x14ac:dyDescent="0.3">
      <c r="A91" s="25" t="s">
        <v>3211</v>
      </c>
      <c r="B91" s="26">
        <v>46108</v>
      </c>
      <c r="C91" s="26">
        <v>46113</v>
      </c>
      <c r="D91">
        <v>3319</v>
      </c>
      <c r="E91">
        <v>327</v>
      </c>
      <c r="F91" s="28">
        <v>2</v>
      </c>
      <c r="G91" s="28">
        <v>1</v>
      </c>
      <c r="H91" s="28">
        <v>81433</v>
      </c>
      <c r="I91" s="28" t="s">
        <v>17</v>
      </c>
      <c r="J91" s="28">
        <v>52703654</v>
      </c>
      <c r="K91" s="28" t="s">
        <v>2616</v>
      </c>
      <c r="L91" t="s">
        <v>2626</v>
      </c>
      <c r="M91" s="37">
        <v>279900</v>
      </c>
      <c r="N91" s="29" t="s">
        <v>2826</v>
      </c>
      <c r="O91" s="36" t="s">
        <v>3212</v>
      </c>
      <c r="P91" s="28" t="s">
        <v>2826</v>
      </c>
    </row>
  </sheetData>
  <autoFilter ref="A1:P91" xr:uid="{00000000-0001-0000-0900-000000000000}"/>
  <phoneticPr fontId="14" type="noConversion"/>
  <conditionalFormatting sqref="J1">
    <cfRule type="duplicateValues" dxfId="119" priority="45"/>
    <cfRule type="duplicateValues" dxfId="118" priority="46"/>
    <cfRule type="duplicateValues" dxfId="117" priority="47"/>
    <cfRule type="duplicateValues" dxfId="116" priority="48"/>
    <cfRule type="duplicateValues" dxfId="115" priority="49"/>
    <cfRule type="duplicateValues" dxfId="114" priority="50"/>
  </conditionalFormatting>
  <conditionalFormatting sqref="J2:J11">
    <cfRule type="duplicateValues" dxfId="113" priority="32"/>
  </conditionalFormatting>
  <conditionalFormatting sqref="J2:J81">
    <cfRule type="duplicateValues" dxfId="112" priority="451"/>
  </conditionalFormatting>
  <conditionalFormatting sqref="J17:J26">
    <cfRule type="duplicateValues" dxfId="111" priority="29"/>
    <cfRule type="duplicateValues" dxfId="110" priority="30"/>
    <cfRule type="duplicateValues" dxfId="109" priority="31"/>
  </conditionalFormatting>
  <conditionalFormatting sqref="J27:J61 J2:J16">
    <cfRule type="duplicateValues" dxfId="108" priority="440"/>
    <cfRule type="duplicateValues" dxfId="107" priority="444"/>
    <cfRule type="duplicateValues" dxfId="106" priority="445"/>
  </conditionalFormatting>
  <conditionalFormatting sqref="J82:J91">
    <cfRule type="duplicateValues" dxfId="105" priority="19"/>
  </conditionalFormatting>
  <conditionalFormatting sqref="J92:J1048576 J1:J81">
    <cfRule type="duplicateValues" dxfId="104" priority="500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45681-13B9-456E-A350-E25B8F19C2F9}">
  <sheetPr>
    <tabColor rgb="FF92D050"/>
  </sheetPr>
  <dimension ref="A1:P66"/>
  <sheetViews>
    <sheetView zoomScale="85" zoomScaleNormal="85" workbookViewId="0">
      <selection activeCell="M12" sqref="M12"/>
    </sheetView>
  </sheetViews>
  <sheetFormatPr defaultRowHeight="14.4" x14ac:dyDescent="0.3"/>
  <cols>
    <col min="1" max="1" width="20.6640625" style="28" customWidth="1"/>
    <col min="2" max="3" width="11.6640625" style="28" customWidth="1"/>
    <col min="4" max="5" width="8.6640625" style="48" customWidth="1"/>
    <col min="6" max="7" width="8.6640625" style="28" customWidth="1"/>
    <col min="8" max="10" width="11.6640625" style="28" customWidth="1"/>
    <col min="11" max="11" width="11.6640625" customWidth="1"/>
    <col min="12" max="12" width="50" customWidth="1"/>
    <col min="13" max="13" width="15.6640625" style="37" customWidth="1"/>
    <col min="14" max="14" width="13.33203125" style="28" bestFit="1" customWidth="1"/>
    <col min="15" max="15" width="15.6640625" style="37" customWidth="1"/>
    <col min="16" max="16" width="15.6640625" style="28" customWidth="1"/>
  </cols>
  <sheetData>
    <row r="1" spans="1:16" ht="30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1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25" t="s">
        <v>3226</v>
      </c>
      <c r="B2" s="26">
        <v>46108</v>
      </c>
      <c r="C2" s="26">
        <v>46113</v>
      </c>
      <c r="D2" s="82">
        <v>3319</v>
      </c>
      <c r="E2" s="82">
        <v>327</v>
      </c>
      <c r="F2" s="25">
        <v>2</v>
      </c>
      <c r="G2" s="28">
        <v>1</v>
      </c>
      <c r="H2" s="28">
        <v>81433</v>
      </c>
      <c r="I2" s="28" t="s">
        <v>17</v>
      </c>
      <c r="J2" s="28">
        <v>51673386</v>
      </c>
      <c r="K2" s="43" t="s">
        <v>2680</v>
      </c>
      <c r="L2" t="s">
        <v>2681</v>
      </c>
      <c r="M2" s="37">
        <v>229900</v>
      </c>
      <c r="N2" s="81" t="s">
        <v>2604</v>
      </c>
      <c r="O2" s="37">
        <v>179000</v>
      </c>
      <c r="P2" s="28" t="s">
        <v>2604</v>
      </c>
    </row>
    <row r="3" spans="1:16" x14ac:dyDescent="0.3">
      <c r="A3" s="25" t="s">
        <v>3226</v>
      </c>
      <c r="B3" s="26">
        <v>46108</v>
      </c>
      <c r="C3" s="26">
        <v>46113</v>
      </c>
      <c r="D3" s="82">
        <v>3319</v>
      </c>
      <c r="E3" s="82">
        <v>327</v>
      </c>
      <c r="F3" s="25">
        <v>2</v>
      </c>
      <c r="G3" s="28">
        <v>1</v>
      </c>
      <c r="H3" s="28">
        <v>81433</v>
      </c>
      <c r="I3" s="28" t="s">
        <v>17</v>
      </c>
      <c r="J3" s="28">
        <v>51673340</v>
      </c>
      <c r="K3" s="43" t="s">
        <v>2680</v>
      </c>
      <c r="L3" t="s">
        <v>2682</v>
      </c>
      <c r="M3" s="37">
        <v>229900</v>
      </c>
      <c r="N3" s="81" t="s">
        <v>2604</v>
      </c>
      <c r="O3" s="37">
        <v>179000</v>
      </c>
      <c r="P3" s="28" t="s">
        <v>2604</v>
      </c>
    </row>
    <row r="4" spans="1:16" x14ac:dyDescent="0.3">
      <c r="A4" s="25" t="s">
        <v>3226</v>
      </c>
      <c r="B4" s="26">
        <v>46108</v>
      </c>
      <c r="C4" s="26">
        <v>46113</v>
      </c>
      <c r="D4" s="82">
        <v>3319</v>
      </c>
      <c r="E4" s="82">
        <v>327</v>
      </c>
      <c r="F4" s="25">
        <v>2</v>
      </c>
      <c r="G4" s="28">
        <v>1</v>
      </c>
      <c r="H4" s="28">
        <v>81433</v>
      </c>
      <c r="I4" s="28" t="s">
        <v>17</v>
      </c>
      <c r="J4" s="28">
        <v>51673359</v>
      </c>
      <c r="K4" s="43" t="s">
        <v>2680</v>
      </c>
      <c r="L4" t="s">
        <v>2683</v>
      </c>
      <c r="M4" s="37">
        <v>229900</v>
      </c>
      <c r="N4" s="81" t="s">
        <v>2604</v>
      </c>
      <c r="O4" s="37">
        <v>179000</v>
      </c>
      <c r="P4" s="28" t="s">
        <v>2604</v>
      </c>
    </row>
    <row r="5" spans="1:16" x14ac:dyDescent="0.3">
      <c r="A5" s="25" t="s">
        <v>3226</v>
      </c>
      <c r="B5" s="26">
        <v>46108</v>
      </c>
      <c r="C5" s="26">
        <v>46113</v>
      </c>
      <c r="D5" s="82">
        <v>3319</v>
      </c>
      <c r="E5" s="82">
        <v>327</v>
      </c>
      <c r="F5" s="25">
        <v>2</v>
      </c>
      <c r="G5" s="28">
        <v>1</v>
      </c>
      <c r="H5" s="28">
        <v>81433</v>
      </c>
      <c r="I5" s="28" t="s">
        <v>17</v>
      </c>
      <c r="J5" s="28">
        <v>51673395</v>
      </c>
      <c r="K5" s="43" t="s">
        <v>2680</v>
      </c>
      <c r="L5" t="s">
        <v>2684</v>
      </c>
      <c r="M5" s="37">
        <v>229900</v>
      </c>
      <c r="N5" s="81" t="s">
        <v>2604</v>
      </c>
      <c r="O5" s="37">
        <v>179000</v>
      </c>
      <c r="P5" s="28" t="s">
        <v>2604</v>
      </c>
    </row>
    <row r="6" spans="1:16" x14ac:dyDescent="0.3">
      <c r="A6" s="25" t="s">
        <v>3226</v>
      </c>
      <c r="B6" s="26">
        <v>46108</v>
      </c>
      <c r="C6" s="26">
        <v>46113</v>
      </c>
      <c r="D6" s="82">
        <v>3319</v>
      </c>
      <c r="E6" s="82">
        <v>327</v>
      </c>
      <c r="F6" s="25">
        <v>2</v>
      </c>
      <c r="G6" s="28">
        <v>1</v>
      </c>
      <c r="H6" s="28">
        <v>81433</v>
      </c>
      <c r="I6" s="28" t="s">
        <v>17</v>
      </c>
      <c r="J6" s="28">
        <v>51673411</v>
      </c>
      <c r="K6" s="43" t="s">
        <v>2680</v>
      </c>
      <c r="L6" t="s">
        <v>2685</v>
      </c>
      <c r="M6" s="37">
        <v>229900</v>
      </c>
      <c r="N6" s="81" t="s">
        <v>2604</v>
      </c>
      <c r="O6" s="37">
        <v>179000</v>
      </c>
      <c r="P6" s="28" t="s">
        <v>2604</v>
      </c>
    </row>
    <row r="7" spans="1:16" x14ac:dyDescent="0.3">
      <c r="A7" s="25" t="s">
        <v>3226</v>
      </c>
      <c r="B7" s="26">
        <v>46108</v>
      </c>
      <c r="C7" s="26">
        <v>46113</v>
      </c>
      <c r="D7" s="82">
        <v>3319</v>
      </c>
      <c r="E7" s="82">
        <v>327</v>
      </c>
      <c r="F7" s="25">
        <v>2</v>
      </c>
      <c r="G7" s="28">
        <v>1</v>
      </c>
      <c r="H7" s="28">
        <v>81433</v>
      </c>
      <c r="I7" s="28" t="s">
        <v>17</v>
      </c>
      <c r="J7" s="28">
        <v>51673331</v>
      </c>
      <c r="K7" s="43" t="s">
        <v>2680</v>
      </c>
      <c r="L7" t="s">
        <v>2686</v>
      </c>
      <c r="M7" s="37">
        <v>229900</v>
      </c>
      <c r="N7" s="81" t="s">
        <v>2604</v>
      </c>
      <c r="O7" s="37">
        <v>179000</v>
      </c>
      <c r="P7" s="28" t="s">
        <v>2604</v>
      </c>
    </row>
    <row r="8" spans="1:16" x14ac:dyDescent="0.3">
      <c r="A8" s="25" t="s">
        <v>3226</v>
      </c>
      <c r="B8" s="26">
        <v>46108</v>
      </c>
      <c r="C8" s="26">
        <v>46113</v>
      </c>
      <c r="D8" s="82">
        <v>3319</v>
      </c>
      <c r="E8" s="82">
        <v>327</v>
      </c>
      <c r="F8" s="25">
        <v>2</v>
      </c>
      <c r="G8" s="28">
        <v>1</v>
      </c>
      <c r="H8" s="28">
        <v>81433</v>
      </c>
      <c r="I8" s="28" t="s">
        <v>17</v>
      </c>
      <c r="J8" s="28">
        <v>51673402</v>
      </c>
      <c r="K8" s="43" t="s">
        <v>2680</v>
      </c>
      <c r="L8" t="s">
        <v>2687</v>
      </c>
      <c r="M8" s="37">
        <v>229900</v>
      </c>
      <c r="N8" s="81" t="s">
        <v>2604</v>
      </c>
      <c r="O8" s="37">
        <v>179000</v>
      </c>
      <c r="P8" s="28" t="s">
        <v>2604</v>
      </c>
    </row>
    <row r="9" spans="1:16" x14ac:dyDescent="0.3">
      <c r="A9" s="25" t="s">
        <v>3226</v>
      </c>
      <c r="B9" s="26">
        <v>46108</v>
      </c>
      <c r="C9" s="26">
        <v>46113</v>
      </c>
      <c r="D9" s="82">
        <v>3319</v>
      </c>
      <c r="E9" s="82">
        <v>327</v>
      </c>
      <c r="F9" s="25">
        <v>2</v>
      </c>
      <c r="G9" s="28">
        <v>1</v>
      </c>
      <c r="H9" s="28">
        <v>81433</v>
      </c>
      <c r="I9" s="28" t="s">
        <v>17</v>
      </c>
      <c r="J9" s="28">
        <v>51673420</v>
      </c>
      <c r="K9" s="43" t="s">
        <v>2680</v>
      </c>
      <c r="L9" t="s">
        <v>2688</v>
      </c>
      <c r="M9" s="37">
        <v>229900</v>
      </c>
      <c r="N9" s="81" t="s">
        <v>2604</v>
      </c>
      <c r="O9" s="37">
        <v>179000</v>
      </c>
      <c r="P9" s="28" t="s">
        <v>2604</v>
      </c>
    </row>
    <row r="10" spans="1:16" x14ac:dyDescent="0.3">
      <c r="A10" s="25" t="s">
        <v>3226</v>
      </c>
      <c r="B10" s="26">
        <v>46108</v>
      </c>
      <c r="C10" s="26">
        <v>46113</v>
      </c>
      <c r="D10" s="82">
        <v>3319</v>
      </c>
      <c r="E10" s="82">
        <v>327</v>
      </c>
      <c r="F10" s="25">
        <v>2</v>
      </c>
      <c r="G10" s="28">
        <v>1</v>
      </c>
      <c r="H10" s="28">
        <v>81433</v>
      </c>
      <c r="I10" s="28" t="s">
        <v>17</v>
      </c>
      <c r="J10" s="28">
        <v>51673368</v>
      </c>
      <c r="K10" s="43" t="s">
        <v>2680</v>
      </c>
      <c r="L10" t="s">
        <v>2689</v>
      </c>
      <c r="M10" s="37">
        <v>229900</v>
      </c>
      <c r="N10" s="81" t="s">
        <v>2604</v>
      </c>
      <c r="O10" s="37">
        <v>179000</v>
      </c>
      <c r="P10" s="28" t="s">
        <v>2604</v>
      </c>
    </row>
    <row r="11" spans="1:16" x14ac:dyDescent="0.3">
      <c r="A11" s="25" t="s">
        <v>3226</v>
      </c>
      <c r="B11" s="26">
        <v>46108</v>
      </c>
      <c r="C11" s="26">
        <v>46113</v>
      </c>
      <c r="D11" s="82">
        <v>3319</v>
      </c>
      <c r="E11" s="82">
        <v>327</v>
      </c>
      <c r="F11" s="25">
        <v>2</v>
      </c>
      <c r="G11" s="28">
        <v>1</v>
      </c>
      <c r="H11" s="28">
        <v>81433</v>
      </c>
      <c r="I11" s="28" t="s">
        <v>17</v>
      </c>
      <c r="J11" s="28">
        <v>51673377</v>
      </c>
      <c r="K11" s="43" t="s">
        <v>2680</v>
      </c>
      <c r="L11" t="s">
        <v>2690</v>
      </c>
      <c r="M11" s="37">
        <v>229900</v>
      </c>
      <c r="N11" s="81" t="s">
        <v>2604</v>
      </c>
      <c r="O11" s="37">
        <v>179000</v>
      </c>
      <c r="P11" s="28" t="s">
        <v>2604</v>
      </c>
    </row>
    <row r="12" spans="1:16" x14ac:dyDescent="0.3">
      <c r="A12" s="25" t="s">
        <v>3226</v>
      </c>
      <c r="B12" s="26">
        <v>46108</v>
      </c>
      <c r="C12" s="26">
        <v>46113</v>
      </c>
      <c r="D12" s="82">
        <v>3319</v>
      </c>
      <c r="E12" s="82">
        <v>327</v>
      </c>
      <c r="F12" s="25">
        <v>2</v>
      </c>
      <c r="G12" s="28">
        <v>1</v>
      </c>
      <c r="H12" s="28">
        <v>81433</v>
      </c>
      <c r="I12" s="28" t="s">
        <v>17</v>
      </c>
      <c r="J12" s="28">
        <v>51673439</v>
      </c>
      <c r="K12" s="43" t="s">
        <v>2792</v>
      </c>
      <c r="L12" t="s">
        <v>2793</v>
      </c>
      <c r="M12" s="37">
        <v>229900</v>
      </c>
      <c r="N12" s="81" t="s">
        <v>2604</v>
      </c>
      <c r="O12" s="37">
        <v>179000</v>
      </c>
      <c r="P12" s="28" t="s">
        <v>2604</v>
      </c>
    </row>
    <row r="13" spans="1:16" x14ac:dyDescent="0.3">
      <c r="A13" s="25" t="s">
        <v>3226</v>
      </c>
      <c r="B13" s="26">
        <v>46108</v>
      </c>
      <c r="C13" s="26">
        <v>46113</v>
      </c>
      <c r="D13" s="82">
        <v>3319</v>
      </c>
      <c r="E13" s="82">
        <v>327</v>
      </c>
      <c r="F13" s="25">
        <v>2</v>
      </c>
      <c r="G13" s="28">
        <v>1</v>
      </c>
      <c r="H13" s="28">
        <v>81433</v>
      </c>
      <c r="I13" s="28" t="s">
        <v>17</v>
      </c>
      <c r="J13" s="28">
        <v>51673448</v>
      </c>
      <c r="K13" s="43" t="s">
        <v>2792</v>
      </c>
      <c r="L13" t="s">
        <v>2794</v>
      </c>
      <c r="M13" s="37">
        <v>229900</v>
      </c>
      <c r="N13" s="81" t="s">
        <v>2604</v>
      </c>
      <c r="O13" s="37">
        <v>179000</v>
      </c>
      <c r="P13" s="28" t="s">
        <v>2604</v>
      </c>
    </row>
    <row r="14" spans="1:16" x14ac:dyDescent="0.3">
      <c r="A14" s="25" t="s">
        <v>3226</v>
      </c>
      <c r="B14" s="26">
        <v>46108</v>
      </c>
      <c r="C14" s="26">
        <v>46113</v>
      </c>
      <c r="D14" s="82">
        <v>3319</v>
      </c>
      <c r="E14" s="82">
        <v>327</v>
      </c>
      <c r="F14" s="25">
        <v>2</v>
      </c>
      <c r="G14" s="28">
        <v>1</v>
      </c>
      <c r="H14" s="28">
        <v>81433</v>
      </c>
      <c r="I14" s="28" t="s">
        <v>17</v>
      </c>
      <c r="J14" s="28">
        <v>51673457</v>
      </c>
      <c r="K14" s="43" t="s">
        <v>2792</v>
      </c>
      <c r="L14" t="s">
        <v>2795</v>
      </c>
      <c r="M14" s="37">
        <v>229900</v>
      </c>
      <c r="N14" s="81" t="s">
        <v>2604</v>
      </c>
      <c r="O14" s="37">
        <v>179000</v>
      </c>
      <c r="P14" s="28" t="s">
        <v>2604</v>
      </c>
    </row>
    <row r="15" spans="1:16" x14ac:dyDescent="0.3">
      <c r="A15" s="25" t="s">
        <v>3226</v>
      </c>
      <c r="B15" s="26">
        <v>46108</v>
      </c>
      <c r="C15" s="26">
        <v>46113</v>
      </c>
      <c r="D15" s="82">
        <v>3319</v>
      </c>
      <c r="E15" s="82">
        <v>327</v>
      </c>
      <c r="F15" s="25">
        <v>2</v>
      </c>
      <c r="G15" s="28">
        <v>1</v>
      </c>
      <c r="H15" s="28">
        <v>81433</v>
      </c>
      <c r="I15" s="28" t="s">
        <v>17</v>
      </c>
      <c r="J15" s="28">
        <v>51673466</v>
      </c>
      <c r="K15" s="43" t="s">
        <v>2792</v>
      </c>
      <c r="L15" t="s">
        <v>2796</v>
      </c>
      <c r="M15" s="37">
        <v>229900</v>
      </c>
      <c r="N15" s="81" t="s">
        <v>2604</v>
      </c>
      <c r="O15" s="37">
        <v>179000</v>
      </c>
      <c r="P15" s="28" t="s">
        <v>2604</v>
      </c>
    </row>
    <row r="16" spans="1:16" x14ac:dyDescent="0.3">
      <c r="A16" s="25" t="s">
        <v>3226</v>
      </c>
      <c r="B16" s="26">
        <v>46108</v>
      </c>
      <c r="C16" s="26">
        <v>46113</v>
      </c>
      <c r="D16" s="82">
        <v>3319</v>
      </c>
      <c r="E16" s="82">
        <v>327</v>
      </c>
      <c r="F16" s="25">
        <v>2</v>
      </c>
      <c r="G16" s="28">
        <v>1</v>
      </c>
      <c r="H16" s="28">
        <v>81433</v>
      </c>
      <c r="I16" s="28" t="s">
        <v>17</v>
      </c>
      <c r="J16" s="28">
        <v>51673475</v>
      </c>
      <c r="K16" s="43" t="s">
        <v>2792</v>
      </c>
      <c r="L16" t="s">
        <v>2797</v>
      </c>
      <c r="M16" s="37">
        <v>229900</v>
      </c>
      <c r="N16" s="81" t="s">
        <v>2604</v>
      </c>
      <c r="O16" s="37">
        <v>179000</v>
      </c>
      <c r="P16" s="28" t="s">
        <v>2604</v>
      </c>
    </row>
    <row r="17" spans="1:16" x14ac:dyDescent="0.3">
      <c r="A17" s="25" t="s">
        <v>3226</v>
      </c>
      <c r="B17" s="26">
        <v>46108</v>
      </c>
      <c r="C17" s="26">
        <v>46113</v>
      </c>
      <c r="D17" s="82">
        <v>3319</v>
      </c>
      <c r="E17" s="82">
        <v>327</v>
      </c>
      <c r="F17" s="25">
        <v>2</v>
      </c>
      <c r="G17" s="28">
        <v>1</v>
      </c>
      <c r="H17" s="28">
        <v>81433</v>
      </c>
      <c r="I17" s="28" t="s">
        <v>17</v>
      </c>
      <c r="J17" s="28">
        <v>51673484</v>
      </c>
      <c r="K17" s="43" t="s">
        <v>2792</v>
      </c>
      <c r="L17" t="s">
        <v>2798</v>
      </c>
      <c r="M17" s="37">
        <v>229900</v>
      </c>
      <c r="N17" s="81" t="s">
        <v>2604</v>
      </c>
      <c r="O17" s="37">
        <v>179000</v>
      </c>
      <c r="P17" s="28" t="s">
        <v>2604</v>
      </c>
    </row>
    <row r="18" spans="1:16" x14ac:dyDescent="0.3">
      <c r="A18" s="25" t="s">
        <v>3226</v>
      </c>
      <c r="B18" s="26">
        <v>46108</v>
      </c>
      <c r="C18" s="26">
        <v>46113</v>
      </c>
      <c r="D18" s="82">
        <v>3319</v>
      </c>
      <c r="E18" s="82">
        <v>327</v>
      </c>
      <c r="F18" s="25">
        <v>2</v>
      </c>
      <c r="G18" s="28">
        <v>1</v>
      </c>
      <c r="H18" s="28">
        <v>81433</v>
      </c>
      <c r="I18" s="28" t="s">
        <v>17</v>
      </c>
      <c r="J18" s="28">
        <v>51673493</v>
      </c>
      <c r="K18" s="43" t="s">
        <v>2792</v>
      </c>
      <c r="L18" t="s">
        <v>2799</v>
      </c>
      <c r="M18" s="37">
        <v>229900</v>
      </c>
      <c r="N18" s="81" t="s">
        <v>2604</v>
      </c>
      <c r="O18" s="37">
        <v>179000</v>
      </c>
      <c r="P18" s="28" t="s">
        <v>2604</v>
      </c>
    </row>
    <row r="19" spans="1:16" x14ac:dyDescent="0.3">
      <c r="A19" s="25" t="s">
        <v>3226</v>
      </c>
      <c r="B19" s="26">
        <v>46108</v>
      </c>
      <c r="C19" s="26">
        <v>46113</v>
      </c>
      <c r="D19" s="82">
        <v>3319</v>
      </c>
      <c r="E19" s="82">
        <v>327</v>
      </c>
      <c r="F19" s="25">
        <v>2</v>
      </c>
      <c r="G19" s="28">
        <v>1</v>
      </c>
      <c r="H19" s="28">
        <v>81433</v>
      </c>
      <c r="I19" s="28" t="s">
        <v>17</v>
      </c>
      <c r="J19" s="28">
        <v>51673500</v>
      </c>
      <c r="K19" s="43" t="s">
        <v>2792</v>
      </c>
      <c r="L19" t="s">
        <v>2800</v>
      </c>
      <c r="M19" s="37">
        <v>229900</v>
      </c>
      <c r="N19" s="81" t="s">
        <v>2604</v>
      </c>
      <c r="O19" s="37">
        <v>179000</v>
      </c>
      <c r="P19" s="28" t="s">
        <v>2604</v>
      </c>
    </row>
    <row r="20" spans="1:16" x14ac:dyDescent="0.3">
      <c r="A20" s="25" t="s">
        <v>3226</v>
      </c>
      <c r="B20" s="26">
        <v>46108</v>
      </c>
      <c r="C20" s="26">
        <v>46113</v>
      </c>
      <c r="D20" s="82">
        <v>3319</v>
      </c>
      <c r="E20" s="82">
        <v>327</v>
      </c>
      <c r="F20" s="25">
        <v>2</v>
      </c>
      <c r="G20" s="28">
        <v>1</v>
      </c>
      <c r="H20" s="28">
        <v>81433</v>
      </c>
      <c r="I20" s="28" t="s">
        <v>17</v>
      </c>
      <c r="J20" s="28">
        <v>51673519</v>
      </c>
      <c r="K20" s="43" t="s">
        <v>2792</v>
      </c>
      <c r="L20" t="s">
        <v>2801</v>
      </c>
      <c r="M20" s="37">
        <v>229900</v>
      </c>
      <c r="N20" s="81" t="s">
        <v>2604</v>
      </c>
      <c r="O20" s="37">
        <v>179000</v>
      </c>
      <c r="P20" s="28" t="s">
        <v>2604</v>
      </c>
    </row>
    <row r="21" spans="1:16" x14ac:dyDescent="0.3">
      <c r="A21" s="25" t="s">
        <v>3226</v>
      </c>
      <c r="B21" s="26">
        <v>46108</v>
      </c>
      <c r="C21" s="26">
        <v>46113</v>
      </c>
      <c r="D21" s="82">
        <v>3319</v>
      </c>
      <c r="E21" s="82">
        <v>327</v>
      </c>
      <c r="F21" s="25">
        <v>2</v>
      </c>
      <c r="G21" s="28">
        <v>1</v>
      </c>
      <c r="H21" s="28">
        <v>81433</v>
      </c>
      <c r="I21" s="28" t="s">
        <v>17</v>
      </c>
      <c r="J21" s="28">
        <v>51673528</v>
      </c>
      <c r="K21" s="43" t="s">
        <v>2792</v>
      </c>
      <c r="L21" t="s">
        <v>2802</v>
      </c>
      <c r="M21" s="37">
        <v>229900</v>
      </c>
      <c r="N21" s="81" t="s">
        <v>2604</v>
      </c>
      <c r="O21" s="37">
        <v>179000</v>
      </c>
      <c r="P21" s="28" t="s">
        <v>2604</v>
      </c>
    </row>
    <row r="22" spans="1:16" x14ac:dyDescent="0.3">
      <c r="A22" s="25" t="s">
        <v>3226</v>
      </c>
      <c r="B22" s="26">
        <v>46108</v>
      </c>
      <c r="C22" s="26">
        <v>46113</v>
      </c>
      <c r="D22" s="82">
        <v>3319</v>
      </c>
      <c r="E22" s="82">
        <v>327</v>
      </c>
      <c r="F22" s="25">
        <v>2</v>
      </c>
      <c r="G22" s="28">
        <v>1</v>
      </c>
      <c r="H22" s="28">
        <v>81433</v>
      </c>
      <c r="I22" s="28" t="s">
        <v>17</v>
      </c>
      <c r="J22" s="28">
        <v>51673546</v>
      </c>
      <c r="K22" s="43" t="s">
        <v>2691</v>
      </c>
      <c r="L22" t="s">
        <v>2692</v>
      </c>
      <c r="M22" s="37">
        <v>229900</v>
      </c>
      <c r="N22" s="81" t="s">
        <v>2604</v>
      </c>
      <c r="O22" s="37">
        <v>179000</v>
      </c>
      <c r="P22" s="28" t="s">
        <v>2604</v>
      </c>
    </row>
    <row r="23" spans="1:16" x14ac:dyDescent="0.3">
      <c r="A23" s="25" t="s">
        <v>3226</v>
      </c>
      <c r="B23" s="26">
        <v>46108</v>
      </c>
      <c r="C23" s="26">
        <v>46113</v>
      </c>
      <c r="D23" s="82">
        <v>3319</v>
      </c>
      <c r="E23" s="82">
        <v>327</v>
      </c>
      <c r="F23" s="25">
        <v>2</v>
      </c>
      <c r="G23" s="28">
        <v>1</v>
      </c>
      <c r="H23" s="28">
        <v>81433</v>
      </c>
      <c r="I23" s="28" t="s">
        <v>17</v>
      </c>
      <c r="J23" s="28">
        <v>51673591</v>
      </c>
      <c r="K23" s="43" t="s">
        <v>2691</v>
      </c>
      <c r="L23" t="s">
        <v>2693</v>
      </c>
      <c r="M23" s="37">
        <v>229900</v>
      </c>
      <c r="N23" s="81" t="s">
        <v>2604</v>
      </c>
      <c r="O23" s="37">
        <v>179000</v>
      </c>
      <c r="P23" s="28" t="s">
        <v>2604</v>
      </c>
    </row>
    <row r="24" spans="1:16" x14ac:dyDescent="0.3">
      <c r="A24" s="25" t="s">
        <v>3226</v>
      </c>
      <c r="B24" s="26">
        <v>46108</v>
      </c>
      <c r="C24" s="26">
        <v>46113</v>
      </c>
      <c r="D24" s="82">
        <v>3319</v>
      </c>
      <c r="E24" s="82">
        <v>327</v>
      </c>
      <c r="F24" s="25">
        <v>2</v>
      </c>
      <c r="G24" s="28">
        <v>1</v>
      </c>
      <c r="H24" s="28">
        <v>81433</v>
      </c>
      <c r="I24" s="28" t="s">
        <v>17</v>
      </c>
      <c r="J24" s="28">
        <v>51673608</v>
      </c>
      <c r="K24" s="43" t="s">
        <v>2691</v>
      </c>
      <c r="L24" t="s">
        <v>2694</v>
      </c>
      <c r="M24" s="37">
        <v>229900</v>
      </c>
      <c r="N24" s="81" t="s">
        <v>2604</v>
      </c>
      <c r="O24" s="37">
        <v>179000</v>
      </c>
      <c r="P24" s="28" t="s">
        <v>2604</v>
      </c>
    </row>
    <row r="25" spans="1:16" x14ac:dyDescent="0.3">
      <c r="A25" s="25" t="s">
        <v>3226</v>
      </c>
      <c r="B25" s="26">
        <v>46108</v>
      </c>
      <c r="C25" s="26">
        <v>46113</v>
      </c>
      <c r="D25" s="82">
        <v>3319</v>
      </c>
      <c r="E25" s="82">
        <v>327</v>
      </c>
      <c r="F25" s="25">
        <v>2</v>
      </c>
      <c r="G25" s="28">
        <v>1</v>
      </c>
      <c r="H25" s="28">
        <v>81433</v>
      </c>
      <c r="I25" s="28" t="s">
        <v>17</v>
      </c>
      <c r="J25" s="28">
        <v>51673582</v>
      </c>
      <c r="K25" s="43" t="s">
        <v>2691</v>
      </c>
      <c r="L25" t="s">
        <v>2695</v>
      </c>
      <c r="M25" s="37">
        <v>229900</v>
      </c>
      <c r="N25" s="81" t="s">
        <v>2604</v>
      </c>
      <c r="O25" s="37">
        <v>179000</v>
      </c>
      <c r="P25" s="28" t="s">
        <v>2604</v>
      </c>
    </row>
    <row r="26" spans="1:16" x14ac:dyDescent="0.3">
      <c r="A26" s="25" t="s">
        <v>3226</v>
      </c>
      <c r="B26" s="26">
        <v>46108</v>
      </c>
      <c r="C26" s="26">
        <v>46113</v>
      </c>
      <c r="D26" s="82">
        <v>3319</v>
      </c>
      <c r="E26" s="82">
        <v>327</v>
      </c>
      <c r="F26" s="25">
        <v>2</v>
      </c>
      <c r="G26" s="28">
        <v>1</v>
      </c>
      <c r="H26" s="28">
        <v>81433</v>
      </c>
      <c r="I26" s="28" t="s">
        <v>17</v>
      </c>
      <c r="J26" s="28">
        <v>51673555</v>
      </c>
      <c r="K26" s="43" t="s">
        <v>2691</v>
      </c>
      <c r="L26" t="s">
        <v>2696</v>
      </c>
      <c r="M26" s="37">
        <v>229900</v>
      </c>
      <c r="N26" s="81" t="s">
        <v>2604</v>
      </c>
      <c r="O26" s="37">
        <v>179000</v>
      </c>
      <c r="P26" s="28" t="s">
        <v>2604</v>
      </c>
    </row>
    <row r="27" spans="1:16" x14ac:dyDescent="0.3">
      <c r="A27" s="25" t="s">
        <v>3226</v>
      </c>
      <c r="B27" s="26">
        <v>46108</v>
      </c>
      <c r="C27" s="26">
        <v>46113</v>
      </c>
      <c r="D27" s="82">
        <v>3319</v>
      </c>
      <c r="E27" s="82">
        <v>327</v>
      </c>
      <c r="F27" s="25">
        <v>2</v>
      </c>
      <c r="G27" s="28">
        <v>1</v>
      </c>
      <c r="H27" s="28">
        <v>81433</v>
      </c>
      <c r="I27" s="28" t="s">
        <v>17</v>
      </c>
      <c r="J27" s="28">
        <v>51673537</v>
      </c>
      <c r="K27" s="43" t="s">
        <v>2691</v>
      </c>
      <c r="L27" t="s">
        <v>2697</v>
      </c>
      <c r="M27" s="37">
        <v>229900</v>
      </c>
      <c r="N27" s="81" t="s">
        <v>2604</v>
      </c>
      <c r="O27" s="37">
        <v>179000</v>
      </c>
      <c r="P27" s="28" t="s">
        <v>2604</v>
      </c>
    </row>
    <row r="28" spans="1:16" x14ac:dyDescent="0.3">
      <c r="A28" s="25" t="s">
        <v>3226</v>
      </c>
      <c r="B28" s="26">
        <v>46108</v>
      </c>
      <c r="C28" s="26">
        <v>46113</v>
      </c>
      <c r="D28" s="82">
        <v>3319</v>
      </c>
      <c r="E28" s="82">
        <v>327</v>
      </c>
      <c r="F28" s="25">
        <v>2</v>
      </c>
      <c r="G28" s="28">
        <v>1</v>
      </c>
      <c r="H28" s="28">
        <v>81433</v>
      </c>
      <c r="I28" s="28" t="s">
        <v>17</v>
      </c>
      <c r="J28" s="28">
        <v>51673564</v>
      </c>
      <c r="K28" s="43" t="s">
        <v>2691</v>
      </c>
      <c r="L28" t="s">
        <v>2698</v>
      </c>
      <c r="M28" s="37">
        <v>229900</v>
      </c>
      <c r="N28" s="81" t="s">
        <v>2604</v>
      </c>
      <c r="O28" s="37">
        <v>179000</v>
      </c>
      <c r="P28" s="28" t="s">
        <v>2604</v>
      </c>
    </row>
    <row r="29" spans="1:16" x14ac:dyDescent="0.3">
      <c r="A29" s="25" t="s">
        <v>3226</v>
      </c>
      <c r="B29" s="26">
        <v>46108</v>
      </c>
      <c r="C29" s="26">
        <v>46113</v>
      </c>
      <c r="D29" s="82">
        <v>3319</v>
      </c>
      <c r="E29" s="82">
        <v>327</v>
      </c>
      <c r="F29" s="25">
        <v>2</v>
      </c>
      <c r="G29" s="28">
        <v>1</v>
      </c>
      <c r="H29" s="28">
        <v>81433</v>
      </c>
      <c r="I29" s="28" t="s">
        <v>17</v>
      </c>
      <c r="J29" s="28">
        <v>51673573</v>
      </c>
      <c r="K29" s="43" t="s">
        <v>2691</v>
      </c>
      <c r="L29" t="s">
        <v>2699</v>
      </c>
      <c r="M29" s="37">
        <v>229900</v>
      </c>
      <c r="N29" s="81" t="s">
        <v>2604</v>
      </c>
      <c r="O29" s="37">
        <v>179000</v>
      </c>
      <c r="P29" s="28" t="s">
        <v>2604</v>
      </c>
    </row>
    <row r="30" spans="1:16" x14ac:dyDescent="0.3">
      <c r="A30" s="25" t="s">
        <v>3226</v>
      </c>
      <c r="B30" s="26">
        <v>46108</v>
      </c>
      <c r="C30" s="26">
        <v>46113</v>
      </c>
      <c r="D30" s="82">
        <v>3319</v>
      </c>
      <c r="E30" s="82">
        <v>327</v>
      </c>
      <c r="F30" s="25">
        <v>2</v>
      </c>
      <c r="G30" s="28">
        <v>1</v>
      </c>
      <c r="H30" s="28">
        <v>81433</v>
      </c>
      <c r="I30" s="28" t="s">
        <v>17</v>
      </c>
      <c r="J30" s="28">
        <v>51673617</v>
      </c>
      <c r="K30" s="43" t="s">
        <v>2691</v>
      </c>
      <c r="L30" t="s">
        <v>2700</v>
      </c>
      <c r="M30" s="37">
        <v>229900</v>
      </c>
      <c r="N30" s="81" t="s">
        <v>2604</v>
      </c>
      <c r="O30" s="37">
        <v>179000</v>
      </c>
      <c r="P30" s="28" t="s">
        <v>2604</v>
      </c>
    </row>
    <row r="31" spans="1:16" x14ac:dyDescent="0.3">
      <c r="A31" s="25" t="s">
        <v>3226</v>
      </c>
      <c r="B31" s="26">
        <v>46108</v>
      </c>
      <c r="C31" s="26">
        <v>46113</v>
      </c>
      <c r="D31" s="82">
        <v>3319</v>
      </c>
      <c r="E31" s="82">
        <v>327</v>
      </c>
      <c r="F31" s="25">
        <v>2</v>
      </c>
      <c r="G31" s="28">
        <v>1</v>
      </c>
      <c r="H31" s="28">
        <v>81433</v>
      </c>
      <c r="I31" s="28" t="s">
        <v>17</v>
      </c>
      <c r="J31" s="28">
        <v>51673626</v>
      </c>
      <c r="K31" s="43" t="s">
        <v>2691</v>
      </c>
      <c r="L31" t="s">
        <v>2701</v>
      </c>
      <c r="M31" s="37">
        <v>229900</v>
      </c>
      <c r="N31" s="81" t="s">
        <v>2604</v>
      </c>
      <c r="O31" s="37">
        <v>179000</v>
      </c>
      <c r="P31" s="28" t="s">
        <v>2604</v>
      </c>
    </row>
    <row r="32" spans="1:16" x14ac:dyDescent="0.3">
      <c r="A32" s="25" t="s">
        <v>3226</v>
      </c>
      <c r="B32" s="26">
        <v>46108</v>
      </c>
      <c r="C32" s="26">
        <v>46113</v>
      </c>
      <c r="D32" s="48">
        <v>3319</v>
      </c>
      <c r="E32" s="48">
        <v>327</v>
      </c>
      <c r="F32" s="28">
        <v>2</v>
      </c>
      <c r="G32" s="28">
        <v>1</v>
      </c>
      <c r="H32" s="28">
        <v>81778</v>
      </c>
      <c r="I32" s="28" t="s">
        <v>17</v>
      </c>
      <c r="J32" s="28">
        <v>22407290</v>
      </c>
      <c r="K32" s="43" t="s">
        <v>2285</v>
      </c>
      <c r="L32" t="s">
        <v>2291</v>
      </c>
      <c r="M32" s="37">
        <v>229900</v>
      </c>
      <c r="N32" s="81" t="s">
        <v>2604</v>
      </c>
      <c r="O32" s="37">
        <v>179000</v>
      </c>
      <c r="P32" s="28" t="s">
        <v>2604</v>
      </c>
    </row>
    <row r="33" spans="1:16" x14ac:dyDescent="0.3">
      <c r="A33" s="25" t="s">
        <v>3226</v>
      </c>
      <c r="B33" s="26">
        <v>46108</v>
      </c>
      <c r="C33" s="26">
        <v>46113</v>
      </c>
      <c r="D33" s="48">
        <v>3319</v>
      </c>
      <c r="E33" s="48">
        <v>327</v>
      </c>
      <c r="F33" s="28">
        <v>2</v>
      </c>
      <c r="G33" s="28">
        <v>1</v>
      </c>
      <c r="H33" s="28">
        <v>81778</v>
      </c>
      <c r="I33" s="28" t="s">
        <v>17</v>
      </c>
      <c r="J33" s="28">
        <v>22407307</v>
      </c>
      <c r="K33" s="43" t="s">
        <v>2285</v>
      </c>
      <c r="L33" t="s">
        <v>2292</v>
      </c>
      <c r="M33" s="37">
        <v>229900</v>
      </c>
      <c r="N33" s="81" t="s">
        <v>2604</v>
      </c>
      <c r="O33" s="37">
        <v>179000</v>
      </c>
      <c r="P33" s="28" t="s">
        <v>2604</v>
      </c>
    </row>
    <row r="34" spans="1:16" x14ac:dyDescent="0.3">
      <c r="A34" s="25" t="s">
        <v>3226</v>
      </c>
      <c r="B34" s="26">
        <v>46108</v>
      </c>
      <c r="C34" s="26">
        <v>46113</v>
      </c>
      <c r="D34" s="48">
        <v>3319</v>
      </c>
      <c r="E34" s="48">
        <v>327</v>
      </c>
      <c r="F34" s="28">
        <v>2</v>
      </c>
      <c r="G34" s="28">
        <v>1</v>
      </c>
      <c r="H34" s="28">
        <v>81778</v>
      </c>
      <c r="I34" s="28" t="s">
        <v>17</v>
      </c>
      <c r="J34" s="28">
        <v>22407316</v>
      </c>
      <c r="K34" s="43" t="s">
        <v>2285</v>
      </c>
      <c r="L34" t="s">
        <v>2293</v>
      </c>
      <c r="M34" s="37">
        <v>229900</v>
      </c>
      <c r="N34" s="81" t="s">
        <v>2604</v>
      </c>
      <c r="O34" s="37">
        <v>179000</v>
      </c>
      <c r="P34" s="28" t="s">
        <v>2604</v>
      </c>
    </row>
    <row r="35" spans="1:16" x14ac:dyDescent="0.3">
      <c r="A35" s="25" t="s">
        <v>3226</v>
      </c>
      <c r="B35" s="26">
        <v>46108</v>
      </c>
      <c r="C35" s="26">
        <v>46113</v>
      </c>
      <c r="D35" s="48">
        <v>3319</v>
      </c>
      <c r="E35" s="48">
        <v>327</v>
      </c>
      <c r="F35" s="28">
        <v>2</v>
      </c>
      <c r="G35" s="28">
        <v>1</v>
      </c>
      <c r="H35" s="28">
        <v>81778</v>
      </c>
      <c r="I35" s="28" t="s">
        <v>17</v>
      </c>
      <c r="J35" s="28">
        <v>22407325</v>
      </c>
      <c r="K35" s="43" t="s">
        <v>2285</v>
      </c>
      <c r="L35" t="s">
        <v>2294</v>
      </c>
      <c r="M35" s="37">
        <v>229900</v>
      </c>
      <c r="N35" s="81" t="s">
        <v>2604</v>
      </c>
      <c r="O35" s="37">
        <v>179000</v>
      </c>
      <c r="P35" s="28" t="s">
        <v>2604</v>
      </c>
    </row>
    <row r="36" spans="1:16" x14ac:dyDescent="0.3">
      <c r="A36" s="25" t="s">
        <v>3226</v>
      </c>
      <c r="B36" s="26">
        <v>46108</v>
      </c>
      <c r="C36" s="26">
        <v>46113</v>
      </c>
      <c r="D36" s="48">
        <v>3319</v>
      </c>
      <c r="E36" s="48">
        <v>327</v>
      </c>
      <c r="F36" s="28">
        <v>2</v>
      </c>
      <c r="G36" s="28">
        <v>1</v>
      </c>
      <c r="H36" s="28">
        <v>81778</v>
      </c>
      <c r="I36" s="28" t="s">
        <v>17</v>
      </c>
      <c r="J36" s="28">
        <v>22407334</v>
      </c>
      <c r="K36" s="43" t="s">
        <v>2285</v>
      </c>
      <c r="L36" t="s">
        <v>2295</v>
      </c>
      <c r="M36" s="37">
        <v>229900</v>
      </c>
      <c r="N36" s="81" t="s">
        <v>2604</v>
      </c>
      <c r="O36" s="37">
        <v>179000</v>
      </c>
      <c r="P36" s="28" t="s">
        <v>2604</v>
      </c>
    </row>
    <row r="37" spans="1:16" x14ac:dyDescent="0.3">
      <c r="A37" s="25" t="s">
        <v>3226</v>
      </c>
      <c r="B37" s="26">
        <v>46108</v>
      </c>
      <c r="C37" s="26">
        <v>46113</v>
      </c>
      <c r="D37" s="48">
        <v>3319</v>
      </c>
      <c r="E37" s="48">
        <v>327</v>
      </c>
      <c r="F37" s="28">
        <v>2</v>
      </c>
      <c r="G37" s="28">
        <v>1</v>
      </c>
      <c r="H37" s="28">
        <v>81778</v>
      </c>
      <c r="I37" s="28" t="s">
        <v>17</v>
      </c>
      <c r="J37" s="28">
        <v>54500360</v>
      </c>
      <c r="K37" s="43" t="s">
        <v>2742</v>
      </c>
      <c r="L37" t="s">
        <v>2743</v>
      </c>
      <c r="M37" s="37">
        <v>229900</v>
      </c>
      <c r="N37" s="81" t="s">
        <v>2604</v>
      </c>
      <c r="O37" s="37">
        <v>179000</v>
      </c>
      <c r="P37" s="28" t="s">
        <v>2604</v>
      </c>
    </row>
    <row r="38" spans="1:16" x14ac:dyDescent="0.3">
      <c r="A38" s="25" t="s">
        <v>3226</v>
      </c>
      <c r="B38" s="26">
        <v>46108</v>
      </c>
      <c r="C38" s="26">
        <v>46113</v>
      </c>
      <c r="D38" s="48">
        <v>3319</v>
      </c>
      <c r="E38" s="48">
        <v>327</v>
      </c>
      <c r="F38" s="28">
        <v>2</v>
      </c>
      <c r="G38" s="28">
        <v>1</v>
      </c>
      <c r="H38" s="28">
        <v>81778</v>
      </c>
      <c r="I38" s="28" t="s">
        <v>17</v>
      </c>
      <c r="J38" s="28">
        <v>54500379</v>
      </c>
      <c r="K38" s="43" t="s">
        <v>2742</v>
      </c>
      <c r="L38" t="s">
        <v>2744</v>
      </c>
      <c r="M38" s="37">
        <v>229900</v>
      </c>
      <c r="N38" s="81" t="s">
        <v>2604</v>
      </c>
      <c r="O38" s="37">
        <v>179000</v>
      </c>
      <c r="P38" s="28" t="s">
        <v>2604</v>
      </c>
    </row>
    <row r="39" spans="1:16" x14ac:dyDescent="0.3">
      <c r="A39" s="25" t="s">
        <v>3226</v>
      </c>
      <c r="B39" s="26">
        <v>46108</v>
      </c>
      <c r="C39" s="26">
        <v>46113</v>
      </c>
      <c r="D39" s="48">
        <v>3319</v>
      </c>
      <c r="E39" s="48">
        <v>327</v>
      </c>
      <c r="F39" s="28">
        <v>2</v>
      </c>
      <c r="G39" s="28">
        <v>1</v>
      </c>
      <c r="H39" s="28">
        <v>81778</v>
      </c>
      <c r="I39" s="28" t="s">
        <v>17</v>
      </c>
      <c r="J39" s="28">
        <v>54500388</v>
      </c>
      <c r="K39" s="43" t="s">
        <v>2742</v>
      </c>
      <c r="L39" t="s">
        <v>2745</v>
      </c>
      <c r="M39" s="37">
        <v>229900</v>
      </c>
      <c r="N39" s="81" t="s">
        <v>2604</v>
      </c>
      <c r="O39" s="37">
        <v>179000</v>
      </c>
      <c r="P39" s="28" t="s">
        <v>2604</v>
      </c>
    </row>
    <row r="40" spans="1:16" x14ac:dyDescent="0.3">
      <c r="A40" s="25" t="s">
        <v>3226</v>
      </c>
      <c r="B40" s="26">
        <v>46108</v>
      </c>
      <c r="C40" s="26">
        <v>46113</v>
      </c>
      <c r="D40" s="48">
        <v>3319</v>
      </c>
      <c r="E40" s="48">
        <v>327</v>
      </c>
      <c r="F40" s="28">
        <v>2</v>
      </c>
      <c r="G40" s="28">
        <v>1</v>
      </c>
      <c r="H40" s="28">
        <v>81778</v>
      </c>
      <c r="I40" s="28" t="s">
        <v>17</v>
      </c>
      <c r="J40" s="28">
        <v>54500397</v>
      </c>
      <c r="K40" s="43" t="s">
        <v>2742</v>
      </c>
      <c r="L40" t="s">
        <v>2746</v>
      </c>
      <c r="M40" s="37">
        <v>229900</v>
      </c>
      <c r="N40" s="81" t="s">
        <v>2604</v>
      </c>
      <c r="O40" s="37">
        <v>179000</v>
      </c>
      <c r="P40" s="28" t="s">
        <v>2604</v>
      </c>
    </row>
    <row r="41" spans="1:16" x14ac:dyDescent="0.3">
      <c r="A41" s="25" t="s">
        <v>3226</v>
      </c>
      <c r="B41" s="26">
        <v>46108</v>
      </c>
      <c r="C41" s="26">
        <v>46113</v>
      </c>
      <c r="D41" s="48">
        <v>3319</v>
      </c>
      <c r="E41" s="48">
        <v>327</v>
      </c>
      <c r="F41" s="28">
        <v>2</v>
      </c>
      <c r="G41" s="28">
        <v>1</v>
      </c>
      <c r="H41" s="28">
        <v>81778</v>
      </c>
      <c r="I41" s="28" t="s">
        <v>17</v>
      </c>
      <c r="J41" s="28">
        <v>54500404</v>
      </c>
      <c r="K41" s="43" t="s">
        <v>2742</v>
      </c>
      <c r="L41" t="s">
        <v>2747</v>
      </c>
      <c r="M41" s="37">
        <v>229900</v>
      </c>
      <c r="N41" s="81" t="s">
        <v>2604</v>
      </c>
      <c r="O41" s="37">
        <v>179000</v>
      </c>
      <c r="P41" s="28" t="s">
        <v>2604</v>
      </c>
    </row>
    <row r="42" spans="1:16" x14ac:dyDescent="0.3">
      <c r="A42" s="25" t="s">
        <v>3226</v>
      </c>
      <c r="B42" s="26">
        <v>46108</v>
      </c>
      <c r="C42" s="26">
        <v>46113</v>
      </c>
      <c r="D42" s="48">
        <v>3319</v>
      </c>
      <c r="E42" s="48">
        <v>327</v>
      </c>
      <c r="F42" s="28">
        <v>2</v>
      </c>
      <c r="G42" s="28">
        <v>1</v>
      </c>
      <c r="H42" s="28">
        <v>81778</v>
      </c>
      <c r="I42" s="28" t="s">
        <v>17</v>
      </c>
      <c r="J42" s="28">
        <v>54500413</v>
      </c>
      <c r="K42" s="43" t="s">
        <v>2742</v>
      </c>
      <c r="L42" t="s">
        <v>2748</v>
      </c>
      <c r="M42" s="37">
        <v>229900</v>
      </c>
      <c r="N42" s="81" t="s">
        <v>2604</v>
      </c>
      <c r="O42" s="37">
        <v>179000</v>
      </c>
      <c r="P42" s="28" t="s">
        <v>2604</v>
      </c>
    </row>
    <row r="43" spans="1:16" x14ac:dyDescent="0.3">
      <c r="A43" s="25" t="s">
        <v>3226</v>
      </c>
      <c r="B43" s="26">
        <v>46108</v>
      </c>
      <c r="C43" s="26">
        <v>46113</v>
      </c>
      <c r="D43" s="48">
        <v>3319</v>
      </c>
      <c r="E43" s="48">
        <v>327</v>
      </c>
      <c r="F43" s="28">
        <v>2</v>
      </c>
      <c r="G43" s="28">
        <v>1</v>
      </c>
      <c r="H43" s="28">
        <v>81778</v>
      </c>
      <c r="I43" s="28" t="s">
        <v>17</v>
      </c>
      <c r="J43" s="28">
        <v>54500422</v>
      </c>
      <c r="K43" s="43" t="s">
        <v>2742</v>
      </c>
      <c r="L43" t="s">
        <v>2749</v>
      </c>
      <c r="M43" s="37">
        <v>229900</v>
      </c>
      <c r="N43" s="81" t="s">
        <v>2604</v>
      </c>
      <c r="O43" s="37">
        <v>179000</v>
      </c>
      <c r="P43" s="28" t="s">
        <v>2604</v>
      </c>
    </row>
    <row r="44" spans="1:16" x14ac:dyDescent="0.3">
      <c r="A44" s="25" t="s">
        <v>3226</v>
      </c>
      <c r="B44" s="26">
        <v>46108</v>
      </c>
      <c r="C44" s="26">
        <v>46113</v>
      </c>
      <c r="D44" s="48">
        <v>3319</v>
      </c>
      <c r="E44" s="48">
        <v>327</v>
      </c>
      <c r="F44" s="28">
        <v>2</v>
      </c>
      <c r="G44" s="28">
        <v>1</v>
      </c>
      <c r="H44" s="28">
        <v>81778</v>
      </c>
      <c r="I44" s="28" t="s">
        <v>17</v>
      </c>
      <c r="J44" s="28">
        <v>54500431</v>
      </c>
      <c r="K44" s="43" t="s">
        <v>2742</v>
      </c>
      <c r="L44" t="s">
        <v>2750</v>
      </c>
      <c r="M44" s="37">
        <v>229900</v>
      </c>
      <c r="N44" s="81" t="s">
        <v>2604</v>
      </c>
      <c r="O44" s="37">
        <v>179000</v>
      </c>
      <c r="P44" s="28" t="s">
        <v>2604</v>
      </c>
    </row>
    <row r="45" spans="1:16" x14ac:dyDescent="0.3">
      <c r="A45" s="25" t="s">
        <v>3226</v>
      </c>
      <c r="B45" s="26">
        <v>46108</v>
      </c>
      <c r="C45" s="26">
        <v>46113</v>
      </c>
      <c r="D45" s="48">
        <v>3319</v>
      </c>
      <c r="E45" s="48">
        <v>327</v>
      </c>
      <c r="F45" s="28">
        <v>2</v>
      </c>
      <c r="G45" s="28">
        <v>1</v>
      </c>
      <c r="H45" s="28">
        <v>81778</v>
      </c>
      <c r="I45" s="28" t="s">
        <v>17</v>
      </c>
      <c r="J45" s="28">
        <v>54500440</v>
      </c>
      <c r="K45" s="43" t="s">
        <v>2742</v>
      </c>
      <c r="L45" t="s">
        <v>2751</v>
      </c>
      <c r="M45" s="37">
        <v>229900</v>
      </c>
      <c r="N45" s="81" t="s">
        <v>2604</v>
      </c>
      <c r="O45" s="37">
        <v>179000</v>
      </c>
      <c r="P45" s="28" t="s">
        <v>2604</v>
      </c>
    </row>
    <row r="46" spans="1:16" x14ac:dyDescent="0.3">
      <c r="A46" s="25" t="s">
        <v>3226</v>
      </c>
      <c r="B46" s="26">
        <v>46108</v>
      </c>
      <c r="C46" s="26">
        <v>46113</v>
      </c>
      <c r="D46" s="48">
        <v>3319</v>
      </c>
      <c r="E46" s="48">
        <v>327</v>
      </c>
      <c r="F46" s="28">
        <v>2</v>
      </c>
      <c r="G46" s="28">
        <v>1</v>
      </c>
      <c r="H46" s="28">
        <v>81778</v>
      </c>
      <c r="I46" s="28" t="s">
        <v>17</v>
      </c>
      <c r="J46" s="28">
        <v>54500459</v>
      </c>
      <c r="K46" s="43" t="s">
        <v>2742</v>
      </c>
      <c r="L46" t="s">
        <v>2752</v>
      </c>
      <c r="M46" s="37">
        <v>229900</v>
      </c>
      <c r="N46" s="81" t="s">
        <v>2604</v>
      </c>
      <c r="O46" s="37">
        <v>179000</v>
      </c>
      <c r="P46" s="28" t="s">
        <v>2604</v>
      </c>
    </row>
    <row r="47" spans="1:16" x14ac:dyDescent="0.3">
      <c r="A47" s="25" t="s">
        <v>3226</v>
      </c>
      <c r="B47" s="26">
        <v>46108</v>
      </c>
      <c r="C47" s="26">
        <v>46113</v>
      </c>
      <c r="D47" s="48">
        <v>3319</v>
      </c>
      <c r="E47" s="48">
        <v>327</v>
      </c>
      <c r="F47" s="28">
        <v>2</v>
      </c>
      <c r="G47" s="28">
        <v>1</v>
      </c>
      <c r="H47" s="28">
        <v>81778</v>
      </c>
      <c r="I47" s="28" t="s">
        <v>17</v>
      </c>
      <c r="J47" s="28">
        <v>54500468</v>
      </c>
      <c r="K47" s="43" t="s">
        <v>2753</v>
      </c>
      <c r="L47" t="s">
        <v>2754</v>
      </c>
      <c r="M47" s="37">
        <v>229900</v>
      </c>
      <c r="N47" s="81" t="s">
        <v>2604</v>
      </c>
      <c r="O47" s="37">
        <v>179000</v>
      </c>
      <c r="P47" s="28" t="s">
        <v>2604</v>
      </c>
    </row>
    <row r="48" spans="1:16" x14ac:dyDescent="0.3">
      <c r="A48" s="25" t="s">
        <v>3226</v>
      </c>
      <c r="B48" s="26">
        <v>46108</v>
      </c>
      <c r="C48" s="26">
        <v>46113</v>
      </c>
      <c r="D48" s="48">
        <v>3319</v>
      </c>
      <c r="E48" s="48">
        <v>327</v>
      </c>
      <c r="F48" s="28">
        <v>2</v>
      </c>
      <c r="G48" s="28">
        <v>1</v>
      </c>
      <c r="H48" s="28">
        <v>81778</v>
      </c>
      <c r="I48" s="28" t="s">
        <v>17</v>
      </c>
      <c r="J48" s="28">
        <v>54500477</v>
      </c>
      <c r="K48" s="43" t="s">
        <v>2753</v>
      </c>
      <c r="L48" t="s">
        <v>2755</v>
      </c>
      <c r="M48" s="37">
        <v>229900</v>
      </c>
      <c r="N48" s="81" t="s">
        <v>2604</v>
      </c>
      <c r="O48" s="37">
        <v>179000</v>
      </c>
      <c r="P48" s="28" t="s">
        <v>2604</v>
      </c>
    </row>
    <row r="49" spans="1:16" x14ac:dyDescent="0.3">
      <c r="A49" s="25" t="s">
        <v>3226</v>
      </c>
      <c r="B49" s="26">
        <v>46108</v>
      </c>
      <c r="C49" s="26">
        <v>46113</v>
      </c>
      <c r="D49" s="48">
        <v>3319</v>
      </c>
      <c r="E49" s="48">
        <v>327</v>
      </c>
      <c r="F49" s="28">
        <v>2</v>
      </c>
      <c r="G49" s="28">
        <v>1</v>
      </c>
      <c r="H49" s="28">
        <v>81778</v>
      </c>
      <c r="I49" s="28" t="s">
        <v>17</v>
      </c>
      <c r="J49" s="28">
        <v>54500486</v>
      </c>
      <c r="K49" s="43" t="s">
        <v>2753</v>
      </c>
      <c r="L49" t="s">
        <v>2756</v>
      </c>
      <c r="M49" s="37">
        <v>229900</v>
      </c>
      <c r="N49" s="81" t="s">
        <v>2604</v>
      </c>
      <c r="O49" s="37">
        <v>179000</v>
      </c>
      <c r="P49" s="28" t="s">
        <v>2604</v>
      </c>
    </row>
    <row r="50" spans="1:16" x14ac:dyDescent="0.3">
      <c r="A50" s="25" t="s">
        <v>3226</v>
      </c>
      <c r="B50" s="26">
        <v>46108</v>
      </c>
      <c r="C50" s="26">
        <v>46113</v>
      </c>
      <c r="D50" s="48">
        <v>3319</v>
      </c>
      <c r="E50" s="48">
        <v>327</v>
      </c>
      <c r="F50" s="28">
        <v>2</v>
      </c>
      <c r="G50" s="28">
        <v>1</v>
      </c>
      <c r="H50" s="28">
        <v>81778</v>
      </c>
      <c r="I50" s="28" t="s">
        <v>17</v>
      </c>
      <c r="J50" s="28">
        <v>54500495</v>
      </c>
      <c r="K50" s="43" t="s">
        <v>2753</v>
      </c>
      <c r="L50" t="s">
        <v>2757</v>
      </c>
      <c r="M50" s="37">
        <v>229900</v>
      </c>
      <c r="N50" s="81" t="s">
        <v>2604</v>
      </c>
      <c r="O50" s="37">
        <v>179000</v>
      </c>
      <c r="P50" s="28" t="s">
        <v>2604</v>
      </c>
    </row>
    <row r="51" spans="1:16" x14ac:dyDescent="0.3">
      <c r="A51" s="25" t="s">
        <v>3226</v>
      </c>
      <c r="B51" s="26">
        <v>46108</v>
      </c>
      <c r="C51" s="26">
        <v>46113</v>
      </c>
      <c r="D51" s="48">
        <v>3319</v>
      </c>
      <c r="E51" s="48">
        <v>327</v>
      </c>
      <c r="F51" s="28">
        <v>2</v>
      </c>
      <c r="G51" s="28">
        <v>1</v>
      </c>
      <c r="H51" s="28">
        <v>81778</v>
      </c>
      <c r="I51" s="28" t="s">
        <v>17</v>
      </c>
      <c r="J51" s="28">
        <v>54500502</v>
      </c>
      <c r="K51" s="43" t="s">
        <v>2753</v>
      </c>
      <c r="L51" t="s">
        <v>2758</v>
      </c>
      <c r="M51" s="37">
        <v>229900</v>
      </c>
      <c r="N51" s="81" t="s">
        <v>2604</v>
      </c>
      <c r="O51" s="37">
        <v>179000</v>
      </c>
      <c r="P51" s="28" t="s">
        <v>2604</v>
      </c>
    </row>
    <row r="52" spans="1:16" x14ac:dyDescent="0.3">
      <c r="A52" s="25" t="s">
        <v>3226</v>
      </c>
      <c r="B52" s="26">
        <v>46108</v>
      </c>
      <c r="C52" s="26">
        <v>46113</v>
      </c>
      <c r="D52" s="48">
        <v>3319</v>
      </c>
      <c r="E52" s="48">
        <v>327</v>
      </c>
      <c r="F52" s="28">
        <v>2</v>
      </c>
      <c r="G52" s="28">
        <v>1</v>
      </c>
      <c r="H52" s="28">
        <v>81778</v>
      </c>
      <c r="I52" s="28" t="s">
        <v>17</v>
      </c>
      <c r="J52" s="28">
        <v>54500511</v>
      </c>
      <c r="K52" s="43" t="s">
        <v>2753</v>
      </c>
      <c r="L52" t="s">
        <v>2759</v>
      </c>
      <c r="M52" s="37">
        <v>229900</v>
      </c>
      <c r="N52" s="81" t="s">
        <v>2604</v>
      </c>
      <c r="O52" s="37">
        <v>179000</v>
      </c>
      <c r="P52" s="28" t="s">
        <v>2604</v>
      </c>
    </row>
    <row r="53" spans="1:16" x14ac:dyDescent="0.3">
      <c r="A53" s="25" t="s">
        <v>3226</v>
      </c>
      <c r="B53" s="26">
        <v>46108</v>
      </c>
      <c r="C53" s="26">
        <v>46113</v>
      </c>
      <c r="D53" s="48">
        <v>3319</v>
      </c>
      <c r="E53" s="48">
        <v>327</v>
      </c>
      <c r="F53" s="28">
        <v>2</v>
      </c>
      <c r="G53" s="28">
        <v>1</v>
      </c>
      <c r="H53" s="28">
        <v>81778</v>
      </c>
      <c r="I53" s="28" t="s">
        <v>17</v>
      </c>
      <c r="J53" s="28">
        <v>54500520</v>
      </c>
      <c r="K53" s="43" t="s">
        <v>2753</v>
      </c>
      <c r="L53" t="s">
        <v>2760</v>
      </c>
      <c r="M53" s="37">
        <v>229900</v>
      </c>
      <c r="N53" s="81" t="s">
        <v>2604</v>
      </c>
      <c r="O53" s="37">
        <v>179000</v>
      </c>
      <c r="P53" s="28" t="s">
        <v>2604</v>
      </c>
    </row>
    <row r="54" spans="1:16" x14ac:dyDescent="0.3">
      <c r="A54" s="25" t="s">
        <v>3226</v>
      </c>
      <c r="B54" s="26">
        <v>46108</v>
      </c>
      <c r="C54" s="26">
        <v>46113</v>
      </c>
      <c r="D54" s="48">
        <v>3319</v>
      </c>
      <c r="E54" s="48">
        <v>327</v>
      </c>
      <c r="F54" s="28">
        <v>2</v>
      </c>
      <c r="G54" s="28">
        <v>1</v>
      </c>
      <c r="H54" s="28">
        <v>81778</v>
      </c>
      <c r="I54" s="28" t="s">
        <v>17</v>
      </c>
      <c r="J54" s="28">
        <v>54500539</v>
      </c>
      <c r="K54" s="43" t="s">
        <v>2753</v>
      </c>
      <c r="L54" t="s">
        <v>2761</v>
      </c>
      <c r="M54" s="37">
        <v>229900</v>
      </c>
      <c r="N54" s="81" t="s">
        <v>2604</v>
      </c>
      <c r="O54" s="37">
        <v>179000</v>
      </c>
      <c r="P54" s="28" t="s">
        <v>2604</v>
      </c>
    </row>
    <row r="55" spans="1:16" x14ac:dyDescent="0.3">
      <c r="A55" s="25" t="s">
        <v>3226</v>
      </c>
      <c r="B55" s="26">
        <v>46108</v>
      </c>
      <c r="C55" s="26">
        <v>46113</v>
      </c>
      <c r="D55" s="48">
        <v>3319</v>
      </c>
      <c r="E55" s="48">
        <v>327</v>
      </c>
      <c r="F55" s="28">
        <v>2</v>
      </c>
      <c r="G55" s="28">
        <v>1</v>
      </c>
      <c r="H55" s="28">
        <v>81778</v>
      </c>
      <c r="I55" s="28" t="s">
        <v>17</v>
      </c>
      <c r="J55" s="28">
        <v>54500548</v>
      </c>
      <c r="K55" s="43" t="s">
        <v>2753</v>
      </c>
      <c r="L55" t="s">
        <v>2762</v>
      </c>
      <c r="M55" s="37">
        <v>229900</v>
      </c>
      <c r="N55" s="81" t="s">
        <v>2604</v>
      </c>
      <c r="O55" s="37">
        <v>179000</v>
      </c>
      <c r="P55" s="28" t="s">
        <v>2604</v>
      </c>
    </row>
    <row r="56" spans="1:16" x14ac:dyDescent="0.3">
      <c r="A56" s="25" t="s">
        <v>3226</v>
      </c>
      <c r="B56" s="26">
        <v>46108</v>
      </c>
      <c r="C56" s="26">
        <v>46113</v>
      </c>
      <c r="D56" s="48">
        <v>3319</v>
      </c>
      <c r="E56" s="48">
        <v>327</v>
      </c>
      <c r="F56" s="28">
        <v>2</v>
      </c>
      <c r="G56" s="28">
        <v>1</v>
      </c>
      <c r="H56" s="28">
        <v>81778</v>
      </c>
      <c r="I56" s="28" t="s">
        <v>17</v>
      </c>
      <c r="J56" s="28">
        <v>54500557</v>
      </c>
      <c r="K56" s="43" t="s">
        <v>2753</v>
      </c>
      <c r="L56" t="s">
        <v>2763</v>
      </c>
      <c r="M56" s="37">
        <v>229900</v>
      </c>
      <c r="N56" s="81" t="s">
        <v>2604</v>
      </c>
      <c r="O56" s="37">
        <v>179000</v>
      </c>
      <c r="P56" s="28" t="s">
        <v>2604</v>
      </c>
    </row>
    <row r="57" spans="1:16" x14ac:dyDescent="0.3">
      <c r="A57" s="25" t="s">
        <v>3226</v>
      </c>
      <c r="B57" s="26">
        <v>46108</v>
      </c>
      <c r="C57" s="26">
        <v>46113</v>
      </c>
      <c r="D57" s="82">
        <v>3319</v>
      </c>
      <c r="E57" s="82">
        <v>327</v>
      </c>
      <c r="F57" s="25">
        <v>2</v>
      </c>
      <c r="G57" s="28">
        <v>1</v>
      </c>
      <c r="H57" s="28">
        <v>81778</v>
      </c>
      <c r="I57" s="28" t="s">
        <v>17</v>
      </c>
      <c r="J57" s="28">
        <v>22704414</v>
      </c>
      <c r="K57" s="43" t="s">
        <v>2499</v>
      </c>
      <c r="L57" t="s">
        <v>2502</v>
      </c>
      <c r="M57" s="39">
        <v>199900</v>
      </c>
      <c r="N57" s="81" t="s">
        <v>2604</v>
      </c>
      <c r="O57" s="37">
        <v>179000</v>
      </c>
      <c r="P57" s="28" t="s">
        <v>2604</v>
      </c>
    </row>
    <row r="58" spans="1:16" x14ac:dyDescent="0.3">
      <c r="A58" s="25" t="s">
        <v>3226</v>
      </c>
      <c r="B58" s="26">
        <v>46108</v>
      </c>
      <c r="C58" s="26">
        <v>46113</v>
      </c>
      <c r="D58" s="82">
        <v>3319</v>
      </c>
      <c r="E58" s="82">
        <v>327</v>
      </c>
      <c r="F58" s="25">
        <v>2</v>
      </c>
      <c r="G58" s="28">
        <v>1</v>
      </c>
      <c r="H58" s="28">
        <v>81778</v>
      </c>
      <c r="I58" s="28" t="s">
        <v>17</v>
      </c>
      <c r="J58" s="28">
        <v>22704423</v>
      </c>
      <c r="K58" s="43" t="s">
        <v>2499</v>
      </c>
      <c r="L58" t="s">
        <v>2503</v>
      </c>
      <c r="M58" s="39">
        <v>199900</v>
      </c>
      <c r="N58" s="81" t="s">
        <v>2604</v>
      </c>
      <c r="O58" s="37">
        <v>179000</v>
      </c>
      <c r="P58" s="28" t="s">
        <v>2604</v>
      </c>
    </row>
    <row r="59" spans="1:16" x14ac:dyDescent="0.3">
      <c r="A59" s="25" t="s">
        <v>3226</v>
      </c>
      <c r="B59" s="26">
        <v>46108</v>
      </c>
      <c r="C59" s="26">
        <v>46113</v>
      </c>
      <c r="D59" s="82">
        <v>3319</v>
      </c>
      <c r="E59" s="82">
        <v>327</v>
      </c>
      <c r="F59" s="25">
        <v>2</v>
      </c>
      <c r="G59" s="28">
        <v>1</v>
      </c>
      <c r="H59" s="28">
        <v>81778</v>
      </c>
      <c r="I59" s="28" t="s">
        <v>17</v>
      </c>
      <c r="J59" s="28">
        <v>22704432</v>
      </c>
      <c r="K59" s="43" t="s">
        <v>2499</v>
      </c>
      <c r="L59" t="s">
        <v>2504</v>
      </c>
      <c r="M59" s="39">
        <v>199900</v>
      </c>
      <c r="N59" s="81" t="s">
        <v>2604</v>
      </c>
      <c r="O59" s="37">
        <v>179000</v>
      </c>
      <c r="P59" s="28" t="s">
        <v>2604</v>
      </c>
    </row>
    <row r="60" spans="1:16" x14ac:dyDescent="0.3">
      <c r="A60" s="25" t="s">
        <v>3226</v>
      </c>
      <c r="B60" s="26">
        <v>46108</v>
      </c>
      <c r="C60" s="26">
        <v>46113</v>
      </c>
      <c r="D60" s="82">
        <v>3319</v>
      </c>
      <c r="E60" s="82">
        <v>327</v>
      </c>
      <c r="F60" s="25">
        <v>2</v>
      </c>
      <c r="G60" s="28">
        <v>1</v>
      </c>
      <c r="H60" s="28">
        <v>81778</v>
      </c>
      <c r="I60" s="28" t="s">
        <v>17</v>
      </c>
      <c r="J60" s="28">
        <v>22704441</v>
      </c>
      <c r="K60" s="43" t="s">
        <v>2499</v>
      </c>
      <c r="L60" t="s">
        <v>2505</v>
      </c>
      <c r="M60" s="39">
        <v>199900</v>
      </c>
      <c r="N60" s="81" t="s">
        <v>2604</v>
      </c>
      <c r="O60" s="37">
        <v>179000</v>
      </c>
      <c r="P60" s="28" t="s">
        <v>2604</v>
      </c>
    </row>
    <row r="61" spans="1:16" x14ac:dyDescent="0.3">
      <c r="A61" s="25" t="s">
        <v>3226</v>
      </c>
      <c r="B61" s="26">
        <v>46108</v>
      </c>
      <c r="C61" s="26">
        <v>46113</v>
      </c>
      <c r="D61" s="82">
        <v>3319</v>
      </c>
      <c r="E61" s="82">
        <v>327</v>
      </c>
      <c r="F61" s="25">
        <v>2</v>
      </c>
      <c r="G61" s="28">
        <v>1</v>
      </c>
      <c r="H61" s="28">
        <v>81778</v>
      </c>
      <c r="I61" s="28" t="s">
        <v>17</v>
      </c>
      <c r="J61" s="28">
        <v>22704450</v>
      </c>
      <c r="K61" s="43" t="s">
        <v>2499</v>
      </c>
      <c r="L61" t="s">
        <v>2506</v>
      </c>
      <c r="M61" s="39">
        <v>199900</v>
      </c>
      <c r="N61" s="81" t="s">
        <v>2604</v>
      </c>
      <c r="O61" s="37">
        <v>179000</v>
      </c>
      <c r="P61" s="28" t="s">
        <v>2604</v>
      </c>
    </row>
    <row r="62" spans="1:16" x14ac:dyDescent="0.3">
      <c r="A62" s="25" t="s">
        <v>3226</v>
      </c>
      <c r="B62" s="26">
        <v>46108</v>
      </c>
      <c r="C62" s="26">
        <v>46113</v>
      </c>
      <c r="D62" s="82">
        <v>3319</v>
      </c>
      <c r="E62" s="82">
        <v>327</v>
      </c>
      <c r="F62" s="25">
        <v>2</v>
      </c>
      <c r="G62" s="28">
        <v>1</v>
      </c>
      <c r="H62" s="28">
        <v>81778</v>
      </c>
      <c r="I62" s="28" t="s">
        <v>17</v>
      </c>
      <c r="J62" s="28">
        <v>54500806</v>
      </c>
      <c r="K62" s="43" t="s">
        <v>2499</v>
      </c>
      <c r="L62" t="s">
        <v>2737</v>
      </c>
      <c r="M62" s="39">
        <v>199900</v>
      </c>
      <c r="N62" s="81" t="s">
        <v>2604</v>
      </c>
      <c r="O62" s="37">
        <v>179000</v>
      </c>
      <c r="P62" s="28" t="s">
        <v>2604</v>
      </c>
    </row>
    <row r="63" spans="1:16" x14ac:dyDescent="0.3">
      <c r="A63" s="25" t="s">
        <v>3226</v>
      </c>
      <c r="B63" s="26">
        <v>46108</v>
      </c>
      <c r="C63" s="26">
        <v>46113</v>
      </c>
      <c r="D63" s="82">
        <v>3319</v>
      </c>
      <c r="E63" s="82">
        <v>327</v>
      </c>
      <c r="F63" s="25">
        <v>2</v>
      </c>
      <c r="G63" s="28">
        <v>1</v>
      </c>
      <c r="H63" s="28">
        <v>81778</v>
      </c>
      <c r="I63" s="28" t="s">
        <v>17</v>
      </c>
      <c r="J63" s="28">
        <v>54500815</v>
      </c>
      <c r="K63" s="43" t="s">
        <v>2499</v>
      </c>
      <c r="L63" t="s">
        <v>2738</v>
      </c>
      <c r="M63" s="39">
        <v>199900</v>
      </c>
      <c r="N63" s="81" t="s">
        <v>2604</v>
      </c>
      <c r="O63" s="37">
        <v>179000</v>
      </c>
      <c r="P63" s="28" t="s">
        <v>2604</v>
      </c>
    </row>
    <row r="64" spans="1:16" x14ac:dyDescent="0.3">
      <c r="A64" s="25" t="s">
        <v>3226</v>
      </c>
      <c r="B64" s="26">
        <v>46108</v>
      </c>
      <c r="C64" s="26">
        <v>46113</v>
      </c>
      <c r="D64" s="82">
        <v>3319</v>
      </c>
      <c r="E64" s="82">
        <v>327</v>
      </c>
      <c r="F64" s="25">
        <v>2</v>
      </c>
      <c r="G64" s="28">
        <v>1</v>
      </c>
      <c r="H64" s="28">
        <v>81778</v>
      </c>
      <c r="I64" s="28" t="s">
        <v>17</v>
      </c>
      <c r="J64" s="28">
        <v>54500824</v>
      </c>
      <c r="K64" s="43" t="s">
        <v>2499</v>
      </c>
      <c r="L64" t="s">
        <v>2739</v>
      </c>
      <c r="M64" s="39">
        <v>199900</v>
      </c>
      <c r="N64" s="81" t="s">
        <v>2604</v>
      </c>
      <c r="O64" s="37">
        <v>179000</v>
      </c>
      <c r="P64" s="28" t="s">
        <v>2604</v>
      </c>
    </row>
    <row r="65" spans="1:16" x14ac:dyDescent="0.3">
      <c r="A65" s="25" t="s">
        <v>3226</v>
      </c>
      <c r="B65" s="26">
        <v>46108</v>
      </c>
      <c r="C65" s="26">
        <v>46113</v>
      </c>
      <c r="D65" s="82">
        <v>3319</v>
      </c>
      <c r="E65" s="82">
        <v>327</v>
      </c>
      <c r="F65" s="25">
        <v>2</v>
      </c>
      <c r="G65" s="28">
        <v>1</v>
      </c>
      <c r="H65" s="28">
        <v>81778</v>
      </c>
      <c r="I65" s="28" t="s">
        <v>17</v>
      </c>
      <c r="J65" s="28">
        <v>54500833</v>
      </c>
      <c r="K65" s="43" t="s">
        <v>2499</v>
      </c>
      <c r="L65" t="s">
        <v>2740</v>
      </c>
      <c r="M65" s="39">
        <v>199900</v>
      </c>
      <c r="N65" s="81" t="s">
        <v>2604</v>
      </c>
      <c r="O65" s="37">
        <v>179000</v>
      </c>
      <c r="P65" s="28" t="s">
        <v>2604</v>
      </c>
    </row>
    <row r="66" spans="1:16" x14ac:dyDescent="0.3">
      <c r="A66" s="25" t="s">
        <v>3226</v>
      </c>
      <c r="B66" s="26">
        <v>46108</v>
      </c>
      <c r="C66" s="26">
        <v>46113</v>
      </c>
      <c r="D66" s="82">
        <v>3319</v>
      </c>
      <c r="E66" s="82">
        <v>327</v>
      </c>
      <c r="F66" s="25">
        <v>2</v>
      </c>
      <c r="G66" s="28">
        <v>1</v>
      </c>
      <c r="H66" s="28">
        <v>81778</v>
      </c>
      <c r="I66" s="28" t="s">
        <v>17</v>
      </c>
      <c r="J66" s="28">
        <v>54500842</v>
      </c>
      <c r="K66" s="43" t="s">
        <v>2499</v>
      </c>
      <c r="L66" t="s">
        <v>2741</v>
      </c>
      <c r="M66" s="39">
        <v>199900</v>
      </c>
      <c r="N66" s="81" t="s">
        <v>2604</v>
      </c>
      <c r="O66" s="37">
        <v>179000</v>
      </c>
      <c r="P66" s="28" t="s">
        <v>2604</v>
      </c>
    </row>
  </sheetData>
  <autoFilter ref="A1:P56" xr:uid="{00000000-0001-0000-0900-000000000000}"/>
  <conditionalFormatting sqref="J1">
    <cfRule type="duplicateValues" dxfId="103" priority="28"/>
    <cfRule type="duplicateValues" dxfId="102" priority="29"/>
    <cfRule type="duplicateValues" dxfId="101" priority="30"/>
    <cfRule type="duplicateValues" dxfId="100" priority="31"/>
    <cfRule type="duplicateValues" dxfId="99" priority="32"/>
    <cfRule type="duplicateValues" dxfId="98" priority="33"/>
  </conditionalFormatting>
  <conditionalFormatting sqref="J2:J31">
    <cfRule type="duplicateValues" dxfId="97" priority="27"/>
  </conditionalFormatting>
  <conditionalFormatting sqref="J32:J56 J1 J67:J1048576">
    <cfRule type="duplicateValues" dxfId="96" priority="34"/>
  </conditionalFormatting>
  <conditionalFormatting sqref="J57:J61">
    <cfRule type="duplicateValues" dxfId="95" priority="1"/>
    <cfRule type="duplicateValues" dxfId="94" priority="2"/>
    <cfRule type="duplicateValues" dxfId="93" priority="3"/>
    <cfRule type="duplicateValues" dxfId="92" priority="4"/>
    <cfRule type="duplicateValues" dxfId="91" priority="5"/>
  </conditionalFormatting>
  <conditionalFormatting sqref="J62:J66">
    <cfRule type="duplicateValues" dxfId="90" priority="6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EAD91-94A3-4D64-84B6-158458087932}">
  <sheetPr>
    <tabColor rgb="FF92D050"/>
  </sheetPr>
  <dimension ref="A1:P31"/>
  <sheetViews>
    <sheetView tabSelected="1" zoomScale="85" zoomScaleNormal="85" workbookViewId="0">
      <selection activeCell="A3" sqref="A3"/>
    </sheetView>
  </sheetViews>
  <sheetFormatPr defaultRowHeight="14.4" x14ac:dyDescent="0.3"/>
  <cols>
    <col min="1" max="1" width="20.6640625" style="28" customWidth="1"/>
    <col min="2" max="3" width="11.6640625" style="28" customWidth="1"/>
    <col min="4" max="5" width="8.6640625" style="48" customWidth="1"/>
    <col min="6" max="7" width="8.6640625" style="28" customWidth="1"/>
    <col min="8" max="10" width="11.6640625" style="28" customWidth="1"/>
    <col min="11" max="11" width="11.6640625" customWidth="1"/>
    <col min="12" max="12" width="50" customWidth="1"/>
    <col min="13" max="13" width="15.6640625" style="37" customWidth="1"/>
    <col min="14" max="14" width="13.21875" style="28" bestFit="1" customWidth="1"/>
    <col min="15" max="15" width="15.6640625" style="37" customWidth="1"/>
    <col min="16" max="16" width="15.6640625" style="28" customWidth="1"/>
  </cols>
  <sheetData>
    <row r="1" spans="1:16" ht="30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35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25" t="s">
        <v>3227</v>
      </c>
      <c r="B2" s="26">
        <v>46108</v>
      </c>
      <c r="C2" s="26">
        <v>46113</v>
      </c>
      <c r="D2" s="82">
        <v>3319</v>
      </c>
      <c r="E2" s="82">
        <v>327</v>
      </c>
      <c r="F2" s="25">
        <v>2</v>
      </c>
      <c r="G2" s="28">
        <v>2</v>
      </c>
      <c r="H2" s="28">
        <v>81778</v>
      </c>
      <c r="I2" s="28" t="s">
        <v>17</v>
      </c>
      <c r="J2" s="28">
        <v>55524002</v>
      </c>
      <c r="K2" t="s">
        <v>2960</v>
      </c>
      <c r="L2" t="s">
        <v>2961</v>
      </c>
      <c r="M2" s="37">
        <v>249900</v>
      </c>
      <c r="N2" s="81" t="s">
        <v>2604</v>
      </c>
      <c r="O2" s="37">
        <v>179000</v>
      </c>
      <c r="P2" s="28" t="s">
        <v>2604</v>
      </c>
    </row>
    <row r="3" spans="1:16" x14ac:dyDescent="0.3">
      <c r="A3" s="25" t="s">
        <v>3227</v>
      </c>
      <c r="B3" s="26">
        <v>46108</v>
      </c>
      <c r="C3" s="26">
        <v>46113</v>
      </c>
      <c r="D3" s="82">
        <v>3319</v>
      </c>
      <c r="E3" s="82">
        <v>327</v>
      </c>
      <c r="F3" s="25">
        <v>2</v>
      </c>
      <c r="G3" s="28">
        <v>2</v>
      </c>
      <c r="H3" s="28">
        <v>81778</v>
      </c>
      <c r="I3" s="28" t="s">
        <v>17</v>
      </c>
      <c r="J3" s="28">
        <v>55524011</v>
      </c>
      <c r="K3" t="s">
        <v>2960</v>
      </c>
      <c r="L3" t="s">
        <v>2962</v>
      </c>
      <c r="M3" s="37">
        <v>249900</v>
      </c>
      <c r="N3" s="81" t="s">
        <v>2604</v>
      </c>
      <c r="O3" s="37">
        <v>179000</v>
      </c>
      <c r="P3" s="28" t="s">
        <v>2604</v>
      </c>
    </row>
    <row r="4" spans="1:16" x14ac:dyDescent="0.3">
      <c r="A4" s="25" t="s">
        <v>3227</v>
      </c>
      <c r="B4" s="26">
        <v>46108</v>
      </c>
      <c r="C4" s="26">
        <v>46113</v>
      </c>
      <c r="D4" s="82">
        <v>3319</v>
      </c>
      <c r="E4" s="82">
        <v>327</v>
      </c>
      <c r="F4" s="25">
        <v>2</v>
      </c>
      <c r="G4" s="28">
        <v>2</v>
      </c>
      <c r="H4" s="28">
        <v>81778</v>
      </c>
      <c r="I4" s="28" t="s">
        <v>17</v>
      </c>
      <c r="J4" s="28">
        <v>55524020</v>
      </c>
      <c r="K4" t="s">
        <v>2960</v>
      </c>
      <c r="L4" t="s">
        <v>2963</v>
      </c>
      <c r="M4" s="37">
        <v>249900</v>
      </c>
      <c r="N4" s="81" t="s">
        <v>2604</v>
      </c>
      <c r="O4" s="37">
        <v>179000</v>
      </c>
      <c r="P4" s="28" t="s">
        <v>2604</v>
      </c>
    </row>
    <row r="5" spans="1:16" x14ac:dyDescent="0.3">
      <c r="A5" s="25" t="s">
        <v>3227</v>
      </c>
      <c r="B5" s="26">
        <v>46108</v>
      </c>
      <c r="C5" s="26">
        <v>46113</v>
      </c>
      <c r="D5" s="82">
        <v>3319</v>
      </c>
      <c r="E5" s="82">
        <v>327</v>
      </c>
      <c r="F5" s="25">
        <v>2</v>
      </c>
      <c r="G5" s="28">
        <v>2</v>
      </c>
      <c r="H5" s="28">
        <v>81778</v>
      </c>
      <c r="I5" s="28" t="s">
        <v>17</v>
      </c>
      <c r="J5" s="28">
        <v>55524039</v>
      </c>
      <c r="K5" t="s">
        <v>2960</v>
      </c>
      <c r="L5" t="s">
        <v>2964</v>
      </c>
      <c r="M5" s="37">
        <v>249900</v>
      </c>
      <c r="N5" s="81" t="s">
        <v>2604</v>
      </c>
      <c r="O5" s="37">
        <v>179000</v>
      </c>
      <c r="P5" s="28" t="s">
        <v>2604</v>
      </c>
    </row>
    <row r="6" spans="1:16" x14ac:dyDescent="0.3">
      <c r="A6" s="25" t="s">
        <v>3227</v>
      </c>
      <c r="B6" s="26">
        <v>46108</v>
      </c>
      <c r="C6" s="26">
        <v>46113</v>
      </c>
      <c r="D6" s="82">
        <v>3319</v>
      </c>
      <c r="E6" s="82">
        <v>327</v>
      </c>
      <c r="F6" s="25">
        <v>2</v>
      </c>
      <c r="G6" s="28">
        <v>2</v>
      </c>
      <c r="H6" s="28">
        <v>81778</v>
      </c>
      <c r="I6" s="28" t="s">
        <v>17</v>
      </c>
      <c r="J6" s="28">
        <v>55524048</v>
      </c>
      <c r="K6" t="s">
        <v>2960</v>
      </c>
      <c r="L6" t="s">
        <v>2965</v>
      </c>
      <c r="M6" s="37">
        <v>249900</v>
      </c>
      <c r="N6" s="81" t="s">
        <v>2604</v>
      </c>
      <c r="O6" s="37">
        <v>179000</v>
      </c>
      <c r="P6" s="28" t="s">
        <v>2604</v>
      </c>
    </row>
    <row r="7" spans="1:16" x14ac:dyDescent="0.3">
      <c r="A7" s="25" t="s">
        <v>3227</v>
      </c>
      <c r="B7" s="26">
        <v>46108</v>
      </c>
      <c r="C7" s="26">
        <v>46113</v>
      </c>
      <c r="D7" s="82">
        <v>3319</v>
      </c>
      <c r="E7" s="82">
        <v>327</v>
      </c>
      <c r="F7" s="25">
        <v>2</v>
      </c>
      <c r="G7" s="28">
        <v>2</v>
      </c>
      <c r="H7" s="28">
        <v>81778</v>
      </c>
      <c r="I7" s="28" t="s">
        <v>17</v>
      </c>
      <c r="J7" s="28">
        <v>55524306</v>
      </c>
      <c r="K7" t="s">
        <v>2915</v>
      </c>
      <c r="L7" t="s">
        <v>2916</v>
      </c>
      <c r="M7" s="37">
        <v>249900</v>
      </c>
      <c r="N7" s="81" t="s">
        <v>2604</v>
      </c>
      <c r="O7" s="37">
        <v>179000</v>
      </c>
      <c r="P7" s="28" t="s">
        <v>2604</v>
      </c>
    </row>
    <row r="8" spans="1:16" x14ac:dyDescent="0.3">
      <c r="A8" s="25" t="s">
        <v>3227</v>
      </c>
      <c r="B8" s="26">
        <v>46108</v>
      </c>
      <c r="C8" s="26">
        <v>46113</v>
      </c>
      <c r="D8" s="82">
        <v>3319</v>
      </c>
      <c r="E8" s="82">
        <v>327</v>
      </c>
      <c r="F8" s="25">
        <v>2</v>
      </c>
      <c r="G8" s="28">
        <v>2</v>
      </c>
      <c r="H8" s="28">
        <v>81778</v>
      </c>
      <c r="I8" s="28" t="s">
        <v>17</v>
      </c>
      <c r="J8" s="28">
        <v>55524315</v>
      </c>
      <c r="K8" t="s">
        <v>2915</v>
      </c>
      <c r="L8" t="s">
        <v>2917</v>
      </c>
      <c r="M8" s="37">
        <v>249900</v>
      </c>
      <c r="N8" s="81" t="s">
        <v>2604</v>
      </c>
      <c r="O8" s="37">
        <v>179000</v>
      </c>
      <c r="P8" s="28" t="s">
        <v>2604</v>
      </c>
    </row>
    <row r="9" spans="1:16" x14ac:dyDescent="0.3">
      <c r="A9" s="25" t="s">
        <v>3227</v>
      </c>
      <c r="B9" s="26">
        <v>46108</v>
      </c>
      <c r="C9" s="26">
        <v>46113</v>
      </c>
      <c r="D9" s="82">
        <v>3319</v>
      </c>
      <c r="E9" s="82">
        <v>327</v>
      </c>
      <c r="F9" s="25">
        <v>2</v>
      </c>
      <c r="G9" s="28">
        <v>2</v>
      </c>
      <c r="H9" s="28">
        <v>81778</v>
      </c>
      <c r="I9" s="28" t="s">
        <v>17</v>
      </c>
      <c r="J9" s="28">
        <v>55524324</v>
      </c>
      <c r="K9" t="s">
        <v>2915</v>
      </c>
      <c r="L9" t="s">
        <v>2918</v>
      </c>
      <c r="M9" s="37">
        <v>249900</v>
      </c>
      <c r="N9" s="81" t="s">
        <v>2604</v>
      </c>
      <c r="O9" s="37">
        <v>179000</v>
      </c>
      <c r="P9" s="28" t="s">
        <v>2604</v>
      </c>
    </row>
    <row r="10" spans="1:16" x14ac:dyDescent="0.3">
      <c r="A10" s="25" t="s">
        <v>3227</v>
      </c>
      <c r="B10" s="26">
        <v>46108</v>
      </c>
      <c r="C10" s="26">
        <v>46113</v>
      </c>
      <c r="D10" s="82">
        <v>3319</v>
      </c>
      <c r="E10" s="82">
        <v>327</v>
      </c>
      <c r="F10" s="25">
        <v>2</v>
      </c>
      <c r="G10" s="28">
        <v>2</v>
      </c>
      <c r="H10" s="28">
        <v>81778</v>
      </c>
      <c r="I10" s="28" t="s">
        <v>17</v>
      </c>
      <c r="J10" s="28">
        <v>55524333</v>
      </c>
      <c r="K10" t="s">
        <v>2915</v>
      </c>
      <c r="L10" t="s">
        <v>2919</v>
      </c>
      <c r="M10" s="37">
        <v>249900</v>
      </c>
      <c r="N10" s="81" t="s">
        <v>2604</v>
      </c>
      <c r="O10" s="37">
        <v>179000</v>
      </c>
      <c r="P10" s="28" t="s">
        <v>2604</v>
      </c>
    </row>
    <row r="11" spans="1:16" x14ac:dyDescent="0.3">
      <c r="A11" s="25" t="s">
        <v>3227</v>
      </c>
      <c r="B11" s="26">
        <v>46108</v>
      </c>
      <c r="C11" s="26">
        <v>46113</v>
      </c>
      <c r="D11" s="82">
        <v>3319</v>
      </c>
      <c r="E11" s="82">
        <v>327</v>
      </c>
      <c r="F11" s="25">
        <v>2</v>
      </c>
      <c r="G11" s="28">
        <v>2</v>
      </c>
      <c r="H11" s="28">
        <v>81778</v>
      </c>
      <c r="I11" s="28" t="s">
        <v>17</v>
      </c>
      <c r="J11" s="28">
        <v>55524342</v>
      </c>
      <c r="K11" t="s">
        <v>2915</v>
      </c>
      <c r="L11" t="s">
        <v>2920</v>
      </c>
      <c r="M11" s="37">
        <v>249900</v>
      </c>
      <c r="N11" s="81" t="s">
        <v>2604</v>
      </c>
      <c r="O11" s="37">
        <v>179000</v>
      </c>
      <c r="P11" s="28" t="s">
        <v>2604</v>
      </c>
    </row>
    <row r="12" spans="1:16" x14ac:dyDescent="0.3">
      <c r="A12" s="25" t="s">
        <v>3227</v>
      </c>
      <c r="B12" s="26">
        <v>46108</v>
      </c>
      <c r="C12" s="26">
        <v>46113</v>
      </c>
      <c r="D12" s="82">
        <v>3319</v>
      </c>
      <c r="E12" s="82">
        <v>327</v>
      </c>
      <c r="F12" s="25">
        <v>2</v>
      </c>
      <c r="G12" s="28">
        <v>2</v>
      </c>
      <c r="H12" s="28">
        <v>81778</v>
      </c>
      <c r="I12" s="28" t="s">
        <v>17</v>
      </c>
      <c r="J12" s="28">
        <v>55524351</v>
      </c>
      <c r="K12" t="s">
        <v>2915</v>
      </c>
      <c r="L12" t="s">
        <v>2921</v>
      </c>
      <c r="M12" s="37">
        <v>249900</v>
      </c>
      <c r="N12" s="81" t="s">
        <v>2604</v>
      </c>
      <c r="O12" s="37">
        <v>179000</v>
      </c>
      <c r="P12" s="28" t="s">
        <v>2604</v>
      </c>
    </row>
    <row r="13" spans="1:16" x14ac:dyDescent="0.3">
      <c r="A13" s="25" t="s">
        <v>3227</v>
      </c>
      <c r="B13" s="26">
        <v>46108</v>
      </c>
      <c r="C13" s="26">
        <v>46113</v>
      </c>
      <c r="D13" s="82">
        <v>3319</v>
      </c>
      <c r="E13" s="82">
        <v>327</v>
      </c>
      <c r="F13" s="25">
        <v>2</v>
      </c>
      <c r="G13" s="28">
        <v>2</v>
      </c>
      <c r="H13" s="28">
        <v>81778</v>
      </c>
      <c r="I13" s="28" t="s">
        <v>17</v>
      </c>
      <c r="J13" s="28">
        <v>55524360</v>
      </c>
      <c r="K13" t="s">
        <v>2915</v>
      </c>
      <c r="L13" t="s">
        <v>2922</v>
      </c>
      <c r="M13" s="37">
        <v>249900</v>
      </c>
      <c r="N13" s="81" t="s">
        <v>2604</v>
      </c>
      <c r="O13" s="37">
        <v>179000</v>
      </c>
      <c r="P13" s="28" t="s">
        <v>2604</v>
      </c>
    </row>
    <row r="14" spans="1:16" x14ac:dyDescent="0.3">
      <c r="A14" s="25" t="s">
        <v>3227</v>
      </c>
      <c r="B14" s="26">
        <v>46108</v>
      </c>
      <c r="C14" s="26">
        <v>46113</v>
      </c>
      <c r="D14" s="82">
        <v>3319</v>
      </c>
      <c r="E14" s="82">
        <v>327</v>
      </c>
      <c r="F14" s="25">
        <v>2</v>
      </c>
      <c r="G14" s="28">
        <v>2</v>
      </c>
      <c r="H14" s="28">
        <v>81778</v>
      </c>
      <c r="I14" s="28" t="s">
        <v>17</v>
      </c>
      <c r="J14" s="28">
        <v>55524379</v>
      </c>
      <c r="K14" t="s">
        <v>2915</v>
      </c>
      <c r="L14" t="s">
        <v>2923</v>
      </c>
      <c r="M14" s="37">
        <v>249900</v>
      </c>
      <c r="N14" s="81" t="s">
        <v>2604</v>
      </c>
      <c r="O14" s="37">
        <v>179000</v>
      </c>
      <c r="P14" s="28" t="s">
        <v>2604</v>
      </c>
    </row>
    <row r="15" spans="1:16" x14ac:dyDescent="0.3">
      <c r="A15" s="25" t="s">
        <v>3227</v>
      </c>
      <c r="B15" s="26">
        <v>46108</v>
      </c>
      <c r="C15" s="26">
        <v>46113</v>
      </c>
      <c r="D15" s="82">
        <v>3319</v>
      </c>
      <c r="E15" s="82">
        <v>327</v>
      </c>
      <c r="F15" s="25">
        <v>2</v>
      </c>
      <c r="G15" s="28">
        <v>2</v>
      </c>
      <c r="H15" s="28">
        <v>81778</v>
      </c>
      <c r="I15" s="28" t="s">
        <v>17</v>
      </c>
      <c r="J15" s="28">
        <v>55524388</v>
      </c>
      <c r="K15" t="s">
        <v>2915</v>
      </c>
      <c r="L15" t="s">
        <v>2924</v>
      </c>
      <c r="M15" s="37">
        <v>249900</v>
      </c>
      <c r="N15" s="81" t="s">
        <v>2604</v>
      </c>
      <c r="O15" s="37">
        <v>179000</v>
      </c>
      <c r="P15" s="28" t="s">
        <v>2604</v>
      </c>
    </row>
    <row r="16" spans="1:16" x14ac:dyDescent="0.3">
      <c r="A16" s="25" t="s">
        <v>3227</v>
      </c>
      <c r="B16" s="26">
        <v>46108</v>
      </c>
      <c r="C16" s="26">
        <v>46113</v>
      </c>
      <c r="D16" s="82">
        <v>3319</v>
      </c>
      <c r="E16" s="82">
        <v>327</v>
      </c>
      <c r="F16" s="25">
        <v>2</v>
      </c>
      <c r="G16" s="28">
        <v>2</v>
      </c>
      <c r="H16" s="28">
        <v>81778</v>
      </c>
      <c r="I16" s="28" t="s">
        <v>17</v>
      </c>
      <c r="J16" s="28">
        <v>55524397</v>
      </c>
      <c r="K16" t="s">
        <v>2915</v>
      </c>
      <c r="L16" t="s">
        <v>2925</v>
      </c>
      <c r="M16" s="37">
        <v>249900</v>
      </c>
      <c r="N16" s="81" t="s">
        <v>2604</v>
      </c>
      <c r="O16" s="37">
        <v>179000</v>
      </c>
      <c r="P16" s="28" t="s">
        <v>2604</v>
      </c>
    </row>
    <row r="17" spans="1:16" x14ac:dyDescent="0.3">
      <c r="A17" s="25" t="s">
        <v>3227</v>
      </c>
      <c r="B17" s="26">
        <v>46108</v>
      </c>
      <c r="C17" s="26">
        <v>46113</v>
      </c>
      <c r="D17" s="82">
        <v>3319</v>
      </c>
      <c r="E17" s="82">
        <v>327</v>
      </c>
      <c r="F17" s="25">
        <v>2</v>
      </c>
      <c r="G17" s="28">
        <v>2</v>
      </c>
      <c r="H17" s="28">
        <v>81778</v>
      </c>
      <c r="I17" s="28" t="s">
        <v>17</v>
      </c>
      <c r="J17" s="28">
        <v>55524253</v>
      </c>
      <c r="K17" t="s">
        <v>2864</v>
      </c>
      <c r="L17" t="s">
        <v>2865</v>
      </c>
      <c r="M17" s="37">
        <v>249900</v>
      </c>
      <c r="N17" s="81" t="s">
        <v>2604</v>
      </c>
      <c r="O17" s="37">
        <v>179000</v>
      </c>
      <c r="P17" s="28" t="s">
        <v>2604</v>
      </c>
    </row>
    <row r="18" spans="1:16" x14ac:dyDescent="0.3">
      <c r="A18" s="25" t="s">
        <v>3227</v>
      </c>
      <c r="B18" s="26">
        <v>46108</v>
      </c>
      <c r="C18" s="26">
        <v>46113</v>
      </c>
      <c r="D18" s="82">
        <v>3319</v>
      </c>
      <c r="E18" s="82">
        <v>327</v>
      </c>
      <c r="F18" s="25">
        <v>2</v>
      </c>
      <c r="G18" s="28">
        <v>2</v>
      </c>
      <c r="H18" s="28">
        <v>81778</v>
      </c>
      <c r="I18" s="28" t="s">
        <v>17</v>
      </c>
      <c r="J18" s="28">
        <v>55524262</v>
      </c>
      <c r="K18" t="s">
        <v>2864</v>
      </c>
      <c r="L18" t="s">
        <v>2866</v>
      </c>
      <c r="M18" s="37">
        <v>249900</v>
      </c>
      <c r="N18" s="81" t="s">
        <v>2604</v>
      </c>
      <c r="O18" s="37">
        <v>179000</v>
      </c>
      <c r="P18" s="28" t="s">
        <v>2604</v>
      </c>
    </row>
    <row r="19" spans="1:16" x14ac:dyDescent="0.3">
      <c r="A19" s="25" t="s">
        <v>3227</v>
      </c>
      <c r="B19" s="26">
        <v>46108</v>
      </c>
      <c r="C19" s="26">
        <v>46113</v>
      </c>
      <c r="D19" s="82">
        <v>3319</v>
      </c>
      <c r="E19" s="82">
        <v>327</v>
      </c>
      <c r="F19" s="25">
        <v>2</v>
      </c>
      <c r="G19" s="28">
        <v>2</v>
      </c>
      <c r="H19" s="28">
        <v>81778</v>
      </c>
      <c r="I19" s="28" t="s">
        <v>17</v>
      </c>
      <c r="J19" s="28">
        <v>55524271</v>
      </c>
      <c r="K19" t="s">
        <v>2864</v>
      </c>
      <c r="L19" t="s">
        <v>2867</v>
      </c>
      <c r="M19" s="37">
        <v>249900</v>
      </c>
      <c r="N19" s="81" t="s">
        <v>2604</v>
      </c>
      <c r="O19" s="37">
        <v>179000</v>
      </c>
      <c r="P19" s="28" t="s">
        <v>2604</v>
      </c>
    </row>
    <row r="20" spans="1:16" x14ac:dyDescent="0.3">
      <c r="A20" s="25" t="s">
        <v>3227</v>
      </c>
      <c r="B20" s="26">
        <v>46108</v>
      </c>
      <c r="C20" s="26">
        <v>46113</v>
      </c>
      <c r="D20" s="82">
        <v>3319</v>
      </c>
      <c r="E20" s="82">
        <v>327</v>
      </c>
      <c r="F20" s="25">
        <v>2</v>
      </c>
      <c r="G20" s="28">
        <v>2</v>
      </c>
      <c r="H20" s="28">
        <v>81778</v>
      </c>
      <c r="I20" s="28" t="s">
        <v>17</v>
      </c>
      <c r="J20" s="28">
        <v>55524280</v>
      </c>
      <c r="K20" t="s">
        <v>2864</v>
      </c>
      <c r="L20" t="s">
        <v>2868</v>
      </c>
      <c r="M20" s="37">
        <v>249900</v>
      </c>
      <c r="N20" s="81" t="s">
        <v>2604</v>
      </c>
      <c r="O20" s="37">
        <v>179000</v>
      </c>
      <c r="P20" s="28" t="s">
        <v>2604</v>
      </c>
    </row>
    <row r="21" spans="1:16" x14ac:dyDescent="0.3">
      <c r="A21" s="25" t="s">
        <v>3227</v>
      </c>
      <c r="B21" s="26">
        <v>46108</v>
      </c>
      <c r="C21" s="26">
        <v>46113</v>
      </c>
      <c r="D21" s="82">
        <v>3319</v>
      </c>
      <c r="E21" s="82">
        <v>327</v>
      </c>
      <c r="F21" s="25">
        <v>2</v>
      </c>
      <c r="G21" s="28">
        <v>2</v>
      </c>
      <c r="H21" s="28">
        <v>81778</v>
      </c>
      <c r="I21" s="28" t="s">
        <v>17</v>
      </c>
      <c r="J21" s="28">
        <v>55524299</v>
      </c>
      <c r="K21" t="s">
        <v>2864</v>
      </c>
      <c r="L21" t="s">
        <v>2869</v>
      </c>
      <c r="M21" s="37">
        <v>249900</v>
      </c>
      <c r="N21" s="81" t="s">
        <v>2604</v>
      </c>
      <c r="O21" s="37">
        <v>179000</v>
      </c>
      <c r="P21" s="28" t="s">
        <v>2604</v>
      </c>
    </row>
    <row r="22" spans="1:16" x14ac:dyDescent="0.3">
      <c r="A22" s="25" t="s">
        <v>3227</v>
      </c>
      <c r="B22" s="26">
        <v>46108</v>
      </c>
      <c r="C22" s="26">
        <v>46113</v>
      </c>
      <c r="D22" s="82">
        <v>3319</v>
      </c>
      <c r="E22" s="82">
        <v>327</v>
      </c>
      <c r="F22" s="25">
        <v>2</v>
      </c>
      <c r="G22" s="28">
        <v>2</v>
      </c>
      <c r="H22" s="28">
        <v>81778</v>
      </c>
      <c r="I22" s="28" t="s">
        <v>17</v>
      </c>
      <c r="J22" s="28">
        <v>55524404</v>
      </c>
      <c r="K22" t="s">
        <v>2870</v>
      </c>
      <c r="L22" t="s">
        <v>2871</v>
      </c>
      <c r="M22" s="37">
        <v>249900</v>
      </c>
      <c r="N22" s="81" t="s">
        <v>2604</v>
      </c>
      <c r="O22" s="37">
        <v>179000</v>
      </c>
      <c r="P22" s="28" t="s">
        <v>2604</v>
      </c>
    </row>
    <row r="23" spans="1:16" x14ac:dyDescent="0.3">
      <c r="A23" s="25" t="s">
        <v>3227</v>
      </c>
      <c r="B23" s="26">
        <v>46108</v>
      </c>
      <c r="C23" s="26">
        <v>46113</v>
      </c>
      <c r="D23" s="82">
        <v>3319</v>
      </c>
      <c r="E23" s="82">
        <v>327</v>
      </c>
      <c r="F23" s="25">
        <v>2</v>
      </c>
      <c r="G23" s="28">
        <v>2</v>
      </c>
      <c r="H23" s="28">
        <v>81778</v>
      </c>
      <c r="I23" s="28" t="s">
        <v>17</v>
      </c>
      <c r="J23" s="28">
        <v>55524413</v>
      </c>
      <c r="K23" t="s">
        <v>2870</v>
      </c>
      <c r="L23" t="s">
        <v>2872</v>
      </c>
      <c r="M23" s="37">
        <v>249900</v>
      </c>
      <c r="N23" s="81" t="s">
        <v>2604</v>
      </c>
      <c r="O23" s="37">
        <v>179000</v>
      </c>
      <c r="P23" s="28" t="s">
        <v>2604</v>
      </c>
    </row>
    <row r="24" spans="1:16" x14ac:dyDescent="0.3">
      <c r="A24" s="25" t="s">
        <v>3227</v>
      </c>
      <c r="B24" s="26">
        <v>46108</v>
      </c>
      <c r="C24" s="26">
        <v>46113</v>
      </c>
      <c r="D24" s="82">
        <v>3319</v>
      </c>
      <c r="E24" s="82">
        <v>327</v>
      </c>
      <c r="F24" s="25">
        <v>2</v>
      </c>
      <c r="G24" s="28">
        <v>2</v>
      </c>
      <c r="H24" s="28">
        <v>81778</v>
      </c>
      <c r="I24" s="28" t="s">
        <v>17</v>
      </c>
      <c r="J24" s="28">
        <v>55524422</v>
      </c>
      <c r="K24" t="s">
        <v>2870</v>
      </c>
      <c r="L24" t="s">
        <v>2873</v>
      </c>
      <c r="M24" s="37">
        <v>249900</v>
      </c>
      <c r="N24" s="81" t="s">
        <v>2604</v>
      </c>
      <c r="O24" s="37">
        <v>179000</v>
      </c>
      <c r="P24" s="28" t="s">
        <v>2604</v>
      </c>
    </row>
    <row r="25" spans="1:16" x14ac:dyDescent="0.3">
      <c r="A25" s="25" t="s">
        <v>3227</v>
      </c>
      <c r="B25" s="26">
        <v>46108</v>
      </c>
      <c r="C25" s="26">
        <v>46113</v>
      </c>
      <c r="D25" s="82">
        <v>3319</v>
      </c>
      <c r="E25" s="82">
        <v>327</v>
      </c>
      <c r="F25" s="25">
        <v>2</v>
      </c>
      <c r="G25" s="28">
        <v>2</v>
      </c>
      <c r="H25" s="28">
        <v>81778</v>
      </c>
      <c r="I25" s="28" t="s">
        <v>17</v>
      </c>
      <c r="J25" s="28">
        <v>55524431</v>
      </c>
      <c r="K25" t="s">
        <v>2870</v>
      </c>
      <c r="L25" t="s">
        <v>2874</v>
      </c>
      <c r="M25" s="37">
        <v>249900</v>
      </c>
      <c r="N25" s="81" t="s">
        <v>2604</v>
      </c>
      <c r="O25" s="37">
        <v>179000</v>
      </c>
      <c r="P25" s="28" t="s">
        <v>2604</v>
      </c>
    </row>
    <row r="26" spans="1:16" x14ac:dyDescent="0.3">
      <c r="A26" s="25" t="s">
        <v>3227</v>
      </c>
      <c r="B26" s="26">
        <v>46108</v>
      </c>
      <c r="C26" s="26">
        <v>46113</v>
      </c>
      <c r="D26" s="82">
        <v>3319</v>
      </c>
      <c r="E26" s="82">
        <v>327</v>
      </c>
      <c r="F26" s="25">
        <v>2</v>
      </c>
      <c r="G26" s="28">
        <v>2</v>
      </c>
      <c r="H26" s="28">
        <v>81778</v>
      </c>
      <c r="I26" s="28" t="s">
        <v>17</v>
      </c>
      <c r="J26" s="28">
        <v>55524440</v>
      </c>
      <c r="K26" t="s">
        <v>2870</v>
      </c>
      <c r="L26" t="s">
        <v>2875</v>
      </c>
      <c r="M26" s="37">
        <v>249900</v>
      </c>
      <c r="N26" s="81" t="s">
        <v>2604</v>
      </c>
      <c r="O26" s="37">
        <v>179000</v>
      </c>
      <c r="P26" s="28" t="s">
        <v>2604</v>
      </c>
    </row>
    <row r="27" spans="1:16" x14ac:dyDescent="0.3">
      <c r="A27" s="25" t="s">
        <v>3227</v>
      </c>
      <c r="B27" s="26">
        <v>46108</v>
      </c>
      <c r="C27" s="26">
        <v>46113</v>
      </c>
      <c r="D27" s="82">
        <v>3319</v>
      </c>
      <c r="E27" s="82">
        <v>327</v>
      </c>
      <c r="F27" s="25">
        <v>2</v>
      </c>
      <c r="G27" s="28">
        <v>2</v>
      </c>
      <c r="H27" s="28">
        <v>81778</v>
      </c>
      <c r="I27" s="28" t="s">
        <v>17</v>
      </c>
      <c r="J27" s="28">
        <v>55524806</v>
      </c>
      <c r="K27" t="s">
        <v>2937</v>
      </c>
      <c r="L27" t="s">
        <v>2938</v>
      </c>
      <c r="M27" s="37">
        <v>249900</v>
      </c>
      <c r="N27" s="81" t="s">
        <v>2604</v>
      </c>
      <c r="O27" s="37">
        <v>179000</v>
      </c>
      <c r="P27" s="28" t="s">
        <v>2604</v>
      </c>
    </row>
    <row r="28" spans="1:16" x14ac:dyDescent="0.3">
      <c r="A28" s="25" t="s">
        <v>3227</v>
      </c>
      <c r="B28" s="26">
        <v>46108</v>
      </c>
      <c r="C28" s="26">
        <v>46113</v>
      </c>
      <c r="D28" s="82">
        <v>3319</v>
      </c>
      <c r="E28" s="82">
        <v>327</v>
      </c>
      <c r="F28" s="25">
        <v>2</v>
      </c>
      <c r="G28" s="28">
        <v>2</v>
      </c>
      <c r="H28" s="28">
        <v>81778</v>
      </c>
      <c r="I28" s="28" t="s">
        <v>17</v>
      </c>
      <c r="J28" s="28">
        <v>55524815</v>
      </c>
      <c r="K28" t="s">
        <v>2937</v>
      </c>
      <c r="L28" t="s">
        <v>2939</v>
      </c>
      <c r="M28" s="37">
        <v>249900</v>
      </c>
      <c r="N28" s="81" t="s">
        <v>2604</v>
      </c>
      <c r="O28" s="37">
        <v>179000</v>
      </c>
      <c r="P28" s="28" t="s">
        <v>2604</v>
      </c>
    </row>
    <row r="29" spans="1:16" x14ac:dyDescent="0.3">
      <c r="A29" s="25" t="s">
        <v>3227</v>
      </c>
      <c r="B29" s="26">
        <v>46108</v>
      </c>
      <c r="C29" s="26">
        <v>46113</v>
      </c>
      <c r="D29" s="82">
        <v>3319</v>
      </c>
      <c r="E29" s="82">
        <v>327</v>
      </c>
      <c r="F29" s="25">
        <v>2</v>
      </c>
      <c r="G29" s="28">
        <v>2</v>
      </c>
      <c r="H29" s="28">
        <v>81778</v>
      </c>
      <c r="I29" s="28" t="s">
        <v>17</v>
      </c>
      <c r="J29" s="28">
        <v>55524824</v>
      </c>
      <c r="K29" t="s">
        <v>2937</v>
      </c>
      <c r="L29" t="s">
        <v>2940</v>
      </c>
      <c r="M29" s="37">
        <v>249900</v>
      </c>
      <c r="N29" s="81" t="s">
        <v>2604</v>
      </c>
      <c r="O29" s="37">
        <v>179000</v>
      </c>
      <c r="P29" s="28" t="s">
        <v>2604</v>
      </c>
    </row>
    <row r="30" spans="1:16" x14ac:dyDescent="0.3">
      <c r="A30" s="25" t="s">
        <v>3227</v>
      </c>
      <c r="B30" s="26">
        <v>46108</v>
      </c>
      <c r="C30" s="26">
        <v>46113</v>
      </c>
      <c r="D30" s="82">
        <v>3319</v>
      </c>
      <c r="E30" s="82">
        <v>327</v>
      </c>
      <c r="F30" s="25">
        <v>2</v>
      </c>
      <c r="G30" s="28">
        <v>2</v>
      </c>
      <c r="H30" s="28">
        <v>81778</v>
      </c>
      <c r="I30" s="28" t="s">
        <v>17</v>
      </c>
      <c r="J30" s="28">
        <v>55524833</v>
      </c>
      <c r="K30" t="s">
        <v>2937</v>
      </c>
      <c r="L30" t="s">
        <v>2941</v>
      </c>
      <c r="M30" s="37">
        <v>249900</v>
      </c>
      <c r="N30" s="81" t="s">
        <v>2604</v>
      </c>
      <c r="O30" s="37">
        <v>179000</v>
      </c>
      <c r="P30" s="28" t="s">
        <v>2604</v>
      </c>
    </row>
    <row r="31" spans="1:16" x14ac:dyDescent="0.3">
      <c r="A31" s="25" t="s">
        <v>3227</v>
      </c>
      <c r="B31" s="26">
        <v>46108</v>
      </c>
      <c r="C31" s="26">
        <v>46113</v>
      </c>
      <c r="D31" s="82">
        <v>3319</v>
      </c>
      <c r="E31" s="82">
        <v>327</v>
      </c>
      <c r="F31" s="25">
        <v>2</v>
      </c>
      <c r="G31" s="28">
        <v>2</v>
      </c>
      <c r="H31" s="28">
        <v>81778</v>
      </c>
      <c r="I31" s="28" t="s">
        <v>17</v>
      </c>
      <c r="J31" s="28">
        <v>55524842</v>
      </c>
      <c r="K31" t="s">
        <v>2937</v>
      </c>
      <c r="L31" t="s">
        <v>2942</v>
      </c>
      <c r="M31" s="37">
        <v>249900</v>
      </c>
      <c r="N31" s="81" t="s">
        <v>2604</v>
      </c>
      <c r="O31" s="37">
        <v>179000</v>
      </c>
      <c r="P31" s="28" t="s">
        <v>2604</v>
      </c>
    </row>
  </sheetData>
  <autoFilter ref="A1:P1" xr:uid="{00000000-0001-0000-0900-000000000000}"/>
  <conditionalFormatting sqref="J1">
    <cfRule type="duplicateValues" dxfId="89" priority="21"/>
    <cfRule type="duplicateValues" dxfId="88" priority="22"/>
    <cfRule type="duplicateValues" dxfId="87" priority="23"/>
    <cfRule type="duplicateValues" dxfId="86" priority="24"/>
    <cfRule type="duplicateValues" dxfId="85" priority="25"/>
    <cfRule type="duplicateValues" dxfId="84" priority="26"/>
  </conditionalFormatting>
  <conditionalFormatting sqref="J1 J32:J1048576">
    <cfRule type="duplicateValues" dxfId="83" priority="623"/>
  </conditionalFormatting>
  <conditionalFormatting sqref="J2:J6">
    <cfRule type="duplicateValues" dxfId="82" priority="5"/>
  </conditionalFormatting>
  <conditionalFormatting sqref="J7:J16">
    <cfRule type="duplicateValues" dxfId="81" priority="4"/>
  </conditionalFormatting>
  <conditionalFormatting sqref="J17:J21">
    <cfRule type="duplicateValues" dxfId="80" priority="3"/>
  </conditionalFormatting>
  <conditionalFormatting sqref="J22:J26">
    <cfRule type="duplicateValues" dxfId="79" priority="2"/>
  </conditionalFormatting>
  <conditionalFormatting sqref="J27:J31">
    <cfRule type="duplicateValues" dxfId="78" priority="1"/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04EF5-B3CA-40C4-8230-83682EAD9B87}">
  <sheetPr>
    <tabColor rgb="FFFF0000"/>
  </sheetPr>
  <dimension ref="A1:P106"/>
  <sheetViews>
    <sheetView zoomScale="85" zoomScaleNormal="85" workbookViewId="0">
      <selection activeCell="A4" sqref="A4"/>
    </sheetView>
  </sheetViews>
  <sheetFormatPr defaultRowHeight="14.4" x14ac:dyDescent="0.3"/>
  <cols>
    <col min="1" max="1" width="20.6640625" style="28" customWidth="1"/>
    <col min="2" max="3" width="11.6640625" style="28" customWidth="1"/>
    <col min="4" max="5" width="8.6640625" style="48" customWidth="1"/>
    <col min="6" max="7" width="8.6640625" style="28" customWidth="1"/>
    <col min="8" max="10" width="11.6640625" style="28" customWidth="1"/>
    <col min="11" max="11" width="11.6640625" customWidth="1"/>
    <col min="12" max="12" width="50" customWidth="1"/>
    <col min="13" max="13" width="15.6640625" style="37" customWidth="1"/>
    <col min="14" max="14" width="8.6640625" style="28" customWidth="1"/>
    <col min="15" max="15" width="15.6640625" style="37" customWidth="1"/>
    <col min="16" max="16" width="15.6640625" style="28" customWidth="1"/>
  </cols>
  <sheetData>
    <row r="1" spans="1:16" ht="30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35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25" t="s">
        <v>3223</v>
      </c>
      <c r="B2" s="26">
        <v>46108</v>
      </c>
      <c r="C2" s="26">
        <v>46113</v>
      </c>
      <c r="D2" s="82">
        <v>3319</v>
      </c>
      <c r="E2" s="82">
        <v>327</v>
      </c>
      <c r="F2" s="25">
        <v>2</v>
      </c>
      <c r="G2" s="28">
        <v>1</v>
      </c>
      <c r="H2" s="28">
        <v>81433</v>
      </c>
      <c r="I2" s="28" t="s">
        <v>17</v>
      </c>
      <c r="J2" s="28">
        <v>19295864</v>
      </c>
      <c r="K2" s="43" t="s">
        <v>2148</v>
      </c>
      <c r="L2" t="s">
        <v>2149</v>
      </c>
      <c r="M2" s="39">
        <v>199900</v>
      </c>
      <c r="N2" s="81" t="s">
        <v>2826</v>
      </c>
      <c r="O2" s="37" t="s">
        <v>3221</v>
      </c>
      <c r="P2" s="28" t="s">
        <v>2826</v>
      </c>
    </row>
    <row r="3" spans="1:16" x14ac:dyDescent="0.3">
      <c r="A3" s="25" t="s">
        <v>3223</v>
      </c>
      <c r="B3" s="26">
        <v>46108</v>
      </c>
      <c r="C3" s="26">
        <v>46113</v>
      </c>
      <c r="D3" s="82">
        <v>3319</v>
      </c>
      <c r="E3" s="82">
        <v>327</v>
      </c>
      <c r="F3" s="25">
        <v>2</v>
      </c>
      <c r="G3" s="28">
        <v>1</v>
      </c>
      <c r="H3" s="28">
        <v>81433</v>
      </c>
      <c r="I3" s="28" t="s">
        <v>17</v>
      </c>
      <c r="J3" s="28">
        <v>19295873</v>
      </c>
      <c r="K3" s="43" t="s">
        <v>2148</v>
      </c>
      <c r="L3" t="s">
        <v>2150</v>
      </c>
      <c r="M3" s="39">
        <v>199900</v>
      </c>
      <c r="N3" s="81" t="s">
        <v>2826</v>
      </c>
      <c r="O3" s="37" t="s">
        <v>3221</v>
      </c>
      <c r="P3" s="28" t="s">
        <v>2826</v>
      </c>
    </row>
    <row r="4" spans="1:16" x14ac:dyDescent="0.3">
      <c r="A4" s="25" t="s">
        <v>3223</v>
      </c>
      <c r="B4" s="26">
        <v>46108</v>
      </c>
      <c r="C4" s="26">
        <v>46113</v>
      </c>
      <c r="D4" s="82">
        <v>3319</v>
      </c>
      <c r="E4" s="82">
        <v>327</v>
      </c>
      <c r="F4" s="25">
        <v>2</v>
      </c>
      <c r="G4" s="28">
        <v>1</v>
      </c>
      <c r="H4" s="28">
        <v>81433</v>
      </c>
      <c r="I4" s="28" t="s">
        <v>17</v>
      </c>
      <c r="J4" s="28">
        <v>19295891</v>
      </c>
      <c r="K4" s="43" t="s">
        <v>2148</v>
      </c>
      <c r="L4" t="s">
        <v>2151</v>
      </c>
      <c r="M4" s="39">
        <v>199900</v>
      </c>
      <c r="N4" s="81" t="s">
        <v>2826</v>
      </c>
      <c r="O4" s="37" t="s">
        <v>3221</v>
      </c>
      <c r="P4" s="28" t="s">
        <v>2826</v>
      </c>
    </row>
    <row r="5" spans="1:16" x14ac:dyDescent="0.3">
      <c r="A5" s="25" t="s">
        <v>3223</v>
      </c>
      <c r="B5" s="26">
        <v>46108</v>
      </c>
      <c r="C5" s="26">
        <v>46113</v>
      </c>
      <c r="D5" s="82">
        <v>3319</v>
      </c>
      <c r="E5" s="82">
        <v>327</v>
      </c>
      <c r="F5" s="25">
        <v>2</v>
      </c>
      <c r="G5" s="28">
        <v>1</v>
      </c>
      <c r="H5" s="28">
        <v>81433</v>
      </c>
      <c r="I5" s="28" t="s">
        <v>17</v>
      </c>
      <c r="J5" s="28">
        <v>19295908</v>
      </c>
      <c r="K5" s="43" t="s">
        <v>2148</v>
      </c>
      <c r="L5" t="s">
        <v>2152</v>
      </c>
      <c r="M5" s="39">
        <v>199900</v>
      </c>
      <c r="N5" s="81" t="s">
        <v>2826</v>
      </c>
      <c r="O5" s="37" t="s">
        <v>3221</v>
      </c>
      <c r="P5" s="28" t="s">
        <v>2826</v>
      </c>
    </row>
    <row r="6" spans="1:16" x14ac:dyDescent="0.3">
      <c r="A6" s="25" t="s">
        <v>3223</v>
      </c>
      <c r="B6" s="26">
        <v>46108</v>
      </c>
      <c r="C6" s="26">
        <v>46113</v>
      </c>
      <c r="D6" s="82">
        <v>3319</v>
      </c>
      <c r="E6" s="82">
        <v>327</v>
      </c>
      <c r="F6" s="25">
        <v>2</v>
      </c>
      <c r="G6" s="28">
        <v>1</v>
      </c>
      <c r="H6" s="28">
        <v>81433</v>
      </c>
      <c r="I6" s="28" t="s">
        <v>17</v>
      </c>
      <c r="J6" s="28">
        <v>19295917</v>
      </c>
      <c r="K6" s="43" t="s">
        <v>2148</v>
      </c>
      <c r="L6" t="s">
        <v>2153</v>
      </c>
      <c r="M6" s="39">
        <v>199900</v>
      </c>
      <c r="N6" s="81" t="s">
        <v>2826</v>
      </c>
      <c r="O6" s="37" t="s">
        <v>3221</v>
      </c>
      <c r="P6" s="28" t="s">
        <v>2826</v>
      </c>
    </row>
    <row r="7" spans="1:16" x14ac:dyDescent="0.3">
      <c r="A7" s="25" t="s">
        <v>3223</v>
      </c>
      <c r="B7" s="26">
        <v>46108</v>
      </c>
      <c r="C7" s="26">
        <v>46113</v>
      </c>
      <c r="D7" s="82">
        <v>3319</v>
      </c>
      <c r="E7" s="82">
        <v>327</v>
      </c>
      <c r="F7" s="25">
        <v>2</v>
      </c>
      <c r="G7" s="28">
        <v>1</v>
      </c>
      <c r="H7" s="28">
        <v>81433</v>
      </c>
      <c r="I7" s="28" t="s">
        <v>17</v>
      </c>
      <c r="J7" s="28">
        <v>51673135</v>
      </c>
      <c r="K7" s="43" t="s">
        <v>2148</v>
      </c>
      <c r="L7" t="s">
        <v>2414</v>
      </c>
      <c r="M7" s="39">
        <v>199900</v>
      </c>
      <c r="N7" s="81" t="s">
        <v>2826</v>
      </c>
      <c r="O7" s="37" t="s">
        <v>3221</v>
      </c>
      <c r="P7" s="28" t="s">
        <v>2826</v>
      </c>
    </row>
    <row r="8" spans="1:16" x14ac:dyDescent="0.3">
      <c r="A8" s="25" t="s">
        <v>3223</v>
      </c>
      <c r="B8" s="26">
        <v>46108</v>
      </c>
      <c r="C8" s="26">
        <v>46113</v>
      </c>
      <c r="D8" s="82">
        <v>3319</v>
      </c>
      <c r="E8" s="82">
        <v>327</v>
      </c>
      <c r="F8" s="25">
        <v>2</v>
      </c>
      <c r="G8" s="28">
        <v>1</v>
      </c>
      <c r="H8" s="28">
        <v>81433</v>
      </c>
      <c r="I8" s="28" t="s">
        <v>17</v>
      </c>
      <c r="J8" s="28">
        <v>51673144</v>
      </c>
      <c r="K8" s="43" t="s">
        <v>2148</v>
      </c>
      <c r="L8" t="s">
        <v>2415</v>
      </c>
      <c r="M8" s="39">
        <v>199900</v>
      </c>
      <c r="N8" s="81" t="s">
        <v>2826</v>
      </c>
      <c r="O8" s="37" t="s">
        <v>3221</v>
      </c>
      <c r="P8" s="28" t="s">
        <v>2826</v>
      </c>
    </row>
    <row r="9" spans="1:16" x14ac:dyDescent="0.3">
      <c r="A9" s="25" t="s">
        <v>3223</v>
      </c>
      <c r="B9" s="26">
        <v>46108</v>
      </c>
      <c r="C9" s="26">
        <v>46113</v>
      </c>
      <c r="D9" s="82">
        <v>3319</v>
      </c>
      <c r="E9" s="82">
        <v>327</v>
      </c>
      <c r="F9" s="25">
        <v>2</v>
      </c>
      <c r="G9" s="28">
        <v>1</v>
      </c>
      <c r="H9" s="28">
        <v>81433</v>
      </c>
      <c r="I9" s="28" t="s">
        <v>17</v>
      </c>
      <c r="J9" s="28">
        <v>51673153</v>
      </c>
      <c r="K9" s="43" t="s">
        <v>2148</v>
      </c>
      <c r="L9" t="s">
        <v>2416</v>
      </c>
      <c r="M9" s="39">
        <v>199900</v>
      </c>
      <c r="N9" s="81" t="s">
        <v>2826</v>
      </c>
      <c r="O9" s="37" t="s">
        <v>3221</v>
      </c>
      <c r="P9" s="28" t="s">
        <v>2826</v>
      </c>
    </row>
    <row r="10" spans="1:16" x14ac:dyDescent="0.3">
      <c r="A10" s="25" t="s">
        <v>3223</v>
      </c>
      <c r="B10" s="26">
        <v>46108</v>
      </c>
      <c r="C10" s="26">
        <v>46113</v>
      </c>
      <c r="D10" s="82">
        <v>3319</v>
      </c>
      <c r="E10" s="82">
        <v>327</v>
      </c>
      <c r="F10" s="25">
        <v>2</v>
      </c>
      <c r="G10" s="28">
        <v>1</v>
      </c>
      <c r="H10" s="28">
        <v>81433</v>
      </c>
      <c r="I10" s="28" t="s">
        <v>17</v>
      </c>
      <c r="J10" s="28">
        <v>51673162</v>
      </c>
      <c r="K10" s="43" t="s">
        <v>2148</v>
      </c>
      <c r="L10" t="s">
        <v>2417</v>
      </c>
      <c r="M10" s="39">
        <v>199900</v>
      </c>
      <c r="N10" s="81" t="s">
        <v>2826</v>
      </c>
      <c r="O10" s="37" t="s">
        <v>3221</v>
      </c>
      <c r="P10" s="28" t="s">
        <v>2826</v>
      </c>
    </row>
    <row r="11" spans="1:16" x14ac:dyDescent="0.3">
      <c r="A11" s="25" t="s">
        <v>3223</v>
      </c>
      <c r="B11" s="26">
        <v>46108</v>
      </c>
      <c r="C11" s="26">
        <v>46113</v>
      </c>
      <c r="D11" s="82">
        <v>3319</v>
      </c>
      <c r="E11" s="82">
        <v>327</v>
      </c>
      <c r="F11" s="25">
        <v>2</v>
      </c>
      <c r="G11" s="28">
        <v>1</v>
      </c>
      <c r="H11" s="28">
        <v>81433</v>
      </c>
      <c r="I11" s="28" t="s">
        <v>17</v>
      </c>
      <c r="J11" s="28">
        <v>51673171</v>
      </c>
      <c r="K11" s="43" t="s">
        <v>2148</v>
      </c>
      <c r="L11" t="s">
        <v>2418</v>
      </c>
      <c r="M11" s="39">
        <v>199900</v>
      </c>
      <c r="N11" s="81" t="s">
        <v>2826</v>
      </c>
      <c r="O11" s="37" t="s">
        <v>3221</v>
      </c>
      <c r="P11" s="28" t="s">
        <v>2826</v>
      </c>
    </row>
    <row r="12" spans="1:16" x14ac:dyDescent="0.3">
      <c r="A12" s="25" t="s">
        <v>3223</v>
      </c>
      <c r="B12" s="26">
        <v>46108</v>
      </c>
      <c r="C12" s="26">
        <v>46113</v>
      </c>
      <c r="D12" s="82">
        <v>3319</v>
      </c>
      <c r="E12" s="82">
        <v>327</v>
      </c>
      <c r="F12" s="25">
        <v>2</v>
      </c>
      <c r="G12" s="28">
        <v>1</v>
      </c>
      <c r="H12" s="28">
        <v>81433</v>
      </c>
      <c r="I12" s="28" t="s">
        <v>17</v>
      </c>
      <c r="J12" s="28">
        <v>45335128</v>
      </c>
      <c r="K12" s="43" t="s">
        <v>2263</v>
      </c>
      <c r="L12" t="s">
        <v>2264</v>
      </c>
      <c r="M12" s="39">
        <v>199900</v>
      </c>
      <c r="N12" s="81" t="s">
        <v>2826</v>
      </c>
      <c r="O12" s="37" t="s">
        <v>3221</v>
      </c>
      <c r="P12" s="28" t="s">
        <v>2826</v>
      </c>
    </row>
    <row r="13" spans="1:16" x14ac:dyDescent="0.3">
      <c r="A13" s="25" t="s">
        <v>3223</v>
      </c>
      <c r="B13" s="26">
        <v>46108</v>
      </c>
      <c r="C13" s="26">
        <v>46113</v>
      </c>
      <c r="D13" s="82">
        <v>3319</v>
      </c>
      <c r="E13" s="82">
        <v>327</v>
      </c>
      <c r="F13" s="25">
        <v>2</v>
      </c>
      <c r="G13" s="28">
        <v>1</v>
      </c>
      <c r="H13" s="28">
        <v>81433</v>
      </c>
      <c r="I13" s="28" t="s">
        <v>17</v>
      </c>
      <c r="J13" s="28">
        <v>45335137</v>
      </c>
      <c r="K13" s="43" t="s">
        <v>2263</v>
      </c>
      <c r="L13" t="s">
        <v>2265</v>
      </c>
      <c r="M13" s="39">
        <v>199900</v>
      </c>
      <c r="N13" s="81" t="s">
        <v>2826</v>
      </c>
      <c r="O13" s="37" t="s">
        <v>3221</v>
      </c>
      <c r="P13" s="28" t="s">
        <v>2826</v>
      </c>
    </row>
    <row r="14" spans="1:16" x14ac:dyDescent="0.3">
      <c r="A14" s="25" t="s">
        <v>3223</v>
      </c>
      <c r="B14" s="26">
        <v>46108</v>
      </c>
      <c r="C14" s="26">
        <v>46113</v>
      </c>
      <c r="D14" s="82">
        <v>3319</v>
      </c>
      <c r="E14" s="82">
        <v>327</v>
      </c>
      <c r="F14" s="25">
        <v>2</v>
      </c>
      <c r="G14" s="28">
        <v>1</v>
      </c>
      <c r="H14" s="28">
        <v>81433</v>
      </c>
      <c r="I14" s="28" t="s">
        <v>17</v>
      </c>
      <c r="J14" s="28">
        <v>45335146</v>
      </c>
      <c r="K14" s="43" t="s">
        <v>2263</v>
      </c>
      <c r="L14" t="s">
        <v>2266</v>
      </c>
      <c r="M14" s="39">
        <v>199900</v>
      </c>
      <c r="N14" s="81" t="s">
        <v>2826</v>
      </c>
      <c r="O14" s="37" t="s">
        <v>3221</v>
      </c>
      <c r="P14" s="28" t="s">
        <v>2826</v>
      </c>
    </row>
    <row r="15" spans="1:16" x14ac:dyDescent="0.3">
      <c r="A15" s="25" t="s">
        <v>3223</v>
      </c>
      <c r="B15" s="26">
        <v>46108</v>
      </c>
      <c r="C15" s="26">
        <v>46113</v>
      </c>
      <c r="D15" s="82">
        <v>3319</v>
      </c>
      <c r="E15" s="82">
        <v>327</v>
      </c>
      <c r="F15" s="25">
        <v>2</v>
      </c>
      <c r="G15" s="28">
        <v>1</v>
      </c>
      <c r="H15" s="28">
        <v>81433</v>
      </c>
      <c r="I15" s="28" t="s">
        <v>17</v>
      </c>
      <c r="J15" s="28">
        <v>45335155</v>
      </c>
      <c r="K15" s="43" t="s">
        <v>2263</v>
      </c>
      <c r="L15" t="s">
        <v>2267</v>
      </c>
      <c r="M15" s="39">
        <v>199900</v>
      </c>
      <c r="N15" s="81" t="s">
        <v>2826</v>
      </c>
      <c r="O15" s="37" t="s">
        <v>3221</v>
      </c>
      <c r="P15" s="28" t="s">
        <v>2826</v>
      </c>
    </row>
    <row r="16" spans="1:16" x14ac:dyDescent="0.3">
      <c r="A16" s="25" t="s">
        <v>3223</v>
      </c>
      <c r="B16" s="26">
        <v>46108</v>
      </c>
      <c r="C16" s="26">
        <v>46113</v>
      </c>
      <c r="D16" s="82">
        <v>3319</v>
      </c>
      <c r="E16" s="82">
        <v>327</v>
      </c>
      <c r="F16" s="25">
        <v>2</v>
      </c>
      <c r="G16" s="28">
        <v>1</v>
      </c>
      <c r="H16" s="28">
        <v>81433</v>
      </c>
      <c r="I16" s="28" t="s">
        <v>17</v>
      </c>
      <c r="J16" s="28">
        <v>45335164</v>
      </c>
      <c r="K16" s="43" t="s">
        <v>2263</v>
      </c>
      <c r="L16" t="s">
        <v>2268</v>
      </c>
      <c r="M16" s="39">
        <v>199900</v>
      </c>
      <c r="N16" s="81" t="s">
        <v>2826</v>
      </c>
      <c r="O16" s="37" t="s">
        <v>3221</v>
      </c>
      <c r="P16" s="28" t="s">
        <v>2826</v>
      </c>
    </row>
    <row r="17" spans="1:16" x14ac:dyDescent="0.3">
      <c r="A17" s="25" t="s">
        <v>3223</v>
      </c>
      <c r="B17" s="26">
        <v>46108</v>
      </c>
      <c r="C17" s="26">
        <v>46113</v>
      </c>
      <c r="D17" s="48">
        <v>3319</v>
      </c>
      <c r="E17" s="48">
        <v>327</v>
      </c>
      <c r="F17" s="28">
        <v>2</v>
      </c>
      <c r="G17" s="28">
        <v>1</v>
      </c>
      <c r="H17" s="28">
        <v>81433</v>
      </c>
      <c r="I17" s="28" t="s">
        <v>17</v>
      </c>
      <c r="J17" s="28">
        <v>52703510</v>
      </c>
      <c r="K17" s="43" t="s">
        <v>2605</v>
      </c>
      <c r="L17" t="s">
        <v>2606</v>
      </c>
      <c r="M17" s="39">
        <v>199900</v>
      </c>
      <c r="N17" s="81" t="s">
        <v>2826</v>
      </c>
      <c r="O17" s="37" t="s">
        <v>3221</v>
      </c>
      <c r="P17" s="28" t="s">
        <v>2826</v>
      </c>
    </row>
    <row r="18" spans="1:16" x14ac:dyDescent="0.3">
      <c r="A18" s="25" t="s">
        <v>3223</v>
      </c>
      <c r="B18" s="26">
        <v>46108</v>
      </c>
      <c r="C18" s="26">
        <v>46113</v>
      </c>
      <c r="D18" s="48">
        <v>3319</v>
      </c>
      <c r="E18" s="48">
        <v>327</v>
      </c>
      <c r="F18" s="28">
        <v>2</v>
      </c>
      <c r="G18" s="28">
        <v>1</v>
      </c>
      <c r="H18" s="28">
        <v>81433</v>
      </c>
      <c r="I18" s="28" t="s">
        <v>17</v>
      </c>
      <c r="J18" s="28">
        <v>52703529</v>
      </c>
      <c r="K18" s="43" t="s">
        <v>2605</v>
      </c>
      <c r="L18" t="s">
        <v>2615</v>
      </c>
      <c r="M18" s="39">
        <v>199900</v>
      </c>
      <c r="N18" s="81" t="s">
        <v>2826</v>
      </c>
      <c r="O18" s="37" t="s">
        <v>3221</v>
      </c>
      <c r="P18" s="28" t="s">
        <v>2826</v>
      </c>
    </row>
    <row r="19" spans="1:16" x14ac:dyDescent="0.3">
      <c r="A19" s="25" t="s">
        <v>3223</v>
      </c>
      <c r="B19" s="26">
        <v>46108</v>
      </c>
      <c r="C19" s="26">
        <v>46113</v>
      </c>
      <c r="D19" s="48">
        <v>3319</v>
      </c>
      <c r="E19" s="48">
        <v>327</v>
      </c>
      <c r="F19" s="28">
        <v>2</v>
      </c>
      <c r="G19" s="28">
        <v>1</v>
      </c>
      <c r="H19" s="28">
        <v>81433</v>
      </c>
      <c r="I19" s="28" t="s">
        <v>17</v>
      </c>
      <c r="J19" s="28">
        <v>52703538</v>
      </c>
      <c r="K19" s="43" t="s">
        <v>2605</v>
      </c>
      <c r="L19" t="s">
        <v>2611</v>
      </c>
      <c r="M19" s="39">
        <v>199900</v>
      </c>
      <c r="N19" s="81" t="s">
        <v>2826</v>
      </c>
      <c r="O19" s="37" t="s">
        <v>3221</v>
      </c>
      <c r="P19" s="28" t="s">
        <v>2826</v>
      </c>
    </row>
    <row r="20" spans="1:16" x14ac:dyDescent="0.3">
      <c r="A20" s="25" t="s">
        <v>3223</v>
      </c>
      <c r="B20" s="26">
        <v>46108</v>
      </c>
      <c r="C20" s="26">
        <v>46113</v>
      </c>
      <c r="D20" s="48">
        <v>3319</v>
      </c>
      <c r="E20" s="48">
        <v>327</v>
      </c>
      <c r="F20" s="28">
        <v>2</v>
      </c>
      <c r="G20" s="28">
        <v>1</v>
      </c>
      <c r="H20" s="28">
        <v>81433</v>
      </c>
      <c r="I20" s="28" t="s">
        <v>17</v>
      </c>
      <c r="J20" s="28">
        <v>52703547</v>
      </c>
      <c r="K20" s="43" t="s">
        <v>2605</v>
      </c>
      <c r="L20" t="s">
        <v>2607</v>
      </c>
      <c r="M20" s="39">
        <v>199900</v>
      </c>
      <c r="N20" s="81" t="s">
        <v>2826</v>
      </c>
      <c r="O20" s="37" t="s">
        <v>3221</v>
      </c>
      <c r="P20" s="28" t="s">
        <v>2826</v>
      </c>
    </row>
    <row r="21" spans="1:16" x14ac:dyDescent="0.3">
      <c r="A21" s="25" t="s">
        <v>3223</v>
      </c>
      <c r="B21" s="26">
        <v>46108</v>
      </c>
      <c r="C21" s="26">
        <v>46113</v>
      </c>
      <c r="D21" s="48">
        <v>3319</v>
      </c>
      <c r="E21" s="48">
        <v>327</v>
      </c>
      <c r="F21" s="28">
        <v>2</v>
      </c>
      <c r="G21" s="28">
        <v>1</v>
      </c>
      <c r="H21" s="28">
        <v>81433</v>
      </c>
      <c r="I21" s="28" t="s">
        <v>17</v>
      </c>
      <c r="J21" s="28">
        <v>52703556</v>
      </c>
      <c r="K21" s="43" t="s">
        <v>2605</v>
      </c>
      <c r="L21" t="s">
        <v>2609</v>
      </c>
      <c r="M21" s="39">
        <v>199900</v>
      </c>
      <c r="N21" s="81" t="s">
        <v>2826</v>
      </c>
      <c r="O21" s="37" t="s">
        <v>3221</v>
      </c>
      <c r="P21" s="28" t="s">
        <v>2826</v>
      </c>
    </row>
    <row r="22" spans="1:16" x14ac:dyDescent="0.3">
      <c r="A22" s="25" t="s">
        <v>3223</v>
      </c>
      <c r="B22" s="26">
        <v>46108</v>
      </c>
      <c r="C22" s="26">
        <v>46113</v>
      </c>
      <c r="D22" s="82">
        <v>3319</v>
      </c>
      <c r="E22" s="82">
        <v>327</v>
      </c>
      <c r="F22" s="25">
        <v>2</v>
      </c>
      <c r="G22" s="28">
        <v>1</v>
      </c>
      <c r="H22" s="28">
        <v>81433</v>
      </c>
      <c r="I22" s="28" t="s">
        <v>17</v>
      </c>
      <c r="J22" s="28">
        <v>55523585</v>
      </c>
      <c r="K22" t="s">
        <v>2827</v>
      </c>
      <c r="L22" t="s">
        <v>2828</v>
      </c>
      <c r="M22" s="37">
        <v>199900</v>
      </c>
      <c r="N22" s="81" t="s">
        <v>2826</v>
      </c>
      <c r="O22" s="37" t="s">
        <v>3221</v>
      </c>
      <c r="P22" s="28" t="s">
        <v>2826</v>
      </c>
    </row>
    <row r="23" spans="1:16" x14ac:dyDescent="0.3">
      <c r="A23" s="25" t="s">
        <v>3223</v>
      </c>
      <c r="B23" s="26">
        <v>46108</v>
      </c>
      <c r="C23" s="26">
        <v>46113</v>
      </c>
      <c r="D23" s="82">
        <v>3319</v>
      </c>
      <c r="E23" s="82">
        <v>327</v>
      </c>
      <c r="F23" s="25">
        <v>2</v>
      </c>
      <c r="G23" s="28">
        <v>1</v>
      </c>
      <c r="H23" s="28">
        <v>81433</v>
      </c>
      <c r="I23" s="28" t="s">
        <v>17</v>
      </c>
      <c r="J23" s="28">
        <v>55523576</v>
      </c>
      <c r="K23" t="s">
        <v>2827</v>
      </c>
      <c r="L23" t="s">
        <v>2829</v>
      </c>
      <c r="M23" s="37">
        <v>199900</v>
      </c>
      <c r="N23" s="81" t="s">
        <v>2826</v>
      </c>
      <c r="O23" s="37" t="s">
        <v>3221</v>
      </c>
      <c r="P23" s="28" t="s">
        <v>2826</v>
      </c>
    </row>
    <row r="24" spans="1:16" x14ac:dyDescent="0.3">
      <c r="A24" s="25" t="s">
        <v>3223</v>
      </c>
      <c r="B24" s="26">
        <v>46108</v>
      </c>
      <c r="C24" s="26">
        <v>46113</v>
      </c>
      <c r="D24" s="82">
        <v>3319</v>
      </c>
      <c r="E24" s="82">
        <v>327</v>
      </c>
      <c r="F24" s="25">
        <v>2</v>
      </c>
      <c r="G24" s="28">
        <v>1</v>
      </c>
      <c r="H24" s="28">
        <v>81433</v>
      </c>
      <c r="I24" s="28" t="s">
        <v>17</v>
      </c>
      <c r="J24" s="28">
        <v>55523567</v>
      </c>
      <c r="K24" t="s">
        <v>2827</v>
      </c>
      <c r="L24" t="s">
        <v>2830</v>
      </c>
      <c r="M24" s="37">
        <v>199900</v>
      </c>
      <c r="N24" s="81" t="s">
        <v>2826</v>
      </c>
      <c r="O24" s="37" t="s">
        <v>3221</v>
      </c>
      <c r="P24" s="28" t="s">
        <v>2826</v>
      </c>
    </row>
    <row r="25" spans="1:16" x14ac:dyDescent="0.3">
      <c r="A25" s="25" t="s">
        <v>3223</v>
      </c>
      <c r="B25" s="26">
        <v>46108</v>
      </c>
      <c r="C25" s="26">
        <v>46113</v>
      </c>
      <c r="D25" s="82">
        <v>3319</v>
      </c>
      <c r="E25" s="82">
        <v>327</v>
      </c>
      <c r="F25" s="25">
        <v>2</v>
      </c>
      <c r="G25" s="28">
        <v>1</v>
      </c>
      <c r="H25" s="28">
        <v>81433</v>
      </c>
      <c r="I25" s="28" t="s">
        <v>17</v>
      </c>
      <c r="J25" s="28">
        <v>55523601</v>
      </c>
      <c r="K25" t="s">
        <v>2827</v>
      </c>
      <c r="L25" t="s">
        <v>2831</v>
      </c>
      <c r="M25" s="37">
        <v>199900</v>
      </c>
      <c r="N25" s="81" t="s">
        <v>2826</v>
      </c>
      <c r="O25" s="37" t="s">
        <v>3221</v>
      </c>
      <c r="P25" s="28" t="s">
        <v>2826</v>
      </c>
    </row>
    <row r="26" spans="1:16" x14ac:dyDescent="0.3">
      <c r="A26" s="25" t="s">
        <v>3223</v>
      </c>
      <c r="B26" s="26">
        <v>46108</v>
      </c>
      <c r="C26" s="26">
        <v>46113</v>
      </c>
      <c r="D26" s="82">
        <v>3319</v>
      </c>
      <c r="E26" s="82">
        <v>327</v>
      </c>
      <c r="F26" s="25">
        <v>2</v>
      </c>
      <c r="G26" s="28">
        <v>1</v>
      </c>
      <c r="H26" s="28">
        <v>81433</v>
      </c>
      <c r="I26" s="28" t="s">
        <v>17</v>
      </c>
      <c r="J26" s="28">
        <v>55523594</v>
      </c>
      <c r="K26" t="s">
        <v>2827</v>
      </c>
      <c r="L26" t="s">
        <v>2832</v>
      </c>
      <c r="M26" s="37">
        <v>199900</v>
      </c>
      <c r="N26" s="81" t="s">
        <v>2826</v>
      </c>
      <c r="O26" s="37" t="s">
        <v>3221</v>
      </c>
      <c r="P26" s="28" t="s">
        <v>2826</v>
      </c>
    </row>
    <row r="27" spans="1:16" x14ac:dyDescent="0.3">
      <c r="A27" s="25" t="s">
        <v>3223</v>
      </c>
      <c r="B27" s="26">
        <v>46108</v>
      </c>
      <c r="C27" s="26">
        <v>46113</v>
      </c>
      <c r="D27" s="82">
        <v>3319</v>
      </c>
      <c r="E27" s="82">
        <v>327</v>
      </c>
      <c r="F27" s="25">
        <v>2</v>
      </c>
      <c r="G27" s="28">
        <v>1</v>
      </c>
      <c r="H27" s="28">
        <v>81778</v>
      </c>
      <c r="I27" s="28" t="s">
        <v>17</v>
      </c>
      <c r="J27" s="28">
        <v>55524459</v>
      </c>
      <c r="K27" t="s">
        <v>2837</v>
      </c>
      <c r="L27" t="s">
        <v>2838</v>
      </c>
      <c r="M27" s="37">
        <v>199900</v>
      </c>
      <c r="N27" s="81" t="s">
        <v>2826</v>
      </c>
      <c r="O27" s="37" t="s">
        <v>3221</v>
      </c>
      <c r="P27" s="28" t="s">
        <v>2826</v>
      </c>
    </row>
    <row r="28" spans="1:16" x14ac:dyDescent="0.3">
      <c r="A28" s="25" t="s">
        <v>3223</v>
      </c>
      <c r="B28" s="26">
        <v>46108</v>
      </c>
      <c r="C28" s="26">
        <v>46113</v>
      </c>
      <c r="D28" s="82">
        <v>3319</v>
      </c>
      <c r="E28" s="82">
        <v>327</v>
      </c>
      <c r="F28" s="25">
        <v>2</v>
      </c>
      <c r="G28" s="28">
        <v>1</v>
      </c>
      <c r="H28" s="28">
        <v>81778</v>
      </c>
      <c r="I28" s="28" t="s">
        <v>17</v>
      </c>
      <c r="J28" s="28">
        <v>55524468</v>
      </c>
      <c r="K28" t="s">
        <v>2837</v>
      </c>
      <c r="L28" t="s">
        <v>2839</v>
      </c>
      <c r="M28" s="37">
        <v>199900</v>
      </c>
      <c r="N28" s="81" t="s">
        <v>2826</v>
      </c>
      <c r="O28" s="37" t="s">
        <v>3221</v>
      </c>
      <c r="P28" s="28" t="s">
        <v>2826</v>
      </c>
    </row>
    <row r="29" spans="1:16" x14ac:dyDescent="0.3">
      <c r="A29" s="25" t="s">
        <v>3223</v>
      </c>
      <c r="B29" s="26">
        <v>46108</v>
      </c>
      <c r="C29" s="26">
        <v>46113</v>
      </c>
      <c r="D29" s="82">
        <v>3319</v>
      </c>
      <c r="E29" s="82">
        <v>327</v>
      </c>
      <c r="F29" s="25">
        <v>2</v>
      </c>
      <c r="G29" s="28">
        <v>1</v>
      </c>
      <c r="H29" s="28">
        <v>81778</v>
      </c>
      <c r="I29" s="28" t="s">
        <v>17</v>
      </c>
      <c r="J29" s="28">
        <v>55524477</v>
      </c>
      <c r="K29" t="s">
        <v>2837</v>
      </c>
      <c r="L29" t="s">
        <v>2840</v>
      </c>
      <c r="M29" s="37">
        <v>199900</v>
      </c>
      <c r="N29" s="81" t="s">
        <v>2826</v>
      </c>
      <c r="O29" s="37" t="s">
        <v>3221</v>
      </c>
      <c r="P29" s="28" t="s">
        <v>2826</v>
      </c>
    </row>
    <row r="30" spans="1:16" x14ac:dyDescent="0.3">
      <c r="A30" s="25" t="s">
        <v>3223</v>
      </c>
      <c r="B30" s="26">
        <v>46108</v>
      </c>
      <c r="C30" s="26">
        <v>46113</v>
      </c>
      <c r="D30" s="82">
        <v>3319</v>
      </c>
      <c r="E30" s="82">
        <v>327</v>
      </c>
      <c r="F30" s="25">
        <v>2</v>
      </c>
      <c r="G30" s="28">
        <v>1</v>
      </c>
      <c r="H30" s="28">
        <v>81778</v>
      </c>
      <c r="I30" s="28" t="s">
        <v>17</v>
      </c>
      <c r="J30" s="28">
        <v>55524486</v>
      </c>
      <c r="K30" t="s">
        <v>2837</v>
      </c>
      <c r="L30" t="s">
        <v>2841</v>
      </c>
      <c r="M30" s="37">
        <v>199900</v>
      </c>
      <c r="N30" s="81" t="s">
        <v>2826</v>
      </c>
      <c r="O30" s="37" t="s">
        <v>3221</v>
      </c>
      <c r="P30" s="28" t="s">
        <v>2826</v>
      </c>
    </row>
    <row r="31" spans="1:16" x14ac:dyDescent="0.3">
      <c r="A31" s="25" t="s">
        <v>3223</v>
      </c>
      <c r="B31" s="26">
        <v>46108</v>
      </c>
      <c r="C31" s="26">
        <v>46113</v>
      </c>
      <c r="D31" s="82">
        <v>3319</v>
      </c>
      <c r="E31" s="82">
        <v>327</v>
      </c>
      <c r="F31" s="25">
        <v>2</v>
      </c>
      <c r="G31" s="28">
        <v>1</v>
      </c>
      <c r="H31" s="28">
        <v>81778</v>
      </c>
      <c r="I31" s="28" t="s">
        <v>17</v>
      </c>
      <c r="J31" s="28">
        <v>55524495</v>
      </c>
      <c r="K31" t="s">
        <v>2837</v>
      </c>
      <c r="L31" t="s">
        <v>2842</v>
      </c>
      <c r="M31" s="37">
        <v>199900</v>
      </c>
      <c r="N31" s="81" t="s">
        <v>2826</v>
      </c>
      <c r="O31" s="37" t="s">
        <v>3221</v>
      </c>
      <c r="P31" s="28" t="s">
        <v>2826</v>
      </c>
    </row>
    <row r="32" spans="1:16" x14ac:dyDescent="0.3">
      <c r="A32" s="25" t="s">
        <v>3223</v>
      </c>
      <c r="B32" s="26">
        <v>46108</v>
      </c>
      <c r="C32" s="26">
        <v>46113</v>
      </c>
      <c r="D32" s="82">
        <v>3319</v>
      </c>
      <c r="E32" s="82">
        <v>327</v>
      </c>
      <c r="F32" s="25">
        <v>2</v>
      </c>
      <c r="G32" s="28">
        <v>1</v>
      </c>
      <c r="H32" s="28">
        <v>81778</v>
      </c>
      <c r="I32" s="28" t="s">
        <v>17</v>
      </c>
      <c r="J32" s="28">
        <v>55524502</v>
      </c>
      <c r="K32" t="s">
        <v>2837</v>
      </c>
      <c r="L32" t="s">
        <v>2843</v>
      </c>
      <c r="M32" s="37">
        <v>199900</v>
      </c>
      <c r="N32" s="81" t="s">
        <v>2826</v>
      </c>
      <c r="O32" s="37" t="s">
        <v>3221</v>
      </c>
      <c r="P32" s="28" t="s">
        <v>2826</v>
      </c>
    </row>
    <row r="33" spans="1:16" x14ac:dyDescent="0.3">
      <c r="A33" s="25" t="s">
        <v>3223</v>
      </c>
      <c r="B33" s="26">
        <v>46108</v>
      </c>
      <c r="C33" s="26">
        <v>46113</v>
      </c>
      <c r="D33" s="82">
        <v>3319</v>
      </c>
      <c r="E33" s="82">
        <v>327</v>
      </c>
      <c r="F33" s="25">
        <v>2</v>
      </c>
      <c r="G33" s="28">
        <v>1</v>
      </c>
      <c r="H33" s="28">
        <v>81778</v>
      </c>
      <c r="I33" s="28" t="s">
        <v>17</v>
      </c>
      <c r="J33" s="28">
        <v>55524511</v>
      </c>
      <c r="K33" t="s">
        <v>2837</v>
      </c>
      <c r="L33" t="s">
        <v>2844</v>
      </c>
      <c r="M33" s="37">
        <v>199900</v>
      </c>
      <c r="N33" s="81" t="s">
        <v>2826</v>
      </c>
      <c r="O33" s="37" t="s">
        <v>3221</v>
      </c>
      <c r="P33" s="28" t="s">
        <v>2826</v>
      </c>
    </row>
    <row r="34" spans="1:16" x14ac:dyDescent="0.3">
      <c r="A34" s="25" t="s">
        <v>3223</v>
      </c>
      <c r="B34" s="26">
        <v>46108</v>
      </c>
      <c r="C34" s="26">
        <v>46113</v>
      </c>
      <c r="D34" s="82">
        <v>3319</v>
      </c>
      <c r="E34" s="82">
        <v>327</v>
      </c>
      <c r="F34" s="25">
        <v>2</v>
      </c>
      <c r="G34" s="28">
        <v>1</v>
      </c>
      <c r="H34" s="28">
        <v>81778</v>
      </c>
      <c r="I34" s="28" t="s">
        <v>17</v>
      </c>
      <c r="J34" s="28">
        <v>55524520</v>
      </c>
      <c r="K34" t="s">
        <v>2837</v>
      </c>
      <c r="L34" t="s">
        <v>2845</v>
      </c>
      <c r="M34" s="37">
        <v>199900</v>
      </c>
      <c r="N34" s="81" t="s">
        <v>2826</v>
      </c>
      <c r="O34" s="37" t="s">
        <v>3221</v>
      </c>
      <c r="P34" s="28" t="s">
        <v>2826</v>
      </c>
    </row>
    <row r="35" spans="1:16" x14ac:dyDescent="0.3">
      <c r="A35" s="25" t="s">
        <v>3223</v>
      </c>
      <c r="B35" s="26">
        <v>46108</v>
      </c>
      <c r="C35" s="26">
        <v>46113</v>
      </c>
      <c r="D35" s="82">
        <v>3319</v>
      </c>
      <c r="E35" s="82">
        <v>327</v>
      </c>
      <c r="F35" s="25">
        <v>2</v>
      </c>
      <c r="G35" s="28">
        <v>1</v>
      </c>
      <c r="H35" s="28">
        <v>81778</v>
      </c>
      <c r="I35" s="28" t="s">
        <v>17</v>
      </c>
      <c r="J35" s="28">
        <v>55524539</v>
      </c>
      <c r="K35" t="s">
        <v>2837</v>
      </c>
      <c r="L35" t="s">
        <v>2846</v>
      </c>
      <c r="M35" s="37">
        <v>199900</v>
      </c>
      <c r="N35" s="81" t="s">
        <v>2826</v>
      </c>
      <c r="O35" s="37" t="s">
        <v>3221</v>
      </c>
      <c r="P35" s="28" t="s">
        <v>2826</v>
      </c>
    </row>
    <row r="36" spans="1:16" x14ac:dyDescent="0.3">
      <c r="A36" s="25" t="s">
        <v>3223</v>
      </c>
      <c r="B36" s="26">
        <v>46108</v>
      </c>
      <c r="C36" s="26">
        <v>46113</v>
      </c>
      <c r="D36" s="82">
        <v>3319</v>
      </c>
      <c r="E36" s="82">
        <v>327</v>
      </c>
      <c r="F36" s="25">
        <v>2</v>
      </c>
      <c r="G36" s="28">
        <v>1</v>
      </c>
      <c r="H36" s="28">
        <v>81778</v>
      </c>
      <c r="I36" s="28" t="s">
        <v>17</v>
      </c>
      <c r="J36" s="28">
        <v>55524548</v>
      </c>
      <c r="K36" t="s">
        <v>2837</v>
      </c>
      <c r="L36" t="s">
        <v>2847</v>
      </c>
      <c r="M36" s="37">
        <v>199900</v>
      </c>
      <c r="N36" s="81" t="s">
        <v>2826</v>
      </c>
      <c r="O36" s="37" t="s">
        <v>3221</v>
      </c>
      <c r="P36" s="28" t="s">
        <v>2826</v>
      </c>
    </row>
    <row r="37" spans="1:16" x14ac:dyDescent="0.3">
      <c r="A37" s="25" t="s">
        <v>3223</v>
      </c>
      <c r="B37" s="26">
        <v>46108</v>
      </c>
      <c r="C37" s="26">
        <v>46113</v>
      </c>
      <c r="D37" s="82">
        <v>3319</v>
      </c>
      <c r="E37" s="82">
        <v>327</v>
      </c>
      <c r="F37" s="25">
        <v>2</v>
      </c>
      <c r="G37" s="28">
        <v>1</v>
      </c>
      <c r="H37" s="28">
        <v>81778</v>
      </c>
      <c r="I37" s="28" t="s">
        <v>17</v>
      </c>
      <c r="J37" s="28">
        <v>55524557</v>
      </c>
      <c r="K37" t="s">
        <v>2848</v>
      </c>
      <c r="L37" t="s">
        <v>2849</v>
      </c>
      <c r="M37" s="37">
        <v>199900</v>
      </c>
      <c r="N37" s="81" t="s">
        <v>2826</v>
      </c>
      <c r="O37" s="37" t="s">
        <v>3221</v>
      </c>
      <c r="P37" s="28" t="s">
        <v>2826</v>
      </c>
    </row>
    <row r="38" spans="1:16" x14ac:dyDescent="0.3">
      <c r="A38" s="25" t="s">
        <v>3223</v>
      </c>
      <c r="B38" s="26">
        <v>46108</v>
      </c>
      <c r="C38" s="26">
        <v>46113</v>
      </c>
      <c r="D38" s="82">
        <v>3319</v>
      </c>
      <c r="E38" s="82">
        <v>327</v>
      </c>
      <c r="F38" s="25">
        <v>2</v>
      </c>
      <c r="G38" s="28">
        <v>1</v>
      </c>
      <c r="H38" s="28">
        <v>81778</v>
      </c>
      <c r="I38" s="28" t="s">
        <v>17</v>
      </c>
      <c r="J38" s="28">
        <v>55524566</v>
      </c>
      <c r="K38" t="s">
        <v>2848</v>
      </c>
      <c r="L38" t="s">
        <v>2850</v>
      </c>
      <c r="M38" s="37">
        <v>199900</v>
      </c>
      <c r="N38" s="81" t="s">
        <v>2826</v>
      </c>
      <c r="O38" s="37" t="s">
        <v>3221</v>
      </c>
      <c r="P38" s="28" t="s">
        <v>2826</v>
      </c>
    </row>
    <row r="39" spans="1:16" x14ac:dyDescent="0.3">
      <c r="A39" s="25" t="s">
        <v>3223</v>
      </c>
      <c r="B39" s="26">
        <v>46108</v>
      </c>
      <c r="C39" s="26">
        <v>46113</v>
      </c>
      <c r="D39" s="82">
        <v>3319</v>
      </c>
      <c r="E39" s="82">
        <v>327</v>
      </c>
      <c r="F39" s="25">
        <v>2</v>
      </c>
      <c r="G39" s="28">
        <v>1</v>
      </c>
      <c r="H39" s="28">
        <v>81778</v>
      </c>
      <c r="I39" s="28" t="s">
        <v>17</v>
      </c>
      <c r="J39" s="28">
        <v>55524575</v>
      </c>
      <c r="K39" t="s">
        <v>2848</v>
      </c>
      <c r="L39" t="s">
        <v>2851</v>
      </c>
      <c r="M39" s="37">
        <v>199900</v>
      </c>
      <c r="N39" s="81" t="s">
        <v>2826</v>
      </c>
      <c r="O39" s="37" t="s">
        <v>3221</v>
      </c>
      <c r="P39" s="28" t="s">
        <v>2826</v>
      </c>
    </row>
    <row r="40" spans="1:16" x14ac:dyDescent="0.3">
      <c r="A40" s="25" t="s">
        <v>3223</v>
      </c>
      <c r="B40" s="26">
        <v>46108</v>
      </c>
      <c r="C40" s="26">
        <v>46113</v>
      </c>
      <c r="D40" s="82">
        <v>3319</v>
      </c>
      <c r="E40" s="82">
        <v>327</v>
      </c>
      <c r="F40" s="25">
        <v>2</v>
      </c>
      <c r="G40" s="28">
        <v>1</v>
      </c>
      <c r="H40" s="28">
        <v>81778</v>
      </c>
      <c r="I40" s="28" t="s">
        <v>17</v>
      </c>
      <c r="J40" s="28">
        <v>55524584</v>
      </c>
      <c r="K40" t="s">
        <v>2848</v>
      </c>
      <c r="L40" t="s">
        <v>2852</v>
      </c>
      <c r="M40" s="37">
        <v>199900</v>
      </c>
      <c r="N40" s="81" t="s">
        <v>2826</v>
      </c>
      <c r="O40" s="37" t="s">
        <v>3221</v>
      </c>
      <c r="P40" s="28" t="s">
        <v>2826</v>
      </c>
    </row>
    <row r="41" spans="1:16" x14ac:dyDescent="0.3">
      <c r="A41" s="25" t="s">
        <v>3223</v>
      </c>
      <c r="B41" s="26">
        <v>46108</v>
      </c>
      <c r="C41" s="26">
        <v>46113</v>
      </c>
      <c r="D41" s="82">
        <v>3319</v>
      </c>
      <c r="E41" s="82">
        <v>327</v>
      </c>
      <c r="F41" s="25">
        <v>2</v>
      </c>
      <c r="G41" s="28">
        <v>1</v>
      </c>
      <c r="H41" s="28">
        <v>81778</v>
      </c>
      <c r="I41" s="28" t="s">
        <v>17</v>
      </c>
      <c r="J41" s="28">
        <v>55524593</v>
      </c>
      <c r="K41" t="s">
        <v>2848</v>
      </c>
      <c r="L41" t="s">
        <v>2853</v>
      </c>
      <c r="M41" s="37">
        <v>199900</v>
      </c>
      <c r="N41" s="81" t="s">
        <v>2826</v>
      </c>
      <c r="O41" s="37" t="s">
        <v>3221</v>
      </c>
      <c r="P41" s="28" t="s">
        <v>2826</v>
      </c>
    </row>
    <row r="42" spans="1:16" x14ac:dyDescent="0.3">
      <c r="A42" s="25" t="s">
        <v>3223</v>
      </c>
      <c r="B42" s="26">
        <v>46108</v>
      </c>
      <c r="C42" s="26">
        <v>46113</v>
      </c>
      <c r="D42" s="82">
        <v>3319</v>
      </c>
      <c r="E42" s="82">
        <v>327</v>
      </c>
      <c r="F42" s="25">
        <v>2</v>
      </c>
      <c r="G42" s="28">
        <v>1</v>
      </c>
      <c r="H42" s="28">
        <v>81778</v>
      </c>
      <c r="I42" s="28" t="s">
        <v>17</v>
      </c>
      <c r="J42" s="28">
        <v>55524600</v>
      </c>
      <c r="K42" t="s">
        <v>2848</v>
      </c>
      <c r="L42" t="s">
        <v>2854</v>
      </c>
      <c r="M42" s="37">
        <v>199900</v>
      </c>
      <c r="N42" s="81" t="s">
        <v>2826</v>
      </c>
      <c r="O42" s="37" t="s">
        <v>3221</v>
      </c>
      <c r="P42" s="28" t="s">
        <v>2826</v>
      </c>
    </row>
    <row r="43" spans="1:16" x14ac:dyDescent="0.3">
      <c r="A43" s="25" t="s">
        <v>3223</v>
      </c>
      <c r="B43" s="26">
        <v>46108</v>
      </c>
      <c r="C43" s="26">
        <v>46113</v>
      </c>
      <c r="D43" s="82">
        <v>3319</v>
      </c>
      <c r="E43" s="82">
        <v>327</v>
      </c>
      <c r="F43" s="25">
        <v>2</v>
      </c>
      <c r="G43" s="28">
        <v>1</v>
      </c>
      <c r="H43" s="28">
        <v>81778</v>
      </c>
      <c r="I43" s="28" t="s">
        <v>17</v>
      </c>
      <c r="J43" s="28">
        <v>55524619</v>
      </c>
      <c r="K43" t="s">
        <v>2848</v>
      </c>
      <c r="L43" t="s">
        <v>2855</v>
      </c>
      <c r="M43" s="37">
        <v>199900</v>
      </c>
      <c r="N43" s="81" t="s">
        <v>2826</v>
      </c>
      <c r="O43" s="37" t="s">
        <v>3221</v>
      </c>
      <c r="P43" s="28" t="s">
        <v>2826</v>
      </c>
    </row>
    <row r="44" spans="1:16" x14ac:dyDescent="0.3">
      <c r="A44" s="25" t="s">
        <v>3223</v>
      </c>
      <c r="B44" s="26">
        <v>46108</v>
      </c>
      <c r="C44" s="26">
        <v>46113</v>
      </c>
      <c r="D44" s="82">
        <v>3319</v>
      </c>
      <c r="E44" s="82">
        <v>327</v>
      </c>
      <c r="F44" s="25">
        <v>2</v>
      </c>
      <c r="G44" s="28">
        <v>1</v>
      </c>
      <c r="H44" s="28">
        <v>81778</v>
      </c>
      <c r="I44" s="28" t="s">
        <v>17</v>
      </c>
      <c r="J44" s="28">
        <v>55524628</v>
      </c>
      <c r="K44" t="s">
        <v>2848</v>
      </c>
      <c r="L44" t="s">
        <v>2856</v>
      </c>
      <c r="M44" s="37">
        <v>199900</v>
      </c>
      <c r="N44" s="81" t="s">
        <v>2826</v>
      </c>
      <c r="O44" s="37" t="s">
        <v>3221</v>
      </c>
      <c r="P44" s="28" t="s">
        <v>2826</v>
      </c>
    </row>
    <row r="45" spans="1:16" x14ac:dyDescent="0.3">
      <c r="A45" s="25" t="s">
        <v>3223</v>
      </c>
      <c r="B45" s="26">
        <v>46108</v>
      </c>
      <c r="C45" s="26">
        <v>46113</v>
      </c>
      <c r="D45" s="82">
        <v>3319</v>
      </c>
      <c r="E45" s="82">
        <v>327</v>
      </c>
      <c r="F45" s="25">
        <v>2</v>
      </c>
      <c r="G45" s="28">
        <v>1</v>
      </c>
      <c r="H45" s="28">
        <v>81778</v>
      </c>
      <c r="I45" s="28" t="s">
        <v>17</v>
      </c>
      <c r="J45" s="28">
        <v>55524637</v>
      </c>
      <c r="K45" t="s">
        <v>2848</v>
      </c>
      <c r="L45" t="s">
        <v>2857</v>
      </c>
      <c r="M45" s="37">
        <v>199900</v>
      </c>
      <c r="N45" s="81" t="s">
        <v>2826</v>
      </c>
      <c r="O45" s="37" t="s">
        <v>3221</v>
      </c>
      <c r="P45" s="28" t="s">
        <v>2826</v>
      </c>
    </row>
    <row r="46" spans="1:16" x14ac:dyDescent="0.3">
      <c r="A46" s="25" t="s">
        <v>3223</v>
      </c>
      <c r="B46" s="26">
        <v>46108</v>
      </c>
      <c r="C46" s="26">
        <v>46113</v>
      </c>
      <c r="D46" s="82">
        <v>3319</v>
      </c>
      <c r="E46" s="82">
        <v>327</v>
      </c>
      <c r="F46" s="25">
        <v>2</v>
      </c>
      <c r="G46" s="28">
        <v>1</v>
      </c>
      <c r="H46" s="28">
        <v>81778</v>
      </c>
      <c r="I46" s="28" t="s">
        <v>17</v>
      </c>
      <c r="J46" s="28">
        <v>55524646</v>
      </c>
      <c r="K46" t="s">
        <v>2848</v>
      </c>
      <c r="L46" t="s">
        <v>2858</v>
      </c>
      <c r="M46" s="37">
        <v>199900</v>
      </c>
      <c r="N46" s="81" t="s">
        <v>2826</v>
      </c>
      <c r="O46" s="37" t="s">
        <v>3221</v>
      </c>
      <c r="P46" s="28" t="s">
        <v>2826</v>
      </c>
    </row>
    <row r="47" spans="1:16" x14ac:dyDescent="0.3">
      <c r="A47" s="25" t="s">
        <v>3223</v>
      </c>
      <c r="B47" s="26">
        <v>46108</v>
      </c>
      <c r="C47" s="26">
        <v>46113</v>
      </c>
      <c r="D47" s="82">
        <v>3319</v>
      </c>
      <c r="E47" s="82">
        <v>327</v>
      </c>
      <c r="F47" s="25">
        <v>2</v>
      </c>
      <c r="G47" s="28">
        <v>1</v>
      </c>
      <c r="H47" s="28">
        <v>81778</v>
      </c>
      <c r="I47" s="28" t="s">
        <v>17</v>
      </c>
      <c r="J47" s="28">
        <v>55524655</v>
      </c>
      <c r="K47" t="s">
        <v>2848</v>
      </c>
      <c r="L47" t="s">
        <v>2859</v>
      </c>
      <c r="M47" s="37">
        <v>199900</v>
      </c>
      <c r="N47" s="81" t="s">
        <v>2826</v>
      </c>
      <c r="O47" s="37" t="s">
        <v>3221</v>
      </c>
      <c r="P47" s="28" t="s">
        <v>2826</v>
      </c>
    </row>
    <row r="48" spans="1:16" x14ac:dyDescent="0.3">
      <c r="A48" s="25" t="s">
        <v>3223</v>
      </c>
      <c r="B48" s="26">
        <v>46108</v>
      </c>
      <c r="C48" s="26">
        <v>46113</v>
      </c>
      <c r="D48" s="82">
        <v>3319</v>
      </c>
      <c r="E48" s="82">
        <v>327</v>
      </c>
      <c r="F48" s="25">
        <v>2</v>
      </c>
      <c r="G48" s="28">
        <v>1</v>
      </c>
      <c r="H48" s="28">
        <v>81778</v>
      </c>
      <c r="I48" s="28" t="s">
        <v>17</v>
      </c>
      <c r="J48" s="28">
        <v>55524664</v>
      </c>
      <c r="K48" t="s">
        <v>2848</v>
      </c>
      <c r="L48" t="s">
        <v>2860</v>
      </c>
      <c r="M48" s="37">
        <v>199900</v>
      </c>
      <c r="N48" s="81" t="s">
        <v>2826</v>
      </c>
      <c r="O48" s="37" t="s">
        <v>3221</v>
      </c>
      <c r="P48" s="28" t="s">
        <v>2826</v>
      </c>
    </row>
    <row r="49" spans="1:16" x14ac:dyDescent="0.3">
      <c r="A49" s="25" t="s">
        <v>3223</v>
      </c>
      <c r="B49" s="26">
        <v>46108</v>
      </c>
      <c r="C49" s="26">
        <v>46113</v>
      </c>
      <c r="D49" s="82">
        <v>3319</v>
      </c>
      <c r="E49" s="82">
        <v>327</v>
      </c>
      <c r="F49" s="25">
        <v>2</v>
      </c>
      <c r="G49" s="28">
        <v>1</v>
      </c>
      <c r="H49" s="28">
        <v>81778</v>
      </c>
      <c r="I49" s="28" t="s">
        <v>17</v>
      </c>
      <c r="J49" s="28">
        <v>55524673</v>
      </c>
      <c r="K49" t="s">
        <v>2848</v>
      </c>
      <c r="L49" t="s">
        <v>2861</v>
      </c>
      <c r="M49" s="37">
        <v>199900</v>
      </c>
      <c r="N49" s="81" t="s">
        <v>2826</v>
      </c>
      <c r="O49" s="37" t="s">
        <v>3221</v>
      </c>
      <c r="P49" s="28" t="s">
        <v>2826</v>
      </c>
    </row>
    <row r="50" spans="1:16" x14ac:dyDescent="0.3">
      <c r="A50" s="25" t="s">
        <v>3223</v>
      </c>
      <c r="B50" s="26">
        <v>46108</v>
      </c>
      <c r="C50" s="26">
        <v>46113</v>
      </c>
      <c r="D50" s="82">
        <v>3319</v>
      </c>
      <c r="E50" s="82">
        <v>327</v>
      </c>
      <c r="F50" s="25">
        <v>2</v>
      </c>
      <c r="G50" s="28">
        <v>1</v>
      </c>
      <c r="H50" s="28">
        <v>81778</v>
      </c>
      <c r="I50" s="28" t="s">
        <v>17</v>
      </c>
      <c r="J50" s="28">
        <v>55524682</v>
      </c>
      <c r="K50" t="s">
        <v>2848</v>
      </c>
      <c r="L50" t="s">
        <v>2862</v>
      </c>
      <c r="M50" s="37">
        <v>199900</v>
      </c>
      <c r="N50" s="81" t="s">
        <v>2826</v>
      </c>
      <c r="O50" s="37" t="s">
        <v>3221</v>
      </c>
      <c r="P50" s="28" t="s">
        <v>2826</v>
      </c>
    </row>
    <row r="51" spans="1:16" x14ac:dyDescent="0.3">
      <c r="A51" s="25" t="s">
        <v>3223</v>
      </c>
      <c r="B51" s="26">
        <v>46108</v>
      </c>
      <c r="C51" s="26">
        <v>46113</v>
      </c>
      <c r="D51" s="82">
        <v>3319</v>
      </c>
      <c r="E51" s="82">
        <v>327</v>
      </c>
      <c r="F51" s="25">
        <v>2</v>
      </c>
      <c r="G51" s="28">
        <v>1</v>
      </c>
      <c r="H51" s="28">
        <v>81778</v>
      </c>
      <c r="I51" s="28" t="s">
        <v>17</v>
      </c>
      <c r="J51" s="28">
        <v>55524691</v>
      </c>
      <c r="K51" t="s">
        <v>2848</v>
      </c>
      <c r="L51" t="s">
        <v>2863</v>
      </c>
      <c r="M51" s="37">
        <v>199900</v>
      </c>
      <c r="N51" s="81" t="s">
        <v>2826</v>
      </c>
      <c r="O51" s="37" t="s">
        <v>3221</v>
      </c>
      <c r="P51" s="28" t="s">
        <v>2826</v>
      </c>
    </row>
    <row r="52" spans="1:16" x14ac:dyDescent="0.3">
      <c r="A52" s="25" t="s">
        <v>3223</v>
      </c>
      <c r="B52" s="26">
        <v>46108</v>
      </c>
      <c r="C52" s="26">
        <v>46113</v>
      </c>
      <c r="D52" s="82">
        <v>3319</v>
      </c>
      <c r="E52" s="82">
        <v>327</v>
      </c>
      <c r="F52" s="25">
        <v>2</v>
      </c>
      <c r="G52" s="28">
        <v>1</v>
      </c>
      <c r="H52" s="28">
        <v>81778</v>
      </c>
      <c r="I52" s="28" t="s">
        <v>17</v>
      </c>
      <c r="J52" s="28">
        <v>55523709</v>
      </c>
      <c r="K52" t="s">
        <v>2876</v>
      </c>
      <c r="L52" t="s">
        <v>2877</v>
      </c>
      <c r="M52" s="37">
        <v>249900</v>
      </c>
      <c r="N52" s="81" t="s">
        <v>2826</v>
      </c>
      <c r="O52" s="37" t="s">
        <v>3221</v>
      </c>
      <c r="P52" s="28" t="s">
        <v>2826</v>
      </c>
    </row>
    <row r="53" spans="1:16" x14ac:dyDescent="0.3">
      <c r="A53" s="25" t="s">
        <v>3223</v>
      </c>
      <c r="B53" s="26">
        <v>46108</v>
      </c>
      <c r="C53" s="26">
        <v>46113</v>
      </c>
      <c r="D53" s="82">
        <v>3319</v>
      </c>
      <c r="E53" s="82">
        <v>327</v>
      </c>
      <c r="F53" s="25">
        <v>2</v>
      </c>
      <c r="G53" s="28">
        <v>1</v>
      </c>
      <c r="H53" s="28">
        <v>81778</v>
      </c>
      <c r="I53" s="28" t="s">
        <v>17</v>
      </c>
      <c r="J53" s="28">
        <v>55523718</v>
      </c>
      <c r="K53" t="s">
        <v>2876</v>
      </c>
      <c r="L53" t="s">
        <v>2878</v>
      </c>
      <c r="M53" s="37">
        <v>249900</v>
      </c>
      <c r="N53" s="81" t="s">
        <v>2826</v>
      </c>
      <c r="O53" s="37" t="s">
        <v>3221</v>
      </c>
      <c r="P53" s="28" t="s">
        <v>2826</v>
      </c>
    </row>
    <row r="54" spans="1:16" x14ac:dyDescent="0.3">
      <c r="A54" s="25" t="s">
        <v>3223</v>
      </c>
      <c r="B54" s="26">
        <v>46108</v>
      </c>
      <c r="C54" s="26">
        <v>46113</v>
      </c>
      <c r="D54" s="82">
        <v>3319</v>
      </c>
      <c r="E54" s="82">
        <v>327</v>
      </c>
      <c r="F54" s="25">
        <v>2</v>
      </c>
      <c r="G54" s="28">
        <v>1</v>
      </c>
      <c r="H54" s="28">
        <v>81778</v>
      </c>
      <c r="I54" s="28" t="s">
        <v>17</v>
      </c>
      <c r="J54" s="28">
        <v>55523727</v>
      </c>
      <c r="K54" t="s">
        <v>2876</v>
      </c>
      <c r="L54" t="s">
        <v>2879</v>
      </c>
      <c r="M54" s="37">
        <v>249900</v>
      </c>
      <c r="N54" s="81" t="s">
        <v>2826</v>
      </c>
      <c r="O54" s="37" t="s">
        <v>3221</v>
      </c>
      <c r="P54" s="28" t="s">
        <v>2826</v>
      </c>
    </row>
    <row r="55" spans="1:16" x14ac:dyDescent="0.3">
      <c r="A55" s="25" t="s">
        <v>3223</v>
      </c>
      <c r="B55" s="26">
        <v>46108</v>
      </c>
      <c r="C55" s="26">
        <v>46113</v>
      </c>
      <c r="D55" s="82">
        <v>3319</v>
      </c>
      <c r="E55" s="82">
        <v>327</v>
      </c>
      <c r="F55" s="25">
        <v>2</v>
      </c>
      <c r="G55" s="28">
        <v>1</v>
      </c>
      <c r="H55" s="28">
        <v>81778</v>
      </c>
      <c r="I55" s="28" t="s">
        <v>17</v>
      </c>
      <c r="J55" s="28">
        <v>55523736</v>
      </c>
      <c r="K55" t="s">
        <v>2876</v>
      </c>
      <c r="L55" t="s">
        <v>2880</v>
      </c>
      <c r="M55" s="37">
        <v>249900</v>
      </c>
      <c r="N55" s="81" t="s">
        <v>2826</v>
      </c>
      <c r="O55" s="37" t="s">
        <v>3221</v>
      </c>
      <c r="P55" s="28" t="s">
        <v>2826</v>
      </c>
    </row>
    <row r="56" spans="1:16" x14ac:dyDescent="0.3">
      <c r="A56" s="25" t="s">
        <v>3223</v>
      </c>
      <c r="B56" s="26">
        <v>46108</v>
      </c>
      <c r="C56" s="26">
        <v>46113</v>
      </c>
      <c r="D56" s="82">
        <v>3319</v>
      </c>
      <c r="E56" s="82">
        <v>327</v>
      </c>
      <c r="F56" s="25">
        <v>2</v>
      </c>
      <c r="G56" s="28">
        <v>1</v>
      </c>
      <c r="H56" s="28">
        <v>81778</v>
      </c>
      <c r="I56" s="28" t="s">
        <v>17</v>
      </c>
      <c r="J56" s="28">
        <v>55523745</v>
      </c>
      <c r="K56" t="s">
        <v>2876</v>
      </c>
      <c r="L56" t="s">
        <v>2881</v>
      </c>
      <c r="M56" s="37">
        <v>249900</v>
      </c>
      <c r="N56" s="81" t="s">
        <v>2826</v>
      </c>
      <c r="O56" s="37" t="s">
        <v>3221</v>
      </c>
      <c r="P56" s="28" t="s">
        <v>2826</v>
      </c>
    </row>
    <row r="57" spans="1:16" x14ac:dyDescent="0.3">
      <c r="A57" s="25" t="s">
        <v>3223</v>
      </c>
      <c r="B57" s="26">
        <v>46108</v>
      </c>
      <c r="C57" s="26">
        <v>46113</v>
      </c>
      <c r="D57" s="82">
        <v>3319</v>
      </c>
      <c r="E57" s="82">
        <v>327</v>
      </c>
      <c r="F57" s="25">
        <v>2</v>
      </c>
      <c r="G57" s="28">
        <v>1</v>
      </c>
      <c r="H57" s="28">
        <v>81778</v>
      </c>
      <c r="I57" s="28" t="s">
        <v>17</v>
      </c>
      <c r="J57" s="28">
        <v>55523754</v>
      </c>
      <c r="K57" t="s">
        <v>2876</v>
      </c>
      <c r="L57" t="s">
        <v>2882</v>
      </c>
      <c r="M57" s="37">
        <v>249900</v>
      </c>
      <c r="N57" s="81" t="s">
        <v>2826</v>
      </c>
      <c r="O57" s="37" t="s">
        <v>3221</v>
      </c>
      <c r="P57" s="28" t="s">
        <v>2826</v>
      </c>
    </row>
    <row r="58" spans="1:16" x14ac:dyDescent="0.3">
      <c r="A58" s="25" t="s">
        <v>3223</v>
      </c>
      <c r="B58" s="26">
        <v>46108</v>
      </c>
      <c r="C58" s="26">
        <v>46113</v>
      </c>
      <c r="D58" s="82">
        <v>3319</v>
      </c>
      <c r="E58" s="82">
        <v>327</v>
      </c>
      <c r="F58" s="25">
        <v>2</v>
      </c>
      <c r="G58" s="28">
        <v>1</v>
      </c>
      <c r="H58" s="28">
        <v>81778</v>
      </c>
      <c r="I58" s="28" t="s">
        <v>17</v>
      </c>
      <c r="J58" s="28">
        <v>55523763</v>
      </c>
      <c r="K58" t="s">
        <v>2876</v>
      </c>
      <c r="L58" t="s">
        <v>2883</v>
      </c>
      <c r="M58" s="37">
        <v>249900</v>
      </c>
      <c r="N58" s="81" t="s">
        <v>2826</v>
      </c>
      <c r="O58" s="37" t="s">
        <v>3221</v>
      </c>
      <c r="P58" s="28" t="s">
        <v>2826</v>
      </c>
    </row>
    <row r="59" spans="1:16" x14ac:dyDescent="0.3">
      <c r="A59" s="25" t="s">
        <v>3223</v>
      </c>
      <c r="B59" s="26">
        <v>46108</v>
      </c>
      <c r="C59" s="26">
        <v>46113</v>
      </c>
      <c r="D59" s="82">
        <v>3319</v>
      </c>
      <c r="E59" s="82">
        <v>327</v>
      </c>
      <c r="F59" s="25">
        <v>2</v>
      </c>
      <c r="G59" s="28">
        <v>1</v>
      </c>
      <c r="H59" s="28">
        <v>81778</v>
      </c>
      <c r="I59" s="28" t="s">
        <v>17</v>
      </c>
      <c r="J59" s="28">
        <v>55523772</v>
      </c>
      <c r="K59" t="s">
        <v>2876</v>
      </c>
      <c r="L59" t="s">
        <v>2884</v>
      </c>
      <c r="M59" s="37">
        <v>249900</v>
      </c>
      <c r="N59" s="81" t="s">
        <v>2826</v>
      </c>
      <c r="O59" s="37" t="s">
        <v>3221</v>
      </c>
      <c r="P59" s="28" t="s">
        <v>2826</v>
      </c>
    </row>
    <row r="60" spans="1:16" x14ac:dyDescent="0.3">
      <c r="A60" s="25" t="s">
        <v>3223</v>
      </c>
      <c r="B60" s="26">
        <v>46108</v>
      </c>
      <c r="C60" s="26">
        <v>46113</v>
      </c>
      <c r="D60" s="82">
        <v>3319</v>
      </c>
      <c r="E60" s="82">
        <v>327</v>
      </c>
      <c r="F60" s="25">
        <v>2</v>
      </c>
      <c r="G60" s="28">
        <v>1</v>
      </c>
      <c r="H60" s="28">
        <v>81778</v>
      </c>
      <c r="I60" s="28" t="s">
        <v>17</v>
      </c>
      <c r="J60" s="28">
        <v>55523781</v>
      </c>
      <c r="K60" t="s">
        <v>2876</v>
      </c>
      <c r="L60" t="s">
        <v>2885</v>
      </c>
      <c r="M60" s="37">
        <v>249900</v>
      </c>
      <c r="N60" s="81" t="s">
        <v>2826</v>
      </c>
      <c r="O60" s="37" t="s">
        <v>3221</v>
      </c>
      <c r="P60" s="28" t="s">
        <v>2826</v>
      </c>
    </row>
    <row r="61" spans="1:16" x14ac:dyDescent="0.3">
      <c r="A61" s="25" t="s">
        <v>3223</v>
      </c>
      <c r="B61" s="26">
        <v>46108</v>
      </c>
      <c r="C61" s="26">
        <v>46113</v>
      </c>
      <c r="D61" s="82">
        <v>3319</v>
      </c>
      <c r="E61" s="82">
        <v>327</v>
      </c>
      <c r="F61" s="25">
        <v>2</v>
      </c>
      <c r="G61" s="28">
        <v>1</v>
      </c>
      <c r="H61" s="28">
        <v>81778</v>
      </c>
      <c r="I61" s="28" t="s">
        <v>17</v>
      </c>
      <c r="J61" s="28">
        <v>55523790</v>
      </c>
      <c r="K61" t="s">
        <v>2876</v>
      </c>
      <c r="L61" t="s">
        <v>2886</v>
      </c>
      <c r="M61" s="37">
        <v>249900</v>
      </c>
      <c r="N61" s="81" t="s">
        <v>2826</v>
      </c>
      <c r="O61" s="37" t="s">
        <v>3221</v>
      </c>
      <c r="P61" s="28" t="s">
        <v>2826</v>
      </c>
    </row>
    <row r="62" spans="1:16" x14ac:dyDescent="0.3">
      <c r="A62" s="25" t="s">
        <v>3223</v>
      </c>
      <c r="B62" s="26">
        <v>46108</v>
      </c>
      <c r="C62" s="26">
        <v>46113</v>
      </c>
      <c r="D62" s="82">
        <v>3319</v>
      </c>
      <c r="E62" s="82">
        <v>327</v>
      </c>
      <c r="F62" s="25">
        <v>2</v>
      </c>
      <c r="G62" s="28">
        <v>1</v>
      </c>
      <c r="H62" s="28">
        <v>81778</v>
      </c>
      <c r="I62" s="28" t="s">
        <v>17</v>
      </c>
      <c r="J62" s="28">
        <v>55523807</v>
      </c>
      <c r="K62" t="s">
        <v>2887</v>
      </c>
      <c r="L62" t="s">
        <v>2888</v>
      </c>
      <c r="M62" s="37">
        <v>229900</v>
      </c>
      <c r="N62" s="81" t="s">
        <v>2826</v>
      </c>
      <c r="O62" s="37" t="s">
        <v>3221</v>
      </c>
      <c r="P62" s="28" t="s">
        <v>2826</v>
      </c>
    </row>
    <row r="63" spans="1:16" x14ac:dyDescent="0.3">
      <c r="A63" s="25" t="s">
        <v>3223</v>
      </c>
      <c r="B63" s="26">
        <v>46108</v>
      </c>
      <c r="C63" s="26">
        <v>46113</v>
      </c>
      <c r="D63" s="82">
        <v>3319</v>
      </c>
      <c r="E63" s="82">
        <v>327</v>
      </c>
      <c r="F63" s="25">
        <v>2</v>
      </c>
      <c r="G63" s="28">
        <v>1</v>
      </c>
      <c r="H63" s="28">
        <v>81778</v>
      </c>
      <c r="I63" s="28" t="s">
        <v>17</v>
      </c>
      <c r="J63" s="28">
        <v>55523816</v>
      </c>
      <c r="K63" t="s">
        <v>2887</v>
      </c>
      <c r="L63" t="s">
        <v>2889</v>
      </c>
      <c r="M63" s="37">
        <v>229900</v>
      </c>
      <c r="N63" s="81" t="s">
        <v>2826</v>
      </c>
      <c r="O63" s="37" t="s">
        <v>3221</v>
      </c>
      <c r="P63" s="28" t="s">
        <v>2826</v>
      </c>
    </row>
    <row r="64" spans="1:16" x14ac:dyDescent="0.3">
      <c r="A64" s="25" t="s">
        <v>3223</v>
      </c>
      <c r="B64" s="26">
        <v>46108</v>
      </c>
      <c r="C64" s="26">
        <v>46113</v>
      </c>
      <c r="D64" s="82">
        <v>3319</v>
      </c>
      <c r="E64" s="82">
        <v>327</v>
      </c>
      <c r="F64" s="25">
        <v>2</v>
      </c>
      <c r="G64" s="28">
        <v>1</v>
      </c>
      <c r="H64" s="28">
        <v>81778</v>
      </c>
      <c r="I64" s="28" t="s">
        <v>17</v>
      </c>
      <c r="J64" s="28">
        <v>55523825</v>
      </c>
      <c r="K64" t="s">
        <v>2887</v>
      </c>
      <c r="L64" t="s">
        <v>2890</v>
      </c>
      <c r="M64" s="37">
        <v>229900</v>
      </c>
      <c r="N64" s="81" t="s">
        <v>2826</v>
      </c>
      <c r="O64" s="37" t="s">
        <v>3221</v>
      </c>
      <c r="P64" s="28" t="s">
        <v>2826</v>
      </c>
    </row>
    <row r="65" spans="1:16" x14ac:dyDescent="0.3">
      <c r="A65" s="25" t="s">
        <v>3223</v>
      </c>
      <c r="B65" s="26">
        <v>46108</v>
      </c>
      <c r="C65" s="26">
        <v>46113</v>
      </c>
      <c r="D65" s="82">
        <v>3319</v>
      </c>
      <c r="E65" s="82">
        <v>327</v>
      </c>
      <c r="F65" s="25">
        <v>2</v>
      </c>
      <c r="G65" s="28">
        <v>1</v>
      </c>
      <c r="H65" s="28">
        <v>81778</v>
      </c>
      <c r="I65" s="28" t="s">
        <v>17</v>
      </c>
      <c r="J65" s="28">
        <v>55523834</v>
      </c>
      <c r="K65" t="s">
        <v>2887</v>
      </c>
      <c r="L65" t="s">
        <v>2891</v>
      </c>
      <c r="M65" s="37">
        <v>229900</v>
      </c>
      <c r="N65" s="81" t="s">
        <v>2826</v>
      </c>
      <c r="O65" s="37" t="s">
        <v>3221</v>
      </c>
      <c r="P65" s="28" t="s">
        <v>2826</v>
      </c>
    </row>
    <row r="66" spans="1:16" x14ac:dyDescent="0.3">
      <c r="A66" s="25" t="s">
        <v>3223</v>
      </c>
      <c r="B66" s="26">
        <v>46108</v>
      </c>
      <c r="C66" s="26">
        <v>46113</v>
      </c>
      <c r="D66" s="82">
        <v>3319</v>
      </c>
      <c r="E66" s="82">
        <v>327</v>
      </c>
      <c r="F66" s="25">
        <v>2</v>
      </c>
      <c r="G66" s="28">
        <v>1</v>
      </c>
      <c r="H66" s="28">
        <v>81778</v>
      </c>
      <c r="I66" s="28" t="s">
        <v>17</v>
      </c>
      <c r="J66" s="28">
        <v>55523843</v>
      </c>
      <c r="K66" t="s">
        <v>2887</v>
      </c>
      <c r="L66" t="s">
        <v>2892</v>
      </c>
      <c r="M66" s="37">
        <v>229900</v>
      </c>
      <c r="N66" s="81" t="s">
        <v>2826</v>
      </c>
      <c r="O66" s="37" t="s">
        <v>3221</v>
      </c>
      <c r="P66" s="28" t="s">
        <v>2826</v>
      </c>
    </row>
    <row r="67" spans="1:16" x14ac:dyDescent="0.3">
      <c r="A67" s="25" t="s">
        <v>3223</v>
      </c>
      <c r="B67" s="26">
        <v>46108</v>
      </c>
      <c r="C67" s="26">
        <v>46113</v>
      </c>
      <c r="D67" s="82">
        <v>3319</v>
      </c>
      <c r="E67" s="82">
        <v>327</v>
      </c>
      <c r="F67" s="25">
        <v>2</v>
      </c>
      <c r="G67" s="28">
        <v>1</v>
      </c>
      <c r="H67" s="28">
        <v>81778</v>
      </c>
      <c r="I67" s="28" t="s">
        <v>17</v>
      </c>
      <c r="J67" s="28">
        <v>55523852</v>
      </c>
      <c r="K67" t="s">
        <v>2893</v>
      </c>
      <c r="L67" t="s">
        <v>2894</v>
      </c>
      <c r="M67" s="37">
        <v>229900</v>
      </c>
      <c r="N67" s="81" t="s">
        <v>2826</v>
      </c>
      <c r="O67" s="37" t="s">
        <v>3221</v>
      </c>
      <c r="P67" s="28" t="s">
        <v>2826</v>
      </c>
    </row>
    <row r="68" spans="1:16" x14ac:dyDescent="0.3">
      <c r="A68" s="25" t="s">
        <v>3223</v>
      </c>
      <c r="B68" s="26">
        <v>46108</v>
      </c>
      <c r="C68" s="26">
        <v>46113</v>
      </c>
      <c r="D68" s="82">
        <v>3319</v>
      </c>
      <c r="E68" s="82">
        <v>327</v>
      </c>
      <c r="F68" s="25">
        <v>2</v>
      </c>
      <c r="G68" s="28">
        <v>1</v>
      </c>
      <c r="H68" s="28">
        <v>81778</v>
      </c>
      <c r="I68" s="28" t="s">
        <v>17</v>
      </c>
      <c r="J68" s="28">
        <v>55523861</v>
      </c>
      <c r="K68" t="s">
        <v>2893</v>
      </c>
      <c r="L68" t="s">
        <v>2895</v>
      </c>
      <c r="M68" s="37">
        <v>229900</v>
      </c>
      <c r="N68" s="81" t="s">
        <v>2826</v>
      </c>
      <c r="O68" s="37" t="s">
        <v>3221</v>
      </c>
      <c r="P68" s="28" t="s">
        <v>2826</v>
      </c>
    </row>
    <row r="69" spans="1:16" x14ac:dyDescent="0.3">
      <c r="A69" s="25" t="s">
        <v>3223</v>
      </c>
      <c r="B69" s="26">
        <v>46108</v>
      </c>
      <c r="C69" s="26">
        <v>46113</v>
      </c>
      <c r="D69" s="82">
        <v>3319</v>
      </c>
      <c r="E69" s="82">
        <v>327</v>
      </c>
      <c r="F69" s="25">
        <v>2</v>
      </c>
      <c r="G69" s="28">
        <v>1</v>
      </c>
      <c r="H69" s="28">
        <v>81778</v>
      </c>
      <c r="I69" s="28" t="s">
        <v>17</v>
      </c>
      <c r="J69" s="28">
        <v>55523870</v>
      </c>
      <c r="K69" t="s">
        <v>2893</v>
      </c>
      <c r="L69" t="s">
        <v>2896</v>
      </c>
      <c r="M69" s="37">
        <v>229900</v>
      </c>
      <c r="N69" s="81" t="s">
        <v>2826</v>
      </c>
      <c r="O69" s="37" t="s">
        <v>3221</v>
      </c>
      <c r="P69" s="28" t="s">
        <v>2826</v>
      </c>
    </row>
    <row r="70" spans="1:16" x14ac:dyDescent="0.3">
      <c r="A70" s="25" t="s">
        <v>3223</v>
      </c>
      <c r="B70" s="26">
        <v>46108</v>
      </c>
      <c r="C70" s="26">
        <v>46113</v>
      </c>
      <c r="D70" s="82">
        <v>3319</v>
      </c>
      <c r="E70" s="82">
        <v>327</v>
      </c>
      <c r="F70" s="25">
        <v>2</v>
      </c>
      <c r="G70" s="28">
        <v>1</v>
      </c>
      <c r="H70" s="28">
        <v>81778</v>
      </c>
      <c r="I70" s="28" t="s">
        <v>17</v>
      </c>
      <c r="J70" s="28">
        <v>55523889</v>
      </c>
      <c r="K70" t="s">
        <v>2893</v>
      </c>
      <c r="L70" t="s">
        <v>2897</v>
      </c>
      <c r="M70" s="37">
        <v>229900</v>
      </c>
      <c r="N70" s="81" t="s">
        <v>2826</v>
      </c>
      <c r="O70" s="37" t="s">
        <v>3221</v>
      </c>
      <c r="P70" s="28" t="s">
        <v>2826</v>
      </c>
    </row>
    <row r="71" spans="1:16" x14ac:dyDescent="0.3">
      <c r="A71" s="25" t="s">
        <v>3223</v>
      </c>
      <c r="B71" s="26">
        <v>46108</v>
      </c>
      <c r="C71" s="26">
        <v>46113</v>
      </c>
      <c r="D71" s="82">
        <v>3319</v>
      </c>
      <c r="E71" s="82">
        <v>327</v>
      </c>
      <c r="F71" s="25">
        <v>2</v>
      </c>
      <c r="G71" s="28">
        <v>1</v>
      </c>
      <c r="H71" s="28">
        <v>81778</v>
      </c>
      <c r="I71" s="28" t="s">
        <v>17</v>
      </c>
      <c r="J71" s="28">
        <v>55523898</v>
      </c>
      <c r="K71" t="s">
        <v>2893</v>
      </c>
      <c r="L71" t="s">
        <v>2898</v>
      </c>
      <c r="M71" s="37">
        <v>229900</v>
      </c>
      <c r="N71" s="81" t="s">
        <v>2826</v>
      </c>
      <c r="O71" s="37" t="s">
        <v>3221</v>
      </c>
      <c r="P71" s="28" t="s">
        <v>2826</v>
      </c>
    </row>
    <row r="72" spans="1:16" x14ac:dyDescent="0.3">
      <c r="A72" s="25" t="s">
        <v>3223</v>
      </c>
      <c r="B72" s="26">
        <v>46108</v>
      </c>
      <c r="C72" s="26">
        <v>46113</v>
      </c>
      <c r="D72" s="82">
        <v>3319</v>
      </c>
      <c r="E72" s="82">
        <v>327</v>
      </c>
      <c r="F72" s="25">
        <v>2</v>
      </c>
      <c r="G72" s="28">
        <v>1</v>
      </c>
      <c r="H72" s="28">
        <v>81778</v>
      </c>
      <c r="I72" s="28" t="s">
        <v>17</v>
      </c>
      <c r="J72" s="28">
        <v>55692670</v>
      </c>
      <c r="K72" t="s">
        <v>2893</v>
      </c>
      <c r="L72" t="s">
        <v>2899</v>
      </c>
      <c r="M72" s="37">
        <v>229900</v>
      </c>
      <c r="N72" s="81" t="s">
        <v>2826</v>
      </c>
      <c r="O72" s="37" t="s">
        <v>3221</v>
      </c>
      <c r="P72" s="28" t="s">
        <v>2826</v>
      </c>
    </row>
    <row r="73" spans="1:16" x14ac:dyDescent="0.3">
      <c r="A73" s="25" t="s">
        <v>3223</v>
      </c>
      <c r="B73" s="26">
        <v>46108</v>
      </c>
      <c r="C73" s="26">
        <v>46113</v>
      </c>
      <c r="D73" s="82">
        <v>3319</v>
      </c>
      <c r="E73" s="82">
        <v>327</v>
      </c>
      <c r="F73" s="25">
        <v>2</v>
      </c>
      <c r="G73" s="28">
        <v>1</v>
      </c>
      <c r="H73" s="28">
        <v>81778</v>
      </c>
      <c r="I73" s="28" t="s">
        <v>17</v>
      </c>
      <c r="J73" s="28">
        <v>55692689</v>
      </c>
      <c r="K73" t="s">
        <v>2893</v>
      </c>
      <c r="L73" t="s">
        <v>2900</v>
      </c>
      <c r="M73" s="37">
        <v>229900</v>
      </c>
      <c r="N73" s="81" t="s">
        <v>2826</v>
      </c>
      <c r="O73" s="37" t="s">
        <v>3221</v>
      </c>
      <c r="P73" s="28" t="s">
        <v>2826</v>
      </c>
    </row>
    <row r="74" spans="1:16" x14ac:dyDescent="0.3">
      <c r="A74" s="25" t="s">
        <v>3223</v>
      </c>
      <c r="B74" s="26">
        <v>46108</v>
      </c>
      <c r="C74" s="26">
        <v>46113</v>
      </c>
      <c r="D74" s="82">
        <v>3319</v>
      </c>
      <c r="E74" s="82">
        <v>327</v>
      </c>
      <c r="F74" s="25">
        <v>2</v>
      </c>
      <c r="G74" s="28">
        <v>1</v>
      </c>
      <c r="H74" s="28">
        <v>81778</v>
      </c>
      <c r="I74" s="28" t="s">
        <v>17</v>
      </c>
      <c r="J74" s="28">
        <v>55692698</v>
      </c>
      <c r="K74" t="s">
        <v>2893</v>
      </c>
      <c r="L74" t="s">
        <v>2901</v>
      </c>
      <c r="M74" s="37">
        <v>229900</v>
      </c>
      <c r="N74" s="81" t="s">
        <v>2826</v>
      </c>
      <c r="O74" s="37" t="s">
        <v>3221</v>
      </c>
      <c r="P74" s="28" t="s">
        <v>2826</v>
      </c>
    </row>
    <row r="75" spans="1:16" x14ac:dyDescent="0.3">
      <c r="A75" s="25" t="s">
        <v>3223</v>
      </c>
      <c r="B75" s="26">
        <v>46108</v>
      </c>
      <c r="C75" s="26">
        <v>46113</v>
      </c>
      <c r="D75" s="82">
        <v>3319</v>
      </c>
      <c r="E75" s="82">
        <v>327</v>
      </c>
      <c r="F75" s="25">
        <v>2</v>
      </c>
      <c r="G75" s="28">
        <v>1</v>
      </c>
      <c r="H75" s="28">
        <v>81778</v>
      </c>
      <c r="I75" s="28" t="s">
        <v>17</v>
      </c>
      <c r="J75" s="28">
        <v>55692705</v>
      </c>
      <c r="K75" t="s">
        <v>2893</v>
      </c>
      <c r="L75" t="s">
        <v>2902</v>
      </c>
      <c r="M75" s="37">
        <v>229900</v>
      </c>
      <c r="N75" s="81" t="s">
        <v>2826</v>
      </c>
      <c r="O75" s="37" t="s">
        <v>3221</v>
      </c>
      <c r="P75" s="28" t="s">
        <v>2826</v>
      </c>
    </row>
    <row r="76" spans="1:16" x14ac:dyDescent="0.3">
      <c r="A76" s="25" t="s">
        <v>3223</v>
      </c>
      <c r="B76" s="26">
        <v>46108</v>
      </c>
      <c r="C76" s="26">
        <v>46113</v>
      </c>
      <c r="D76" s="82">
        <v>3319</v>
      </c>
      <c r="E76" s="82">
        <v>327</v>
      </c>
      <c r="F76" s="25">
        <v>2</v>
      </c>
      <c r="G76" s="28">
        <v>1</v>
      </c>
      <c r="H76" s="28">
        <v>81778</v>
      </c>
      <c r="I76" s="28" t="s">
        <v>17</v>
      </c>
      <c r="J76" s="28">
        <v>55692714</v>
      </c>
      <c r="K76" t="s">
        <v>2893</v>
      </c>
      <c r="L76" t="s">
        <v>2903</v>
      </c>
      <c r="M76" s="37">
        <v>229900</v>
      </c>
      <c r="N76" s="81" t="s">
        <v>2826</v>
      </c>
      <c r="O76" s="37" t="s">
        <v>3221</v>
      </c>
      <c r="P76" s="28" t="s">
        <v>2826</v>
      </c>
    </row>
    <row r="77" spans="1:16" x14ac:dyDescent="0.3">
      <c r="A77" s="25" t="s">
        <v>3223</v>
      </c>
      <c r="B77" s="26">
        <v>46108</v>
      </c>
      <c r="C77" s="26">
        <v>46113</v>
      </c>
      <c r="D77" s="82">
        <v>3319</v>
      </c>
      <c r="E77" s="82">
        <v>327</v>
      </c>
      <c r="F77" s="25">
        <v>2</v>
      </c>
      <c r="G77" s="28">
        <v>1</v>
      </c>
      <c r="H77" s="28">
        <v>81778</v>
      </c>
      <c r="I77" s="28" t="s">
        <v>17</v>
      </c>
      <c r="J77" s="28">
        <v>55523905</v>
      </c>
      <c r="K77" t="s">
        <v>2904</v>
      </c>
      <c r="L77" t="s">
        <v>2905</v>
      </c>
      <c r="M77" s="37">
        <v>229900</v>
      </c>
      <c r="N77" s="81" t="s">
        <v>2826</v>
      </c>
      <c r="O77" s="37" t="s">
        <v>3221</v>
      </c>
      <c r="P77" s="28" t="s">
        <v>2826</v>
      </c>
    </row>
    <row r="78" spans="1:16" x14ac:dyDescent="0.3">
      <c r="A78" s="25" t="s">
        <v>3223</v>
      </c>
      <c r="B78" s="26">
        <v>46108</v>
      </c>
      <c r="C78" s="26">
        <v>46113</v>
      </c>
      <c r="D78" s="82">
        <v>3319</v>
      </c>
      <c r="E78" s="82">
        <v>327</v>
      </c>
      <c r="F78" s="25">
        <v>2</v>
      </c>
      <c r="G78" s="28">
        <v>1</v>
      </c>
      <c r="H78" s="28">
        <v>81778</v>
      </c>
      <c r="I78" s="28" t="s">
        <v>17</v>
      </c>
      <c r="J78" s="28">
        <v>55523914</v>
      </c>
      <c r="K78" t="s">
        <v>2904</v>
      </c>
      <c r="L78" t="s">
        <v>2906</v>
      </c>
      <c r="M78" s="37">
        <v>229900</v>
      </c>
      <c r="N78" s="81" t="s">
        <v>2826</v>
      </c>
      <c r="O78" s="37" t="s">
        <v>3221</v>
      </c>
      <c r="P78" s="28" t="s">
        <v>2826</v>
      </c>
    </row>
    <row r="79" spans="1:16" x14ac:dyDescent="0.3">
      <c r="A79" s="25" t="s">
        <v>3223</v>
      </c>
      <c r="B79" s="26">
        <v>46108</v>
      </c>
      <c r="C79" s="26">
        <v>46113</v>
      </c>
      <c r="D79" s="82">
        <v>3319</v>
      </c>
      <c r="E79" s="82">
        <v>327</v>
      </c>
      <c r="F79" s="25">
        <v>2</v>
      </c>
      <c r="G79" s="28">
        <v>1</v>
      </c>
      <c r="H79" s="28">
        <v>81778</v>
      </c>
      <c r="I79" s="28" t="s">
        <v>17</v>
      </c>
      <c r="J79" s="28">
        <v>55523923</v>
      </c>
      <c r="K79" t="s">
        <v>2904</v>
      </c>
      <c r="L79" t="s">
        <v>2907</v>
      </c>
      <c r="M79" s="37">
        <v>229900</v>
      </c>
      <c r="N79" s="81" t="s">
        <v>2826</v>
      </c>
      <c r="O79" s="37" t="s">
        <v>3221</v>
      </c>
      <c r="P79" s="28" t="s">
        <v>2826</v>
      </c>
    </row>
    <row r="80" spans="1:16" x14ac:dyDescent="0.3">
      <c r="A80" s="25" t="s">
        <v>3223</v>
      </c>
      <c r="B80" s="26">
        <v>46108</v>
      </c>
      <c r="C80" s="26">
        <v>46113</v>
      </c>
      <c r="D80" s="82">
        <v>3319</v>
      </c>
      <c r="E80" s="82">
        <v>327</v>
      </c>
      <c r="F80" s="25">
        <v>2</v>
      </c>
      <c r="G80" s="28">
        <v>1</v>
      </c>
      <c r="H80" s="28">
        <v>81778</v>
      </c>
      <c r="I80" s="28" t="s">
        <v>17</v>
      </c>
      <c r="J80" s="28">
        <v>55523932</v>
      </c>
      <c r="K80" t="s">
        <v>2904</v>
      </c>
      <c r="L80" t="s">
        <v>2908</v>
      </c>
      <c r="M80" s="37">
        <v>229900</v>
      </c>
      <c r="N80" s="81" t="s">
        <v>2826</v>
      </c>
      <c r="O80" s="37" t="s">
        <v>3221</v>
      </c>
      <c r="P80" s="28" t="s">
        <v>2826</v>
      </c>
    </row>
    <row r="81" spans="1:16" x14ac:dyDescent="0.3">
      <c r="A81" s="25" t="s">
        <v>3223</v>
      </c>
      <c r="B81" s="26">
        <v>46108</v>
      </c>
      <c r="C81" s="26">
        <v>46113</v>
      </c>
      <c r="D81" s="82">
        <v>3319</v>
      </c>
      <c r="E81" s="82">
        <v>327</v>
      </c>
      <c r="F81" s="25">
        <v>2</v>
      </c>
      <c r="G81" s="28">
        <v>1</v>
      </c>
      <c r="H81" s="28">
        <v>81778</v>
      </c>
      <c r="I81" s="28" t="s">
        <v>17</v>
      </c>
      <c r="J81" s="28">
        <v>55523941</v>
      </c>
      <c r="K81" t="s">
        <v>2904</v>
      </c>
      <c r="L81" t="s">
        <v>2909</v>
      </c>
      <c r="M81" s="37">
        <v>229900</v>
      </c>
      <c r="N81" s="81" t="s">
        <v>2826</v>
      </c>
      <c r="O81" s="37" t="s">
        <v>3221</v>
      </c>
      <c r="P81" s="28" t="s">
        <v>2826</v>
      </c>
    </row>
    <row r="82" spans="1:16" x14ac:dyDescent="0.3">
      <c r="A82" s="25" t="s">
        <v>3223</v>
      </c>
      <c r="B82" s="26">
        <v>46108</v>
      </c>
      <c r="C82" s="26">
        <v>46113</v>
      </c>
      <c r="D82" s="82">
        <v>3319</v>
      </c>
      <c r="E82" s="82">
        <v>327</v>
      </c>
      <c r="F82" s="25">
        <v>2</v>
      </c>
      <c r="G82" s="28">
        <v>1</v>
      </c>
      <c r="H82" s="28">
        <v>81433</v>
      </c>
      <c r="I82" s="28" t="s">
        <v>17</v>
      </c>
      <c r="J82" s="28">
        <v>55523610</v>
      </c>
      <c r="K82" t="s">
        <v>2263</v>
      </c>
      <c r="L82" t="s">
        <v>2910</v>
      </c>
      <c r="M82" s="37">
        <v>199900</v>
      </c>
      <c r="N82" s="81" t="s">
        <v>2826</v>
      </c>
      <c r="O82" s="37" t="s">
        <v>3221</v>
      </c>
      <c r="P82" s="28" t="s">
        <v>2826</v>
      </c>
    </row>
    <row r="83" spans="1:16" x14ac:dyDescent="0.3">
      <c r="A83" s="25" t="s">
        <v>3223</v>
      </c>
      <c r="B83" s="26">
        <v>46108</v>
      </c>
      <c r="C83" s="26">
        <v>46113</v>
      </c>
      <c r="D83" s="82">
        <v>3319</v>
      </c>
      <c r="E83" s="82">
        <v>327</v>
      </c>
      <c r="F83" s="25">
        <v>2</v>
      </c>
      <c r="G83" s="28">
        <v>1</v>
      </c>
      <c r="H83" s="28">
        <v>81433</v>
      </c>
      <c r="I83" s="28" t="s">
        <v>17</v>
      </c>
      <c r="J83" s="28">
        <v>55523629</v>
      </c>
      <c r="K83" t="s">
        <v>2263</v>
      </c>
      <c r="L83" t="s">
        <v>2911</v>
      </c>
      <c r="M83" s="37">
        <v>199900</v>
      </c>
      <c r="N83" s="81" t="s">
        <v>2826</v>
      </c>
      <c r="O83" s="37" t="s">
        <v>3221</v>
      </c>
      <c r="P83" s="28" t="s">
        <v>2826</v>
      </c>
    </row>
    <row r="84" spans="1:16" x14ac:dyDescent="0.3">
      <c r="A84" s="25" t="s">
        <v>3223</v>
      </c>
      <c r="B84" s="26">
        <v>46108</v>
      </c>
      <c r="C84" s="26">
        <v>46113</v>
      </c>
      <c r="D84" s="82">
        <v>3319</v>
      </c>
      <c r="E84" s="82">
        <v>327</v>
      </c>
      <c r="F84" s="25">
        <v>2</v>
      </c>
      <c r="G84" s="28">
        <v>1</v>
      </c>
      <c r="H84" s="28">
        <v>81433</v>
      </c>
      <c r="I84" s="28" t="s">
        <v>17</v>
      </c>
      <c r="J84" s="28">
        <v>55523638</v>
      </c>
      <c r="K84" t="s">
        <v>2263</v>
      </c>
      <c r="L84" t="s">
        <v>2912</v>
      </c>
      <c r="M84" s="37">
        <v>199900</v>
      </c>
      <c r="N84" s="81" t="s">
        <v>2826</v>
      </c>
      <c r="O84" s="37" t="s">
        <v>3221</v>
      </c>
      <c r="P84" s="28" t="s">
        <v>2826</v>
      </c>
    </row>
    <row r="85" spans="1:16" x14ac:dyDescent="0.3">
      <c r="A85" s="25" t="s">
        <v>3223</v>
      </c>
      <c r="B85" s="26">
        <v>46108</v>
      </c>
      <c r="C85" s="26">
        <v>46113</v>
      </c>
      <c r="D85" s="82">
        <v>3319</v>
      </c>
      <c r="E85" s="82">
        <v>327</v>
      </c>
      <c r="F85" s="25">
        <v>2</v>
      </c>
      <c r="G85" s="28">
        <v>1</v>
      </c>
      <c r="H85" s="28">
        <v>81433</v>
      </c>
      <c r="I85" s="28" t="s">
        <v>17</v>
      </c>
      <c r="J85" s="28">
        <v>55523647</v>
      </c>
      <c r="K85" t="s">
        <v>2263</v>
      </c>
      <c r="L85" t="s">
        <v>2913</v>
      </c>
      <c r="M85" s="37">
        <v>199900</v>
      </c>
      <c r="N85" s="81" t="s">
        <v>2826</v>
      </c>
      <c r="O85" s="37" t="s">
        <v>3221</v>
      </c>
      <c r="P85" s="28" t="s">
        <v>2826</v>
      </c>
    </row>
    <row r="86" spans="1:16" x14ac:dyDescent="0.3">
      <c r="A86" s="25" t="s">
        <v>3223</v>
      </c>
      <c r="B86" s="26">
        <v>46108</v>
      </c>
      <c r="C86" s="26">
        <v>46113</v>
      </c>
      <c r="D86" s="82">
        <v>3319</v>
      </c>
      <c r="E86" s="82">
        <v>327</v>
      </c>
      <c r="F86" s="25">
        <v>2</v>
      </c>
      <c r="G86" s="28">
        <v>1</v>
      </c>
      <c r="H86" s="28">
        <v>81433</v>
      </c>
      <c r="I86" s="28" t="s">
        <v>17</v>
      </c>
      <c r="J86" s="28">
        <v>55523656</v>
      </c>
      <c r="K86" t="s">
        <v>2263</v>
      </c>
      <c r="L86" t="s">
        <v>2914</v>
      </c>
      <c r="M86" s="37">
        <v>199900</v>
      </c>
      <c r="N86" s="81" t="s">
        <v>2826</v>
      </c>
      <c r="O86" s="37" t="s">
        <v>3221</v>
      </c>
      <c r="P86" s="28" t="s">
        <v>2826</v>
      </c>
    </row>
    <row r="87" spans="1:16" x14ac:dyDescent="0.3">
      <c r="A87" s="25" t="s">
        <v>3223</v>
      </c>
      <c r="B87" s="26">
        <v>46108</v>
      </c>
      <c r="C87" s="26">
        <v>46113</v>
      </c>
      <c r="D87" s="82">
        <v>3319</v>
      </c>
      <c r="E87" s="82">
        <v>327</v>
      </c>
      <c r="F87" s="25">
        <v>2</v>
      </c>
      <c r="G87" s="28">
        <v>2</v>
      </c>
      <c r="H87" s="28">
        <v>81778</v>
      </c>
      <c r="I87" s="28" t="s">
        <v>17</v>
      </c>
      <c r="J87" s="28">
        <v>55524708</v>
      </c>
      <c r="K87" t="s">
        <v>2926</v>
      </c>
      <c r="L87" t="s">
        <v>2927</v>
      </c>
      <c r="M87" s="37">
        <v>249900</v>
      </c>
      <c r="N87" s="81" t="s">
        <v>2826</v>
      </c>
      <c r="O87" s="37" t="s">
        <v>3221</v>
      </c>
      <c r="P87" s="28" t="s">
        <v>2826</v>
      </c>
    </row>
    <row r="88" spans="1:16" x14ac:dyDescent="0.3">
      <c r="A88" s="25" t="s">
        <v>3223</v>
      </c>
      <c r="B88" s="26">
        <v>46108</v>
      </c>
      <c r="C88" s="26">
        <v>46113</v>
      </c>
      <c r="D88" s="82">
        <v>3319</v>
      </c>
      <c r="E88" s="82">
        <v>327</v>
      </c>
      <c r="F88" s="25">
        <v>2</v>
      </c>
      <c r="G88" s="28">
        <v>2</v>
      </c>
      <c r="H88" s="28">
        <v>81778</v>
      </c>
      <c r="I88" s="28" t="s">
        <v>17</v>
      </c>
      <c r="J88" s="28">
        <v>55524717</v>
      </c>
      <c r="K88" t="s">
        <v>2926</v>
      </c>
      <c r="L88" t="s">
        <v>2928</v>
      </c>
      <c r="M88" s="37">
        <v>249900</v>
      </c>
      <c r="N88" s="81" t="s">
        <v>2826</v>
      </c>
      <c r="O88" s="37" t="s">
        <v>3221</v>
      </c>
      <c r="P88" s="28" t="s">
        <v>2826</v>
      </c>
    </row>
    <row r="89" spans="1:16" x14ac:dyDescent="0.3">
      <c r="A89" s="25" t="s">
        <v>3223</v>
      </c>
      <c r="B89" s="26">
        <v>46108</v>
      </c>
      <c r="C89" s="26">
        <v>46113</v>
      </c>
      <c r="D89" s="82">
        <v>3319</v>
      </c>
      <c r="E89" s="82">
        <v>327</v>
      </c>
      <c r="F89" s="25">
        <v>2</v>
      </c>
      <c r="G89" s="28">
        <v>2</v>
      </c>
      <c r="H89" s="28">
        <v>81778</v>
      </c>
      <c r="I89" s="28" t="s">
        <v>17</v>
      </c>
      <c r="J89" s="28">
        <v>55524726</v>
      </c>
      <c r="K89" t="s">
        <v>2926</v>
      </c>
      <c r="L89" t="s">
        <v>2929</v>
      </c>
      <c r="M89" s="37">
        <v>249900</v>
      </c>
      <c r="N89" s="81" t="s">
        <v>2826</v>
      </c>
      <c r="O89" s="37" t="s">
        <v>3221</v>
      </c>
      <c r="P89" s="28" t="s">
        <v>2826</v>
      </c>
    </row>
    <row r="90" spans="1:16" x14ac:dyDescent="0.3">
      <c r="A90" s="25" t="s">
        <v>3223</v>
      </c>
      <c r="B90" s="26">
        <v>46108</v>
      </c>
      <c r="C90" s="26">
        <v>46113</v>
      </c>
      <c r="D90" s="82">
        <v>3319</v>
      </c>
      <c r="E90" s="82">
        <v>327</v>
      </c>
      <c r="F90" s="25">
        <v>2</v>
      </c>
      <c r="G90" s="28">
        <v>2</v>
      </c>
      <c r="H90" s="28">
        <v>81778</v>
      </c>
      <c r="I90" s="28" t="s">
        <v>17</v>
      </c>
      <c r="J90" s="28">
        <v>55524735</v>
      </c>
      <c r="K90" t="s">
        <v>2926</v>
      </c>
      <c r="L90" t="s">
        <v>2930</v>
      </c>
      <c r="M90" s="37">
        <v>249900</v>
      </c>
      <c r="N90" s="81" t="s">
        <v>2826</v>
      </c>
      <c r="O90" s="37" t="s">
        <v>3221</v>
      </c>
      <c r="P90" s="28" t="s">
        <v>2826</v>
      </c>
    </row>
    <row r="91" spans="1:16" x14ac:dyDescent="0.3">
      <c r="A91" s="25" t="s">
        <v>3223</v>
      </c>
      <c r="B91" s="26">
        <v>46108</v>
      </c>
      <c r="C91" s="26">
        <v>46113</v>
      </c>
      <c r="D91" s="82">
        <v>3319</v>
      </c>
      <c r="E91" s="82">
        <v>327</v>
      </c>
      <c r="F91" s="25">
        <v>2</v>
      </c>
      <c r="G91" s="28">
        <v>2</v>
      </c>
      <c r="H91" s="28">
        <v>81778</v>
      </c>
      <c r="I91" s="28" t="s">
        <v>17</v>
      </c>
      <c r="J91" s="28">
        <v>55524744</v>
      </c>
      <c r="K91" t="s">
        <v>2926</v>
      </c>
      <c r="L91" t="s">
        <v>2931</v>
      </c>
      <c r="M91" s="37">
        <v>249900</v>
      </c>
      <c r="N91" s="81" t="s">
        <v>2826</v>
      </c>
      <c r="O91" s="37" t="s">
        <v>3221</v>
      </c>
      <c r="P91" s="28" t="s">
        <v>2826</v>
      </c>
    </row>
    <row r="92" spans="1:16" x14ac:dyDescent="0.3">
      <c r="A92" s="25" t="s">
        <v>3223</v>
      </c>
      <c r="B92" s="26">
        <v>46108</v>
      </c>
      <c r="C92" s="26">
        <v>46113</v>
      </c>
      <c r="D92" s="82">
        <v>3319</v>
      </c>
      <c r="E92" s="82">
        <v>327</v>
      </c>
      <c r="F92" s="25">
        <v>2</v>
      </c>
      <c r="G92" s="28">
        <v>2</v>
      </c>
      <c r="H92" s="28">
        <v>81778</v>
      </c>
      <c r="I92" s="28" t="s">
        <v>17</v>
      </c>
      <c r="J92" s="28">
        <v>55524753</v>
      </c>
      <c r="K92" t="s">
        <v>2926</v>
      </c>
      <c r="L92" t="s">
        <v>2932</v>
      </c>
      <c r="M92" s="37">
        <v>249900</v>
      </c>
      <c r="N92" s="81" t="s">
        <v>2826</v>
      </c>
      <c r="O92" s="37" t="s">
        <v>3221</v>
      </c>
      <c r="P92" s="28" t="s">
        <v>2826</v>
      </c>
    </row>
    <row r="93" spans="1:16" x14ac:dyDescent="0.3">
      <c r="A93" s="25" t="s">
        <v>3223</v>
      </c>
      <c r="B93" s="26">
        <v>46108</v>
      </c>
      <c r="C93" s="26">
        <v>46113</v>
      </c>
      <c r="D93" s="82">
        <v>3319</v>
      </c>
      <c r="E93" s="82">
        <v>327</v>
      </c>
      <c r="F93" s="25">
        <v>2</v>
      </c>
      <c r="G93" s="28">
        <v>2</v>
      </c>
      <c r="H93" s="28">
        <v>81778</v>
      </c>
      <c r="I93" s="28" t="s">
        <v>17</v>
      </c>
      <c r="J93" s="28">
        <v>55524762</v>
      </c>
      <c r="K93" t="s">
        <v>2926</v>
      </c>
      <c r="L93" t="s">
        <v>2933</v>
      </c>
      <c r="M93" s="37">
        <v>249900</v>
      </c>
      <c r="N93" s="81" t="s">
        <v>2826</v>
      </c>
      <c r="O93" s="37" t="s">
        <v>3221</v>
      </c>
      <c r="P93" s="28" t="s">
        <v>2826</v>
      </c>
    </row>
    <row r="94" spans="1:16" x14ac:dyDescent="0.3">
      <c r="A94" s="25" t="s">
        <v>3223</v>
      </c>
      <c r="B94" s="26">
        <v>46108</v>
      </c>
      <c r="C94" s="26">
        <v>46113</v>
      </c>
      <c r="D94" s="82">
        <v>3319</v>
      </c>
      <c r="E94" s="82">
        <v>327</v>
      </c>
      <c r="F94" s="25">
        <v>2</v>
      </c>
      <c r="G94" s="28">
        <v>2</v>
      </c>
      <c r="H94" s="28">
        <v>81778</v>
      </c>
      <c r="I94" s="28" t="s">
        <v>17</v>
      </c>
      <c r="J94" s="28">
        <v>55524771</v>
      </c>
      <c r="K94" t="s">
        <v>2926</v>
      </c>
      <c r="L94" t="s">
        <v>2934</v>
      </c>
      <c r="M94" s="37">
        <v>249900</v>
      </c>
      <c r="N94" s="81" t="s">
        <v>2826</v>
      </c>
      <c r="O94" s="37" t="s">
        <v>3221</v>
      </c>
      <c r="P94" s="28" t="s">
        <v>2826</v>
      </c>
    </row>
    <row r="95" spans="1:16" x14ac:dyDescent="0.3">
      <c r="A95" s="25" t="s">
        <v>3223</v>
      </c>
      <c r="B95" s="26">
        <v>46108</v>
      </c>
      <c r="C95" s="26">
        <v>46113</v>
      </c>
      <c r="D95" s="82">
        <v>3319</v>
      </c>
      <c r="E95" s="82">
        <v>327</v>
      </c>
      <c r="F95" s="25">
        <v>2</v>
      </c>
      <c r="G95" s="28">
        <v>2</v>
      </c>
      <c r="H95" s="28">
        <v>81778</v>
      </c>
      <c r="I95" s="28" t="s">
        <v>17</v>
      </c>
      <c r="J95" s="28">
        <v>55524780</v>
      </c>
      <c r="K95" t="s">
        <v>2926</v>
      </c>
      <c r="L95" t="s">
        <v>2935</v>
      </c>
      <c r="M95" s="37">
        <v>249900</v>
      </c>
      <c r="N95" s="81" t="s">
        <v>2826</v>
      </c>
      <c r="O95" s="37" t="s">
        <v>3221</v>
      </c>
      <c r="P95" s="28" t="s">
        <v>2826</v>
      </c>
    </row>
    <row r="96" spans="1:16" x14ac:dyDescent="0.3">
      <c r="A96" s="25" t="s">
        <v>3223</v>
      </c>
      <c r="B96" s="26">
        <v>46108</v>
      </c>
      <c r="C96" s="26">
        <v>46113</v>
      </c>
      <c r="D96" s="82">
        <v>3319</v>
      </c>
      <c r="E96" s="82">
        <v>327</v>
      </c>
      <c r="F96" s="25">
        <v>2</v>
      </c>
      <c r="G96" s="28">
        <v>2</v>
      </c>
      <c r="H96" s="28">
        <v>81778</v>
      </c>
      <c r="I96" s="28" t="s">
        <v>17</v>
      </c>
      <c r="J96" s="28">
        <v>55524799</v>
      </c>
      <c r="K96" t="s">
        <v>2926</v>
      </c>
      <c r="L96" t="s">
        <v>2936</v>
      </c>
      <c r="M96" s="37">
        <v>249900</v>
      </c>
      <c r="N96" s="81" t="s">
        <v>2826</v>
      </c>
      <c r="O96" s="37" t="s">
        <v>3221</v>
      </c>
      <c r="P96" s="28" t="s">
        <v>2826</v>
      </c>
    </row>
    <row r="97" spans="1:16" x14ac:dyDescent="0.3">
      <c r="A97" s="25" t="s">
        <v>3223</v>
      </c>
      <c r="B97" s="26">
        <v>46108</v>
      </c>
      <c r="C97" s="26">
        <v>46113</v>
      </c>
      <c r="D97" s="82">
        <v>3319</v>
      </c>
      <c r="E97" s="82">
        <v>327</v>
      </c>
      <c r="F97" s="25">
        <v>2</v>
      </c>
      <c r="G97" s="28">
        <v>1</v>
      </c>
      <c r="H97" s="28">
        <v>81778</v>
      </c>
      <c r="I97" s="28" t="s">
        <v>17</v>
      </c>
      <c r="J97" s="28">
        <v>55524057</v>
      </c>
      <c r="K97" t="s">
        <v>2954</v>
      </c>
      <c r="L97" t="s">
        <v>2955</v>
      </c>
      <c r="M97" s="37">
        <v>199900</v>
      </c>
      <c r="N97" s="81" t="s">
        <v>2826</v>
      </c>
      <c r="O97" s="37" t="s">
        <v>3221</v>
      </c>
      <c r="P97" s="28" t="s">
        <v>2826</v>
      </c>
    </row>
    <row r="98" spans="1:16" x14ac:dyDescent="0.3">
      <c r="A98" s="25" t="s">
        <v>3223</v>
      </c>
      <c r="B98" s="26">
        <v>46108</v>
      </c>
      <c r="C98" s="26">
        <v>46113</v>
      </c>
      <c r="D98" s="82">
        <v>3319</v>
      </c>
      <c r="E98" s="82">
        <v>327</v>
      </c>
      <c r="F98" s="25">
        <v>2</v>
      </c>
      <c r="G98" s="28">
        <v>1</v>
      </c>
      <c r="H98" s="28">
        <v>81778</v>
      </c>
      <c r="I98" s="28" t="s">
        <v>17</v>
      </c>
      <c r="J98" s="28">
        <v>55524066</v>
      </c>
      <c r="K98" t="s">
        <v>2954</v>
      </c>
      <c r="L98" t="s">
        <v>2956</v>
      </c>
      <c r="M98" s="37">
        <v>199900</v>
      </c>
      <c r="N98" s="81" t="s">
        <v>2826</v>
      </c>
      <c r="O98" s="37" t="s">
        <v>3221</v>
      </c>
      <c r="P98" s="28" t="s">
        <v>2826</v>
      </c>
    </row>
    <row r="99" spans="1:16" x14ac:dyDescent="0.3">
      <c r="A99" s="25" t="s">
        <v>3223</v>
      </c>
      <c r="B99" s="26">
        <v>46108</v>
      </c>
      <c r="C99" s="26">
        <v>46113</v>
      </c>
      <c r="D99" s="82">
        <v>3319</v>
      </c>
      <c r="E99" s="82">
        <v>327</v>
      </c>
      <c r="F99" s="25">
        <v>2</v>
      </c>
      <c r="G99" s="28">
        <v>1</v>
      </c>
      <c r="H99" s="28">
        <v>81778</v>
      </c>
      <c r="I99" s="28" t="s">
        <v>17</v>
      </c>
      <c r="J99" s="28">
        <v>55524075</v>
      </c>
      <c r="K99" t="s">
        <v>2954</v>
      </c>
      <c r="L99" t="s">
        <v>2957</v>
      </c>
      <c r="M99" s="37">
        <v>199900</v>
      </c>
      <c r="N99" s="81" t="s">
        <v>2826</v>
      </c>
      <c r="O99" s="37" t="s">
        <v>3221</v>
      </c>
      <c r="P99" s="28" t="s">
        <v>2826</v>
      </c>
    </row>
    <row r="100" spans="1:16" x14ac:dyDescent="0.3">
      <c r="A100" s="25" t="s">
        <v>3223</v>
      </c>
      <c r="B100" s="26">
        <v>46108</v>
      </c>
      <c r="C100" s="26">
        <v>46113</v>
      </c>
      <c r="D100" s="82">
        <v>3319</v>
      </c>
      <c r="E100" s="82">
        <v>327</v>
      </c>
      <c r="F100" s="25">
        <v>2</v>
      </c>
      <c r="G100" s="28">
        <v>1</v>
      </c>
      <c r="H100" s="28">
        <v>81778</v>
      </c>
      <c r="I100" s="28" t="s">
        <v>17</v>
      </c>
      <c r="J100" s="28">
        <v>55524084</v>
      </c>
      <c r="K100" t="s">
        <v>2954</v>
      </c>
      <c r="L100" t="s">
        <v>2958</v>
      </c>
      <c r="M100" s="37">
        <v>199900</v>
      </c>
      <c r="N100" s="81" t="s">
        <v>2826</v>
      </c>
      <c r="O100" s="37" t="s">
        <v>3221</v>
      </c>
      <c r="P100" s="28" t="s">
        <v>2826</v>
      </c>
    </row>
    <row r="101" spans="1:16" x14ac:dyDescent="0.3">
      <c r="A101" s="25" t="s">
        <v>3223</v>
      </c>
      <c r="B101" s="26">
        <v>46108</v>
      </c>
      <c r="C101" s="26">
        <v>46113</v>
      </c>
      <c r="D101" s="82">
        <v>3319</v>
      </c>
      <c r="E101" s="82">
        <v>327</v>
      </c>
      <c r="F101" s="25">
        <v>2</v>
      </c>
      <c r="G101" s="28">
        <v>1</v>
      </c>
      <c r="H101" s="28">
        <v>81778</v>
      </c>
      <c r="I101" s="28" t="s">
        <v>17</v>
      </c>
      <c r="J101" s="28">
        <v>55524093</v>
      </c>
      <c r="K101" t="s">
        <v>2954</v>
      </c>
      <c r="L101" t="s">
        <v>2959</v>
      </c>
      <c r="M101" s="37">
        <v>199900</v>
      </c>
      <c r="N101" s="81" t="s">
        <v>2826</v>
      </c>
      <c r="O101" s="37" t="s">
        <v>3221</v>
      </c>
      <c r="P101" s="28" t="s">
        <v>2826</v>
      </c>
    </row>
    <row r="102" spans="1:16" x14ac:dyDescent="0.3">
      <c r="A102" s="25" t="s">
        <v>3223</v>
      </c>
      <c r="B102" s="26">
        <v>46108</v>
      </c>
      <c r="C102" s="26">
        <v>46113</v>
      </c>
      <c r="D102" s="82">
        <v>3319</v>
      </c>
      <c r="E102" s="82">
        <v>327</v>
      </c>
      <c r="F102" s="25">
        <v>2</v>
      </c>
      <c r="G102" s="28">
        <v>1</v>
      </c>
      <c r="H102" s="28">
        <v>81778</v>
      </c>
      <c r="I102" s="28" t="s">
        <v>17</v>
      </c>
      <c r="J102" s="28">
        <v>55524100</v>
      </c>
      <c r="K102" t="s">
        <v>2966</v>
      </c>
      <c r="L102" t="s">
        <v>2967</v>
      </c>
      <c r="M102" s="37">
        <v>199900</v>
      </c>
      <c r="N102" s="81" t="s">
        <v>2826</v>
      </c>
      <c r="O102" s="37" t="s">
        <v>3221</v>
      </c>
      <c r="P102" s="28" t="s">
        <v>2826</v>
      </c>
    </row>
    <row r="103" spans="1:16" x14ac:dyDescent="0.3">
      <c r="A103" s="25" t="s">
        <v>3223</v>
      </c>
      <c r="B103" s="26">
        <v>46108</v>
      </c>
      <c r="C103" s="26">
        <v>46113</v>
      </c>
      <c r="D103" s="82">
        <v>3319</v>
      </c>
      <c r="E103" s="82">
        <v>327</v>
      </c>
      <c r="F103" s="25">
        <v>2</v>
      </c>
      <c r="G103" s="28">
        <v>1</v>
      </c>
      <c r="H103" s="28">
        <v>81778</v>
      </c>
      <c r="I103" s="28" t="s">
        <v>17</v>
      </c>
      <c r="J103" s="28">
        <v>55524119</v>
      </c>
      <c r="K103" t="s">
        <v>2966</v>
      </c>
      <c r="L103" t="s">
        <v>2968</v>
      </c>
      <c r="M103" s="37">
        <v>199900</v>
      </c>
      <c r="N103" s="81" t="s">
        <v>2826</v>
      </c>
      <c r="O103" s="37" t="s">
        <v>3221</v>
      </c>
      <c r="P103" s="28" t="s">
        <v>2826</v>
      </c>
    </row>
    <row r="104" spans="1:16" x14ac:dyDescent="0.3">
      <c r="A104" s="25" t="s">
        <v>3223</v>
      </c>
      <c r="B104" s="26">
        <v>46108</v>
      </c>
      <c r="C104" s="26">
        <v>46113</v>
      </c>
      <c r="D104" s="82">
        <v>3319</v>
      </c>
      <c r="E104" s="82">
        <v>327</v>
      </c>
      <c r="F104" s="25">
        <v>2</v>
      </c>
      <c r="G104" s="28">
        <v>1</v>
      </c>
      <c r="H104" s="28">
        <v>81778</v>
      </c>
      <c r="I104" s="28" t="s">
        <v>17</v>
      </c>
      <c r="J104" s="28">
        <v>55524128</v>
      </c>
      <c r="K104" t="s">
        <v>2966</v>
      </c>
      <c r="L104" t="s">
        <v>2969</v>
      </c>
      <c r="M104" s="37">
        <v>199900</v>
      </c>
      <c r="N104" s="81" t="s">
        <v>2826</v>
      </c>
      <c r="O104" s="37" t="s">
        <v>3221</v>
      </c>
      <c r="P104" s="28" t="s">
        <v>2826</v>
      </c>
    </row>
    <row r="105" spans="1:16" x14ac:dyDescent="0.3">
      <c r="A105" s="25" t="s">
        <v>3223</v>
      </c>
      <c r="B105" s="26">
        <v>46108</v>
      </c>
      <c r="C105" s="26">
        <v>46113</v>
      </c>
      <c r="D105" s="82">
        <v>3319</v>
      </c>
      <c r="E105" s="82">
        <v>327</v>
      </c>
      <c r="F105" s="25">
        <v>2</v>
      </c>
      <c r="G105" s="28">
        <v>1</v>
      </c>
      <c r="H105" s="28">
        <v>81778</v>
      </c>
      <c r="I105" s="28" t="s">
        <v>17</v>
      </c>
      <c r="J105" s="28">
        <v>55524137</v>
      </c>
      <c r="K105" t="s">
        <v>2966</v>
      </c>
      <c r="L105" t="s">
        <v>2970</v>
      </c>
      <c r="M105" s="37">
        <v>199900</v>
      </c>
      <c r="N105" s="81" t="s">
        <v>2826</v>
      </c>
      <c r="O105" s="37" t="s">
        <v>3221</v>
      </c>
      <c r="P105" s="28" t="s">
        <v>2826</v>
      </c>
    </row>
    <row r="106" spans="1:16" x14ac:dyDescent="0.3">
      <c r="A106" s="25" t="s">
        <v>3223</v>
      </c>
      <c r="B106" s="26">
        <v>46108</v>
      </c>
      <c r="C106" s="26">
        <v>46113</v>
      </c>
      <c r="D106" s="82">
        <v>3319</v>
      </c>
      <c r="E106" s="82">
        <v>327</v>
      </c>
      <c r="F106" s="25">
        <v>2</v>
      </c>
      <c r="G106" s="28">
        <v>1</v>
      </c>
      <c r="H106" s="28">
        <v>81778</v>
      </c>
      <c r="I106" s="28" t="s">
        <v>17</v>
      </c>
      <c r="J106" s="28">
        <v>55524146</v>
      </c>
      <c r="K106" t="s">
        <v>2966</v>
      </c>
      <c r="L106" t="s">
        <v>2971</v>
      </c>
      <c r="M106" s="37">
        <v>199900</v>
      </c>
      <c r="N106" s="81" t="s">
        <v>2826</v>
      </c>
      <c r="O106" s="37" t="s">
        <v>3221</v>
      </c>
      <c r="P106" s="28" t="s">
        <v>2826</v>
      </c>
    </row>
  </sheetData>
  <autoFilter ref="A1:P106" xr:uid="{00000000-0001-0000-0900-000000000000}"/>
  <conditionalFormatting sqref="J1">
    <cfRule type="duplicateValues" dxfId="77" priority="66"/>
    <cfRule type="duplicateValues" dxfId="76" priority="67"/>
    <cfRule type="duplicateValues" dxfId="75" priority="68"/>
    <cfRule type="duplicateValues" dxfId="74" priority="69"/>
    <cfRule type="duplicateValues" dxfId="73" priority="70"/>
    <cfRule type="duplicateValues" dxfId="72" priority="71"/>
  </conditionalFormatting>
  <conditionalFormatting sqref="J2:J6">
    <cfRule type="duplicateValues" dxfId="71" priority="48"/>
    <cfRule type="duplicateValues" dxfId="70" priority="49"/>
    <cfRule type="duplicateValues" dxfId="69" priority="50"/>
    <cfRule type="duplicateValues" dxfId="68" priority="51"/>
    <cfRule type="duplicateValues" dxfId="67" priority="52"/>
  </conditionalFormatting>
  <conditionalFormatting sqref="J7:J11">
    <cfRule type="duplicateValues" dxfId="66" priority="43"/>
    <cfRule type="duplicateValues" dxfId="65" priority="44"/>
    <cfRule type="duplicateValues" dxfId="64" priority="45"/>
    <cfRule type="duplicateValues" dxfId="63" priority="46"/>
    <cfRule type="duplicateValues" dxfId="62" priority="47"/>
  </conditionalFormatting>
  <conditionalFormatting sqref="J12:J16">
    <cfRule type="duplicateValues" dxfId="61" priority="22"/>
    <cfRule type="duplicateValues" dxfId="60" priority="23"/>
    <cfRule type="duplicateValues" dxfId="59" priority="24"/>
    <cfRule type="duplicateValues" dxfId="58" priority="25"/>
    <cfRule type="duplicateValues" dxfId="57" priority="26"/>
  </conditionalFormatting>
  <conditionalFormatting sqref="J17:J21">
    <cfRule type="duplicateValues" dxfId="56" priority="604"/>
  </conditionalFormatting>
  <conditionalFormatting sqref="J1 J22:J1048576">
    <cfRule type="duplicateValues" dxfId="55" priority="555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FC16C-0C17-48D2-B0D7-D4D9F7EFDDF6}">
  <dimension ref="A1:P78"/>
  <sheetViews>
    <sheetView topLeftCell="D1" zoomScale="85" zoomScaleNormal="85" workbookViewId="0">
      <selection activeCell="Q1" sqref="Q1:Q1048576"/>
    </sheetView>
  </sheetViews>
  <sheetFormatPr defaultRowHeight="14.4" x14ac:dyDescent="0.3"/>
  <cols>
    <col min="1" max="1" width="26.88671875" style="28" customWidth="1"/>
    <col min="2" max="3" width="11.6640625" style="28" customWidth="1"/>
    <col min="4" max="5" width="8.6640625" style="48" customWidth="1"/>
    <col min="6" max="7" width="8.6640625" style="28" customWidth="1"/>
    <col min="8" max="11" width="11.6640625" style="28" customWidth="1"/>
    <col min="12" max="12" width="50" customWidth="1"/>
    <col min="13" max="13" width="15.6640625" style="37" customWidth="1"/>
    <col min="14" max="14" width="8.6640625" style="28" customWidth="1"/>
    <col min="15" max="15" width="26.109375" style="37" customWidth="1"/>
    <col min="16" max="16" width="15.6640625" style="28" customWidth="1"/>
  </cols>
  <sheetData>
    <row r="1" spans="1:16" ht="30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1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28" t="s">
        <v>3224</v>
      </c>
      <c r="B2" s="26">
        <v>46108</v>
      </c>
      <c r="C2" s="26">
        <v>46113</v>
      </c>
      <c r="D2" s="48">
        <v>3319</v>
      </c>
      <c r="E2" s="48">
        <v>327</v>
      </c>
      <c r="F2" s="28">
        <v>2</v>
      </c>
      <c r="G2" s="28">
        <v>1</v>
      </c>
      <c r="H2" s="28">
        <v>80700</v>
      </c>
      <c r="I2" s="28" t="s">
        <v>17</v>
      </c>
      <c r="J2" s="28">
        <v>51672618</v>
      </c>
      <c r="K2" s="28" t="s">
        <v>2354</v>
      </c>
      <c r="L2" t="s">
        <v>2355</v>
      </c>
      <c r="M2" s="37">
        <v>129900</v>
      </c>
      <c r="N2" s="28" t="s">
        <v>2826</v>
      </c>
      <c r="O2" s="28" t="s">
        <v>3218</v>
      </c>
      <c r="P2" s="28" t="s">
        <v>2826</v>
      </c>
    </row>
    <row r="3" spans="1:16" x14ac:dyDescent="0.3">
      <c r="A3" s="28" t="s">
        <v>3224</v>
      </c>
      <c r="B3" s="26">
        <v>46108</v>
      </c>
      <c r="C3" s="26">
        <v>46113</v>
      </c>
      <c r="D3" s="48">
        <v>3319</v>
      </c>
      <c r="E3" s="48">
        <v>327</v>
      </c>
      <c r="F3" s="28">
        <v>2</v>
      </c>
      <c r="G3" s="28">
        <v>1</v>
      </c>
      <c r="H3" s="28">
        <v>80700</v>
      </c>
      <c r="I3" s="28" t="s">
        <v>17</v>
      </c>
      <c r="J3" s="28">
        <v>51672627</v>
      </c>
      <c r="K3" s="28" t="s">
        <v>2354</v>
      </c>
      <c r="L3" t="s">
        <v>2356</v>
      </c>
      <c r="M3" s="37">
        <v>129900</v>
      </c>
      <c r="N3" s="28" t="s">
        <v>2826</v>
      </c>
      <c r="O3" s="28" t="s">
        <v>3218</v>
      </c>
      <c r="P3" s="28" t="s">
        <v>2826</v>
      </c>
    </row>
    <row r="4" spans="1:16" x14ac:dyDescent="0.3">
      <c r="A4" s="28" t="s">
        <v>3224</v>
      </c>
      <c r="B4" s="26">
        <v>46108</v>
      </c>
      <c r="C4" s="26">
        <v>46113</v>
      </c>
      <c r="D4" s="48">
        <v>3319</v>
      </c>
      <c r="E4" s="48">
        <v>327</v>
      </c>
      <c r="F4" s="28">
        <v>2</v>
      </c>
      <c r="G4" s="28">
        <v>1</v>
      </c>
      <c r="H4" s="28">
        <v>80700</v>
      </c>
      <c r="I4" s="28" t="s">
        <v>17</v>
      </c>
      <c r="J4" s="28">
        <v>51672636</v>
      </c>
      <c r="K4" s="28" t="s">
        <v>2354</v>
      </c>
      <c r="L4" t="s">
        <v>2357</v>
      </c>
      <c r="M4" s="37">
        <v>129900</v>
      </c>
      <c r="N4" s="28" t="s">
        <v>2826</v>
      </c>
      <c r="O4" s="28" t="s">
        <v>3218</v>
      </c>
      <c r="P4" s="28" t="s">
        <v>2826</v>
      </c>
    </row>
    <row r="5" spans="1:16" x14ac:dyDescent="0.3">
      <c r="A5" s="28" t="s">
        <v>3224</v>
      </c>
      <c r="B5" s="26">
        <v>46108</v>
      </c>
      <c r="C5" s="26">
        <v>46113</v>
      </c>
      <c r="D5" s="48">
        <v>3319</v>
      </c>
      <c r="E5" s="48">
        <v>327</v>
      </c>
      <c r="F5" s="28">
        <v>2</v>
      </c>
      <c r="G5" s="28">
        <v>1</v>
      </c>
      <c r="H5" s="28">
        <v>80700</v>
      </c>
      <c r="I5" s="28" t="s">
        <v>17</v>
      </c>
      <c r="J5" s="28">
        <v>51672645</v>
      </c>
      <c r="K5" s="28" t="s">
        <v>2354</v>
      </c>
      <c r="L5" t="s">
        <v>2358</v>
      </c>
      <c r="M5" s="37">
        <v>129900</v>
      </c>
      <c r="N5" s="28" t="s">
        <v>2826</v>
      </c>
      <c r="O5" s="28" t="s">
        <v>3218</v>
      </c>
      <c r="P5" s="28" t="s">
        <v>2826</v>
      </c>
    </row>
    <row r="6" spans="1:16" x14ac:dyDescent="0.3">
      <c r="A6" s="28" t="s">
        <v>3224</v>
      </c>
      <c r="B6" s="26">
        <v>46108</v>
      </c>
      <c r="C6" s="26">
        <v>46113</v>
      </c>
      <c r="D6" s="48">
        <v>3319</v>
      </c>
      <c r="E6" s="48">
        <v>327</v>
      </c>
      <c r="F6" s="28">
        <v>2</v>
      </c>
      <c r="G6" s="28">
        <v>1</v>
      </c>
      <c r="H6" s="28">
        <v>80700</v>
      </c>
      <c r="I6" s="28" t="s">
        <v>17</v>
      </c>
      <c r="J6" s="28">
        <v>51672654</v>
      </c>
      <c r="K6" s="28" t="s">
        <v>2354</v>
      </c>
      <c r="L6" t="s">
        <v>2359</v>
      </c>
      <c r="M6" s="37">
        <v>129900</v>
      </c>
      <c r="N6" s="28" t="s">
        <v>2826</v>
      </c>
      <c r="O6" s="28" t="s">
        <v>3218</v>
      </c>
      <c r="P6" s="28" t="s">
        <v>2826</v>
      </c>
    </row>
    <row r="7" spans="1:16" x14ac:dyDescent="0.3">
      <c r="A7" s="28" t="s">
        <v>3224</v>
      </c>
      <c r="B7" s="26">
        <v>46108</v>
      </c>
      <c r="C7" s="26">
        <v>46113</v>
      </c>
      <c r="D7" s="48">
        <v>3319</v>
      </c>
      <c r="E7" s="48">
        <v>327</v>
      </c>
      <c r="F7" s="28">
        <v>2</v>
      </c>
      <c r="G7" s="28">
        <v>1</v>
      </c>
      <c r="H7" s="28">
        <v>80700</v>
      </c>
      <c r="I7" s="28" t="s">
        <v>17</v>
      </c>
      <c r="J7" s="28">
        <v>51672663</v>
      </c>
      <c r="K7" s="28" t="s">
        <v>2354</v>
      </c>
      <c r="L7" t="s">
        <v>2360</v>
      </c>
      <c r="M7" s="37">
        <v>129900</v>
      </c>
      <c r="N7" s="28" t="s">
        <v>2826</v>
      </c>
      <c r="O7" s="28" t="s">
        <v>3218</v>
      </c>
      <c r="P7" s="28" t="s">
        <v>2826</v>
      </c>
    </row>
    <row r="8" spans="1:16" x14ac:dyDescent="0.3">
      <c r="A8" s="28" t="s">
        <v>3224</v>
      </c>
      <c r="B8" s="26">
        <v>46108</v>
      </c>
      <c r="C8" s="26">
        <v>46113</v>
      </c>
      <c r="D8" s="48">
        <v>3319</v>
      </c>
      <c r="E8" s="48">
        <v>327</v>
      </c>
      <c r="F8" s="28">
        <v>2</v>
      </c>
      <c r="G8" s="28">
        <v>1</v>
      </c>
      <c r="H8" s="28">
        <v>80700</v>
      </c>
      <c r="I8" s="28" t="s">
        <v>17</v>
      </c>
      <c r="J8" s="28">
        <v>51672672</v>
      </c>
      <c r="K8" s="28" t="s">
        <v>2354</v>
      </c>
      <c r="L8" t="s">
        <v>2361</v>
      </c>
      <c r="M8" s="37">
        <v>129900</v>
      </c>
      <c r="N8" s="28" t="s">
        <v>2826</v>
      </c>
      <c r="O8" s="28" t="s">
        <v>3218</v>
      </c>
      <c r="P8" s="28" t="s">
        <v>2826</v>
      </c>
    </row>
    <row r="9" spans="1:16" x14ac:dyDescent="0.3">
      <c r="A9" s="28" t="s">
        <v>3224</v>
      </c>
      <c r="B9" s="26">
        <v>46108</v>
      </c>
      <c r="C9" s="26">
        <v>46113</v>
      </c>
      <c r="D9" s="48">
        <v>3319</v>
      </c>
      <c r="E9" s="48">
        <v>327</v>
      </c>
      <c r="F9" s="28">
        <v>2</v>
      </c>
      <c r="G9" s="28">
        <v>1</v>
      </c>
      <c r="H9" s="28">
        <v>80700</v>
      </c>
      <c r="I9" s="28" t="s">
        <v>17</v>
      </c>
      <c r="J9" s="28">
        <v>51672681</v>
      </c>
      <c r="K9" s="28" t="s">
        <v>2354</v>
      </c>
      <c r="L9" t="s">
        <v>2362</v>
      </c>
      <c r="M9" s="37">
        <v>129900</v>
      </c>
      <c r="N9" s="28" t="s">
        <v>2826</v>
      </c>
      <c r="O9" s="28" t="s">
        <v>3218</v>
      </c>
      <c r="P9" s="28" t="s">
        <v>2826</v>
      </c>
    </row>
    <row r="10" spans="1:16" x14ac:dyDescent="0.3">
      <c r="A10" s="28" t="s">
        <v>3224</v>
      </c>
      <c r="B10" s="26">
        <v>46108</v>
      </c>
      <c r="C10" s="26">
        <v>46113</v>
      </c>
      <c r="D10" s="48">
        <v>3319</v>
      </c>
      <c r="E10" s="48">
        <v>327</v>
      </c>
      <c r="F10" s="28">
        <v>2</v>
      </c>
      <c r="G10" s="28">
        <v>1</v>
      </c>
      <c r="H10" s="28">
        <v>80700</v>
      </c>
      <c r="I10" s="28" t="s">
        <v>17</v>
      </c>
      <c r="J10" s="28">
        <v>51672690</v>
      </c>
      <c r="K10" s="28" t="s">
        <v>2337</v>
      </c>
      <c r="L10" t="s">
        <v>2339</v>
      </c>
      <c r="M10" s="37">
        <v>129900</v>
      </c>
      <c r="N10" s="28" t="s">
        <v>2826</v>
      </c>
      <c r="O10" s="28" t="s">
        <v>3218</v>
      </c>
      <c r="P10" s="28" t="s">
        <v>2826</v>
      </c>
    </row>
    <row r="11" spans="1:16" x14ac:dyDescent="0.3">
      <c r="A11" s="28" t="s">
        <v>3224</v>
      </c>
      <c r="B11" s="26">
        <v>46108</v>
      </c>
      <c r="C11" s="26">
        <v>46113</v>
      </c>
      <c r="D11" s="48">
        <v>3319</v>
      </c>
      <c r="E11" s="48">
        <v>327</v>
      </c>
      <c r="F11" s="28">
        <v>2</v>
      </c>
      <c r="G11" s="28">
        <v>1</v>
      </c>
      <c r="H11" s="28">
        <v>80700</v>
      </c>
      <c r="I11" s="28" t="s">
        <v>17</v>
      </c>
      <c r="J11" s="28">
        <v>51672707</v>
      </c>
      <c r="K11" s="28" t="s">
        <v>2337</v>
      </c>
      <c r="L11" t="s">
        <v>2340</v>
      </c>
      <c r="M11" s="37">
        <v>129900</v>
      </c>
      <c r="N11" s="28" t="s">
        <v>2826</v>
      </c>
      <c r="O11" s="28" t="s">
        <v>3218</v>
      </c>
      <c r="P11" s="28" t="s">
        <v>2826</v>
      </c>
    </row>
    <row r="12" spans="1:16" x14ac:dyDescent="0.3">
      <c r="A12" s="28" t="s">
        <v>3224</v>
      </c>
      <c r="B12" s="26">
        <v>46108</v>
      </c>
      <c r="C12" s="26">
        <v>46113</v>
      </c>
      <c r="D12" s="48">
        <v>3319</v>
      </c>
      <c r="E12" s="48">
        <v>327</v>
      </c>
      <c r="F12" s="28">
        <v>2</v>
      </c>
      <c r="G12" s="28">
        <v>1</v>
      </c>
      <c r="H12" s="28">
        <v>80700</v>
      </c>
      <c r="I12" s="28" t="s">
        <v>17</v>
      </c>
      <c r="J12" s="28">
        <v>51672716</v>
      </c>
      <c r="K12" s="28" t="s">
        <v>2337</v>
      </c>
      <c r="L12" t="s">
        <v>2341</v>
      </c>
      <c r="M12" s="37">
        <v>129900</v>
      </c>
      <c r="N12" s="28" t="s">
        <v>2826</v>
      </c>
      <c r="O12" s="28" t="s">
        <v>3218</v>
      </c>
      <c r="P12" s="28" t="s">
        <v>2826</v>
      </c>
    </row>
    <row r="13" spans="1:16" x14ac:dyDescent="0.3">
      <c r="A13" s="28" t="s">
        <v>3224</v>
      </c>
      <c r="B13" s="26">
        <v>46108</v>
      </c>
      <c r="C13" s="26">
        <v>46113</v>
      </c>
      <c r="D13" s="48">
        <v>3319</v>
      </c>
      <c r="E13" s="48">
        <v>327</v>
      </c>
      <c r="F13" s="28">
        <v>2</v>
      </c>
      <c r="G13" s="28">
        <v>1</v>
      </c>
      <c r="H13" s="28">
        <v>80700</v>
      </c>
      <c r="I13" s="28" t="s">
        <v>17</v>
      </c>
      <c r="J13" s="28">
        <v>51672725</v>
      </c>
      <c r="K13" s="28" t="s">
        <v>2337</v>
      </c>
      <c r="L13" t="s">
        <v>2342</v>
      </c>
      <c r="M13" s="37">
        <v>129900</v>
      </c>
      <c r="N13" s="28" t="s">
        <v>2826</v>
      </c>
      <c r="O13" s="28" t="s">
        <v>3218</v>
      </c>
      <c r="P13" s="28" t="s">
        <v>2826</v>
      </c>
    </row>
    <row r="14" spans="1:16" x14ac:dyDescent="0.3">
      <c r="A14" s="28" t="s">
        <v>3224</v>
      </c>
      <c r="B14" s="26">
        <v>46108</v>
      </c>
      <c r="C14" s="26">
        <v>46113</v>
      </c>
      <c r="D14" s="48">
        <v>3319</v>
      </c>
      <c r="E14" s="48">
        <v>327</v>
      </c>
      <c r="F14" s="28">
        <v>2</v>
      </c>
      <c r="G14" s="28">
        <v>1</v>
      </c>
      <c r="H14" s="28">
        <v>80700</v>
      </c>
      <c r="I14" s="28" t="s">
        <v>17</v>
      </c>
      <c r="J14" s="28">
        <v>51672734</v>
      </c>
      <c r="K14" s="28" t="s">
        <v>2337</v>
      </c>
      <c r="L14" t="s">
        <v>2343</v>
      </c>
      <c r="M14" s="37">
        <v>129900</v>
      </c>
      <c r="N14" s="28" t="s">
        <v>2826</v>
      </c>
      <c r="O14" s="28" t="s">
        <v>3218</v>
      </c>
      <c r="P14" s="28" t="s">
        <v>2826</v>
      </c>
    </row>
    <row r="15" spans="1:16" x14ac:dyDescent="0.3">
      <c r="A15" s="28" t="s">
        <v>3224</v>
      </c>
      <c r="B15" s="26">
        <v>46108</v>
      </c>
      <c r="C15" s="26">
        <v>46113</v>
      </c>
      <c r="D15" s="48">
        <v>3319</v>
      </c>
      <c r="E15" s="48">
        <v>327</v>
      </c>
      <c r="F15" s="28">
        <v>2</v>
      </c>
      <c r="G15" s="28">
        <v>1</v>
      </c>
      <c r="H15" s="28">
        <v>80700</v>
      </c>
      <c r="I15" s="28" t="s">
        <v>17</v>
      </c>
      <c r="J15" s="28">
        <v>51672743</v>
      </c>
      <c r="K15" s="28" t="s">
        <v>2337</v>
      </c>
      <c r="L15" t="s">
        <v>2344</v>
      </c>
      <c r="M15" s="37">
        <v>129900</v>
      </c>
      <c r="N15" s="28" t="s">
        <v>2826</v>
      </c>
      <c r="O15" s="28" t="s">
        <v>3218</v>
      </c>
      <c r="P15" s="28" t="s">
        <v>2826</v>
      </c>
    </row>
    <row r="16" spans="1:16" x14ac:dyDescent="0.3">
      <c r="A16" s="28" t="s">
        <v>3224</v>
      </c>
      <c r="B16" s="26">
        <v>46108</v>
      </c>
      <c r="C16" s="26">
        <v>46113</v>
      </c>
      <c r="D16" s="48">
        <v>3319</v>
      </c>
      <c r="E16" s="48">
        <v>327</v>
      </c>
      <c r="F16" s="28">
        <v>2</v>
      </c>
      <c r="G16" s="28">
        <v>1</v>
      </c>
      <c r="H16" s="28">
        <v>80700</v>
      </c>
      <c r="I16" s="28" t="s">
        <v>17</v>
      </c>
      <c r="J16" s="28">
        <v>51672752</v>
      </c>
      <c r="K16" s="28" t="s">
        <v>2337</v>
      </c>
      <c r="L16" t="s">
        <v>2345</v>
      </c>
      <c r="M16" s="37">
        <v>129900</v>
      </c>
      <c r="N16" s="28" t="s">
        <v>2826</v>
      </c>
      <c r="O16" s="28" t="s">
        <v>3218</v>
      </c>
      <c r="P16" s="28" t="s">
        <v>2826</v>
      </c>
    </row>
    <row r="17" spans="1:16" x14ac:dyDescent="0.3">
      <c r="A17" s="28" t="s">
        <v>3224</v>
      </c>
      <c r="B17" s="26">
        <v>46108</v>
      </c>
      <c r="C17" s="26">
        <v>46113</v>
      </c>
      <c r="D17" s="48">
        <v>3319</v>
      </c>
      <c r="E17" s="48">
        <v>327</v>
      </c>
      <c r="F17" s="28">
        <v>2</v>
      </c>
      <c r="G17" s="28">
        <v>1</v>
      </c>
      <c r="H17" s="28">
        <v>80700</v>
      </c>
      <c r="I17" s="28" t="s">
        <v>17</v>
      </c>
      <c r="J17" s="28">
        <v>51672761</v>
      </c>
      <c r="K17" s="28" t="s">
        <v>2337</v>
      </c>
      <c r="L17" t="s">
        <v>2346</v>
      </c>
      <c r="M17" s="37">
        <v>129900</v>
      </c>
      <c r="N17" s="28" t="s">
        <v>2826</v>
      </c>
      <c r="O17" s="28" t="s">
        <v>3218</v>
      </c>
      <c r="P17" s="28" t="s">
        <v>2826</v>
      </c>
    </row>
    <row r="18" spans="1:16" x14ac:dyDescent="0.3">
      <c r="A18" s="28" t="s">
        <v>3224</v>
      </c>
      <c r="B18" s="26">
        <v>46108</v>
      </c>
      <c r="C18" s="26">
        <v>46113</v>
      </c>
      <c r="D18" s="48">
        <v>3319</v>
      </c>
      <c r="E18" s="48">
        <v>327</v>
      </c>
      <c r="F18" s="28">
        <v>2</v>
      </c>
      <c r="G18" s="28">
        <v>1</v>
      </c>
      <c r="H18" s="28">
        <v>80700</v>
      </c>
      <c r="I18" s="28" t="s">
        <v>17</v>
      </c>
      <c r="J18" s="28">
        <v>51672770</v>
      </c>
      <c r="K18" s="28" t="s">
        <v>2337</v>
      </c>
      <c r="L18" t="s">
        <v>2347</v>
      </c>
      <c r="M18" s="37">
        <v>129900</v>
      </c>
      <c r="N18" s="28" t="s">
        <v>2826</v>
      </c>
      <c r="O18" s="28" t="s">
        <v>3218</v>
      </c>
      <c r="P18" s="28" t="s">
        <v>2826</v>
      </c>
    </row>
    <row r="19" spans="1:16" x14ac:dyDescent="0.3">
      <c r="A19" s="28" t="s">
        <v>3224</v>
      </c>
      <c r="B19" s="26">
        <v>46108</v>
      </c>
      <c r="C19" s="26">
        <v>46113</v>
      </c>
      <c r="D19" s="48">
        <v>3319</v>
      </c>
      <c r="E19" s="48">
        <v>327</v>
      </c>
      <c r="F19" s="28">
        <v>2</v>
      </c>
      <c r="G19" s="28">
        <v>1</v>
      </c>
      <c r="H19" s="28">
        <v>80700</v>
      </c>
      <c r="I19" s="28" t="s">
        <v>17</v>
      </c>
      <c r="J19" s="28">
        <v>51672789</v>
      </c>
      <c r="K19" s="28" t="s">
        <v>2337</v>
      </c>
      <c r="L19" t="s">
        <v>2348</v>
      </c>
      <c r="M19" s="37">
        <v>129900</v>
      </c>
      <c r="N19" s="28" t="s">
        <v>2826</v>
      </c>
      <c r="O19" s="28" t="s">
        <v>3218</v>
      </c>
      <c r="P19" s="28" t="s">
        <v>2826</v>
      </c>
    </row>
    <row r="20" spans="1:16" x14ac:dyDescent="0.3">
      <c r="A20" s="28" t="s">
        <v>3224</v>
      </c>
      <c r="B20" s="26">
        <v>46108</v>
      </c>
      <c r="C20" s="26">
        <v>46113</v>
      </c>
      <c r="D20" s="48">
        <v>3319</v>
      </c>
      <c r="E20" s="48">
        <v>327</v>
      </c>
      <c r="F20" s="28">
        <v>2</v>
      </c>
      <c r="G20" s="28">
        <v>1</v>
      </c>
      <c r="H20" s="28">
        <v>80700</v>
      </c>
      <c r="I20" s="28" t="s">
        <v>17</v>
      </c>
      <c r="J20" s="28">
        <v>51672798</v>
      </c>
      <c r="K20" s="28" t="s">
        <v>2337</v>
      </c>
      <c r="L20" t="s">
        <v>2349</v>
      </c>
      <c r="M20" s="37">
        <v>129900</v>
      </c>
      <c r="N20" s="28" t="s">
        <v>2826</v>
      </c>
      <c r="O20" s="28" t="s">
        <v>3218</v>
      </c>
      <c r="P20" s="28" t="s">
        <v>2826</v>
      </c>
    </row>
    <row r="21" spans="1:16" x14ac:dyDescent="0.3">
      <c r="A21" s="28" t="s">
        <v>3224</v>
      </c>
      <c r="B21" s="26">
        <v>46108</v>
      </c>
      <c r="C21" s="26">
        <v>46113</v>
      </c>
      <c r="D21" s="48">
        <v>3319</v>
      </c>
      <c r="E21" s="48">
        <v>327</v>
      </c>
      <c r="F21" s="28">
        <v>2</v>
      </c>
      <c r="G21" s="28">
        <v>1</v>
      </c>
      <c r="H21" s="28">
        <v>80700</v>
      </c>
      <c r="I21" s="28" t="s">
        <v>17</v>
      </c>
      <c r="J21" s="28">
        <v>51672805</v>
      </c>
      <c r="K21" s="28" t="s">
        <v>2337</v>
      </c>
      <c r="L21" t="s">
        <v>2350</v>
      </c>
      <c r="M21" s="37">
        <v>129900</v>
      </c>
      <c r="N21" s="28" t="s">
        <v>2826</v>
      </c>
      <c r="O21" s="28" t="s">
        <v>3218</v>
      </c>
      <c r="P21" s="28" t="s">
        <v>2826</v>
      </c>
    </row>
    <row r="22" spans="1:16" x14ac:dyDescent="0.3">
      <c r="A22" s="28" t="s">
        <v>3224</v>
      </c>
      <c r="B22" s="26">
        <v>46108</v>
      </c>
      <c r="C22" s="26">
        <v>46113</v>
      </c>
      <c r="D22" s="48">
        <v>3319</v>
      </c>
      <c r="E22" s="48">
        <v>327</v>
      </c>
      <c r="F22" s="28">
        <v>2</v>
      </c>
      <c r="G22" s="28">
        <v>1</v>
      </c>
      <c r="H22" s="28">
        <v>80700</v>
      </c>
      <c r="I22" s="28" t="s">
        <v>17</v>
      </c>
      <c r="J22" s="28">
        <v>51672814</v>
      </c>
      <c r="K22" s="28" t="s">
        <v>2337</v>
      </c>
      <c r="L22" t="s">
        <v>2351</v>
      </c>
      <c r="M22" s="37">
        <v>129900</v>
      </c>
      <c r="N22" s="28" t="s">
        <v>2826</v>
      </c>
      <c r="O22" s="28" t="s">
        <v>3218</v>
      </c>
      <c r="P22" s="28" t="s">
        <v>2826</v>
      </c>
    </row>
    <row r="23" spans="1:16" x14ac:dyDescent="0.3">
      <c r="A23" s="28" t="s">
        <v>3224</v>
      </c>
      <c r="B23" s="26">
        <v>46108</v>
      </c>
      <c r="C23" s="26">
        <v>46113</v>
      </c>
      <c r="D23" s="48">
        <v>3319</v>
      </c>
      <c r="E23" s="48">
        <v>327</v>
      </c>
      <c r="F23" s="28">
        <v>2</v>
      </c>
      <c r="G23" s="28">
        <v>1</v>
      </c>
      <c r="H23" s="28">
        <v>80700</v>
      </c>
      <c r="I23" s="28" t="s">
        <v>17</v>
      </c>
      <c r="J23" s="28">
        <v>51672823</v>
      </c>
      <c r="K23" s="28" t="s">
        <v>2337</v>
      </c>
      <c r="L23" t="s">
        <v>2352</v>
      </c>
      <c r="M23" s="37">
        <v>129900</v>
      </c>
      <c r="N23" s="28" t="s">
        <v>2826</v>
      </c>
      <c r="O23" s="28" t="s">
        <v>3218</v>
      </c>
      <c r="P23" s="28" t="s">
        <v>2826</v>
      </c>
    </row>
    <row r="24" spans="1:16" x14ac:dyDescent="0.3">
      <c r="A24" s="28" t="s">
        <v>3224</v>
      </c>
      <c r="B24" s="26">
        <v>46108</v>
      </c>
      <c r="C24" s="26">
        <v>46113</v>
      </c>
      <c r="D24" s="48">
        <v>3319</v>
      </c>
      <c r="E24" s="48">
        <v>327</v>
      </c>
      <c r="F24" s="28">
        <v>2</v>
      </c>
      <c r="G24" s="28">
        <v>1</v>
      </c>
      <c r="H24" s="28">
        <v>80700</v>
      </c>
      <c r="I24" s="28" t="s">
        <v>17</v>
      </c>
      <c r="J24" s="28">
        <v>51672832</v>
      </c>
      <c r="K24" s="28" t="s">
        <v>2337</v>
      </c>
      <c r="L24" t="s">
        <v>2353</v>
      </c>
      <c r="M24" s="37">
        <v>129900</v>
      </c>
      <c r="N24" s="28" t="s">
        <v>2826</v>
      </c>
      <c r="O24" s="28" t="s">
        <v>3218</v>
      </c>
      <c r="P24" s="28" t="s">
        <v>2826</v>
      </c>
    </row>
    <row r="25" spans="1:16" x14ac:dyDescent="0.3">
      <c r="A25" s="28" t="s">
        <v>3224</v>
      </c>
      <c r="B25" s="26">
        <v>46108</v>
      </c>
      <c r="C25" s="26">
        <v>46113</v>
      </c>
      <c r="D25" s="48">
        <v>3319</v>
      </c>
      <c r="E25" s="48">
        <v>327</v>
      </c>
      <c r="F25" s="28">
        <v>2</v>
      </c>
      <c r="G25" s="28">
        <v>1</v>
      </c>
      <c r="H25" s="28">
        <v>80700</v>
      </c>
      <c r="I25" s="28" t="s">
        <v>17</v>
      </c>
      <c r="J25" s="28">
        <v>51672841</v>
      </c>
      <c r="K25" s="28" t="s">
        <v>2337</v>
      </c>
      <c r="L25" t="s">
        <v>2338</v>
      </c>
      <c r="M25" s="37">
        <v>129900</v>
      </c>
      <c r="N25" s="28" t="s">
        <v>2826</v>
      </c>
      <c r="O25" s="28" t="s">
        <v>3218</v>
      </c>
      <c r="P25" s="28" t="s">
        <v>2826</v>
      </c>
    </row>
    <row r="26" spans="1:16" x14ac:dyDescent="0.3">
      <c r="A26" s="28" t="s">
        <v>3224</v>
      </c>
      <c r="B26" s="26">
        <v>46108</v>
      </c>
      <c r="C26" s="26">
        <v>46113</v>
      </c>
      <c r="D26" s="48">
        <v>3319</v>
      </c>
      <c r="E26" s="48">
        <v>327</v>
      </c>
      <c r="F26" s="28">
        <v>2</v>
      </c>
      <c r="G26" s="28">
        <v>1</v>
      </c>
      <c r="H26" s="28">
        <v>80700</v>
      </c>
      <c r="I26" s="28" t="s">
        <v>17</v>
      </c>
      <c r="J26" s="28">
        <v>51672850</v>
      </c>
      <c r="K26" s="28" t="s">
        <v>2363</v>
      </c>
      <c r="L26" t="s">
        <v>2364</v>
      </c>
      <c r="M26" s="37">
        <v>129900</v>
      </c>
      <c r="N26" s="28" t="s">
        <v>2826</v>
      </c>
      <c r="O26" s="28" t="s">
        <v>3218</v>
      </c>
      <c r="P26" s="28" t="s">
        <v>2826</v>
      </c>
    </row>
    <row r="27" spans="1:16" x14ac:dyDescent="0.3">
      <c r="A27" s="28" t="s">
        <v>3224</v>
      </c>
      <c r="B27" s="26">
        <v>46108</v>
      </c>
      <c r="C27" s="26">
        <v>46113</v>
      </c>
      <c r="D27" s="48">
        <v>3319</v>
      </c>
      <c r="E27" s="48">
        <v>327</v>
      </c>
      <c r="F27" s="28">
        <v>2</v>
      </c>
      <c r="G27" s="28">
        <v>1</v>
      </c>
      <c r="H27" s="28">
        <v>80700</v>
      </c>
      <c r="I27" s="28" t="s">
        <v>17</v>
      </c>
      <c r="J27" s="28">
        <v>51672869</v>
      </c>
      <c r="K27" s="28" t="s">
        <v>2363</v>
      </c>
      <c r="L27" t="s">
        <v>2365</v>
      </c>
      <c r="M27" s="37">
        <v>129900</v>
      </c>
      <c r="N27" s="28" t="s">
        <v>2826</v>
      </c>
      <c r="O27" s="28" t="s">
        <v>3218</v>
      </c>
      <c r="P27" s="28" t="s">
        <v>2826</v>
      </c>
    </row>
    <row r="28" spans="1:16" x14ac:dyDescent="0.3">
      <c r="A28" s="28" t="s">
        <v>3224</v>
      </c>
      <c r="B28" s="26">
        <v>46108</v>
      </c>
      <c r="C28" s="26">
        <v>46113</v>
      </c>
      <c r="D28" s="48">
        <v>3319</v>
      </c>
      <c r="E28" s="48">
        <v>327</v>
      </c>
      <c r="F28" s="28">
        <v>2</v>
      </c>
      <c r="G28" s="28">
        <v>1</v>
      </c>
      <c r="H28" s="28">
        <v>80700</v>
      </c>
      <c r="I28" s="28" t="s">
        <v>17</v>
      </c>
      <c r="J28" s="28">
        <v>51672878</v>
      </c>
      <c r="K28" s="28" t="s">
        <v>2363</v>
      </c>
      <c r="L28" t="s">
        <v>2366</v>
      </c>
      <c r="M28" s="37">
        <v>129900</v>
      </c>
      <c r="N28" s="28" t="s">
        <v>2826</v>
      </c>
      <c r="O28" s="28" t="s">
        <v>3218</v>
      </c>
      <c r="P28" s="28" t="s">
        <v>2826</v>
      </c>
    </row>
    <row r="29" spans="1:16" x14ac:dyDescent="0.3">
      <c r="A29" s="28" t="s">
        <v>3224</v>
      </c>
      <c r="B29" s="26">
        <v>46108</v>
      </c>
      <c r="C29" s="26">
        <v>46113</v>
      </c>
      <c r="D29" s="48">
        <v>3319</v>
      </c>
      <c r="E29" s="48">
        <v>327</v>
      </c>
      <c r="F29" s="28">
        <v>2</v>
      </c>
      <c r="G29" s="28">
        <v>1</v>
      </c>
      <c r="H29" s="28">
        <v>80700</v>
      </c>
      <c r="I29" s="28" t="s">
        <v>17</v>
      </c>
      <c r="J29" s="28">
        <v>51672887</v>
      </c>
      <c r="K29" s="28" t="s">
        <v>2363</v>
      </c>
      <c r="L29" t="s">
        <v>2367</v>
      </c>
      <c r="M29" s="37">
        <v>129900</v>
      </c>
      <c r="N29" s="28" t="s">
        <v>2826</v>
      </c>
      <c r="O29" s="28" t="s">
        <v>3218</v>
      </c>
      <c r="P29" s="28" t="s">
        <v>2826</v>
      </c>
    </row>
    <row r="30" spans="1:16" x14ac:dyDescent="0.3">
      <c r="A30" s="28" t="s">
        <v>3224</v>
      </c>
      <c r="B30" s="26">
        <v>46108</v>
      </c>
      <c r="C30" s="26">
        <v>46113</v>
      </c>
      <c r="D30" s="48">
        <v>3319</v>
      </c>
      <c r="E30" s="48">
        <v>327</v>
      </c>
      <c r="F30" s="28">
        <v>2</v>
      </c>
      <c r="G30" s="28">
        <v>1</v>
      </c>
      <c r="H30" s="28">
        <v>80700</v>
      </c>
      <c r="I30" s="28" t="s">
        <v>17</v>
      </c>
      <c r="J30" s="28">
        <v>51672896</v>
      </c>
      <c r="K30" s="28" t="s">
        <v>2391</v>
      </c>
      <c r="L30" t="s">
        <v>2392</v>
      </c>
      <c r="M30" s="37">
        <v>129900</v>
      </c>
      <c r="N30" s="28" t="s">
        <v>2826</v>
      </c>
      <c r="O30" s="28" t="s">
        <v>3218</v>
      </c>
      <c r="P30" s="28" t="s">
        <v>2826</v>
      </c>
    </row>
    <row r="31" spans="1:16" x14ac:dyDescent="0.3">
      <c r="A31" s="28" t="s">
        <v>3224</v>
      </c>
      <c r="B31" s="26">
        <v>46108</v>
      </c>
      <c r="C31" s="26">
        <v>46113</v>
      </c>
      <c r="D31" s="48">
        <v>3319</v>
      </c>
      <c r="E31" s="48">
        <v>327</v>
      </c>
      <c r="F31" s="28">
        <v>2</v>
      </c>
      <c r="G31" s="28">
        <v>1</v>
      </c>
      <c r="H31" s="28">
        <v>80700</v>
      </c>
      <c r="I31" s="28" t="s">
        <v>17</v>
      </c>
      <c r="J31" s="28">
        <v>51672903</v>
      </c>
      <c r="K31" s="28" t="s">
        <v>2391</v>
      </c>
      <c r="L31" t="s">
        <v>2393</v>
      </c>
      <c r="M31" s="37">
        <v>129900</v>
      </c>
      <c r="N31" s="28" t="s">
        <v>2826</v>
      </c>
      <c r="O31" s="28" t="s">
        <v>3218</v>
      </c>
      <c r="P31" s="28" t="s">
        <v>2826</v>
      </c>
    </row>
    <row r="32" spans="1:16" x14ac:dyDescent="0.3">
      <c r="A32" s="28" t="s">
        <v>3224</v>
      </c>
      <c r="B32" s="26">
        <v>46108</v>
      </c>
      <c r="C32" s="26">
        <v>46113</v>
      </c>
      <c r="D32" s="48">
        <v>3319</v>
      </c>
      <c r="E32" s="48">
        <v>327</v>
      </c>
      <c r="F32" s="28">
        <v>2</v>
      </c>
      <c r="G32" s="28">
        <v>1</v>
      </c>
      <c r="H32" s="28">
        <v>80700</v>
      </c>
      <c r="I32" s="28" t="s">
        <v>17</v>
      </c>
      <c r="J32" s="28">
        <v>51672912</v>
      </c>
      <c r="K32" s="28" t="s">
        <v>2391</v>
      </c>
      <c r="L32" t="s">
        <v>2394</v>
      </c>
      <c r="M32" s="37">
        <v>129900</v>
      </c>
      <c r="N32" s="28" t="s">
        <v>2826</v>
      </c>
      <c r="O32" s="28" t="s">
        <v>3218</v>
      </c>
      <c r="P32" s="28" t="s">
        <v>2826</v>
      </c>
    </row>
    <row r="33" spans="1:16" x14ac:dyDescent="0.3">
      <c r="A33" s="28" t="s">
        <v>3224</v>
      </c>
      <c r="B33" s="26">
        <v>46108</v>
      </c>
      <c r="C33" s="26">
        <v>46113</v>
      </c>
      <c r="D33" s="48">
        <v>3319</v>
      </c>
      <c r="E33" s="48">
        <v>327</v>
      </c>
      <c r="F33" s="28">
        <v>2</v>
      </c>
      <c r="G33" s="28">
        <v>1</v>
      </c>
      <c r="H33" s="28">
        <v>80700</v>
      </c>
      <c r="I33" s="28" t="s">
        <v>17</v>
      </c>
      <c r="J33" s="28">
        <v>51672921</v>
      </c>
      <c r="K33" s="28" t="s">
        <v>2391</v>
      </c>
      <c r="L33" t="s">
        <v>2395</v>
      </c>
      <c r="M33" s="37">
        <v>129900</v>
      </c>
      <c r="N33" s="28" t="s">
        <v>2826</v>
      </c>
      <c r="O33" s="28" t="s">
        <v>3218</v>
      </c>
      <c r="P33" s="28" t="s">
        <v>2826</v>
      </c>
    </row>
    <row r="34" spans="1:16" x14ac:dyDescent="0.3">
      <c r="A34" s="28" t="s">
        <v>3224</v>
      </c>
      <c r="B34" s="26">
        <v>46108</v>
      </c>
      <c r="C34" s="26">
        <v>46113</v>
      </c>
      <c r="D34" s="48">
        <v>3319</v>
      </c>
      <c r="E34" s="48">
        <v>327</v>
      </c>
      <c r="F34" s="28">
        <v>2</v>
      </c>
      <c r="G34" s="28">
        <v>1</v>
      </c>
      <c r="H34" s="28">
        <v>80700</v>
      </c>
      <c r="I34" s="28" t="s">
        <v>17</v>
      </c>
      <c r="J34" s="28">
        <v>51672930</v>
      </c>
      <c r="K34" s="28" t="s">
        <v>2385</v>
      </c>
      <c r="L34" t="s">
        <v>2386</v>
      </c>
      <c r="M34" s="37">
        <v>149900</v>
      </c>
      <c r="N34" s="28" t="s">
        <v>2826</v>
      </c>
      <c r="O34" s="28" t="s">
        <v>3218</v>
      </c>
      <c r="P34" s="28" t="s">
        <v>2826</v>
      </c>
    </row>
    <row r="35" spans="1:16" x14ac:dyDescent="0.3">
      <c r="A35" s="28" t="s">
        <v>3224</v>
      </c>
      <c r="B35" s="26">
        <v>46108</v>
      </c>
      <c r="C35" s="26">
        <v>46113</v>
      </c>
      <c r="D35" s="48">
        <v>3319</v>
      </c>
      <c r="E35" s="48">
        <v>327</v>
      </c>
      <c r="F35" s="28">
        <v>2</v>
      </c>
      <c r="G35" s="28">
        <v>1</v>
      </c>
      <c r="H35" s="28">
        <v>80700</v>
      </c>
      <c r="I35" s="28" t="s">
        <v>17</v>
      </c>
      <c r="J35" s="28">
        <v>51672949</v>
      </c>
      <c r="K35" s="28" t="s">
        <v>2385</v>
      </c>
      <c r="L35" t="s">
        <v>2387</v>
      </c>
      <c r="M35" s="37">
        <v>149900</v>
      </c>
      <c r="N35" s="28" t="s">
        <v>2826</v>
      </c>
      <c r="O35" s="28" t="s">
        <v>3218</v>
      </c>
      <c r="P35" s="28" t="s">
        <v>2826</v>
      </c>
    </row>
    <row r="36" spans="1:16" x14ac:dyDescent="0.3">
      <c r="A36" s="28" t="s">
        <v>3224</v>
      </c>
      <c r="B36" s="26">
        <v>46108</v>
      </c>
      <c r="C36" s="26">
        <v>46113</v>
      </c>
      <c r="D36" s="48">
        <v>3319</v>
      </c>
      <c r="E36" s="48">
        <v>327</v>
      </c>
      <c r="F36" s="28">
        <v>2</v>
      </c>
      <c r="G36" s="28">
        <v>1</v>
      </c>
      <c r="H36" s="28">
        <v>80700</v>
      </c>
      <c r="I36" s="28" t="s">
        <v>17</v>
      </c>
      <c r="J36" s="28">
        <v>51672958</v>
      </c>
      <c r="K36" s="28" t="s">
        <v>2385</v>
      </c>
      <c r="L36" t="s">
        <v>2388</v>
      </c>
      <c r="M36" s="37">
        <v>149900</v>
      </c>
      <c r="N36" s="28" t="s">
        <v>2826</v>
      </c>
      <c r="O36" s="28" t="s">
        <v>3218</v>
      </c>
      <c r="P36" s="28" t="s">
        <v>2826</v>
      </c>
    </row>
    <row r="37" spans="1:16" x14ac:dyDescent="0.3">
      <c r="A37" s="28" t="s">
        <v>3224</v>
      </c>
      <c r="B37" s="26">
        <v>46108</v>
      </c>
      <c r="C37" s="26">
        <v>46113</v>
      </c>
      <c r="D37" s="48">
        <v>3319</v>
      </c>
      <c r="E37" s="48">
        <v>327</v>
      </c>
      <c r="F37" s="28">
        <v>2</v>
      </c>
      <c r="G37" s="28">
        <v>1</v>
      </c>
      <c r="H37" s="28">
        <v>80700</v>
      </c>
      <c r="I37" s="28" t="s">
        <v>17</v>
      </c>
      <c r="J37" s="28">
        <v>51672967</v>
      </c>
      <c r="K37" s="28" t="s">
        <v>2385</v>
      </c>
      <c r="L37" t="s">
        <v>2389</v>
      </c>
      <c r="M37" s="37">
        <v>149900</v>
      </c>
      <c r="N37" s="28" t="s">
        <v>2826</v>
      </c>
      <c r="O37" s="28" t="s">
        <v>3218</v>
      </c>
      <c r="P37" s="28" t="s">
        <v>2826</v>
      </c>
    </row>
    <row r="38" spans="1:16" x14ac:dyDescent="0.3">
      <c r="A38" s="28" t="s">
        <v>3224</v>
      </c>
      <c r="B38" s="26">
        <v>46108</v>
      </c>
      <c r="C38" s="26">
        <v>46113</v>
      </c>
      <c r="D38" s="48">
        <v>3319</v>
      </c>
      <c r="E38" s="48">
        <v>327</v>
      </c>
      <c r="F38" s="28">
        <v>2</v>
      </c>
      <c r="G38" s="28">
        <v>1</v>
      </c>
      <c r="H38" s="28">
        <v>80700</v>
      </c>
      <c r="I38" s="28" t="s">
        <v>17</v>
      </c>
      <c r="J38" s="28">
        <v>51672976</v>
      </c>
      <c r="K38" s="28" t="s">
        <v>2385</v>
      </c>
      <c r="L38" t="s">
        <v>2390</v>
      </c>
      <c r="M38" s="37">
        <v>149900</v>
      </c>
      <c r="N38" s="28" t="s">
        <v>2826</v>
      </c>
      <c r="O38" s="28" t="s">
        <v>3218</v>
      </c>
      <c r="P38" s="28" t="s">
        <v>2826</v>
      </c>
    </row>
    <row r="39" spans="1:16" x14ac:dyDescent="0.3">
      <c r="A39" s="28" t="s">
        <v>3224</v>
      </c>
      <c r="B39" s="26">
        <v>46108</v>
      </c>
      <c r="C39" s="26">
        <v>46113</v>
      </c>
      <c r="D39" s="48">
        <v>3319</v>
      </c>
      <c r="E39" s="48">
        <v>327</v>
      </c>
      <c r="F39" s="28">
        <v>2</v>
      </c>
      <c r="G39" s="28">
        <v>1</v>
      </c>
      <c r="H39" s="28">
        <v>80700</v>
      </c>
      <c r="I39" s="28" t="s">
        <v>17</v>
      </c>
      <c r="J39" s="28">
        <v>51672985</v>
      </c>
      <c r="K39" s="28" t="s">
        <v>2379</v>
      </c>
      <c r="L39" t="s">
        <v>2380</v>
      </c>
      <c r="M39" s="37">
        <v>149900</v>
      </c>
      <c r="N39" s="28" t="s">
        <v>2826</v>
      </c>
      <c r="O39" s="28" t="s">
        <v>3218</v>
      </c>
      <c r="P39" s="28" t="s">
        <v>2826</v>
      </c>
    </row>
    <row r="40" spans="1:16" x14ac:dyDescent="0.3">
      <c r="A40" s="28" t="s">
        <v>3224</v>
      </c>
      <c r="B40" s="26">
        <v>46108</v>
      </c>
      <c r="C40" s="26">
        <v>46113</v>
      </c>
      <c r="D40" s="48">
        <v>3319</v>
      </c>
      <c r="E40" s="48">
        <v>327</v>
      </c>
      <c r="F40" s="28">
        <v>2</v>
      </c>
      <c r="G40" s="28">
        <v>1</v>
      </c>
      <c r="H40" s="28">
        <v>80700</v>
      </c>
      <c r="I40" s="28" t="s">
        <v>17</v>
      </c>
      <c r="J40" s="28">
        <v>51672994</v>
      </c>
      <c r="K40" s="28" t="s">
        <v>2379</v>
      </c>
      <c r="L40" t="s">
        <v>2381</v>
      </c>
      <c r="M40" s="37">
        <v>149900</v>
      </c>
      <c r="N40" s="28" t="s">
        <v>2826</v>
      </c>
      <c r="O40" s="28" t="s">
        <v>3218</v>
      </c>
      <c r="P40" s="28" t="s">
        <v>2826</v>
      </c>
    </row>
    <row r="41" spans="1:16" x14ac:dyDescent="0.3">
      <c r="A41" s="28" t="s">
        <v>3224</v>
      </c>
      <c r="B41" s="26">
        <v>46108</v>
      </c>
      <c r="C41" s="26">
        <v>46113</v>
      </c>
      <c r="D41" s="48">
        <v>3319</v>
      </c>
      <c r="E41" s="48">
        <v>327</v>
      </c>
      <c r="F41" s="28">
        <v>2</v>
      </c>
      <c r="G41" s="28">
        <v>1</v>
      </c>
      <c r="H41" s="28">
        <v>80700</v>
      </c>
      <c r="I41" s="28" t="s">
        <v>17</v>
      </c>
      <c r="J41" s="28">
        <v>51673000</v>
      </c>
      <c r="K41" s="28" t="s">
        <v>2379</v>
      </c>
      <c r="L41" t="s">
        <v>2382</v>
      </c>
      <c r="M41" s="37">
        <v>149900</v>
      </c>
      <c r="N41" s="28" t="s">
        <v>2826</v>
      </c>
      <c r="O41" s="28" t="s">
        <v>3218</v>
      </c>
      <c r="P41" s="28" t="s">
        <v>2826</v>
      </c>
    </row>
    <row r="42" spans="1:16" x14ac:dyDescent="0.3">
      <c r="A42" s="28" t="s">
        <v>3224</v>
      </c>
      <c r="B42" s="26">
        <v>46108</v>
      </c>
      <c r="C42" s="26">
        <v>46113</v>
      </c>
      <c r="D42" s="48">
        <v>3319</v>
      </c>
      <c r="E42" s="48">
        <v>327</v>
      </c>
      <c r="F42" s="28">
        <v>2</v>
      </c>
      <c r="G42" s="28">
        <v>1</v>
      </c>
      <c r="H42" s="28">
        <v>80700</v>
      </c>
      <c r="I42" s="28" t="s">
        <v>17</v>
      </c>
      <c r="J42" s="28">
        <v>51673019</v>
      </c>
      <c r="K42" s="28" t="s">
        <v>2379</v>
      </c>
      <c r="L42" t="s">
        <v>2383</v>
      </c>
      <c r="M42" s="37">
        <v>149900</v>
      </c>
      <c r="N42" s="28" t="s">
        <v>2826</v>
      </c>
      <c r="O42" s="28" t="s">
        <v>3218</v>
      </c>
      <c r="P42" s="28" t="s">
        <v>2826</v>
      </c>
    </row>
    <row r="43" spans="1:16" x14ac:dyDescent="0.3">
      <c r="A43" s="28" t="s">
        <v>3224</v>
      </c>
      <c r="B43" s="26">
        <v>46108</v>
      </c>
      <c r="C43" s="26">
        <v>46113</v>
      </c>
      <c r="D43" s="48">
        <v>3319</v>
      </c>
      <c r="E43" s="48">
        <v>327</v>
      </c>
      <c r="F43" s="28">
        <v>2</v>
      </c>
      <c r="G43" s="28">
        <v>1</v>
      </c>
      <c r="H43" s="28">
        <v>80700</v>
      </c>
      <c r="I43" s="28" t="s">
        <v>17</v>
      </c>
      <c r="J43" s="28">
        <v>51673028</v>
      </c>
      <c r="K43" s="28" t="s">
        <v>2379</v>
      </c>
      <c r="L43" t="s">
        <v>2384</v>
      </c>
      <c r="M43" s="37">
        <v>149900</v>
      </c>
      <c r="N43" s="28" t="s">
        <v>2826</v>
      </c>
      <c r="O43" s="28" t="s">
        <v>3218</v>
      </c>
      <c r="P43" s="28" t="s">
        <v>2826</v>
      </c>
    </row>
    <row r="44" spans="1:16" x14ac:dyDescent="0.3">
      <c r="A44" s="28" t="s">
        <v>3224</v>
      </c>
      <c r="B44" s="26">
        <v>46108</v>
      </c>
      <c r="C44" s="26">
        <v>46113</v>
      </c>
      <c r="D44" s="48">
        <v>3319</v>
      </c>
      <c r="E44" s="48">
        <v>327</v>
      </c>
      <c r="F44" s="28">
        <v>2</v>
      </c>
      <c r="G44" s="28">
        <v>1</v>
      </c>
      <c r="H44" s="28">
        <v>80700</v>
      </c>
      <c r="I44" s="28" t="s">
        <v>17</v>
      </c>
      <c r="J44" s="28">
        <v>51673037</v>
      </c>
      <c r="K44" s="28" t="s">
        <v>2368</v>
      </c>
      <c r="L44" t="s">
        <v>2369</v>
      </c>
      <c r="M44" s="37">
        <v>149900</v>
      </c>
      <c r="N44" s="28" t="s">
        <v>2826</v>
      </c>
      <c r="O44" s="28" t="s">
        <v>3218</v>
      </c>
      <c r="P44" s="28" t="s">
        <v>2826</v>
      </c>
    </row>
    <row r="45" spans="1:16" x14ac:dyDescent="0.3">
      <c r="A45" s="28" t="s">
        <v>3224</v>
      </c>
      <c r="B45" s="26">
        <v>46108</v>
      </c>
      <c r="C45" s="26">
        <v>46113</v>
      </c>
      <c r="D45" s="48">
        <v>3319</v>
      </c>
      <c r="E45" s="48">
        <v>327</v>
      </c>
      <c r="F45" s="28">
        <v>2</v>
      </c>
      <c r="G45" s="28">
        <v>1</v>
      </c>
      <c r="H45" s="28">
        <v>80700</v>
      </c>
      <c r="I45" s="28" t="s">
        <v>17</v>
      </c>
      <c r="J45" s="28">
        <v>51673046</v>
      </c>
      <c r="K45" s="28" t="s">
        <v>2368</v>
      </c>
      <c r="L45" t="s">
        <v>2370</v>
      </c>
      <c r="M45" s="37">
        <v>149900</v>
      </c>
      <c r="N45" s="28" t="s">
        <v>2826</v>
      </c>
      <c r="O45" s="28" t="s">
        <v>3218</v>
      </c>
      <c r="P45" s="28" t="s">
        <v>2826</v>
      </c>
    </row>
    <row r="46" spans="1:16" x14ac:dyDescent="0.3">
      <c r="A46" s="28" t="s">
        <v>3224</v>
      </c>
      <c r="B46" s="26">
        <v>46108</v>
      </c>
      <c r="C46" s="26">
        <v>46113</v>
      </c>
      <c r="D46" s="48">
        <v>3319</v>
      </c>
      <c r="E46" s="48">
        <v>327</v>
      </c>
      <c r="F46" s="28">
        <v>2</v>
      </c>
      <c r="G46" s="28">
        <v>1</v>
      </c>
      <c r="H46" s="28">
        <v>80700</v>
      </c>
      <c r="I46" s="28" t="s">
        <v>17</v>
      </c>
      <c r="J46" s="28">
        <v>51673055</v>
      </c>
      <c r="K46" s="28" t="s">
        <v>2368</v>
      </c>
      <c r="L46" t="s">
        <v>2371</v>
      </c>
      <c r="M46" s="37">
        <v>149900</v>
      </c>
      <c r="N46" s="28" t="s">
        <v>2826</v>
      </c>
      <c r="O46" s="28" t="s">
        <v>3218</v>
      </c>
      <c r="P46" s="28" t="s">
        <v>2826</v>
      </c>
    </row>
    <row r="47" spans="1:16" x14ac:dyDescent="0.3">
      <c r="A47" s="28" t="s">
        <v>3224</v>
      </c>
      <c r="B47" s="26">
        <v>46108</v>
      </c>
      <c r="C47" s="26">
        <v>46113</v>
      </c>
      <c r="D47" s="48">
        <v>3319</v>
      </c>
      <c r="E47" s="48">
        <v>327</v>
      </c>
      <c r="F47" s="28">
        <v>2</v>
      </c>
      <c r="G47" s="28">
        <v>1</v>
      </c>
      <c r="H47" s="28">
        <v>80700</v>
      </c>
      <c r="I47" s="28" t="s">
        <v>17</v>
      </c>
      <c r="J47" s="28">
        <v>51673064</v>
      </c>
      <c r="K47" s="28" t="s">
        <v>2368</v>
      </c>
      <c r="L47" t="s">
        <v>2372</v>
      </c>
      <c r="M47" s="37">
        <v>149900</v>
      </c>
      <c r="N47" s="28" t="s">
        <v>2826</v>
      </c>
      <c r="O47" s="28" t="s">
        <v>3218</v>
      </c>
      <c r="P47" s="28" t="s">
        <v>2826</v>
      </c>
    </row>
    <row r="48" spans="1:16" x14ac:dyDescent="0.3">
      <c r="A48" s="28" t="s">
        <v>3224</v>
      </c>
      <c r="B48" s="26">
        <v>46108</v>
      </c>
      <c r="C48" s="26">
        <v>46113</v>
      </c>
      <c r="D48" s="48">
        <v>3319</v>
      </c>
      <c r="E48" s="48">
        <v>327</v>
      </c>
      <c r="F48" s="28">
        <v>2</v>
      </c>
      <c r="G48" s="28">
        <v>1</v>
      </c>
      <c r="H48" s="28">
        <v>80700</v>
      </c>
      <c r="I48" s="28" t="s">
        <v>17</v>
      </c>
      <c r="J48" s="28">
        <v>51673073</v>
      </c>
      <c r="K48" s="28" t="s">
        <v>2368</v>
      </c>
      <c r="L48" t="s">
        <v>2373</v>
      </c>
      <c r="M48" s="37">
        <v>149900</v>
      </c>
      <c r="N48" s="28" t="s">
        <v>2826</v>
      </c>
      <c r="O48" s="28" t="s">
        <v>3218</v>
      </c>
      <c r="P48" s="28" t="s">
        <v>2826</v>
      </c>
    </row>
    <row r="49" spans="1:16" x14ac:dyDescent="0.3">
      <c r="A49" s="28" t="s">
        <v>3224</v>
      </c>
      <c r="B49" s="26">
        <v>46108</v>
      </c>
      <c r="C49" s="26">
        <v>46113</v>
      </c>
      <c r="D49" s="48">
        <v>3319</v>
      </c>
      <c r="E49" s="48">
        <v>327</v>
      </c>
      <c r="F49" s="28">
        <v>2</v>
      </c>
      <c r="G49" s="28">
        <v>1</v>
      </c>
      <c r="H49" s="28">
        <v>80700</v>
      </c>
      <c r="I49" s="28" t="s">
        <v>17</v>
      </c>
      <c r="J49" s="28">
        <v>51673082</v>
      </c>
      <c r="K49" s="28" t="s">
        <v>2368</v>
      </c>
      <c r="L49" t="s">
        <v>2374</v>
      </c>
      <c r="M49" s="37">
        <v>149900</v>
      </c>
      <c r="N49" s="28" t="s">
        <v>2826</v>
      </c>
      <c r="O49" s="28" t="s">
        <v>3218</v>
      </c>
      <c r="P49" s="28" t="s">
        <v>2826</v>
      </c>
    </row>
    <row r="50" spans="1:16" x14ac:dyDescent="0.3">
      <c r="A50" s="28" t="s">
        <v>3224</v>
      </c>
      <c r="B50" s="26">
        <v>46108</v>
      </c>
      <c r="C50" s="26">
        <v>46113</v>
      </c>
      <c r="D50" s="48">
        <v>3319</v>
      </c>
      <c r="E50" s="48">
        <v>327</v>
      </c>
      <c r="F50" s="28">
        <v>2</v>
      </c>
      <c r="G50" s="28">
        <v>1</v>
      </c>
      <c r="H50" s="28">
        <v>80700</v>
      </c>
      <c r="I50" s="28" t="s">
        <v>17</v>
      </c>
      <c r="J50" s="28">
        <v>51673091</v>
      </c>
      <c r="K50" s="28" t="s">
        <v>2368</v>
      </c>
      <c r="L50" t="s">
        <v>2375</v>
      </c>
      <c r="M50" s="37">
        <v>149900</v>
      </c>
      <c r="N50" s="28" t="s">
        <v>2826</v>
      </c>
      <c r="O50" s="28" t="s">
        <v>3218</v>
      </c>
      <c r="P50" s="28" t="s">
        <v>2826</v>
      </c>
    </row>
    <row r="51" spans="1:16" x14ac:dyDescent="0.3">
      <c r="A51" s="28" t="s">
        <v>3224</v>
      </c>
      <c r="B51" s="26">
        <v>46108</v>
      </c>
      <c r="C51" s="26">
        <v>46113</v>
      </c>
      <c r="D51" s="48">
        <v>3319</v>
      </c>
      <c r="E51" s="48">
        <v>327</v>
      </c>
      <c r="F51" s="28">
        <v>2</v>
      </c>
      <c r="G51" s="28">
        <v>1</v>
      </c>
      <c r="H51" s="28">
        <v>80700</v>
      </c>
      <c r="I51" s="28" t="s">
        <v>17</v>
      </c>
      <c r="J51" s="28">
        <v>51673108</v>
      </c>
      <c r="K51" s="28" t="s">
        <v>2368</v>
      </c>
      <c r="L51" t="s">
        <v>2376</v>
      </c>
      <c r="M51" s="37">
        <v>149900</v>
      </c>
      <c r="N51" s="28" t="s">
        <v>2826</v>
      </c>
      <c r="O51" s="28" t="s">
        <v>3218</v>
      </c>
      <c r="P51" s="28" t="s">
        <v>2826</v>
      </c>
    </row>
    <row r="52" spans="1:16" x14ac:dyDescent="0.3">
      <c r="A52" s="28" t="s">
        <v>3224</v>
      </c>
      <c r="B52" s="26">
        <v>46108</v>
      </c>
      <c r="C52" s="26">
        <v>46113</v>
      </c>
      <c r="D52" s="48">
        <v>3319</v>
      </c>
      <c r="E52" s="48">
        <v>327</v>
      </c>
      <c r="F52" s="28">
        <v>2</v>
      </c>
      <c r="G52" s="28">
        <v>1</v>
      </c>
      <c r="H52" s="28">
        <v>80700</v>
      </c>
      <c r="I52" s="28" t="s">
        <v>17</v>
      </c>
      <c r="J52" s="28">
        <v>51673117</v>
      </c>
      <c r="K52" s="28" t="s">
        <v>2368</v>
      </c>
      <c r="L52" t="s">
        <v>2377</v>
      </c>
      <c r="M52" s="37">
        <v>149900</v>
      </c>
      <c r="N52" s="28" t="s">
        <v>2826</v>
      </c>
      <c r="O52" s="28" t="s">
        <v>3218</v>
      </c>
      <c r="P52" s="28" t="s">
        <v>2826</v>
      </c>
    </row>
    <row r="53" spans="1:16" x14ac:dyDescent="0.3">
      <c r="A53" s="28" t="s">
        <v>3224</v>
      </c>
      <c r="B53" s="26">
        <v>46108</v>
      </c>
      <c r="C53" s="26">
        <v>46113</v>
      </c>
      <c r="D53" s="48">
        <v>3319</v>
      </c>
      <c r="E53" s="48">
        <v>327</v>
      </c>
      <c r="F53" s="28">
        <v>2</v>
      </c>
      <c r="G53" s="28">
        <v>1</v>
      </c>
      <c r="H53" s="28">
        <v>80700</v>
      </c>
      <c r="I53" s="28" t="s">
        <v>17</v>
      </c>
      <c r="J53" s="28">
        <v>51673126</v>
      </c>
      <c r="K53" s="28" t="s">
        <v>2368</v>
      </c>
      <c r="L53" t="s">
        <v>2378</v>
      </c>
      <c r="M53" s="37">
        <v>149900</v>
      </c>
      <c r="N53" s="28" t="s">
        <v>2826</v>
      </c>
      <c r="O53" s="28" t="s">
        <v>3218</v>
      </c>
      <c r="P53" s="28" t="s">
        <v>2826</v>
      </c>
    </row>
    <row r="54" spans="1:16" x14ac:dyDescent="0.3">
      <c r="A54" s="28" t="s">
        <v>3224</v>
      </c>
      <c r="B54" s="26">
        <v>46108</v>
      </c>
      <c r="C54" s="26">
        <v>46113</v>
      </c>
      <c r="D54" s="48">
        <v>3319</v>
      </c>
      <c r="E54" s="48">
        <v>327</v>
      </c>
      <c r="F54" s="28">
        <v>2</v>
      </c>
      <c r="G54" s="28">
        <v>1</v>
      </c>
      <c r="H54" s="28">
        <v>80700</v>
      </c>
      <c r="I54" s="28" t="s">
        <v>17</v>
      </c>
      <c r="J54" s="28">
        <v>52134395</v>
      </c>
      <c r="K54" s="28" t="s">
        <v>2396</v>
      </c>
      <c r="L54" t="s">
        <v>2397</v>
      </c>
      <c r="M54" s="37">
        <v>149900</v>
      </c>
      <c r="N54" s="28" t="s">
        <v>2826</v>
      </c>
      <c r="O54" s="28" t="s">
        <v>3218</v>
      </c>
      <c r="P54" s="28" t="s">
        <v>2826</v>
      </c>
    </row>
    <row r="55" spans="1:16" x14ac:dyDescent="0.3">
      <c r="A55" s="28" t="s">
        <v>3224</v>
      </c>
      <c r="B55" s="26">
        <v>46108</v>
      </c>
      <c r="C55" s="26">
        <v>46113</v>
      </c>
      <c r="D55" s="48">
        <v>3319</v>
      </c>
      <c r="E55" s="48">
        <v>327</v>
      </c>
      <c r="F55" s="28">
        <v>2</v>
      </c>
      <c r="G55" s="28">
        <v>1</v>
      </c>
      <c r="H55" s="28">
        <v>80700</v>
      </c>
      <c r="I55" s="28" t="s">
        <v>17</v>
      </c>
      <c r="J55" s="28">
        <v>52134402</v>
      </c>
      <c r="K55" s="28" t="s">
        <v>2396</v>
      </c>
      <c r="L55" t="s">
        <v>2398</v>
      </c>
      <c r="M55" s="37">
        <v>149900</v>
      </c>
      <c r="N55" s="28" t="s">
        <v>2826</v>
      </c>
      <c r="O55" s="28" t="s">
        <v>3218</v>
      </c>
      <c r="P55" s="28" t="s">
        <v>2826</v>
      </c>
    </row>
    <row r="56" spans="1:16" x14ac:dyDescent="0.3">
      <c r="A56" s="28" t="s">
        <v>3224</v>
      </c>
      <c r="B56" s="26">
        <v>46108</v>
      </c>
      <c r="C56" s="26">
        <v>46113</v>
      </c>
      <c r="D56" s="48">
        <v>3319</v>
      </c>
      <c r="E56" s="48">
        <v>327</v>
      </c>
      <c r="F56" s="28">
        <v>2</v>
      </c>
      <c r="G56" s="28">
        <v>1</v>
      </c>
      <c r="H56" s="28">
        <v>80700</v>
      </c>
      <c r="I56" s="28" t="s">
        <v>17</v>
      </c>
      <c r="J56" s="28">
        <v>52134411</v>
      </c>
      <c r="K56" s="28" t="s">
        <v>2396</v>
      </c>
      <c r="L56" t="s">
        <v>2399</v>
      </c>
      <c r="M56" s="37">
        <v>149900</v>
      </c>
      <c r="N56" s="28" t="s">
        <v>2826</v>
      </c>
      <c r="O56" s="28" t="s">
        <v>3218</v>
      </c>
      <c r="P56" s="28" t="s">
        <v>2826</v>
      </c>
    </row>
    <row r="57" spans="1:16" x14ac:dyDescent="0.3">
      <c r="A57" s="28" t="s">
        <v>3224</v>
      </c>
      <c r="B57" s="26">
        <v>46108</v>
      </c>
      <c r="C57" s="26">
        <v>46113</v>
      </c>
      <c r="D57" s="48">
        <v>3319</v>
      </c>
      <c r="E57" s="48">
        <v>327</v>
      </c>
      <c r="F57" s="28">
        <v>2</v>
      </c>
      <c r="G57" s="28">
        <v>1</v>
      </c>
      <c r="H57" s="28">
        <v>80700</v>
      </c>
      <c r="I57" s="28" t="s">
        <v>17</v>
      </c>
      <c r="J57" s="28">
        <v>52134420</v>
      </c>
      <c r="K57" s="28" t="s">
        <v>2396</v>
      </c>
      <c r="L57" t="s">
        <v>2400</v>
      </c>
      <c r="M57" s="37">
        <v>149900</v>
      </c>
      <c r="N57" s="28" t="s">
        <v>2826</v>
      </c>
      <c r="O57" s="28" t="s">
        <v>3218</v>
      </c>
      <c r="P57" s="28" t="s">
        <v>2826</v>
      </c>
    </row>
    <row r="58" spans="1:16" x14ac:dyDescent="0.3">
      <c r="A58" s="28" t="s">
        <v>3224</v>
      </c>
      <c r="B58" s="26">
        <v>46108</v>
      </c>
      <c r="C58" s="26">
        <v>46113</v>
      </c>
      <c r="D58" s="48">
        <v>3319</v>
      </c>
      <c r="E58" s="48">
        <v>327</v>
      </c>
      <c r="F58" s="28">
        <v>2</v>
      </c>
      <c r="G58" s="28">
        <v>1</v>
      </c>
      <c r="H58" s="28">
        <v>80700</v>
      </c>
      <c r="I58" s="28" t="s">
        <v>17</v>
      </c>
      <c r="J58" s="28">
        <v>52134439</v>
      </c>
      <c r="K58" s="28" t="s">
        <v>2396</v>
      </c>
      <c r="L58" t="s">
        <v>2401</v>
      </c>
      <c r="M58" s="37">
        <v>149900</v>
      </c>
      <c r="N58" s="28" t="s">
        <v>2826</v>
      </c>
      <c r="O58" s="28" t="s">
        <v>3218</v>
      </c>
      <c r="P58" s="28" t="s">
        <v>2826</v>
      </c>
    </row>
    <row r="59" spans="1:16" x14ac:dyDescent="0.3">
      <c r="A59" s="28" t="s">
        <v>3224</v>
      </c>
      <c r="B59" s="26">
        <v>46108</v>
      </c>
      <c r="C59" s="26">
        <v>46113</v>
      </c>
      <c r="D59" s="48">
        <v>3319</v>
      </c>
      <c r="E59" s="48">
        <v>327</v>
      </c>
      <c r="F59" s="28">
        <v>2</v>
      </c>
      <c r="G59" s="28">
        <v>1</v>
      </c>
      <c r="H59" s="28">
        <v>81433</v>
      </c>
      <c r="I59" s="28" t="s">
        <v>17</v>
      </c>
      <c r="J59" s="28">
        <v>52134457</v>
      </c>
      <c r="K59" s="28" t="s">
        <v>2555</v>
      </c>
      <c r="L59" t="s">
        <v>2559</v>
      </c>
      <c r="M59" s="37">
        <v>149900</v>
      </c>
      <c r="N59" s="28" t="s">
        <v>2826</v>
      </c>
      <c r="O59" s="28" t="s">
        <v>3218</v>
      </c>
      <c r="P59" s="28" t="s">
        <v>2826</v>
      </c>
    </row>
    <row r="60" spans="1:16" x14ac:dyDescent="0.3">
      <c r="A60" s="28" t="s">
        <v>3224</v>
      </c>
      <c r="B60" s="26">
        <v>46108</v>
      </c>
      <c r="C60" s="26">
        <v>46113</v>
      </c>
      <c r="D60" s="48">
        <v>3319</v>
      </c>
      <c r="E60" s="48">
        <v>327</v>
      </c>
      <c r="F60" s="28">
        <v>2</v>
      </c>
      <c r="G60" s="28">
        <v>1</v>
      </c>
      <c r="H60" s="28">
        <v>81433</v>
      </c>
      <c r="I60" s="28" t="s">
        <v>17</v>
      </c>
      <c r="J60" s="28">
        <v>52134448</v>
      </c>
      <c r="K60" s="28" t="s">
        <v>2555</v>
      </c>
      <c r="L60" t="s">
        <v>2556</v>
      </c>
      <c r="M60" s="37">
        <v>149900</v>
      </c>
      <c r="N60" s="28" t="s">
        <v>2826</v>
      </c>
      <c r="O60" s="28" t="s">
        <v>3218</v>
      </c>
      <c r="P60" s="28" t="s">
        <v>2826</v>
      </c>
    </row>
    <row r="61" spans="1:16" x14ac:dyDescent="0.3">
      <c r="A61" s="28" t="s">
        <v>3224</v>
      </c>
      <c r="B61" s="26">
        <v>46108</v>
      </c>
      <c r="C61" s="26">
        <v>46113</v>
      </c>
      <c r="D61" s="48">
        <v>3319</v>
      </c>
      <c r="E61" s="48">
        <v>327</v>
      </c>
      <c r="F61" s="28">
        <v>2</v>
      </c>
      <c r="G61" s="28">
        <v>1</v>
      </c>
      <c r="H61" s="28">
        <v>81433</v>
      </c>
      <c r="I61" s="28" t="s">
        <v>17</v>
      </c>
      <c r="J61" s="28">
        <v>52134484</v>
      </c>
      <c r="K61" s="28" t="s">
        <v>2555</v>
      </c>
      <c r="L61" t="s">
        <v>2564</v>
      </c>
      <c r="M61" s="37">
        <v>149900</v>
      </c>
      <c r="N61" s="28" t="s">
        <v>2826</v>
      </c>
      <c r="O61" s="28" t="s">
        <v>3218</v>
      </c>
      <c r="P61" s="28" t="s">
        <v>2826</v>
      </c>
    </row>
    <row r="62" spans="1:16" x14ac:dyDescent="0.3">
      <c r="A62" s="28" t="s">
        <v>3224</v>
      </c>
      <c r="B62" s="26">
        <v>46108</v>
      </c>
      <c r="C62" s="26">
        <v>46113</v>
      </c>
      <c r="D62" s="48">
        <v>3319</v>
      </c>
      <c r="E62" s="48">
        <v>327</v>
      </c>
      <c r="F62" s="28">
        <v>2</v>
      </c>
      <c r="G62" s="28">
        <v>1</v>
      </c>
      <c r="H62" s="28">
        <v>81433</v>
      </c>
      <c r="I62" s="28" t="s">
        <v>17</v>
      </c>
      <c r="J62" s="28">
        <v>52134475</v>
      </c>
      <c r="K62" s="28" t="s">
        <v>2555</v>
      </c>
      <c r="L62" t="s">
        <v>2565</v>
      </c>
      <c r="M62" s="37">
        <v>149900</v>
      </c>
      <c r="N62" s="28" t="s">
        <v>2826</v>
      </c>
      <c r="O62" s="28" t="s">
        <v>3218</v>
      </c>
      <c r="P62" s="28" t="s">
        <v>2826</v>
      </c>
    </row>
    <row r="63" spans="1:16" x14ac:dyDescent="0.3">
      <c r="A63" s="28" t="s">
        <v>3224</v>
      </c>
      <c r="B63" s="26">
        <v>46108</v>
      </c>
      <c r="C63" s="26">
        <v>46113</v>
      </c>
      <c r="D63" s="48">
        <v>3319</v>
      </c>
      <c r="E63" s="48">
        <v>327</v>
      </c>
      <c r="F63" s="28">
        <v>2</v>
      </c>
      <c r="G63" s="28">
        <v>1</v>
      </c>
      <c r="H63" s="28">
        <v>81433</v>
      </c>
      <c r="I63" s="28" t="s">
        <v>17</v>
      </c>
      <c r="J63" s="28">
        <v>52134466</v>
      </c>
      <c r="K63" s="28" t="s">
        <v>2555</v>
      </c>
      <c r="L63" t="s">
        <v>2568</v>
      </c>
      <c r="M63" s="37">
        <v>149900</v>
      </c>
      <c r="N63" s="28" t="s">
        <v>2826</v>
      </c>
      <c r="O63" s="28" t="s">
        <v>3218</v>
      </c>
      <c r="P63" s="28" t="s">
        <v>2826</v>
      </c>
    </row>
    <row r="64" spans="1:16" x14ac:dyDescent="0.3">
      <c r="A64" s="28" t="s">
        <v>3224</v>
      </c>
      <c r="B64" s="26">
        <v>46108</v>
      </c>
      <c r="C64" s="26">
        <v>46113</v>
      </c>
      <c r="D64" s="48">
        <v>3319</v>
      </c>
      <c r="E64" s="48">
        <v>327</v>
      </c>
      <c r="F64" s="28">
        <v>2</v>
      </c>
      <c r="G64" s="28">
        <v>1</v>
      </c>
      <c r="H64" s="28">
        <v>81433</v>
      </c>
      <c r="I64" s="28" t="s">
        <v>17</v>
      </c>
      <c r="J64" s="28">
        <v>52134493</v>
      </c>
      <c r="K64" s="28" t="s">
        <v>2553</v>
      </c>
      <c r="L64" t="s">
        <v>2554</v>
      </c>
      <c r="M64" s="37">
        <v>149900</v>
      </c>
      <c r="N64" s="28" t="s">
        <v>2826</v>
      </c>
      <c r="O64" s="28" t="s">
        <v>3218</v>
      </c>
      <c r="P64" s="28" t="s">
        <v>2826</v>
      </c>
    </row>
    <row r="65" spans="1:16" x14ac:dyDescent="0.3">
      <c r="A65" s="28" t="s">
        <v>3224</v>
      </c>
      <c r="B65" s="26">
        <v>46108</v>
      </c>
      <c r="C65" s="26">
        <v>46113</v>
      </c>
      <c r="D65" s="48">
        <v>3319</v>
      </c>
      <c r="E65" s="48">
        <v>327</v>
      </c>
      <c r="F65" s="28">
        <v>2</v>
      </c>
      <c r="G65" s="28">
        <v>1</v>
      </c>
      <c r="H65" s="28">
        <v>81433</v>
      </c>
      <c r="I65" s="28" t="s">
        <v>17</v>
      </c>
      <c r="J65" s="28">
        <v>52134537</v>
      </c>
      <c r="K65" s="28" t="s">
        <v>2553</v>
      </c>
      <c r="L65" t="s">
        <v>2563</v>
      </c>
      <c r="M65" s="37">
        <v>149900</v>
      </c>
      <c r="N65" s="28" t="s">
        <v>2826</v>
      </c>
      <c r="O65" s="28" t="s">
        <v>3218</v>
      </c>
      <c r="P65" s="28" t="s">
        <v>2826</v>
      </c>
    </row>
    <row r="66" spans="1:16" x14ac:dyDescent="0.3">
      <c r="A66" s="28" t="s">
        <v>3224</v>
      </c>
      <c r="B66" s="26">
        <v>46108</v>
      </c>
      <c r="C66" s="26">
        <v>46113</v>
      </c>
      <c r="D66" s="48">
        <v>3319</v>
      </c>
      <c r="E66" s="48">
        <v>327</v>
      </c>
      <c r="F66" s="28">
        <v>2</v>
      </c>
      <c r="G66" s="28">
        <v>1</v>
      </c>
      <c r="H66" s="28">
        <v>81433</v>
      </c>
      <c r="I66" s="28" t="s">
        <v>17</v>
      </c>
      <c r="J66" s="28">
        <v>52134500</v>
      </c>
      <c r="K66" s="28" t="s">
        <v>2553</v>
      </c>
      <c r="L66" t="s">
        <v>2569</v>
      </c>
      <c r="M66" s="37">
        <v>149900</v>
      </c>
      <c r="N66" s="28" t="s">
        <v>2826</v>
      </c>
      <c r="O66" s="28" t="s">
        <v>3218</v>
      </c>
      <c r="P66" s="28" t="s">
        <v>2826</v>
      </c>
    </row>
    <row r="67" spans="1:16" x14ac:dyDescent="0.3">
      <c r="A67" s="28" t="s">
        <v>3224</v>
      </c>
      <c r="B67" s="26">
        <v>46108</v>
      </c>
      <c r="C67" s="26">
        <v>46113</v>
      </c>
      <c r="D67" s="48">
        <v>3319</v>
      </c>
      <c r="E67" s="48">
        <v>327</v>
      </c>
      <c r="F67" s="28">
        <v>2</v>
      </c>
      <c r="G67" s="28">
        <v>1</v>
      </c>
      <c r="H67" s="28">
        <v>81433</v>
      </c>
      <c r="I67" s="28" t="s">
        <v>17</v>
      </c>
      <c r="J67" s="28">
        <v>52134519</v>
      </c>
      <c r="K67" s="28" t="s">
        <v>2553</v>
      </c>
      <c r="L67" t="s">
        <v>2571</v>
      </c>
      <c r="M67" s="37">
        <v>149900</v>
      </c>
      <c r="N67" s="28" t="s">
        <v>2826</v>
      </c>
      <c r="O67" s="28" t="s">
        <v>3218</v>
      </c>
      <c r="P67" s="28" t="s">
        <v>2826</v>
      </c>
    </row>
    <row r="68" spans="1:16" x14ac:dyDescent="0.3">
      <c r="A68" s="28" t="s">
        <v>3224</v>
      </c>
      <c r="B68" s="26">
        <v>46108</v>
      </c>
      <c r="C68" s="26">
        <v>46113</v>
      </c>
      <c r="D68" s="48">
        <v>3319</v>
      </c>
      <c r="E68" s="48">
        <v>327</v>
      </c>
      <c r="F68" s="28">
        <v>2</v>
      </c>
      <c r="G68" s="28">
        <v>1</v>
      </c>
      <c r="H68" s="28">
        <v>81433</v>
      </c>
      <c r="I68" s="28" t="s">
        <v>17</v>
      </c>
      <c r="J68" s="28">
        <v>52134528</v>
      </c>
      <c r="K68" s="28" t="s">
        <v>2553</v>
      </c>
      <c r="L68" t="s">
        <v>2575</v>
      </c>
      <c r="M68" s="37">
        <v>149900</v>
      </c>
      <c r="N68" s="28" t="s">
        <v>2826</v>
      </c>
      <c r="O68" s="28" t="s">
        <v>3218</v>
      </c>
      <c r="P68" s="28" t="s">
        <v>2826</v>
      </c>
    </row>
    <row r="69" spans="1:16" x14ac:dyDescent="0.3">
      <c r="A69" s="28" t="s">
        <v>3224</v>
      </c>
      <c r="B69" s="26">
        <v>46108</v>
      </c>
      <c r="C69" s="26">
        <v>46113</v>
      </c>
      <c r="D69" s="48">
        <v>3319</v>
      </c>
      <c r="E69" s="48">
        <v>327</v>
      </c>
      <c r="F69" s="28">
        <v>2</v>
      </c>
      <c r="G69" s="28">
        <v>1</v>
      </c>
      <c r="H69" s="28">
        <v>81433</v>
      </c>
      <c r="I69" s="28" t="s">
        <v>17</v>
      </c>
      <c r="J69" s="28">
        <v>52134546</v>
      </c>
      <c r="K69" s="28" t="s">
        <v>2557</v>
      </c>
      <c r="L69" t="s">
        <v>2558</v>
      </c>
      <c r="M69" s="37">
        <v>149900</v>
      </c>
      <c r="N69" s="28" t="s">
        <v>2826</v>
      </c>
      <c r="O69" s="28" t="s">
        <v>3218</v>
      </c>
      <c r="P69" s="28" t="s">
        <v>2826</v>
      </c>
    </row>
    <row r="70" spans="1:16" x14ac:dyDescent="0.3">
      <c r="A70" s="28" t="s">
        <v>3224</v>
      </c>
      <c r="B70" s="26">
        <v>46108</v>
      </c>
      <c r="C70" s="26">
        <v>46113</v>
      </c>
      <c r="D70" s="48">
        <v>3319</v>
      </c>
      <c r="E70" s="48">
        <v>327</v>
      </c>
      <c r="F70" s="28">
        <v>2</v>
      </c>
      <c r="G70" s="28">
        <v>1</v>
      </c>
      <c r="H70" s="28">
        <v>81433</v>
      </c>
      <c r="I70" s="28" t="s">
        <v>17</v>
      </c>
      <c r="J70" s="28">
        <v>52134564</v>
      </c>
      <c r="K70" s="28" t="s">
        <v>2557</v>
      </c>
      <c r="L70" t="s">
        <v>2560</v>
      </c>
      <c r="M70" s="37">
        <v>149900</v>
      </c>
      <c r="N70" s="28" t="s">
        <v>2826</v>
      </c>
      <c r="O70" s="28" t="s">
        <v>3218</v>
      </c>
      <c r="P70" s="28" t="s">
        <v>2826</v>
      </c>
    </row>
    <row r="71" spans="1:16" x14ac:dyDescent="0.3">
      <c r="A71" s="28" t="s">
        <v>3224</v>
      </c>
      <c r="B71" s="26">
        <v>46108</v>
      </c>
      <c r="C71" s="26">
        <v>46113</v>
      </c>
      <c r="D71" s="48">
        <v>3319</v>
      </c>
      <c r="E71" s="48">
        <v>327</v>
      </c>
      <c r="F71" s="28">
        <v>2</v>
      </c>
      <c r="G71" s="28">
        <v>1</v>
      </c>
      <c r="H71" s="28">
        <v>81433</v>
      </c>
      <c r="I71" s="28" t="s">
        <v>17</v>
      </c>
      <c r="J71" s="28">
        <v>52134591</v>
      </c>
      <c r="K71" s="28" t="s">
        <v>2557</v>
      </c>
      <c r="L71" t="s">
        <v>2561</v>
      </c>
      <c r="M71" s="37">
        <v>149900</v>
      </c>
      <c r="N71" s="28" t="s">
        <v>2826</v>
      </c>
      <c r="O71" s="28" t="s">
        <v>3218</v>
      </c>
      <c r="P71" s="28" t="s">
        <v>2826</v>
      </c>
    </row>
    <row r="72" spans="1:16" x14ac:dyDescent="0.3">
      <c r="A72" s="28" t="s">
        <v>3224</v>
      </c>
      <c r="B72" s="26">
        <v>46108</v>
      </c>
      <c r="C72" s="26">
        <v>46113</v>
      </c>
      <c r="D72" s="48">
        <v>3319</v>
      </c>
      <c r="E72" s="48">
        <v>327</v>
      </c>
      <c r="F72" s="28">
        <v>2</v>
      </c>
      <c r="G72" s="28">
        <v>1</v>
      </c>
      <c r="H72" s="28">
        <v>81433</v>
      </c>
      <c r="I72" s="28" t="s">
        <v>17</v>
      </c>
      <c r="J72" s="28">
        <v>52134608</v>
      </c>
      <c r="K72" s="28" t="s">
        <v>2557</v>
      </c>
      <c r="L72" t="s">
        <v>2562</v>
      </c>
      <c r="M72" s="37">
        <v>149900</v>
      </c>
      <c r="N72" s="28" t="s">
        <v>2826</v>
      </c>
      <c r="O72" s="28" t="s">
        <v>3218</v>
      </c>
      <c r="P72" s="28" t="s">
        <v>2826</v>
      </c>
    </row>
    <row r="73" spans="1:16" x14ac:dyDescent="0.3">
      <c r="A73" s="28" t="s">
        <v>3224</v>
      </c>
      <c r="B73" s="26">
        <v>46108</v>
      </c>
      <c r="C73" s="26">
        <v>46113</v>
      </c>
      <c r="D73" s="48">
        <v>3319</v>
      </c>
      <c r="E73" s="48">
        <v>327</v>
      </c>
      <c r="F73" s="28">
        <v>2</v>
      </c>
      <c r="G73" s="28">
        <v>1</v>
      </c>
      <c r="H73" s="28">
        <v>81433</v>
      </c>
      <c r="I73" s="28" t="s">
        <v>17</v>
      </c>
      <c r="J73" s="28">
        <v>52134617</v>
      </c>
      <c r="K73" s="28" t="s">
        <v>2557</v>
      </c>
      <c r="L73" t="s">
        <v>2566</v>
      </c>
      <c r="M73" s="37">
        <v>149900</v>
      </c>
      <c r="N73" s="28" t="s">
        <v>2826</v>
      </c>
      <c r="O73" s="28" t="s">
        <v>3218</v>
      </c>
      <c r="P73" s="28" t="s">
        <v>2826</v>
      </c>
    </row>
    <row r="74" spans="1:16" x14ac:dyDescent="0.3">
      <c r="A74" s="28" t="s">
        <v>3224</v>
      </c>
      <c r="B74" s="26">
        <v>46108</v>
      </c>
      <c r="C74" s="26">
        <v>46113</v>
      </c>
      <c r="D74" s="48">
        <v>3319</v>
      </c>
      <c r="E74" s="48">
        <v>327</v>
      </c>
      <c r="F74" s="28">
        <v>2</v>
      </c>
      <c r="G74" s="28">
        <v>1</v>
      </c>
      <c r="H74" s="28">
        <v>81433</v>
      </c>
      <c r="I74" s="28" t="s">
        <v>17</v>
      </c>
      <c r="J74" s="28">
        <v>52134582</v>
      </c>
      <c r="K74" s="28" t="s">
        <v>2557</v>
      </c>
      <c r="L74" t="s">
        <v>2567</v>
      </c>
      <c r="M74" s="37">
        <v>149900</v>
      </c>
      <c r="N74" s="28" t="s">
        <v>2826</v>
      </c>
      <c r="O74" s="28" t="s">
        <v>3218</v>
      </c>
      <c r="P74" s="28" t="s">
        <v>2826</v>
      </c>
    </row>
    <row r="75" spans="1:16" x14ac:dyDescent="0.3">
      <c r="A75" s="28" t="s">
        <v>3224</v>
      </c>
      <c r="B75" s="26">
        <v>46108</v>
      </c>
      <c r="C75" s="26">
        <v>46113</v>
      </c>
      <c r="D75" s="48">
        <v>3319</v>
      </c>
      <c r="E75" s="48">
        <v>327</v>
      </c>
      <c r="F75" s="28">
        <v>2</v>
      </c>
      <c r="G75" s="28">
        <v>1</v>
      </c>
      <c r="H75" s="28">
        <v>81433</v>
      </c>
      <c r="I75" s="28" t="s">
        <v>17</v>
      </c>
      <c r="J75" s="28">
        <v>52134573</v>
      </c>
      <c r="K75" s="28" t="s">
        <v>2557</v>
      </c>
      <c r="L75" t="s">
        <v>2570</v>
      </c>
      <c r="M75" s="37">
        <v>149900</v>
      </c>
      <c r="N75" s="28" t="s">
        <v>2826</v>
      </c>
      <c r="O75" s="28" t="s">
        <v>3218</v>
      </c>
      <c r="P75" s="28" t="s">
        <v>2826</v>
      </c>
    </row>
    <row r="76" spans="1:16" x14ac:dyDescent="0.3">
      <c r="A76" s="28" t="s">
        <v>3224</v>
      </c>
      <c r="B76" s="26">
        <v>46108</v>
      </c>
      <c r="C76" s="26">
        <v>46113</v>
      </c>
      <c r="D76" s="48">
        <v>3319</v>
      </c>
      <c r="E76" s="48">
        <v>327</v>
      </c>
      <c r="F76" s="28">
        <v>2</v>
      </c>
      <c r="G76" s="28">
        <v>1</v>
      </c>
      <c r="H76" s="28">
        <v>81433</v>
      </c>
      <c r="I76" s="28" t="s">
        <v>17</v>
      </c>
      <c r="J76" s="28">
        <v>52134626</v>
      </c>
      <c r="K76" s="28" t="s">
        <v>2557</v>
      </c>
      <c r="L76" t="s">
        <v>2572</v>
      </c>
      <c r="M76" s="37">
        <v>149900</v>
      </c>
      <c r="N76" s="28" t="s">
        <v>2826</v>
      </c>
      <c r="O76" s="28" t="s">
        <v>3218</v>
      </c>
      <c r="P76" s="28" t="s">
        <v>2826</v>
      </c>
    </row>
    <row r="77" spans="1:16" x14ac:dyDescent="0.3">
      <c r="A77" s="28" t="s">
        <v>3224</v>
      </c>
      <c r="B77" s="26">
        <v>46108</v>
      </c>
      <c r="C77" s="26">
        <v>46113</v>
      </c>
      <c r="D77" s="48">
        <v>3319</v>
      </c>
      <c r="E77" s="48">
        <v>327</v>
      </c>
      <c r="F77" s="28">
        <v>2</v>
      </c>
      <c r="G77" s="28">
        <v>1</v>
      </c>
      <c r="H77" s="28">
        <v>81433</v>
      </c>
      <c r="I77" s="28" t="s">
        <v>17</v>
      </c>
      <c r="J77" s="28">
        <v>52134635</v>
      </c>
      <c r="K77" s="28" t="s">
        <v>2557</v>
      </c>
      <c r="L77" t="s">
        <v>2573</v>
      </c>
      <c r="M77" s="37">
        <v>149900</v>
      </c>
      <c r="N77" s="28" t="s">
        <v>2826</v>
      </c>
      <c r="O77" s="28" t="s">
        <v>3218</v>
      </c>
      <c r="P77" s="28" t="s">
        <v>2826</v>
      </c>
    </row>
    <row r="78" spans="1:16" x14ac:dyDescent="0.3">
      <c r="A78" s="28" t="s">
        <v>3224</v>
      </c>
      <c r="B78" s="26">
        <v>46108</v>
      </c>
      <c r="C78" s="26">
        <v>46113</v>
      </c>
      <c r="D78" s="48">
        <v>3319</v>
      </c>
      <c r="E78" s="48">
        <v>327</v>
      </c>
      <c r="F78" s="28">
        <v>2</v>
      </c>
      <c r="G78" s="28">
        <v>1</v>
      </c>
      <c r="H78" s="28">
        <v>81433</v>
      </c>
      <c r="I78" s="28" t="s">
        <v>17</v>
      </c>
      <c r="J78" s="28">
        <v>52134555</v>
      </c>
      <c r="K78" s="28" t="s">
        <v>2557</v>
      </c>
      <c r="L78" t="s">
        <v>2574</v>
      </c>
      <c r="M78" s="37">
        <v>149900</v>
      </c>
      <c r="N78" s="28" t="s">
        <v>2826</v>
      </c>
      <c r="O78" s="28" t="s">
        <v>3218</v>
      </c>
      <c r="P78" s="28" t="s">
        <v>2826</v>
      </c>
    </row>
  </sheetData>
  <autoFilter ref="A1:P78" xr:uid="{E08FC16C-0C17-48D2-B0D7-D4D9F7EFDDF6}"/>
  <conditionalFormatting sqref="J1 J79:J1048576">
    <cfRule type="duplicateValues" dxfId="54" priority="16"/>
  </conditionalFormatting>
  <conditionalFormatting sqref="J1">
    <cfRule type="duplicateValues" dxfId="53" priority="10"/>
    <cfRule type="duplicateValues" dxfId="52" priority="11"/>
    <cfRule type="duplicateValues" dxfId="51" priority="12"/>
    <cfRule type="duplicateValues" dxfId="50" priority="13"/>
    <cfRule type="duplicateValues" dxfId="49" priority="14"/>
    <cfRule type="duplicateValues" dxfId="48" priority="15"/>
  </conditionalFormatting>
  <conditionalFormatting sqref="J2:J9">
    <cfRule type="duplicateValues" dxfId="47" priority="9"/>
  </conditionalFormatting>
  <conditionalFormatting sqref="J10:J25">
    <cfRule type="duplicateValues" dxfId="46" priority="8"/>
  </conditionalFormatting>
  <conditionalFormatting sqref="J26:J29">
    <cfRule type="duplicateValues" dxfId="45" priority="7"/>
  </conditionalFormatting>
  <conditionalFormatting sqref="J30:J33">
    <cfRule type="duplicateValues" dxfId="44" priority="6"/>
  </conditionalFormatting>
  <conditionalFormatting sqref="J34:J38">
    <cfRule type="duplicateValues" dxfId="43" priority="5"/>
  </conditionalFormatting>
  <conditionalFormatting sqref="J39:J43">
    <cfRule type="duplicateValues" dxfId="42" priority="4"/>
  </conditionalFormatting>
  <conditionalFormatting sqref="J44:J53">
    <cfRule type="duplicateValues" dxfId="41" priority="3"/>
  </conditionalFormatting>
  <conditionalFormatting sqref="J54:J58">
    <cfRule type="duplicateValues" dxfId="40" priority="2"/>
  </conditionalFormatting>
  <conditionalFormatting sqref="J59:J78">
    <cfRule type="duplicateValues" dxfId="39" priority="1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A2E2C-91E0-482D-85D6-F23A898C0467}">
  <dimension ref="A1:P92"/>
  <sheetViews>
    <sheetView topLeftCell="G1" zoomScale="85" zoomScaleNormal="85" workbookViewId="0">
      <selection activeCell="P20" sqref="P20"/>
    </sheetView>
  </sheetViews>
  <sheetFormatPr defaultRowHeight="14.4" x14ac:dyDescent="0.3"/>
  <cols>
    <col min="1" max="1" width="32.21875" style="28" customWidth="1"/>
    <col min="2" max="3" width="11.6640625" style="28" customWidth="1"/>
    <col min="4" max="5" width="8.6640625" style="48" customWidth="1"/>
    <col min="6" max="7" width="8.6640625" style="28" customWidth="1"/>
    <col min="8" max="11" width="11.6640625" style="28" customWidth="1"/>
    <col min="12" max="12" width="50" customWidth="1"/>
    <col min="13" max="13" width="15.6640625" style="37" customWidth="1"/>
    <col min="14" max="14" width="8.6640625" style="28" customWidth="1"/>
    <col min="15" max="15" width="26.109375" style="37" customWidth="1"/>
    <col min="16" max="16" width="15.6640625" style="28" customWidth="1"/>
  </cols>
  <sheetData>
    <row r="1" spans="1:16" ht="30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1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28" t="s">
        <v>3225</v>
      </c>
      <c r="B2" s="26">
        <v>46108</v>
      </c>
      <c r="C2" s="26">
        <v>46113</v>
      </c>
      <c r="D2" s="48">
        <v>3319</v>
      </c>
      <c r="E2" s="48">
        <v>327</v>
      </c>
      <c r="F2" s="28">
        <v>2</v>
      </c>
      <c r="G2" s="28">
        <v>1</v>
      </c>
      <c r="H2" s="28">
        <v>80700</v>
      </c>
      <c r="I2" s="28" t="s">
        <v>17</v>
      </c>
      <c r="J2" s="28">
        <v>15473071</v>
      </c>
      <c r="K2" s="28" t="s">
        <v>30</v>
      </c>
      <c r="L2" t="s">
        <v>2703</v>
      </c>
      <c r="M2" s="37">
        <v>149900</v>
      </c>
      <c r="N2" s="28" t="s">
        <v>2826</v>
      </c>
      <c r="O2" s="28" t="s">
        <v>3212</v>
      </c>
      <c r="P2" s="28" t="s">
        <v>2826</v>
      </c>
    </row>
    <row r="3" spans="1:16" x14ac:dyDescent="0.3">
      <c r="A3" s="28" t="s">
        <v>3225</v>
      </c>
      <c r="B3" s="26">
        <v>46108</v>
      </c>
      <c r="C3" s="26">
        <v>46113</v>
      </c>
      <c r="D3" s="48">
        <v>3319</v>
      </c>
      <c r="E3" s="48">
        <v>327</v>
      </c>
      <c r="F3" s="28">
        <v>2</v>
      </c>
      <c r="G3" s="28">
        <v>1</v>
      </c>
      <c r="H3" s="28">
        <v>80700</v>
      </c>
      <c r="I3" s="28" t="s">
        <v>17</v>
      </c>
      <c r="J3" s="28">
        <v>15473053</v>
      </c>
      <c r="K3" s="28" t="s">
        <v>30</v>
      </c>
      <c r="L3" t="s">
        <v>2704</v>
      </c>
      <c r="M3" s="37">
        <v>149900</v>
      </c>
      <c r="N3" s="28" t="s">
        <v>2826</v>
      </c>
      <c r="O3" s="28" t="s">
        <v>3212</v>
      </c>
      <c r="P3" s="28" t="s">
        <v>2826</v>
      </c>
    </row>
    <row r="4" spans="1:16" x14ac:dyDescent="0.3">
      <c r="A4" s="28" t="s">
        <v>3225</v>
      </c>
      <c r="B4" s="26">
        <v>46108</v>
      </c>
      <c r="C4" s="26">
        <v>46113</v>
      </c>
      <c r="D4" s="48">
        <v>3319</v>
      </c>
      <c r="E4" s="48">
        <v>327</v>
      </c>
      <c r="F4" s="28">
        <v>2</v>
      </c>
      <c r="G4" s="28">
        <v>1</v>
      </c>
      <c r="H4" s="28">
        <v>80700</v>
      </c>
      <c r="I4" s="28" t="s">
        <v>17</v>
      </c>
      <c r="J4" s="28">
        <v>15473062</v>
      </c>
      <c r="K4" s="28" t="s">
        <v>30</v>
      </c>
      <c r="L4" t="s">
        <v>2705</v>
      </c>
      <c r="M4" s="37">
        <v>149900</v>
      </c>
      <c r="N4" s="28" t="s">
        <v>2826</v>
      </c>
      <c r="O4" s="28" t="s">
        <v>3212</v>
      </c>
      <c r="P4" s="28" t="s">
        <v>2826</v>
      </c>
    </row>
    <row r="5" spans="1:16" x14ac:dyDescent="0.3">
      <c r="A5" s="28" t="s">
        <v>3225</v>
      </c>
      <c r="B5" s="26">
        <v>46108</v>
      </c>
      <c r="C5" s="26">
        <v>46113</v>
      </c>
      <c r="D5" s="48">
        <v>3319</v>
      </c>
      <c r="E5" s="48">
        <v>327</v>
      </c>
      <c r="F5" s="28">
        <v>2</v>
      </c>
      <c r="G5" s="28">
        <v>1</v>
      </c>
      <c r="H5" s="28">
        <v>80700</v>
      </c>
      <c r="I5" s="28" t="s">
        <v>17</v>
      </c>
      <c r="J5" s="28">
        <v>15473035</v>
      </c>
      <c r="K5" s="28" t="s">
        <v>30</v>
      </c>
      <c r="L5" t="s">
        <v>2706</v>
      </c>
      <c r="M5" s="37">
        <v>149900</v>
      </c>
      <c r="N5" s="28" t="s">
        <v>2826</v>
      </c>
      <c r="O5" s="28" t="s">
        <v>3212</v>
      </c>
      <c r="P5" s="28" t="s">
        <v>2826</v>
      </c>
    </row>
    <row r="6" spans="1:16" x14ac:dyDescent="0.3">
      <c r="A6" s="28" t="s">
        <v>3225</v>
      </c>
      <c r="B6" s="26">
        <v>46108</v>
      </c>
      <c r="C6" s="26">
        <v>46113</v>
      </c>
      <c r="D6" s="48">
        <v>3319</v>
      </c>
      <c r="E6" s="48">
        <v>327</v>
      </c>
      <c r="F6" s="28">
        <v>2</v>
      </c>
      <c r="G6" s="28">
        <v>1</v>
      </c>
      <c r="H6" s="28">
        <v>80700</v>
      </c>
      <c r="I6" s="28" t="s">
        <v>17</v>
      </c>
      <c r="J6" s="28">
        <v>15473044</v>
      </c>
      <c r="K6" s="28" t="s">
        <v>30</v>
      </c>
      <c r="L6" t="s">
        <v>2707</v>
      </c>
      <c r="M6" s="37">
        <v>149900</v>
      </c>
      <c r="N6" s="28" t="s">
        <v>2826</v>
      </c>
      <c r="O6" s="28" t="s">
        <v>3212</v>
      </c>
      <c r="P6" s="28" t="s">
        <v>2826</v>
      </c>
    </row>
    <row r="7" spans="1:16" x14ac:dyDescent="0.3">
      <c r="A7" s="28" t="s">
        <v>3225</v>
      </c>
      <c r="B7" s="26">
        <v>46108</v>
      </c>
      <c r="C7" s="26">
        <v>46113</v>
      </c>
      <c r="D7" s="48">
        <v>3319</v>
      </c>
      <c r="E7" s="48">
        <v>327</v>
      </c>
      <c r="F7" s="28">
        <v>2</v>
      </c>
      <c r="G7" s="28">
        <v>1</v>
      </c>
      <c r="H7" s="28">
        <v>81778</v>
      </c>
      <c r="I7" s="28" t="s">
        <v>17</v>
      </c>
      <c r="J7" s="28">
        <v>15806229</v>
      </c>
      <c r="K7" s="28" t="s">
        <v>2119</v>
      </c>
      <c r="L7" t="s">
        <v>2120</v>
      </c>
      <c r="M7" s="37">
        <v>149900</v>
      </c>
      <c r="N7" s="28" t="s">
        <v>2826</v>
      </c>
      <c r="O7" s="28" t="s">
        <v>3212</v>
      </c>
      <c r="P7" s="28" t="s">
        <v>2826</v>
      </c>
    </row>
    <row r="8" spans="1:16" x14ac:dyDescent="0.3">
      <c r="A8" s="28" t="s">
        <v>3225</v>
      </c>
      <c r="B8" s="26">
        <v>46108</v>
      </c>
      <c r="C8" s="26">
        <v>46113</v>
      </c>
      <c r="D8" s="48">
        <v>3319</v>
      </c>
      <c r="E8" s="48">
        <v>327</v>
      </c>
      <c r="F8" s="28">
        <v>2</v>
      </c>
      <c r="G8" s="28">
        <v>1</v>
      </c>
      <c r="H8" s="28">
        <v>81778</v>
      </c>
      <c r="I8" s="28" t="s">
        <v>17</v>
      </c>
      <c r="J8" s="28">
        <v>15806238</v>
      </c>
      <c r="K8" s="28" t="s">
        <v>2119</v>
      </c>
      <c r="L8" t="s">
        <v>2121</v>
      </c>
      <c r="M8" s="37">
        <v>149900</v>
      </c>
      <c r="N8" s="28" t="s">
        <v>2826</v>
      </c>
      <c r="O8" s="28" t="s">
        <v>3212</v>
      </c>
      <c r="P8" s="28" t="s">
        <v>2826</v>
      </c>
    </row>
    <row r="9" spans="1:16" x14ac:dyDescent="0.3">
      <c r="A9" s="28" t="s">
        <v>3225</v>
      </c>
      <c r="B9" s="26">
        <v>46108</v>
      </c>
      <c r="C9" s="26">
        <v>46113</v>
      </c>
      <c r="D9" s="48">
        <v>3319</v>
      </c>
      <c r="E9" s="48">
        <v>327</v>
      </c>
      <c r="F9" s="28">
        <v>2</v>
      </c>
      <c r="G9" s="28">
        <v>1</v>
      </c>
      <c r="H9" s="28">
        <v>81778</v>
      </c>
      <c r="I9" s="28" t="s">
        <v>17</v>
      </c>
      <c r="J9" s="28">
        <v>15806247</v>
      </c>
      <c r="K9" s="28" t="s">
        <v>2119</v>
      </c>
      <c r="L9" t="s">
        <v>2122</v>
      </c>
      <c r="M9" s="37">
        <v>149900</v>
      </c>
      <c r="N9" s="28" t="s">
        <v>2826</v>
      </c>
      <c r="O9" s="28" t="s">
        <v>3212</v>
      </c>
      <c r="P9" s="28" t="s">
        <v>2826</v>
      </c>
    </row>
    <row r="10" spans="1:16" x14ac:dyDescent="0.3">
      <c r="A10" s="28" t="s">
        <v>3225</v>
      </c>
      <c r="B10" s="26">
        <v>46108</v>
      </c>
      <c r="C10" s="26">
        <v>46113</v>
      </c>
      <c r="D10" s="48">
        <v>3319</v>
      </c>
      <c r="E10" s="48">
        <v>327</v>
      </c>
      <c r="F10" s="28">
        <v>2</v>
      </c>
      <c r="G10" s="28">
        <v>1</v>
      </c>
      <c r="H10" s="28">
        <v>81778</v>
      </c>
      <c r="I10" s="28" t="s">
        <v>17</v>
      </c>
      <c r="J10" s="28">
        <v>15806256</v>
      </c>
      <c r="K10" s="28" t="s">
        <v>2119</v>
      </c>
      <c r="L10" t="s">
        <v>2123</v>
      </c>
      <c r="M10" s="37">
        <v>149900</v>
      </c>
      <c r="N10" s="28" t="s">
        <v>2826</v>
      </c>
      <c r="O10" s="28" t="s">
        <v>3212</v>
      </c>
      <c r="P10" s="28" t="s">
        <v>2826</v>
      </c>
    </row>
    <row r="11" spans="1:16" x14ac:dyDescent="0.3">
      <c r="A11" s="28" t="s">
        <v>3225</v>
      </c>
      <c r="B11" s="26">
        <v>46108</v>
      </c>
      <c r="C11" s="26">
        <v>46113</v>
      </c>
      <c r="D11" s="48">
        <v>3319</v>
      </c>
      <c r="E11" s="48">
        <v>327</v>
      </c>
      <c r="F11" s="28">
        <v>2</v>
      </c>
      <c r="G11" s="28">
        <v>1</v>
      </c>
      <c r="H11" s="28">
        <v>81778</v>
      </c>
      <c r="I11" s="28" t="s">
        <v>17</v>
      </c>
      <c r="J11" s="28">
        <v>15806210</v>
      </c>
      <c r="K11" s="28" t="s">
        <v>2119</v>
      </c>
      <c r="L11" t="s">
        <v>2129</v>
      </c>
      <c r="M11" s="37">
        <v>149900</v>
      </c>
      <c r="N11" s="28" t="s">
        <v>2826</v>
      </c>
      <c r="O11" s="28" t="s">
        <v>3212</v>
      </c>
      <c r="P11" s="28" t="s">
        <v>2826</v>
      </c>
    </row>
    <row r="12" spans="1:16" x14ac:dyDescent="0.3">
      <c r="A12" s="28" t="s">
        <v>3225</v>
      </c>
      <c r="B12" s="26">
        <v>46108</v>
      </c>
      <c r="C12" s="26">
        <v>46113</v>
      </c>
      <c r="D12" s="48">
        <v>3319</v>
      </c>
      <c r="E12" s="48">
        <v>327</v>
      </c>
      <c r="F12" s="28">
        <v>2</v>
      </c>
      <c r="G12" s="28">
        <v>1</v>
      </c>
      <c r="H12" s="28">
        <v>80700</v>
      </c>
      <c r="I12" s="28" t="s">
        <v>17</v>
      </c>
      <c r="J12" s="28">
        <v>19295819</v>
      </c>
      <c r="K12" s="28" t="s">
        <v>2181</v>
      </c>
      <c r="L12" t="s">
        <v>2182</v>
      </c>
      <c r="M12" s="37">
        <v>149900</v>
      </c>
      <c r="N12" s="28" t="s">
        <v>2826</v>
      </c>
      <c r="O12" s="28" t="s">
        <v>3212</v>
      </c>
      <c r="P12" s="28" t="s">
        <v>2826</v>
      </c>
    </row>
    <row r="13" spans="1:16" x14ac:dyDescent="0.3">
      <c r="A13" s="28" t="s">
        <v>3225</v>
      </c>
      <c r="B13" s="26">
        <v>46108</v>
      </c>
      <c r="C13" s="26">
        <v>46113</v>
      </c>
      <c r="D13" s="48">
        <v>3319</v>
      </c>
      <c r="E13" s="48">
        <v>327</v>
      </c>
      <c r="F13" s="28">
        <v>2</v>
      </c>
      <c r="G13" s="28">
        <v>1</v>
      </c>
      <c r="H13" s="28">
        <v>80700</v>
      </c>
      <c r="I13" s="28" t="s">
        <v>17</v>
      </c>
      <c r="J13" s="28">
        <v>19295828</v>
      </c>
      <c r="K13" s="28" t="s">
        <v>2181</v>
      </c>
      <c r="L13" t="s">
        <v>2183</v>
      </c>
      <c r="M13" s="37">
        <v>149900</v>
      </c>
      <c r="N13" s="28" t="s">
        <v>2826</v>
      </c>
      <c r="O13" s="28" t="s">
        <v>3212</v>
      </c>
      <c r="P13" s="28" t="s">
        <v>2826</v>
      </c>
    </row>
    <row r="14" spans="1:16" x14ac:dyDescent="0.3">
      <c r="A14" s="28" t="s">
        <v>3225</v>
      </c>
      <c r="B14" s="26">
        <v>46108</v>
      </c>
      <c r="C14" s="26">
        <v>46113</v>
      </c>
      <c r="D14" s="48">
        <v>3319</v>
      </c>
      <c r="E14" s="48">
        <v>327</v>
      </c>
      <c r="F14" s="28">
        <v>2</v>
      </c>
      <c r="G14" s="28">
        <v>1</v>
      </c>
      <c r="H14" s="28">
        <v>80700</v>
      </c>
      <c r="I14" s="28" t="s">
        <v>17</v>
      </c>
      <c r="J14" s="28">
        <v>19295837</v>
      </c>
      <c r="K14" s="28" t="s">
        <v>2181</v>
      </c>
      <c r="L14" t="s">
        <v>2184</v>
      </c>
      <c r="M14" s="37">
        <v>149900</v>
      </c>
      <c r="N14" s="28" t="s">
        <v>2826</v>
      </c>
      <c r="O14" s="28" t="s">
        <v>3212</v>
      </c>
      <c r="P14" s="28" t="s">
        <v>2826</v>
      </c>
    </row>
    <row r="15" spans="1:16" x14ac:dyDescent="0.3">
      <c r="A15" s="28" t="s">
        <v>3225</v>
      </c>
      <c r="B15" s="26">
        <v>46108</v>
      </c>
      <c r="C15" s="26">
        <v>46113</v>
      </c>
      <c r="D15" s="48">
        <v>3319</v>
      </c>
      <c r="E15" s="48">
        <v>327</v>
      </c>
      <c r="F15" s="28">
        <v>2</v>
      </c>
      <c r="G15" s="28">
        <v>1</v>
      </c>
      <c r="H15" s="28">
        <v>80700</v>
      </c>
      <c r="I15" s="28" t="s">
        <v>17</v>
      </c>
      <c r="J15" s="28">
        <v>19295846</v>
      </c>
      <c r="K15" s="28" t="s">
        <v>2181</v>
      </c>
      <c r="L15" t="s">
        <v>2185</v>
      </c>
      <c r="M15" s="37">
        <v>149900</v>
      </c>
      <c r="N15" s="28" t="s">
        <v>2826</v>
      </c>
      <c r="O15" s="28" t="s">
        <v>3212</v>
      </c>
      <c r="P15" s="28" t="s">
        <v>2826</v>
      </c>
    </row>
    <row r="16" spans="1:16" x14ac:dyDescent="0.3">
      <c r="A16" s="28" t="s">
        <v>3225</v>
      </c>
      <c r="B16" s="26">
        <v>46108</v>
      </c>
      <c r="C16" s="26">
        <v>46113</v>
      </c>
      <c r="D16" s="48">
        <v>3319</v>
      </c>
      <c r="E16" s="48">
        <v>327</v>
      </c>
      <c r="F16" s="28">
        <v>2</v>
      </c>
      <c r="G16" s="28">
        <v>1</v>
      </c>
      <c r="H16" s="28">
        <v>80700</v>
      </c>
      <c r="I16" s="28" t="s">
        <v>17</v>
      </c>
      <c r="J16" s="28">
        <v>19295855</v>
      </c>
      <c r="K16" s="28" t="s">
        <v>2181</v>
      </c>
      <c r="L16" t="s">
        <v>2186</v>
      </c>
      <c r="M16" s="37">
        <v>149900</v>
      </c>
      <c r="N16" s="28" t="s">
        <v>2826</v>
      </c>
      <c r="O16" s="28" t="s">
        <v>3212</v>
      </c>
      <c r="P16" s="28" t="s">
        <v>2826</v>
      </c>
    </row>
    <row r="17" spans="1:16" x14ac:dyDescent="0.3">
      <c r="A17" s="28" t="s">
        <v>3225</v>
      </c>
      <c r="B17" s="26">
        <v>46108</v>
      </c>
      <c r="C17" s="26">
        <v>46113</v>
      </c>
      <c r="D17" s="48">
        <v>3319</v>
      </c>
      <c r="E17" s="48">
        <v>327</v>
      </c>
      <c r="F17" s="28">
        <v>2</v>
      </c>
      <c r="G17" s="28">
        <v>1</v>
      </c>
      <c r="H17" s="28">
        <v>81778</v>
      </c>
      <c r="I17" s="28" t="s">
        <v>17</v>
      </c>
      <c r="J17" s="28">
        <v>54500762</v>
      </c>
      <c r="K17" s="28" t="s">
        <v>2311</v>
      </c>
      <c r="L17" t="s">
        <v>2776</v>
      </c>
      <c r="M17" s="37">
        <v>149900</v>
      </c>
      <c r="N17" s="28" t="s">
        <v>2826</v>
      </c>
      <c r="O17" s="28" t="s">
        <v>3212</v>
      </c>
      <c r="P17" s="28" t="s">
        <v>2826</v>
      </c>
    </row>
    <row r="18" spans="1:16" x14ac:dyDescent="0.3">
      <c r="A18" s="28" t="s">
        <v>3225</v>
      </c>
      <c r="B18" s="26">
        <v>46108</v>
      </c>
      <c r="C18" s="26">
        <v>46113</v>
      </c>
      <c r="D18" s="48">
        <v>3319</v>
      </c>
      <c r="E18" s="48">
        <v>327</v>
      </c>
      <c r="F18" s="28">
        <v>2</v>
      </c>
      <c r="G18" s="28">
        <v>1</v>
      </c>
      <c r="H18" s="28">
        <v>81778</v>
      </c>
      <c r="I18" s="28" t="s">
        <v>17</v>
      </c>
      <c r="J18" s="28">
        <v>54500771</v>
      </c>
      <c r="K18" s="28" t="s">
        <v>2311</v>
      </c>
      <c r="L18" t="s">
        <v>2777</v>
      </c>
      <c r="M18" s="37">
        <v>149900</v>
      </c>
      <c r="N18" s="28" t="s">
        <v>2826</v>
      </c>
      <c r="O18" s="28" t="s">
        <v>3212</v>
      </c>
      <c r="P18" s="28" t="s">
        <v>2826</v>
      </c>
    </row>
    <row r="19" spans="1:16" x14ac:dyDescent="0.3">
      <c r="A19" s="28" t="s">
        <v>3225</v>
      </c>
      <c r="B19" s="26">
        <v>46108</v>
      </c>
      <c r="C19" s="26">
        <v>46113</v>
      </c>
      <c r="D19" s="48">
        <v>3319</v>
      </c>
      <c r="E19" s="48">
        <v>327</v>
      </c>
      <c r="F19" s="28">
        <v>2</v>
      </c>
      <c r="G19" s="28">
        <v>1</v>
      </c>
      <c r="H19" s="28">
        <v>81778</v>
      </c>
      <c r="I19" s="28" t="s">
        <v>17</v>
      </c>
      <c r="J19" s="28">
        <v>54500780</v>
      </c>
      <c r="K19" s="28" t="s">
        <v>2311</v>
      </c>
      <c r="L19" t="s">
        <v>2778</v>
      </c>
      <c r="M19" s="37">
        <v>149900</v>
      </c>
      <c r="N19" s="28" t="s">
        <v>2826</v>
      </c>
      <c r="O19" s="28" t="s">
        <v>3212</v>
      </c>
      <c r="P19" s="28" t="s">
        <v>2826</v>
      </c>
    </row>
    <row r="20" spans="1:16" x14ac:dyDescent="0.3">
      <c r="A20" s="28" t="s">
        <v>3225</v>
      </c>
      <c r="B20" s="26">
        <v>46108</v>
      </c>
      <c r="C20" s="26">
        <v>46113</v>
      </c>
      <c r="D20" s="48">
        <v>3319</v>
      </c>
      <c r="E20" s="48">
        <v>327</v>
      </c>
      <c r="F20" s="28">
        <v>2</v>
      </c>
      <c r="G20" s="28">
        <v>1</v>
      </c>
      <c r="H20" s="28">
        <v>81778</v>
      </c>
      <c r="I20" s="28" t="s">
        <v>17</v>
      </c>
      <c r="J20" s="28">
        <v>54500799</v>
      </c>
      <c r="K20" s="28" t="s">
        <v>2311</v>
      </c>
      <c r="L20" t="s">
        <v>2779</v>
      </c>
      <c r="M20" s="37">
        <v>149900</v>
      </c>
      <c r="N20" s="28" t="s">
        <v>2826</v>
      </c>
      <c r="O20" s="28" t="s">
        <v>3212</v>
      </c>
      <c r="P20" s="28" t="s">
        <v>2826</v>
      </c>
    </row>
    <row r="21" spans="1:16" x14ac:dyDescent="0.3">
      <c r="A21" s="28" t="s">
        <v>3225</v>
      </c>
      <c r="B21" s="26">
        <v>46108</v>
      </c>
      <c r="C21" s="26">
        <v>46113</v>
      </c>
      <c r="D21" s="48">
        <v>3319</v>
      </c>
      <c r="E21" s="48">
        <v>327</v>
      </c>
      <c r="F21" s="28">
        <v>2</v>
      </c>
      <c r="G21" s="28">
        <v>1</v>
      </c>
      <c r="H21" s="28">
        <v>80700</v>
      </c>
      <c r="I21" s="28" t="s">
        <v>17</v>
      </c>
      <c r="J21" s="28">
        <v>52703476</v>
      </c>
      <c r="K21" s="28" t="s">
        <v>2627</v>
      </c>
      <c r="L21" t="s">
        <v>2633</v>
      </c>
      <c r="M21" s="37">
        <v>129900</v>
      </c>
      <c r="N21" s="28" t="s">
        <v>2826</v>
      </c>
      <c r="O21" s="28" t="s">
        <v>3212</v>
      </c>
      <c r="P21" s="28" t="s">
        <v>2826</v>
      </c>
    </row>
    <row r="22" spans="1:16" x14ac:dyDescent="0.3">
      <c r="A22" s="28" t="s">
        <v>3225</v>
      </c>
      <c r="B22" s="26">
        <v>46108</v>
      </c>
      <c r="C22" s="26">
        <v>46113</v>
      </c>
      <c r="D22" s="48">
        <v>3319</v>
      </c>
      <c r="E22" s="48">
        <v>327</v>
      </c>
      <c r="F22" s="28">
        <v>2</v>
      </c>
      <c r="G22" s="28">
        <v>1</v>
      </c>
      <c r="H22" s="28">
        <v>80700</v>
      </c>
      <c r="I22" s="28" t="s">
        <v>17</v>
      </c>
      <c r="J22" s="28">
        <v>52703485</v>
      </c>
      <c r="K22" s="28" t="s">
        <v>2627</v>
      </c>
      <c r="L22" t="s">
        <v>2634</v>
      </c>
      <c r="M22" s="37">
        <v>129900</v>
      </c>
      <c r="N22" s="28" t="s">
        <v>2826</v>
      </c>
      <c r="O22" s="28" t="s">
        <v>3212</v>
      </c>
      <c r="P22" s="28" t="s">
        <v>2826</v>
      </c>
    </row>
    <row r="23" spans="1:16" x14ac:dyDescent="0.3">
      <c r="A23" s="28" t="s">
        <v>3225</v>
      </c>
      <c r="B23" s="26">
        <v>46108</v>
      </c>
      <c r="C23" s="26">
        <v>46113</v>
      </c>
      <c r="D23" s="48">
        <v>3319</v>
      </c>
      <c r="E23" s="48">
        <v>327</v>
      </c>
      <c r="F23" s="28">
        <v>2</v>
      </c>
      <c r="G23" s="28">
        <v>1</v>
      </c>
      <c r="H23" s="28">
        <v>80700</v>
      </c>
      <c r="I23" s="28" t="s">
        <v>17</v>
      </c>
      <c r="J23" s="28">
        <v>52703494</v>
      </c>
      <c r="K23" s="28" t="s">
        <v>2627</v>
      </c>
      <c r="L23" t="s">
        <v>2635</v>
      </c>
      <c r="M23" s="37">
        <v>129900</v>
      </c>
      <c r="N23" s="28" t="s">
        <v>2826</v>
      </c>
      <c r="O23" s="28" t="s">
        <v>3212</v>
      </c>
      <c r="P23" s="28" t="s">
        <v>2826</v>
      </c>
    </row>
    <row r="24" spans="1:16" x14ac:dyDescent="0.3">
      <c r="A24" s="28" t="s">
        <v>3225</v>
      </c>
      <c r="B24" s="26">
        <v>46108</v>
      </c>
      <c r="C24" s="26">
        <v>46113</v>
      </c>
      <c r="D24" s="48">
        <v>3319</v>
      </c>
      <c r="E24" s="48">
        <v>327</v>
      </c>
      <c r="F24" s="28">
        <v>2</v>
      </c>
      <c r="G24" s="28">
        <v>1</v>
      </c>
      <c r="H24" s="28">
        <v>80700</v>
      </c>
      <c r="I24" s="28" t="s">
        <v>17</v>
      </c>
      <c r="J24" s="28">
        <v>52703501</v>
      </c>
      <c r="K24" s="28" t="s">
        <v>2627</v>
      </c>
      <c r="L24" t="s">
        <v>2636</v>
      </c>
      <c r="M24" s="37">
        <v>129900</v>
      </c>
      <c r="N24" s="28" t="s">
        <v>2826</v>
      </c>
      <c r="O24" s="28" t="s">
        <v>3212</v>
      </c>
      <c r="P24" s="28" t="s">
        <v>2826</v>
      </c>
    </row>
    <row r="25" spans="1:16" x14ac:dyDescent="0.3">
      <c r="A25" s="28" t="s">
        <v>3225</v>
      </c>
      <c r="B25" s="26">
        <v>46108</v>
      </c>
      <c r="C25" s="26">
        <v>46113</v>
      </c>
      <c r="D25" s="48">
        <v>3319</v>
      </c>
      <c r="E25" s="48">
        <v>327</v>
      </c>
      <c r="F25" s="28">
        <v>2</v>
      </c>
      <c r="G25" s="28">
        <v>1</v>
      </c>
      <c r="H25" s="28">
        <v>81778</v>
      </c>
      <c r="I25" s="28" t="s">
        <v>17</v>
      </c>
      <c r="J25" s="28">
        <v>54500566</v>
      </c>
      <c r="K25" s="28" t="s">
        <v>2764</v>
      </c>
      <c r="L25" t="s">
        <v>2765</v>
      </c>
      <c r="M25" s="37">
        <v>149900</v>
      </c>
      <c r="N25" s="28" t="s">
        <v>2826</v>
      </c>
      <c r="O25" s="28" t="s">
        <v>3212</v>
      </c>
      <c r="P25" s="28" t="s">
        <v>2826</v>
      </c>
    </row>
    <row r="26" spans="1:16" x14ac:dyDescent="0.3">
      <c r="A26" s="28" t="s">
        <v>3225</v>
      </c>
      <c r="B26" s="26">
        <v>46108</v>
      </c>
      <c r="C26" s="26">
        <v>46113</v>
      </c>
      <c r="D26" s="48">
        <v>3319</v>
      </c>
      <c r="E26" s="48">
        <v>327</v>
      </c>
      <c r="F26" s="28">
        <v>2</v>
      </c>
      <c r="G26" s="28">
        <v>1</v>
      </c>
      <c r="H26" s="28">
        <v>81778</v>
      </c>
      <c r="I26" s="28" t="s">
        <v>17</v>
      </c>
      <c r="J26" s="28">
        <v>54500575</v>
      </c>
      <c r="K26" s="28" t="s">
        <v>2764</v>
      </c>
      <c r="L26" t="s">
        <v>2766</v>
      </c>
      <c r="M26" s="37">
        <v>149900</v>
      </c>
      <c r="N26" s="28" t="s">
        <v>2826</v>
      </c>
      <c r="O26" s="28" t="s">
        <v>3212</v>
      </c>
      <c r="P26" s="28" t="s">
        <v>2826</v>
      </c>
    </row>
    <row r="27" spans="1:16" x14ac:dyDescent="0.3">
      <c r="A27" s="28" t="s">
        <v>3225</v>
      </c>
      <c r="B27" s="26">
        <v>46108</v>
      </c>
      <c r="C27" s="26">
        <v>46113</v>
      </c>
      <c r="D27" s="48">
        <v>3319</v>
      </c>
      <c r="E27" s="48">
        <v>327</v>
      </c>
      <c r="F27" s="28">
        <v>2</v>
      </c>
      <c r="G27" s="28">
        <v>1</v>
      </c>
      <c r="H27" s="28">
        <v>81778</v>
      </c>
      <c r="I27" s="28" t="s">
        <v>17</v>
      </c>
      <c r="J27" s="28">
        <v>54500584</v>
      </c>
      <c r="K27" s="28" t="s">
        <v>2764</v>
      </c>
      <c r="L27" t="s">
        <v>2767</v>
      </c>
      <c r="M27" s="37">
        <v>149900</v>
      </c>
      <c r="N27" s="28" t="s">
        <v>2826</v>
      </c>
      <c r="O27" s="28" t="s">
        <v>3212</v>
      </c>
      <c r="P27" s="28" t="s">
        <v>2826</v>
      </c>
    </row>
    <row r="28" spans="1:16" x14ac:dyDescent="0.3">
      <c r="A28" s="28" t="s">
        <v>3225</v>
      </c>
      <c r="B28" s="26">
        <v>46108</v>
      </c>
      <c r="C28" s="26">
        <v>46113</v>
      </c>
      <c r="D28" s="48">
        <v>3319</v>
      </c>
      <c r="E28" s="48">
        <v>327</v>
      </c>
      <c r="F28" s="28">
        <v>2</v>
      </c>
      <c r="G28" s="28">
        <v>1</v>
      </c>
      <c r="H28" s="28">
        <v>81778</v>
      </c>
      <c r="I28" s="28" t="s">
        <v>17</v>
      </c>
      <c r="J28" s="28">
        <v>54500593</v>
      </c>
      <c r="K28" s="28" t="s">
        <v>2764</v>
      </c>
      <c r="L28" t="s">
        <v>2768</v>
      </c>
      <c r="M28" s="37">
        <v>149900</v>
      </c>
      <c r="N28" s="28" t="s">
        <v>2826</v>
      </c>
      <c r="O28" s="28" t="s">
        <v>3212</v>
      </c>
      <c r="P28" s="28" t="s">
        <v>2826</v>
      </c>
    </row>
    <row r="29" spans="1:16" x14ac:dyDescent="0.3">
      <c r="A29" s="28" t="s">
        <v>3225</v>
      </c>
      <c r="B29" s="26">
        <v>46108</v>
      </c>
      <c r="C29" s="26">
        <v>46113</v>
      </c>
      <c r="D29" s="48">
        <v>3319</v>
      </c>
      <c r="E29" s="48">
        <v>327</v>
      </c>
      <c r="F29" s="28">
        <v>2</v>
      </c>
      <c r="G29" s="28">
        <v>1</v>
      </c>
      <c r="H29" s="28">
        <v>81778</v>
      </c>
      <c r="I29" s="28" t="s">
        <v>17</v>
      </c>
      <c r="J29" s="28">
        <v>54500600</v>
      </c>
      <c r="K29" s="28" t="s">
        <v>2764</v>
      </c>
      <c r="L29" t="s">
        <v>2769</v>
      </c>
      <c r="M29" s="37">
        <v>149900</v>
      </c>
      <c r="N29" s="28" t="s">
        <v>2826</v>
      </c>
      <c r="O29" s="28" t="s">
        <v>3212</v>
      </c>
      <c r="P29" s="28" t="s">
        <v>2826</v>
      </c>
    </row>
    <row r="30" spans="1:16" x14ac:dyDescent="0.3">
      <c r="A30" s="28" t="s">
        <v>3225</v>
      </c>
      <c r="B30" s="26">
        <v>46108</v>
      </c>
      <c r="C30" s="26">
        <v>46113</v>
      </c>
      <c r="D30" s="48">
        <v>3319</v>
      </c>
      <c r="E30" s="48">
        <v>327</v>
      </c>
      <c r="F30" s="28">
        <v>2</v>
      </c>
      <c r="G30" s="28">
        <v>1</v>
      </c>
      <c r="H30" s="28">
        <v>81778</v>
      </c>
      <c r="I30" s="28" t="s">
        <v>17</v>
      </c>
      <c r="J30" s="28">
        <v>54500619</v>
      </c>
      <c r="K30" s="28" t="s">
        <v>2770</v>
      </c>
      <c r="L30" t="s">
        <v>2771</v>
      </c>
      <c r="M30" s="37">
        <v>149900</v>
      </c>
      <c r="N30" s="28" t="s">
        <v>2826</v>
      </c>
      <c r="O30" s="28" t="s">
        <v>3212</v>
      </c>
      <c r="P30" s="28" t="s">
        <v>2826</v>
      </c>
    </row>
    <row r="31" spans="1:16" x14ac:dyDescent="0.3">
      <c r="A31" s="28" t="s">
        <v>3225</v>
      </c>
      <c r="B31" s="26">
        <v>46108</v>
      </c>
      <c r="C31" s="26">
        <v>46113</v>
      </c>
      <c r="D31" s="48">
        <v>3319</v>
      </c>
      <c r="E31" s="48">
        <v>327</v>
      </c>
      <c r="F31" s="28">
        <v>2</v>
      </c>
      <c r="G31" s="28">
        <v>1</v>
      </c>
      <c r="H31" s="28">
        <v>81778</v>
      </c>
      <c r="I31" s="28" t="s">
        <v>17</v>
      </c>
      <c r="J31" s="28">
        <v>54500628</v>
      </c>
      <c r="K31" s="28" t="s">
        <v>2770</v>
      </c>
      <c r="L31" t="s">
        <v>2772</v>
      </c>
      <c r="M31" s="37">
        <v>149900</v>
      </c>
      <c r="N31" s="28" t="s">
        <v>2826</v>
      </c>
      <c r="O31" s="28" t="s">
        <v>3212</v>
      </c>
      <c r="P31" s="28" t="s">
        <v>2826</v>
      </c>
    </row>
    <row r="32" spans="1:16" x14ac:dyDescent="0.3">
      <c r="A32" s="28" t="s">
        <v>3225</v>
      </c>
      <c r="B32" s="26">
        <v>46108</v>
      </c>
      <c r="C32" s="26">
        <v>46113</v>
      </c>
      <c r="D32" s="48">
        <v>3319</v>
      </c>
      <c r="E32" s="48">
        <v>327</v>
      </c>
      <c r="F32" s="28">
        <v>2</v>
      </c>
      <c r="G32" s="28">
        <v>1</v>
      </c>
      <c r="H32" s="28">
        <v>81778</v>
      </c>
      <c r="I32" s="28" t="s">
        <v>17</v>
      </c>
      <c r="J32" s="28">
        <v>54500637</v>
      </c>
      <c r="K32" s="28" t="s">
        <v>2770</v>
      </c>
      <c r="L32" t="s">
        <v>2773</v>
      </c>
      <c r="M32" s="37">
        <v>149900</v>
      </c>
      <c r="N32" s="28" t="s">
        <v>2826</v>
      </c>
      <c r="O32" s="28" t="s">
        <v>3212</v>
      </c>
      <c r="P32" s="28" t="s">
        <v>2826</v>
      </c>
    </row>
    <row r="33" spans="1:16" x14ac:dyDescent="0.3">
      <c r="A33" s="28" t="s">
        <v>3225</v>
      </c>
      <c r="B33" s="26">
        <v>46108</v>
      </c>
      <c r="C33" s="26">
        <v>46113</v>
      </c>
      <c r="D33" s="48">
        <v>3319</v>
      </c>
      <c r="E33" s="48">
        <v>327</v>
      </c>
      <c r="F33" s="28">
        <v>2</v>
      </c>
      <c r="G33" s="28">
        <v>1</v>
      </c>
      <c r="H33" s="28">
        <v>81778</v>
      </c>
      <c r="I33" s="28" t="s">
        <v>17</v>
      </c>
      <c r="J33" s="28">
        <v>54500646</v>
      </c>
      <c r="K33" s="28" t="s">
        <v>2770</v>
      </c>
      <c r="L33" t="s">
        <v>2774</v>
      </c>
      <c r="M33" s="37">
        <v>149900</v>
      </c>
      <c r="N33" s="28" t="s">
        <v>2826</v>
      </c>
      <c r="O33" s="28" t="s">
        <v>3212</v>
      </c>
      <c r="P33" s="28" t="s">
        <v>2826</v>
      </c>
    </row>
    <row r="34" spans="1:16" x14ac:dyDescent="0.3">
      <c r="A34" s="28" t="s">
        <v>3225</v>
      </c>
      <c r="B34" s="26">
        <v>46108</v>
      </c>
      <c r="C34" s="26">
        <v>46113</v>
      </c>
      <c r="D34" s="48">
        <v>3319</v>
      </c>
      <c r="E34" s="48">
        <v>327</v>
      </c>
      <c r="F34" s="28">
        <v>2</v>
      </c>
      <c r="G34" s="28">
        <v>1</v>
      </c>
      <c r="H34" s="28">
        <v>81778</v>
      </c>
      <c r="I34" s="28" t="s">
        <v>17</v>
      </c>
      <c r="J34" s="28">
        <v>54500655</v>
      </c>
      <c r="K34" s="28" t="s">
        <v>2770</v>
      </c>
      <c r="L34" t="s">
        <v>2775</v>
      </c>
      <c r="M34" s="37">
        <v>149900</v>
      </c>
      <c r="N34" s="28" t="s">
        <v>2826</v>
      </c>
      <c r="O34" s="28" t="s">
        <v>3212</v>
      </c>
      <c r="P34" s="28" t="s">
        <v>2826</v>
      </c>
    </row>
    <row r="35" spans="1:16" x14ac:dyDescent="0.3">
      <c r="A35" s="28" t="s">
        <v>3225</v>
      </c>
      <c r="B35" s="26">
        <v>46108</v>
      </c>
      <c r="C35" s="26">
        <v>46113</v>
      </c>
      <c r="D35" s="48">
        <v>3319</v>
      </c>
      <c r="E35" s="48">
        <v>327</v>
      </c>
      <c r="F35" s="28">
        <v>2</v>
      </c>
      <c r="G35" s="28">
        <v>1</v>
      </c>
      <c r="H35" s="28">
        <v>81778</v>
      </c>
      <c r="I35" s="28" t="s">
        <v>17</v>
      </c>
      <c r="J35" s="28">
        <v>54500664</v>
      </c>
      <c r="K35" s="28" t="s">
        <v>2780</v>
      </c>
      <c r="L35" t="s">
        <v>2781</v>
      </c>
      <c r="M35" s="37">
        <v>149900</v>
      </c>
      <c r="N35" s="28" t="s">
        <v>2826</v>
      </c>
      <c r="O35" s="28" t="s">
        <v>3212</v>
      </c>
      <c r="P35" s="28" t="s">
        <v>2826</v>
      </c>
    </row>
    <row r="36" spans="1:16" x14ac:dyDescent="0.3">
      <c r="A36" s="28" t="s">
        <v>3225</v>
      </c>
      <c r="B36" s="26">
        <v>46108</v>
      </c>
      <c r="C36" s="26">
        <v>46113</v>
      </c>
      <c r="D36" s="48">
        <v>3319</v>
      </c>
      <c r="E36" s="48">
        <v>327</v>
      </c>
      <c r="F36" s="28">
        <v>2</v>
      </c>
      <c r="G36" s="28">
        <v>1</v>
      </c>
      <c r="H36" s="28">
        <v>81778</v>
      </c>
      <c r="I36" s="28" t="s">
        <v>17</v>
      </c>
      <c r="J36" s="28">
        <v>54500673</v>
      </c>
      <c r="K36" s="28" t="s">
        <v>2780</v>
      </c>
      <c r="L36" t="s">
        <v>2782</v>
      </c>
      <c r="M36" s="37">
        <v>149900</v>
      </c>
      <c r="N36" s="28" t="s">
        <v>2826</v>
      </c>
      <c r="O36" s="28" t="s">
        <v>3212</v>
      </c>
      <c r="P36" s="28" t="s">
        <v>2826</v>
      </c>
    </row>
    <row r="37" spans="1:16" x14ac:dyDescent="0.3">
      <c r="A37" s="28" t="s">
        <v>3225</v>
      </c>
      <c r="B37" s="26">
        <v>46108</v>
      </c>
      <c r="C37" s="26">
        <v>46113</v>
      </c>
      <c r="D37" s="48">
        <v>3319</v>
      </c>
      <c r="E37" s="48">
        <v>327</v>
      </c>
      <c r="F37" s="28">
        <v>2</v>
      </c>
      <c r="G37" s="28">
        <v>1</v>
      </c>
      <c r="H37" s="28">
        <v>81778</v>
      </c>
      <c r="I37" s="28" t="s">
        <v>17</v>
      </c>
      <c r="J37" s="28">
        <v>54500682</v>
      </c>
      <c r="K37" s="28" t="s">
        <v>2780</v>
      </c>
      <c r="L37" t="s">
        <v>2783</v>
      </c>
      <c r="M37" s="37">
        <v>149900</v>
      </c>
      <c r="N37" s="28" t="s">
        <v>2826</v>
      </c>
      <c r="O37" s="28" t="s">
        <v>3212</v>
      </c>
      <c r="P37" s="28" t="s">
        <v>2826</v>
      </c>
    </row>
    <row r="38" spans="1:16" x14ac:dyDescent="0.3">
      <c r="A38" s="28" t="s">
        <v>3225</v>
      </c>
      <c r="B38" s="26">
        <v>46108</v>
      </c>
      <c r="C38" s="26">
        <v>46113</v>
      </c>
      <c r="D38" s="48">
        <v>3319</v>
      </c>
      <c r="E38" s="48">
        <v>327</v>
      </c>
      <c r="F38" s="28">
        <v>2</v>
      </c>
      <c r="G38" s="28">
        <v>1</v>
      </c>
      <c r="H38" s="28">
        <v>81778</v>
      </c>
      <c r="I38" s="28" t="s">
        <v>17</v>
      </c>
      <c r="J38" s="28">
        <v>54500691</v>
      </c>
      <c r="K38" s="28" t="s">
        <v>2780</v>
      </c>
      <c r="L38" t="s">
        <v>2784</v>
      </c>
      <c r="M38" s="37">
        <v>149900</v>
      </c>
      <c r="N38" s="28" t="s">
        <v>2826</v>
      </c>
      <c r="O38" s="28" t="s">
        <v>3212</v>
      </c>
      <c r="P38" s="28" t="s">
        <v>2826</v>
      </c>
    </row>
    <row r="39" spans="1:16" x14ac:dyDescent="0.3">
      <c r="A39" s="28" t="s">
        <v>3225</v>
      </c>
      <c r="B39" s="26">
        <v>46108</v>
      </c>
      <c r="C39" s="26">
        <v>46113</v>
      </c>
      <c r="D39" s="48">
        <v>3319</v>
      </c>
      <c r="E39" s="48">
        <v>327</v>
      </c>
      <c r="F39" s="28">
        <v>2</v>
      </c>
      <c r="G39" s="28">
        <v>1</v>
      </c>
      <c r="H39" s="28">
        <v>81778</v>
      </c>
      <c r="I39" s="28" t="s">
        <v>17</v>
      </c>
      <c r="J39" s="28">
        <v>54500708</v>
      </c>
      <c r="K39" s="28" t="s">
        <v>2780</v>
      </c>
      <c r="L39" t="s">
        <v>2785</v>
      </c>
      <c r="M39" s="37">
        <v>149900</v>
      </c>
      <c r="N39" s="28" t="s">
        <v>2826</v>
      </c>
      <c r="O39" s="28" t="s">
        <v>3212</v>
      </c>
      <c r="P39" s="28" t="s">
        <v>2826</v>
      </c>
    </row>
    <row r="40" spans="1:16" x14ac:dyDescent="0.3">
      <c r="A40" s="28" t="s">
        <v>3225</v>
      </c>
      <c r="B40" s="26">
        <v>46108</v>
      </c>
      <c r="C40" s="26">
        <v>46113</v>
      </c>
      <c r="D40" s="48">
        <v>3319</v>
      </c>
      <c r="E40" s="48">
        <v>327</v>
      </c>
      <c r="F40" s="28">
        <v>2</v>
      </c>
      <c r="G40" s="28">
        <v>1</v>
      </c>
      <c r="H40" s="28">
        <v>81778</v>
      </c>
      <c r="I40" s="28" t="s">
        <v>17</v>
      </c>
      <c r="J40" s="28">
        <v>54500717</v>
      </c>
      <c r="K40" s="28" t="s">
        <v>2786</v>
      </c>
      <c r="L40" t="s">
        <v>2787</v>
      </c>
      <c r="M40" s="37">
        <v>149900</v>
      </c>
      <c r="N40" s="28" t="s">
        <v>2826</v>
      </c>
      <c r="O40" s="28" t="s">
        <v>3212</v>
      </c>
      <c r="P40" s="28" t="s">
        <v>2826</v>
      </c>
    </row>
    <row r="41" spans="1:16" x14ac:dyDescent="0.3">
      <c r="A41" s="28" t="s">
        <v>3225</v>
      </c>
      <c r="B41" s="26">
        <v>46108</v>
      </c>
      <c r="C41" s="26">
        <v>46113</v>
      </c>
      <c r="D41" s="48">
        <v>3319</v>
      </c>
      <c r="E41" s="48">
        <v>327</v>
      </c>
      <c r="F41" s="28">
        <v>2</v>
      </c>
      <c r="G41" s="28">
        <v>1</v>
      </c>
      <c r="H41" s="28">
        <v>81778</v>
      </c>
      <c r="I41" s="28" t="s">
        <v>17</v>
      </c>
      <c r="J41" s="28">
        <v>54500726</v>
      </c>
      <c r="K41" s="28" t="s">
        <v>2786</v>
      </c>
      <c r="L41" t="s">
        <v>2788</v>
      </c>
      <c r="M41" s="37">
        <v>149900</v>
      </c>
      <c r="N41" s="28" t="s">
        <v>2826</v>
      </c>
      <c r="O41" s="28" t="s">
        <v>3212</v>
      </c>
      <c r="P41" s="28" t="s">
        <v>2826</v>
      </c>
    </row>
    <row r="42" spans="1:16" x14ac:dyDescent="0.3">
      <c r="A42" s="28" t="s">
        <v>3225</v>
      </c>
      <c r="B42" s="26">
        <v>46108</v>
      </c>
      <c r="C42" s="26">
        <v>46113</v>
      </c>
      <c r="D42" s="48">
        <v>3319</v>
      </c>
      <c r="E42" s="48">
        <v>327</v>
      </c>
      <c r="F42" s="28">
        <v>2</v>
      </c>
      <c r="G42" s="28">
        <v>1</v>
      </c>
      <c r="H42" s="28">
        <v>81778</v>
      </c>
      <c r="I42" s="28" t="s">
        <v>17</v>
      </c>
      <c r="J42" s="28">
        <v>54500735</v>
      </c>
      <c r="K42" s="28" t="s">
        <v>2786</v>
      </c>
      <c r="L42" t="s">
        <v>2789</v>
      </c>
      <c r="M42" s="37">
        <v>149900</v>
      </c>
      <c r="N42" s="28" t="s">
        <v>2826</v>
      </c>
      <c r="O42" s="28" t="s">
        <v>3212</v>
      </c>
      <c r="P42" s="28" t="s">
        <v>2826</v>
      </c>
    </row>
    <row r="43" spans="1:16" x14ac:dyDescent="0.3">
      <c r="A43" s="28" t="s">
        <v>3225</v>
      </c>
      <c r="B43" s="26">
        <v>46108</v>
      </c>
      <c r="C43" s="26">
        <v>46113</v>
      </c>
      <c r="D43" s="48">
        <v>3319</v>
      </c>
      <c r="E43" s="48">
        <v>327</v>
      </c>
      <c r="F43" s="28">
        <v>2</v>
      </c>
      <c r="G43" s="28">
        <v>1</v>
      </c>
      <c r="H43" s="28">
        <v>81778</v>
      </c>
      <c r="I43" s="28" t="s">
        <v>17</v>
      </c>
      <c r="J43" s="28">
        <v>54500744</v>
      </c>
      <c r="K43" s="28" t="s">
        <v>2786</v>
      </c>
      <c r="L43" t="s">
        <v>2790</v>
      </c>
      <c r="M43" s="37">
        <v>149900</v>
      </c>
      <c r="N43" s="28" t="s">
        <v>2826</v>
      </c>
      <c r="O43" s="28" t="s">
        <v>3212</v>
      </c>
      <c r="P43" s="28" t="s">
        <v>2826</v>
      </c>
    </row>
    <row r="44" spans="1:16" x14ac:dyDescent="0.3">
      <c r="A44" s="28" t="s">
        <v>3225</v>
      </c>
      <c r="B44" s="26">
        <v>46108</v>
      </c>
      <c r="C44" s="26">
        <v>46113</v>
      </c>
      <c r="D44" s="48">
        <v>3319</v>
      </c>
      <c r="E44" s="48">
        <v>327</v>
      </c>
      <c r="F44" s="28">
        <v>2</v>
      </c>
      <c r="G44" s="28">
        <v>1</v>
      </c>
      <c r="H44" s="28">
        <v>81778</v>
      </c>
      <c r="I44" s="28" t="s">
        <v>17</v>
      </c>
      <c r="J44" s="28">
        <v>54500753</v>
      </c>
      <c r="K44" s="28" t="s">
        <v>2786</v>
      </c>
      <c r="L44" t="s">
        <v>2791</v>
      </c>
      <c r="M44" s="37">
        <v>149900</v>
      </c>
      <c r="N44" s="28" t="s">
        <v>2826</v>
      </c>
      <c r="O44" s="28" t="s">
        <v>3212</v>
      </c>
      <c r="P44" s="28" t="s">
        <v>2826</v>
      </c>
    </row>
    <row r="45" spans="1:16" x14ac:dyDescent="0.3">
      <c r="A45" s="28" t="s">
        <v>3225</v>
      </c>
      <c r="B45" s="26">
        <v>46108</v>
      </c>
      <c r="C45" s="26">
        <v>46113</v>
      </c>
      <c r="D45" s="48">
        <v>3319</v>
      </c>
      <c r="E45" s="48">
        <v>327</v>
      </c>
      <c r="F45" s="28">
        <v>2</v>
      </c>
      <c r="G45" s="28">
        <v>1</v>
      </c>
      <c r="H45" s="28">
        <v>81778</v>
      </c>
      <c r="I45" s="28" t="s">
        <v>17</v>
      </c>
      <c r="J45" s="28">
        <v>22704307</v>
      </c>
      <c r="K45" s="28" t="s">
        <v>2702</v>
      </c>
      <c r="L45" t="s">
        <v>2806</v>
      </c>
      <c r="M45" s="37">
        <v>149900</v>
      </c>
      <c r="N45" s="28" t="s">
        <v>2826</v>
      </c>
      <c r="O45" s="28" t="s">
        <v>3212</v>
      </c>
      <c r="P45" s="28" t="s">
        <v>2826</v>
      </c>
    </row>
    <row r="46" spans="1:16" x14ac:dyDescent="0.3">
      <c r="A46" s="28" t="s">
        <v>3225</v>
      </c>
      <c r="B46" s="26">
        <v>46108</v>
      </c>
      <c r="C46" s="26">
        <v>46113</v>
      </c>
      <c r="D46" s="48">
        <v>3319</v>
      </c>
      <c r="E46" s="48">
        <v>327</v>
      </c>
      <c r="F46" s="28">
        <v>2</v>
      </c>
      <c r="G46" s="28">
        <v>1</v>
      </c>
      <c r="H46" s="28">
        <v>81778</v>
      </c>
      <c r="I46" s="28" t="s">
        <v>17</v>
      </c>
      <c r="J46" s="28">
        <v>22704370</v>
      </c>
      <c r="K46" s="28" t="s">
        <v>2702</v>
      </c>
      <c r="L46" t="s">
        <v>2805</v>
      </c>
      <c r="M46" s="37">
        <v>149900</v>
      </c>
      <c r="N46" s="28" t="s">
        <v>2826</v>
      </c>
      <c r="O46" s="28" t="s">
        <v>3212</v>
      </c>
      <c r="P46" s="28" t="s">
        <v>2826</v>
      </c>
    </row>
    <row r="47" spans="1:16" x14ac:dyDescent="0.3">
      <c r="A47" s="28" t="s">
        <v>3225</v>
      </c>
      <c r="B47" s="26">
        <v>46108</v>
      </c>
      <c r="C47" s="26">
        <v>46113</v>
      </c>
      <c r="D47" s="48">
        <v>3319</v>
      </c>
      <c r="E47" s="48">
        <v>327</v>
      </c>
      <c r="F47" s="28">
        <v>2</v>
      </c>
      <c r="G47" s="28">
        <v>1</v>
      </c>
      <c r="H47" s="28">
        <v>81778</v>
      </c>
      <c r="I47" s="28" t="s">
        <v>17</v>
      </c>
      <c r="J47" s="28">
        <v>22704389</v>
      </c>
      <c r="K47" s="28" t="s">
        <v>2702</v>
      </c>
      <c r="L47" t="s">
        <v>2807</v>
      </c>
      <c r="M47" s="37">
        <v>149900</v>
      </c>
      <c r="N47" s="28" t="s">
        <v>2826</v>
      </c>
      <c r="O47" s="28" t="s">
        <v>3212</v>
      </c>
      <c r="P47" s="28" t="s">
        <v>2826</v>
      </c>
    </row>
    <row r="48" spans="1:16" x14ac:dyDescent="0.3">
      <c r="A48" s="28" t="s">
        <v>3225</v>
      </c>
      <c r="B48" s="26">
        <v>46108</v>
      </c>
      <c r="C48" s="26">
        <v>46113</v>
      </c>
      <c r="D48" s="48">
        <v>3319</v>
      </c>
      <c r="E48" s="48">
        <v>327</v>
      </c>
      <c r="F48" s="28">
        <v>2</v>
      </c>
      <c r="G48" s="28">
        <v>1</v>
      </c>
      <c r="H48" s="28">
        <v>81778</v>
      </c>
      <c r="I48" s="28" t="s">
        <v>17</v>
      </c>
      <c r="J48" s="28">
        <v>22704398</v>
      </c>
      <c r="K48" s="28" t="s">
        <v>2702</v>
      </c>
      <c r="L48" t="s">
        <v>2804</v>
      </c>
      <c r="M48" s="37">
        <v>149900</v>
      </c>
      <c r="N48" s="28" t="s">
        <v>2826</v>
      </c>
      <c r="O48" s="28" t="s">
        <v>3212</v>
      </c>
      <c r="P48" s="28" t="s">
        <v>2826</v>
      </c>
    </row>
    <row r="49" spans="1:16" x14ac:dyDescent="0.3">
      <c r="A49" s="28" t="s">
        <v>3225</v>
      </c>
      <c r="B49" s="26">
        <v>46108</v>
      </c>
      <c r="C49" s="26">
        <v>46113</v>
      </c>
      <c r="D49" s="48">
        <v>3319</v>
      </c>
      <c r="E49" s="48">
        <v>327</v>
      </c>
      <c r="F49" s="28">
        <v>2</v>
      </c>
      <c r="G49" s="28">
        <v>1</v>
      </c>
      <c r="H49" s="28">
        <v>81778</v>
      </c>
      <c r="I49" s="28" t="s">
        <v>17</v>
      </c>
      <c r="J49" s="28">
        <v>22704405</v>
      </c>
      <c r="K49" s="28" t="s">
        <v>2702</v>
      </c>
      <c r="L49" t="s">
        <v>2803</v>
      </c>
      <c r="M49" s="37">
        <v>149900</v>
      </c>
      <c r="N49" s="28" t="s">
        <v>2826</v>
      </c>
      <c r="O49" s="28" t="s">
        <v>3212</v>
      </c>
      <c r="P49" s="28" t="s">
        <v>2826</v>
      </c>
    </row>
    <row r="50" spans="1:16" x14ac:dyDescent="0.3">
      <c r="A50" s="28" t="s">
        <v>3225</v>
      </c>
      <c r="B50" s="26">
        <v>46108</v>
      </c>
      <c r="C50" s="26">
        <v>46113</v>
      </c>
      <c r="D50" s="48">
        <v>3319</v>
      </c>
      <c r="E50" s="48">
        <v>327</v>
      </c>
      <c r="F50" s="28">
        <v>2</v>
      </c>
      <c r="G50" s="28">
        <v>1</v>
      </c>
      <c r="H50" s="28">
        <v>80700</v>
      </c>
      <c r="I50" s="28" t="s">
        <v>17</v>
      </c>
      <c r="J50" s="28">
        <v>52703458</v>
      </c>
      <c r="K50" s="28" t="s">
        <v>2627</v>
      </c>
      <c r="L50" t="s">
        <v>2628</v>
      </c>
      <c r="M50" s="37">
        <v>129900</v>
      </c>
      <c r="N50" s="28" t="s">
        <v>2826</v>
      </c>
      <c r="O50" s="28" t="s">
        <v>3212</v>
      </c>
      <c r="P50" s="28" t="s">
        <v>2826</v>
      </c>
    </row>
    <row r="51" spans="1:16" x14ac:dyDescent="0.3">
      <c r="A51" s="28" t="s">
        <v>3225</v>
      </c>
      <c r="B51" s="26">
        <v>46108</v>
      </c>
      <c r="C51" s="26">
        <v>46113</v>
      </c>
      <c r="D51" s="48">
        <v>3319</v>
      </c>
      <c r="E51" s="48">
        <v>327</v>
      </c>
      <c r="F51" s="28">
        <v>2</v>
      </c>
      <c r="G51" s="28">
        <v>1</v>
      </c>
      <c r="H51" s="28">
        <v>80700</v>
      </c>
      <c r="I51" s="28" t="s">
        <v>17</v>
      </c>
      <c r="J51" s="28">
        <v>52703449</v>
      </c>
      <c r="K51" s="28" t="s">
        <v>2627</v>
      </c>
      <c r="L51" t="s">
        <v>2631</v>
      </c>
      <c r="M51" s="37">
        <v>129900</v>
      </c>
      <c r="N51" s="28" t="s">
        <v>2826</v>
      </c>
      <c r="O51" s="28" t="s">
        <v>3212</v>
      </c>
      <c r="P51" s="28" t="s">
        <v>2826</v>
      </c>
    </row>
    <row r="52" spans="1:16" x14ac:dyDescent="0.3">
      <c r="A52" s="28" t="s">
        <v>3225</v>
      </c>
      <c r="B52" s="26">
        <v>46108</v>
      </c>
      <c r="C52" s="26">
        <v>46113</v>
      </c>
      <c r="D52" s="48">
        <v>3319</v>
      </c>
      <c r="E52" s="48">
        <v>327</v>
      </c>
      <c r="F52" s="28">
        <v>2</v>
      </c>
      <c r="G52" s="28">
        <v>1</v>
      </c>
      <c r="H52" s="28">
        <v>80700</v>
      </c>
      <c r="I52" s="28" t="s">
        <v>17</v>
      </c>
      <c r="J52" s="28">
        <v>52703467</v>
      </c>
      <c r="K52" s="28" t="s">
        <v>2627</v>
      </c>
      <c r="L52" t="s">
        <v>2632</v>
      </c>
      <c r="M52" s="37">
        <v>129900</v>
      </c>
      <c r="N52" s="28" t="s">
        <v>2826</v>
      </c>
      <c r="O52" s="28" t="s">
        <v>3212</v>
      </c>
      <c r="P52" s="28" t="s">
        <v>2826</v>
      </c>
    </row>
    <row r="53" spans="1:16" x14ac:dyDescent="0.3">
      <c r="A53" s="28" t="s">
        <v>3225</v>
      </c>
      <c r="B53" s="26">
        <v>46108</v>
      </c>
      <c r="C53" s="26">
        <v>46113</v>
      </c>
      <c r="D53" s="48">
        <v>3319</v>
      </c>
      <c r="E53" s="48">
        <v>327</v>
      </c>
      <c r="F53" s="28">
        <v>2</v>
      </c>
      <c r="G53" s="28">
        <v>1</v>
      </c>
      <c r="H53" s="28">
        <v>80700</v>
      </c>
      <c r="I53" s="28" t="s">
        <v>17</v>
      </c>
      <c r="J53" s="28">
        <v>52703430</v>
      </c>
      <c r="K53" s="28" t="s">
        <v>2627</v>
      </c>
      <c r="L53" t="s">
        <v>2640</v>
      </c>
      <c r="M53" s="37">
        <v>129900</v>
      </c>
      <c r="N53" s="28" t="s">
        <v>2826</v>
      </c>
      <c r="O53" s="28" t="s">
        <v>3212</v>
      </c>
      <c r="P53" s="28" t="s">
        <v>2826</v>
      </c>
    </row>
    <row r="54" spans="1:16" x14ac:dyDescent="0.3">
      <c r="A54" s="28" t="s">
        <v>3225</v>
      </c>
      <c r="B54" s="26">
        <v>46108</v>
      </c>
      <c r="C54" s="26">
        <v>46113</v>
      </c>
      <c r="D54" s="48">
        <v>3319</v>
      </c>
      <c r="E54" s="48">
        <v>327</v>
      </c>
      <c r="F54" s="28">
        <v>2</v>
      </c>
      <c r="G54" s="28">
        <v>1</v>
      </c>
      <c r="H54" s="28">
        <v>80700</v>
      </c>
      <c r="I54" s="28" t="s">
        <v>17</v>
      </c>
      <c r="J54" s="28">
        <v>53692870</v>
      </c>
      <c r="K54" s="28" t="s">
        <v>2629</v>
      </c>
      <c r="L54" t="s">
        <v>2637</v>
      </c>
      <c r="M54" s="37">
        <v>149900</v>
      </c>
      <c r="N54" s="28" t="s">
        <v>2826</v>
      </c>
      <c r="O54" s="28" t="s">
        <v>3212</v>
      </c>
      <c r="P54" s="28" t="s">
        <v>2826</v>
      </c>
    </row>
    <row r="55" spans="1:16" x14ac:dyDescent="0.3">
      <c r="A55" s="28" t="s">
        <v>3225</v>
      </c>
      <c r="B55" s="26">
        <v>46108</v>
      </c>
      <c r="C55" s="26">
        <v>46113</v>
      </c>
      <c r="D55" s="48">
        <v>3319</v>
      </c>
      <c r="E55" s="48">
        <v>327</v>
      </c>
      <c r="F55" s="28">
        <v>2</v>
      </c>
      <c r="G55" s="28">
        <v>1</v>
      </c>
      <c r="H55" s="28">
        <v>80700</v>
      </c>
      <c r="I55" s="28" t="s">
        <v>17</v>
      </c>
      <c r="J55" s="28">
        <v>53692889</v>
      </c>
      <c r="K55" s="28" t="s">
        <v>2629</v>
      </c>
      <c r="L55" t="s">
        <v>2638</v>
      </c>
      <c r="M55" s="37">
        <v>149900</v>
      </c>
      <c r="N55" s="28" t="s">
        <v>2826</v>
      </c>
      <c r="O55" s="28" t="s">
        <v>3212</v>
      </c>
      <c r="P55" s="28" t="s">
        <v>2826</v>
      </c>
    </row>
    <row r="56" spans="1:16" x14ac:dyDescent="0.3">
      <c r="A56" s="28" t="s">
        <v>3225</v>
      </c>
      <c r="B56" s="26">
        <v>46108</v>
      </c>
      <c r="C56" s="26">
        <v>46113</v>
      </c>
      <c r="D56" s="48">
        <v>3319</v>
      </c>
      <c r="E56" s="48">
        <v>327</v>
      </c>
      <c r="F56" s="28">
        <v>2</v>
      </c>
      <c r="G56" s="28">
        <v>1</v>
      </c>
      <c r="H56" s="28">
        <v>80700</v>
      </c>
      <c r="I56" s="28" t="s">
        <v>17</v>
      </c>
      <c r="J56" s="28">
        <v>53692861</v>
      </c>
      <c r="K56" s="28" t="s">
        <v>2629</v>
      </c>
      <c r="L56" t="s">
        <v>2639</v>
      </c>
      <c r="M56" s="37">
        <v>149900</v>
      </c>
      <c r="N56" s="28" t="s">
        <v>2826</v>
      </c>
      <c r="O56" s="28" t="s">
        <v>3212</v>
      </c>
      <c r="P56" s="28" t="s">
        <v>2826</v>
      </c>
    </row>
    <row r="57" spans="1:16" x14ac:dyDescent="0.3">
      <c r="A57" s="28" t="s">
        <v>3225</v>
      </c>
      <c r="B57" s="26">
        <v>46108</v>
      </c>
      <c r="C57" s="26">
        <v>46113</v>
      </c>
      <c r="D57" s="48">
        <v>3319</v>
      </c>
      <c r="E57" s="48">
        <v>327</v>
      </c>
      <c r="F57" s="28">
        <v>2</v>
      </c>
      <c r="G57" s="28">
        <v>1</v>
      </c>
      <c r="H57" s="28">
        <v>80700</v>
      </c>
      <c r="I57" s="28" t="s">
        <v>17</v>
      </c>
      <c r="J57" s="28">
        <v>53692898</v>
      </c>
      <c r="K57" s="28" t="s">
        <v>2629</v>
      </c>
      <c r="L57" t="s">
        <v>2630</v>
      </c>
      <c r="M57" s="37">
        <v>149900</v>
      </c>
      <c r="N57" s="28" t="s">
        <v>2826</v>
      </c>
      <c r="O57" s="28" t="s">
        <v>3212</v>
      </c>
      <c r="P57" s="28" t="s">
        <v>2826</v>
      </c>
    </row>
    <row r="58" spans="1:16" x14ac:dyDescent="0.3">
      <c r="A58" s="28" t="s">
        <v>3225</v>
      </c>
      <c r="B58" s="26">
        <v>46108</v>
      </c>
      <c r="C58" s="26">
        <v>46113</v>
      </c>
      <c r="D58" s="48">
        <v>3319</v>
      </c>
      <c r="E58" s="48">
        <v>327</v>
      </c>
      <c r="F58" s="28">
        <v>2</v>
      </c>
      <c r="G58" s="28">
        <v>1</v>
      </c>
      <c r="H58" s="28">
        <v>81778</v>
      </c>
      <c r="I58" s="28" t="s">
        <v>17</v>
      </c>
      <c r="J58" s="28">
        <v>54568226</v>
      </c>
      <c r="K58" s="28" t="s">
        <v>1774</v>
      </c>
      <c r="L58" t="s">
        <v>2641</v>
      </c>
      <c r="M58" s="37">
        <v>149900</v>
      </c>
      <c r="N58" s="28" t="s">
        <v>2826</v>
      </c>
      <c r="O58" s="28" t="s">
        <v>3212</v>
      </c>
      <c r="P58" s="28" t="s">
        <v>2826</v>
      </c>
    </row>
    <row r="59" spans="1:16" x14ac:dyDescent="0.3">
      <c r="A59" s="28" t="s">
        <v>3225</v>
      </c>
      <c r="B59" s="26">
        <v>46108</v>
      </c>
      <c r="C59" s="26">
        <v>46113</v>
      </c>
      <c r="D59" s="48">
        <v>3319</v>
      </c>
      <c r="E59" s="48">
        <v>327</v>
      </c>
      <c r="F59" s="28">
        <v>2</v>
      </c>
      <c r="G59" s="28">
        <v>1</v>
      </c>
      <c r="H59" s="28">
        <v>81778</v>
      </c>
      <c r="I59" s="28" t="s">
        <v>17</v>
      </c>
      <c r="J59" s="28">
        <v>54568217</v>
      </c>
      <c r="K59" s="28" t="s">
        <v>1774</v>
      </c>
      <c r="L59" t="s">
        <v>2642</v>
      </c>
      <c r="M59" s="37">
        <v>149900</v>
      </c>
      <c r="N59" s="28" t="s">
        <v>2826</v>
      </c>
      <c r="O59" s="28" t="s">
        <v>3212</v>
      </c>
      <c r="P59" s="28" t="s">
        <v>2826</v>
      </c>
    </row>
    <row r="60" spans="1:16" x14ac:dyDescent="0.3">
      <c r="A60" s="28" t="s">
        <v>3225</v>
      </c>
      <c r="B60" s="26">
        <v>46108</v>
      </c>
      <c r="C60" s="26">
        <v>46113</v>
      </c>
      <c r="D60" s="48">
        <v>3319</v>
      </c>
      <c r="E60" s="48">
        <v>327</v>
      </c>
      <c r="F60" s="28">
        <v>2</v>
      </c>
      <c r="G60" s="28">
        <v>1</v>
      </c>
      <c r="H60" s="28">
        <v>81778</v>
      </c>
      <c r="I60" s="28" t="s">
        <v>17</v>
      </c>
      <c r="J60" s="28">
        <v>54568235</v>
      </c>
      <c r="K60" s="28" t="s">
        <v>1774</v>
      </c>
      <c r="L60" t="s">
        <v>2643</v>
      </c>
      <c r="M60" s="37">
        <v>149900</v>
      </c>
      <c r="N60" s="28" t="s">
        <v>2826</v>
      </c>
      <c r="O60" s="28" t="s">
        <v>3212</v>
      </c>
      <c r="P60" s="28" t="s">
        <v>2826</v>
      </c>
    </row>
    <row r="61" spans="1:16" x14ac:dyDescent="0.3">
      <c r="A61" s="28" t="s">
        <v>3225</v>
      </c>
      <c r="B61" s="26">
        <v>46108</v>
      </c>
      <c r="C61" s="26">
        <v>46113</v>
      </c>
      <c r="D61" s="48">
        <v>3319</v>
      </c>
      <c r="E61" s="48">
        <v>327</v>
      </c>
      <c r="F61" s="28">
        <v>2</v>
      </c>
      <c r="G61" s="28">
        <v>1</v>
      </c>
      <c r="H61" s="28">
        <v>81778</v>
      </c>
      <c r="I61" s="28" t="s">
        <v>17</v>
      </c>
      <c r="J61" s="28">
        <v>54568244</v>
      </c>
      <c r="K61" s="28" t="s">
        <v>1774</v>
      </c>
      <c r="L61" t="s">
        <v>2644</v>
      </c>
      <c r="M61" s="37">
        <v>149900</v>
      </c>
      <c r="N61" s="28" t="s">
        <v>2826</v>
      </c>
      <c r="O61" s="28" t="s">
        <v>3212</v>
      </c>
      <c r="P61" s="28" t="s">
        <v>2826</v>
      </c>
    </row>
    <row r="62" spans="1:16" x14ac:dyDescent="0.3">
      <c r="A62" s="28" t="s">
        <v>3225</v>
      </c>
      <c r="B62" s="26">
        <v>46108</v>
      </c>
      <c r="C62" s="26">
        <v>46113</v>
      </c>
      <c r="D62" s="48">
        <v>3319</v>
      </c>
      <c r="E62" s="48">
        <v>327</v>
      </c>
      <c r="F62" s="28">
        <v>2</v>
      </c>
      <c r="G62" s="28">
        <v>1</v>
      </c>
      <c r="H62" s="28">
        <v>81778</v>
      </c>
      <c r="I62" s="28" t="s">
        <v>17</v>
      </c>
      <c r="J62" s="28">
        <v>54568253</v>
      </c>
      <c r="K62" s="28" t="s">
        <v>1774</v>
      </c>
      <c r="L62" t="s">
        <v>2645</v>
      </c>
      <c r="M62" s="37">
        <v>149900</v>
      </c>
      <c r="N62" s="28" t="s">
        <v>2826</v>
      </c>
      <c r="O62" s="28" t="s">
        <v>3212</v>
      </c>
      <c r="P62" s="28" t="s">
        <v>2826</v>
      </c>
    </row>
    <row r="63" spans="1:16" x14ac:dyDescent="0.3">
      <c r="A63" s="28" t="s">
        <v>3225</v>
      </c>
      <c r="B63" s="26">
        <v>46108</v>
      </c>
      <c r="C63" s="26">
        <v>46113</v>
      </c>
      <c r="D63" s="48">
        <v>3319</v>
      </c>
      <c r="E63" s="48">
        <v>327</v>
      </c>
      <c r="F63" s="28">
        <v>2</v>
      </c>
      <c r="G63" s="28">
        <v>1</v>
      </c>
      <c r="H63" s="28">
        <v>81778</v>
      </c>
      <c r="I63" s="28" t="s">
        <v>17</v>
      </c>
      <c r="J63" s="28">
        <v>54568262</v>
      </c>
      <c r="K63" s="28" t="s">
        <v>1774</v>
      </c>
      <c r="L63" t="s">
        <v>2646</v>
      </c>
      <c r="M63" s="37">
        <v>149900</v>
      </c>
      <c r="N63" s="28" t="s">
        <v>2826</v>
      </c>
      <c r="O63" s="28" t="s">
        <v>3212</v>
      </c>
      <c r="P63" s="28" t="s">
        <v>2826</v>
      </c>
    </row>
    <row r="64" spans="1:16" x14ac:dyDescent="0.3">
      <c r="A64" s="28" t="s">
        <v>3225</v>
      </c>
      <c r="B64" s="26">
        <v>46108</v>
      </c>
      <c r="C64" s="26">
        <v>46113</v>
      </c>
      <c r="D64" s="48">
        <v>3319</v>
      </c>
      <c r="E64" s="48">
        <v>327</v>
      </c>
      <c r="F64" s="28">
        <v>2</v>
      </c>
      <c r="G64" s="28">
        <v>1</v>
      </c>
      <c r="H64" s="28">
        <v>81778</v>
      </c>
      <c r="I64" s="28" t="s">
        <v>17</v>
      </c>
      <c r="J64" s="28">
        <v>54568280</v>
      </c>
      <c r="K64" s="28" t="s">
        <v>1774</v>
      </c>
      <c r="L64" t="s">
        <v>2647</v>
      </c>
      <c r="M64" s="37">
        <v>149900</v>
      </c>
      <c r="N64" s="28" t="s">
        <v>2826</v>
      </c>
      <c r="O64" s="28" t="s">
        <v>3212</v>
      </c>
      <c r="P64" s="28" t="s">
        <v>2826</v>
      </c>
    </row>
    <row r="65" spans="1:16" x14ac:dyDescent="0.3">
      <c r="A65" s="28" t="s">
        <v>3225</v>
      </c>
      <c r="B65" s="26">
        <v>46108</v>
      </c>
      <c r="C65" s="26">
        <v>46113</v>
      </c>
      <c r="D65" s="48">
        <v>3319</v>
      </c>
      <c r="E65" s="48">
        <v>327</v>
      </c>
      <c r="F65" s="28">
        <v>2</v>
      </c>
      <c r="G65" s="28">
        <v>1</v>
      </c>
      <c r="H65" s="28">
        <v>81778</v>
      </c>
      <c r="I65" s="28" t="s">
        <v>17</v>
      </c>
      <c r="J65" s="28">
        <v>54568299</v>
      </c>
      <c r="K65" s="28" t="s">
        <v>1774</v>
      </c>
      <c r="L65" t="s">
        <v>2648</v>
      </c>
      <c r="M65" s="37">
        <v>149900</v>
      </c>
      <c r="N65" s="28" t="s">
        <v>2826</v>
      </c>
      <c r="O65" s="28" t="s">
        <v>3212</v>
      </c>
      <c r="P65" s="28" t="s">
        <v>2826</v>
      </c>
    </row>
    <row r="66" spans="1:16" x14ac:dyDescent="0.3">
      <c r="A66" s="28" t="s">
        <v>3225</v>
      </c>
      <c r="B66" s="26">
        <v>46108</v>
      </c>
      <c r="C66" s="26">
        <v>46113</v>
      </c>
      <c r="D66" s="48">
        <v>3319</v>
      </c>
      <c r="E66" s="48">
        <v>327</v>
      </c>
      <c r="F66" s="28">
        <v>2</v>
      </c>
      <c r="G66" s="28">
        <v>1</v>
      </c>
      <c r="H66" s="28">
        <v>81778</v>
      </c>
      <c r="I66" s="28" t="s">
        <v>17</v>
      </c>
      <c r="J66" s="28">
        <v>54568306</v>
      </c>
      <c r="K66" s="28" t="s">
        <v>1774</v>
      </c>
      <c r="L66" t="s">
        <v>2649</v>
      </c>
      <c r="M66" s="37">
        <v>149900</v>
      </c>
      <c r="N66" s="28" t="s">
        <v>2826</v>
      </c>
      <c r="O66" s="28" t="s">
        <v>3212</v>
      </c>
      <c r="P66" s="28" t="s">
        <v>2826</v>
      </c>
    </row>
    <row r="67" spans="1:16" x14ac:dyDescent="0.3">
      <c r="A67" s="28" t="s">
        <v>3225</v>
      </c>
      <c r="B67" s="26">
        <v>46108</v>
      </c>
      <c r="C67" s="26">
        <v>46113</v>
      </c>
      <c r="D67" s="48">
        <v>3319</v>
      </c>
      <c r="E67" s="48">
        <v>327</v>
      </c>
      <c r="F67" s="28">
        <v>2</v>
      </c>
      <c r="G67" s="28">
        <v>1</v>
      </c>
      <c r="H67" s="28">
        <v>81778</v>
      </c>
      <c r="I67" s="28" t="s">
        <v>17</v>
      </c>
      <c r="J67" s="28">
        <v>54568271</v>
      </c>
      <c r="K67" s="28" t="s">
        <v>1774</v>
      </c>
      <c r="L67" t="s">
        <v>2650</v>
      </c>
      <c r="M67" s="37">
        <v>149900</v>
      </c>
      <c r="N67" s="28" t="s">
        <v>2826</v>
      </c>
      <c r="O67" s="28" t="s">
        <v>3212</v>
      </c>
      <c r="P67" s="28" t="s">
        <v>2826</v>
      </c>
    </row>
    <row r="68" spans="1:16" x14ac:dyDescent="0.3">
      <c r="A68" s="28" t="s">
        <v>3225</v>
      </c>
      <c r="B68" s="26">
        <v>46108</v>
      </c>
      <c r="C68" s="26">
        <v>46113</v>
      </c>
      <c r="D68" s="48">
        <v>3319</v>
      </c>
      <c r="E68" s="48">
        <v>327</v>
      </c>
      <c r="F68" s="28">
        <v>2</v>
      </c>
      <c r="G68" s="28">
        <v>1</v>
      </c>
      <c r="H68" s="28">
        <v>81778</v>
      </c>
      <c r="I68" s="28" t="s">
        <v>17</v>
      </c>
      <c r="J68" s="28">
        <v>52703878</v>
      </c>
      <c r="K68" s="28" t="s">
        <v>2668</v>
      </c>
      <c r="L68" t="s">
        <v>2669</v>
      </c>
      <c r="M68" s="37">
        <v>149900</v>
      </c>
      <c r="N68" s="28" t="s">
        <v>2826</v>
      </c>
      <c r="O68" s="28" t="s">
        <v>3212</v>
      </c>
      <c r="P68" s="28" t="s">
        <v>2826</v>
      </c>
    </row>
    <row r="69" spans="1:16" x14ac:dyDescent="0.3">
      <c r="A69" s="28" t="s">
        <v>3225</v>
      </c>
      <c r="B69" s="26">
        <v>46108</v>
      </c>
      <c r="C69" s="26">
        <v>46113</v>
      </c>
      <c r="D69" s="48">
        <v>3319</v>
      </c>
      <c r="E69" s="48">
        <v>327</v>
      </c>
      <c r="F69" s="28">
        <v>2</v>
      </c>
      <c r="G69" s="28">
        <v>1</v>
      </c>
      <c r="H69" s="28">
        <v>81778</v>
      </c>
      <c r="I69" s="28" t="s">
        <v>17</v>
      </c>
      <c r="J69" s="28">
        <v>52703869</v>
      </c>
      <c r="K69" s="28" t="s">
        <v>2668</v>
      </c>
      <c r="L69" t="s">
        <v>2670</v>
      </c>
      <c r="M69" s="37">
        <v>149900</v>
      </c>
      <c r="N69" s="28" t="s">
        <v>2826</v>
      </c>
      <c r="O69" s="28" t="s">
        <v>3212</v>
      </c>
      <c r="P69" s="28" t="s">
        <v>2826</v>
      </c>
    </row>
    <row r="70" spans="1:16" x14ac:dyDescent="0.3">
      <c r="A70" s="28" t="s">
        <v>3225</v>
      </c>
      <c r="B70" s="26">
        <v>46108</v>
      </c>
      <c r="C70" s="26">
        <v>46113</v>
      </c>
      <c r="D70" s="48">
        <v>3319</v>
      </c>
      <c r="E70" s="48">
        <v>327</v>
      </c>
      <c r="F70" s="28">
        <v>2</v>
      </c>
      <c r="G70" s="28">
        <v>1</v>
      </c>
      <c r="H70" s="28">
        <v>81778</v>
      </c>
      <c r="I70" s="28" t="s">
        <v>17</v>
      </c>
      <c r="J70" s="28">
        <v>52703896</v>
      </c>
      <c r="K70" s="28" t="s">
        <v>2668</v>
      </c>
      <c r="L70" t="s">
        <v>2671</v>
      </c>
      <c r="M70" s="37">
        <v>149900</v>
      </c>
      <c r="N70" s="28" t="s">
        <v>2826</v>
      </c>
      <c r="O70" s="28" t="s">
        <v>3212</v>
      </c>
      <c r="P70" s="28" t="s">
        <v>2826</v>
      </c>
    </row>
    <row r="71" spans="1:16" x14ac:dyDescent="0.3">
      <c r="A71" s="28" t="s">
        <v>3225</v>
      </c>
      <c r="B71" s="26">
        <v>46108</v>
      </c>
      <c r="C71" s="26">
        <v>46113</v>
      </c>
      <c r="D71" s="48">
        <v>3319</v>
      </c>
      <c r="E71" s="48">
        <v>327</v>
      </c>
      <c r="F71" s="28">
        <v>2</v>
      </c>
      <c r="G71" s="28">
        <v>1</v>
      </c>
      <c r="H71" s="28">
        <v>81778</v>
      </c>
      <c r="I71" s="28" t="s">
        <v>17</v>
      </c>
      <c r="J71" s="28">
        <v>52703887</v>
      </c>
      <c r="K71" s="28" t="s">
        <v>2668</v>
      </c>
      <c r="L71" t="s">
        <v>2672</v>
      </c>
      <c r="M71" s="37">
        <v>149900</v>
      </c>
      <c r="N71" s="28" t="s">
        <v>2826</v>
      </c>
      <c r="O71" s="28" t="s">
        <v>3212</v>
      </c>
      <c r="P71" s="28" t="s">
        <v>2826</v>
      </c>
    </row>
    <row r="72" spans="1:16" x14ac:dyDescent="0.3">
      <c r="A72" s="28" t="s">
        <v>3225</v>
      </c>
      <c r="B72" s="26">
        <v>46108</v>
      </c>
      <c r="C72" s="26">
        <v>46113</v>
      </c>
      <c r="D72" s="48">
        <v>3319</v>
      </c>
      <c r="E72" s="48">
        <v>327</v>
      </c>
      <c r="F72" s="28">
        <v>2</v>
      </c>
      <c r="G72" s="28">
        <v>1</v>
      </c>
      <c r="H72" s="28">
        <v>81778</v>
      </c>
      <c r="I72" s="28" t="s">
        <v>17</v>
      </c>
      <c r="J72" s="28">
        <v>52703903</v>
      </c>
      <c r="K72" s="28" t="s">
        <v>2668</v>
      </c>
      <c r="L72" t="s">
        <v>2673</v>
      </c>
      <c r="M72" s="37">
        <v>149900</v>
      </c>
      <c r="N72" s="28" t="s">
        <v>2826</v>
      </c>
      <c r="O72" s="28" t="s">
        <v>3212</v>
      </c>
      <c r="P72" s="28" t="s">
        <v>2826</v>
      </c>
    </row>
    <row r="73" spans="1:16" x14ac:dyDescent="0.3">
      <c r="A73" s="28" t="s">
        <v>3225</v>
      </c>
      <c r="B73" s="26">
        <v>46108</v>
      </c>
      <c r="C73" s="26">
        <v>46113</v>
      </c>
      <c r="D73" s="48">
        <v>3319</v>
      </c>
      <c r="E73" s="48">
        <v>327</v>
      </c>
      <c r="F73" s="28">
        <v>2</v>
      </c>
      <c r="G73" s="28">
        <v>1</v>
      </c>
      <c r="H73" s="28">
        <v>81778</v>
      </c>
      <c r="I73" s="28" t="s">
        <v>17</v>
      </c>
      <c r="J73" s="28">
        <v>54568208</v>
      </c>
      <c r="K73" s="28" t="s">
        <v>1774</v>
      </c>
      <c r="L73" t="s">
        <v>2674</v>
      </c>
      <c r="M73" s="37">
        <v>149900</v>
      </c>
      <c r="N73" s="28" t="s">
        <v>2826</v>
      </c>
      <c r="O73" s="28" t="s">
        <v>3212</v>
      </c>
      <c r="P73" s="28" t="s">
        <v>2826</v>
      </c>
    </row>
    <row r="74" spans="1:16" x14ac:dyDescent="0.3">
      <c r="A74" s="28" t="s">
        <v>3225</v>
      </c>
      <c r="B74" s="26">
        <v>46108</v>
      </c>
      <c r="C74" s="26">
        <v>46113</v>
      </c>
      <c r="D74" s="48">
        <v>3319</v>
      </c>
      <c r="E74" s="48">
        <v>327</v>
      </c>
      <c r="F74" s="28">
        <v>2</v>
      </c>
      <c r="G74" s="28">
        <v>1</v>
      </c>
      <c r="H74" s="28">
        <v>81778</v>
      </c>
      <c r="I74" s="28" t="s">
        <v>17</v>
      </c>
      <c r="J74" s="28">
        <v>54568191</v>
      </c>
      <c r="K74" s="28" t="s">
        <v>1774</v>
      </c>
      <c r="L74" t="s">
        <v>2675</v>
      </c>
      <c r="M74" s="37">
        <v>149900</v>
      </c>
      <c r="N74" s="28" t="s">
        <v>2826</v>
      </c>
      <c r="O74" s="28" t="s">
        <v>3212</v>
      </c>
      <c r="P74" s="28" t="s">
        <v>2826</v>
      </c>
    </row>
    <row r="75" spans="1:16" x14ac:dyDescent="0.3">
      <c r="A75" s="28" t="s">
        <v>3225</v>
      </c>
      <c r="B75" s="26">
        <v>46108</v>
      </c>
      <c r="C75" s="26">
        <v>46113</v>
      </c>
      <c r="D75" s="48">
        <v>3319</v>
      </c>
      <c r="E75" s="48">
        <v>327</v>
      </c>
      <c r="F75" s="28">
        <v>2</v>
      </c>
      <c r="G75" s="28">
        <v>1</v>
      </c>
      <c r="H75" s="28">
        <v>81778</v>
      </c>
      <c r="I75" s="28" t="s">
        <v>17</v>
      </c>
      <c r="J75" s="28">
        <v>54568164</v>
      </c>
      <c r="K75" s="28" t="s">
        <v>1774</v>
      </c>
      <c r="L75" t="s">
        <v>2676</v>
      </c>
      <c r="M75" s="37">
        <v>149900</v>
      </c>
      <c r="N75" s="28" t="s">
        <v>2826</v>
      </c>
      <c r="O75" s="28" t="s">
        <v>3212</v>
      </c>
      <c r="P75" s="28" t="s">
        <v>2826</v>
      </c>
    </row>
    <row r="76" spans="1:16" x14ac:dyDescent="0.3">
      <c r="A76" s="28" t="s">
        <v>3225</v>
      </c>
      <c r="B76" s="26">
        <v>46108</v>
      </c>
      <c r="C76" s="26">
        <v>46113</v>
      </c>
      <c r="D76" s="48">
        <v>3319</v>
      </c>
      <c r="E76" s="48">
        <v>327</v>
      </c>
      <c r="F76" s="28">
        <v>2</v>
      </c>
      <c r="G76" s="28">
        <v>1</v>
      </c>
      <c r="H76" s="28">
        <v>81778</v>
      </c>
      <c r="I76" s="28" t="s">
        <v>17</v>
      </c>
      <c r="J76" s="28">
        <v>54568182</v>
      </c>
      <c r="K76" s="28" t="s">
        <v>1774</v>
      </c>
      <c r="L76" t="s">
        <v>2677</v>
      </c>
      <c r="M76" s="37">
        <v>149900</v>
      </c>
      <c r="N76" s="28" t="s">
        <v>2826</v>
      </c>
      <c r="O76" s="28" t="s">
        <v>3212</v>
      </c>
      <c r="P76" s="28" t="s">
        <v>2826</v>
      </c>
    </row>
    <row r="77" spans="1:16" x14ac:dyDescent="0.3">
      <c r="A77" s="28" t="s">
        <v>3225</v>
      </c>
      <c r="B77" s="26">
        <v>46108</v>
      </c>
      <c r="C77" s="26">
        <v>46113</v>
      </c>
      <c r="D77" s="48">
        <v>3319</v>
      </c>
      <c r="E77" s="48">
        <v>327</v>
      </c>
      <c r="F77" s="28">
        <v>2</v>
      </c>
      <c r="G77" s="28">
        <v>1</v>
      </c>
      <c r="H77" s="28">
        <v>81778</v>
      </c>
      <c r="I77" s="28" t="s">
        <v>17</v>
      </c>
      <c r="J77" s="28">
        <v>54568173</v>
      </c>
      <c r="K77" s="28" t="s">
        <v>1774</v>
      </c>
      <c r="L77" t="s">
        <v>2678</v>
      </c>
      <c r="M77" s="37">
        <v>149900</v>
      </c>
      <c r="N77" s="28" t="s">
        <v>2826</v>
      </c>
      <c r="O77" s="28" t="s">
        <v>3212</v>
      </c>
      <c r="P77" s="28" t="s">
        <v>2826</v>
      </c>
    </row>
    <row r="78" spans="1:16" x14ac:dyDescent="0.3">
      <c r="A78" s="28" t="s">
        <v>3225</v>
      </c>
      <c r="B78" s="26">
        <v>46108</v>
      </c>
      <c r="C78" s="26">
        <v>46113</v>
      </c>
      <c r="D78" s="48">
        <v>3319</v>
      </c>
      <c r="E78" s="48">
        <v>327</v>
      </c>
      <c r="F78" s="28">
        <v>2</v>
      </c>
      <c r="G78" s="28">
        <v>1</v>
      </c>
      <c r="H78" s="28">
        <v>80700</v>
      </c>
      <c r="I78" s="28" t="s">
        <v>17</v>
      </c>
      <c r="J78" s="28">
        <v>55523665</v>
      </c>
      <c r="K78" s="28" t="s">
        <v>2808</v>
      </c>
      <c r="L78" t="s">
        <v>2809</v>
      </c>
      <c r="M78" s="37">
        <v>129900</v>
      </c>
      <c r="N78" s="28" t="s">
        <v>2826</v>
      </c>
      <c r="O78" s="28" t="s">
        <v>3212</v>
      </c>
      <c r="P78" s="28" t="s">
        <v>2826</v>
      </c>
    </row>
    <row r="79" spans="1:16" x14ac:dyDescent="0.3">
      <c r="A79" s="28" t="s">
        <v>3225</v>
      </c>
      <c r="B79" s="26">
        <v>46108</v>
      </c>
      <c r="C79" s="26">
        <v>46113</v>
      </c>
      <c r="D79" s="48">
        <v>3319</v>
      </c>
      <c r="E79" s="48">
        <v>327</v>
      </c>
      <c r="F79" s="28">
        <v>2</v>
      </c>
      <c r="G79" s="28">
        <v>1</v>
      </c>
      <c r="H79" s="28">
        <v>80700</v>
      </c>
      <c r="I79" s="28" t="s">
        <v>17</v>
      </c>
      <c r="J79" s="28">
        <v>55523674</v>
      </c>
      <c r="K79" s="28" t="s">
        <v>2808</v>
      </c>
      <c r="L79" t="s">
        <v>2810</v>
      </c>
      <c r="M79" s="37">
        <v>129900</v>
      </c>
      <c r="N79" s="28" t="s">
        <v>2826</v>
      </c>
      <c r="O79" s="28" t="s">
        <v>3212</v>
      </c>
      <c r="P79" s="28" t="s">
        <v>2826</v>
      </c>
    </row>
    <row r="80" spans="1:16" x14ac:dyDescent="0.3">
      <c r="A80" s="28" t="s">
        <v>3225</v>
      </c>
      <c r="B80" s="26">
        <v>46108</v>
      </c>
      <c r="C80" s="26">
        <v>46113</v>
      </c>
      <c r="D80" s="48">
        <v>3319</v>
      </c>
      <c r="E80" s="48">
        <v>327</v>
      </c>
      <c r="F80" s="28">
        <v>2</v>
      </c>
      <c r="G80" s="28">
        <v>1</v>
      </c>
      <c r="H80" s="28">
        <v>80700</v>
      </c>
      <c r="I80" s="28" t="s">
        <v>17</v>
      </c>
      <c r="J80" s="28">
        <v>55523683</v>
      </c>
      <c r="K80" s="28" t="s">
        <v>2808</v>
      </c>
      <c r="L80" t="s">
        <v>2811</v>
      </c>
      <c r="M80" s="37">
        <v>129900</v>
      </c>
      <c r="N80" s="28" t="s">
        <v>2826</v>
      </c>
      <c r="O80" s="28" t="s">
        <v>3212</v>
      </c>
      <c r="P80" s="28" t="s">
        <v>2826</v>
      </c>
    </row>
    <row r="81" spans="1:16" x14ac:dyDescent="0.3">
      <c r="A81" s="28" t="s">
        <v>3225</v>
      </c>
      <c r="B81" s="26">
        <v>46108</v>
      </c>
      <c r="C81" s="26">
        <v>46113</v>
      </c>
      <c r="D81" s="48">
        <v>3319</v>
      </c>
      <c r="E81" s="48">
        <v>327</v>
      </c>
      <c r="F81" s="28">
        <v>2</v>
      </c>
      <c r="G81" s="28">
        <v>1</v>
      </c>
      <c r="H81" s="28">
        <v>80700</v>
      </c>
      <c r="I81" s="28" t="s">
        <v>17</v>
      </c>
      <c r="J81" s="28">
        <v>55523692</v>
      </c>
      <c r="K81" s="28" t="s">
        <v>2808</v>
      </c>
      <c r="L81" t="s">
        <v>2812</v>
      </c>
      <c r="M81" s="37">
        <v>129900</v>
      </c>
      <c r="N81" s="28" t="s">
        <v>2826</v>
      </c>
      <c r="O81" s="28" t="s">
        <v>3212</v>
      </c>
      <c r="P81" s="28" t="s">
        <v>2826</v>
      </c>
    </row>
    <row r="82" spans="1:16" x14ac:dyDescent="0.3">
      <c r="A82" s="28" t="s">
        <v>3225</v>
      </c>
      <c r="B82" s="26">
        <v>46108</v>
      </c>
      <c r="C82" s="26">
        <v>46113</v>
      </c>
      <c r="D82" s="48">
        <v>3319</v>
      </c>
      <c r="E82" s="48">
        <v>327</v>
      </c>
      <c r="F82" s="28">
        <v>2</v>
      </c>
      <c r="G82" s="28">
        <v>1</v>
      </c>
      <c r="H82" s="28">
        <v>80700</v>
      </c>
      <c r="I82" s="28" t="s">
        <v>17</v>
      </c>
      <c r="J82" s="28">
        <v>61168387</v>
      </c>
      <c r="K82" s="28" t="s">
        <v>2808</v>
      </c>
      <c r="L82" t="s">
        <v>2813</v>
      </c>
      <c r="M82" s="37">
        <v>129900</v>
      </c>
      <c r="N82" s="28" t="s">
        <v>2826</v>
      </c>
      <c r="O82" s="28" t="s">
        <v>3212</v>
      </c>
      <c r="P82" s="28" t="s">
        <v>2826</v>
      </c>
    </row>
    <row r="83" spans="1:16" x14ac:dyDescent="0.3">
      <c r="A83" s="28" t="s">
        <v>3225</v>
      </c>
      <c r="B83" s="26">
        <v>46108</v>
      </c>
      <c r="C83" s="26">
        <v>46113</v>
      </c>
      <c r="D83" s="48">
        <v>3319</v>
      </c>
      <c r="E83" s="48">
        <v>327</v>
      </c>
      <c r="F83" s="28">
        <v>2</v>
      </c>
      <c r="G83" s="28">
        <v>1</v>
      </c>
      <c r="H83" s="28">
        <v>81778</v>
      </c>
      <c r="I83" s="28" t="s">
        <v>17</v>
      </c>
      <c r="J83" s="28">
        <v>55524155</v>
      </c>
      <c r="K83" s="28" t="s">
        <v>2943</v>
      </c>
      <c r="L83" t="s">
        <v>2944</v>
      </c>
      <c r="M83" s="37">
        <v>149900</v>
      </c>
      <c r="N83" s="28" t="s">
        <v>2826</v>
      </c>
      <c r="O83" s="28" t="s">
        <v>3212</v>
      </c>
      <c r="P83" s="28" t="s">
        <v>2826</v>
      </c>
    </row>
    <row r="84" spans="1:16" x14ac:dyDescent="0.3">
      <c r="A84" s="28" t="s">
        <v>3225</v>
      </c>
      <c r="B84" s="26">
        <v>46108</v>
      </c>
      <c r="C84" s="26">
        <v>46113</v>
      </c>
      <c r="D84" s="48">
        <v>3319</v>
      </c>
      <c r="E84" s="48">
        <v>327</v>
      </c>
      <c r="F84" s="28">
        <v>2</v>
      </c>
      <c r="G84" s="28">
        <v>1</v>
      </c>
      <c r="H84" s="28">
        <v>81778</v>
      </c>
      <c r="I84" s="28" t="s">
        <v>17</v>
      </c>
      <c r="J84" s="28">
        <v>55524164</v>
      </c>
      <c r="K84" s="28" t="s">
        <v>2943</v>
      </c>
      <c r="L84" t="s">
        <v>2945</v>
      </c>
      <c r="M84" s="37">
        <v>149900</v>
      </c>
      <c r="N84" s="28" t="s">
        <v>2826</v>
      </c>
      <c r="O84" s="28" t="s">
        <v>3212</v>
      </c>
      <c r="P84" s="28" t="s">
        <v>2826</v>
      </c>
    </row>
    <row r="85" spans="1:16" x14ac:dyDescent="0.3">
      <c r="A85" s="28" t="s">
        <v>3225</v>
      </c>
      <c r="B85" s="26">
        <v>46108</v>
      </c>
      <c r="C85" s="26">
        <v>46113</v>
      </c>
      <c r="D85" s="48">
        <v>3319</v>
      </c>
      <c r="E85" s="48">
        <v>327</v>
      </c>
      <c r="F85" s="28">
        <v>2</v>
      </c>
      <c r="G85" s="28">
        <v>1</v>
      </c>
      <c r="H85" s="28">
        <v>81778</v>
      </c>
      <c r="I85" s="28" t="s">
        <v>17</v>
      </c>
      <c r="J85" s="28">
        <v>55524173</v>
      </c>
      <c r="K85" s="28" t="s">
        <v>2943</v>
      </c>
      <c r="L85" t="s">
        <v>2946</v>
      </c>
      <c r="M85" s="37">
        <v>149900</v>
      </c>
      <c r="N85" s="28" t="s">
        <v>2826</v>
      </c>
      <c r="O85" s="28" t="s">
        <v>3212</v>
      </c>
      <c r="P85" s="28" t="s">
        <v>2826</v>
      </c>
    </row>
    <row r="86" spans="1:16" x14ac:dyDescent="0.3">
      <c r="A86" s="28" t="s">
        <v>3225</v>
      </c>
      <c r="B86" s="26">
        <v>46108</v>
      </c>
      <c r="C86" s="26">
        <v>46113</v>
      </c>
      <c r="D86" s="48">
        <v>3319</v>
      </c>
      <c r="E86" s="48">
        <v>327</v>
      </c>
      <c r="F86" s="28">
        <v>2</v>
      </c>
      <c r="G86" s="28">
        <v>1</v>
      </c>
      <c r="H86" s="28">
        <v>81778</v>
      </c>
      <c r="I86" s="28" t="s">
        <v>17</v>
      </c>
      <c r="J86" s="28">
        <v>55524182</v>
      </c>
      <c r="K86" s="28" t="s">
        <v>2943</v>
      </c>
      <c r="L86" t="s">
        <v>2947</v>
      </c>
      <c r="M86" s="37">
        <v>149900</v>
      </c>
      <c r="N86" s="28" t="s">
        <v>2826</v>
      </c>
      <c r="O86" s="28" t="s">
        <v>3212</v>
      </c>
      <c r="P86" s="28" t="s">
        <v>2826</v>
      </c>
    </row>
    <row r="87" spans="1:16" x14ac:dyDescent="0.3">
      <c r="A87" s="28" t="s">
        <v>3225</v>
      </c>
      <c r="B87" s="26">
        <v>46108</v>
      </c>
      <c r="C87" s="26">
        <v>46113</v>
      </c>
      <c r="D87" s="48">
        <v>3319</v>
      </c>
      <c r="E87" s="48">
        <v>327</v>
      </c>
      <c r="F87" s="28">
        <v>2</v>
      </c>
      <c r="G87" s="28">
        <v>1</v>
      </c>
      <c r="H87" s="28">
        <v>81778</v>
      </c>
      <c r="I87" s="28" t="s">
        <v>17</v>
      </c>
      <c r="J87" s="28">
        <v>55524191</v>
      </c>
      <c r="K87" s="28" t="s">
        <v>2943</v>
      </c>
      <c r="L87" t="s">
        <v>2948</v>
      </c>
      <c r="M87" s="37">
        <v>149900</v>
      </c>
      <c r="N87" s="28" t="s">
        <v>2826</v>
      </c>
      <c r="O87" s="28" t="s">
        <v>3212</v>
      </c>
      <c r="P87" s="28" t="s">
        <v>2826</v>
      </c>
    </row>
    <row r="88" spans="1:16" x14ac:dyDescent="0.3">
      <c r="A88" s="28" t="s">
        <v>3225</v>
      </c>
      <c r="B88" s="26">
        <v>46108</v>
      </c>
      <c r="C88" s="26">
        <v>46113</v>
      </c>
      <c r="D88" s="48">
        <v>3319</v>
      </c>
      <c r="E88" s="48">
        <v>327</v>
      </c>
      <c r="F88" s="28">
        <v>2</v>
      </c>
      <c r="G88" s="28">
        <v>1</v>
      </c>
      <c r="H88" s="28">
        <v>81778</v>
      </c>
      <c r="I88" s="28" t="s">
        <v>17</v>
      </c>
      <c r="J88" s="28">
        <v>55524208</v>
      </c>
      <c r="K88" s="28" t="s">
        <v>2943</v>
      </c>
      <c r="L88" t="s">
        <v>2949</v>
      </c>
      <c r="M88" s="37">
        <v>149900</v>
      </c>
      <c r="N88" s="28" t="s">
        <v>2826</v>
      </c>
      <c r="O88" s="28" t="s">
        <v>3212</v>
      </c>
      <c r="P88" s="28" t="s">
        <v>2826</v>
      </c>
    </row>
    <row r="89" spans="1:16" x14ac:dyDescent="0.3">
      <c r="A89" s="28" t="s">
        <v>3225</v>
      </c>
      <c r="B89" s="26">
        <v>46108</v>
      </c>
      <c r="C89" s="26">
        <v>46113</v>
      </c>
      <c r="D89" s="48">
        <v>3319</v>
      </c>
      <c r="E89" s="48">
        <v>327</v>
      </c>
      <c r="F89" s="28">
        <v>2</v>
      </c>
      <c r="G89" s="28">
        <v>1</v>
      </c>
      <c r="H89" s="28">
        <v>81778</v>
      </c>
      <c r="I89" s="28" t="s">
        <v>17</v>
      </c>
      <c r="J89" s="28">
        <v>55524217</v>
      </c>
      <c r="K89" s="28" t="s">
        <v>2943</v>
      </c>
      <c r="L89" t="s">
        <v>2950</v>
      </c>
      <c r="M89" s="37">
        <v>149900</v>
      </c>
      <c r="N89" s="28" t="s">
        <v>2826</v>
      </c>
      <c r="O89" s="28" t="s">
        <v>3212</v>
      </c>
      <c r="P89" s="28" t="s">
        <v>2826</v>
      </c>
    </row>
    <row r="90" spans="1:16" x14ac:dyDescent="0.3">
      <c r="A90" s="28" t="s">
        <v>3225</v>
      </c>
      <c r="B90" s="26">
        <v>46108</v>
      </c>
      <c r="C90" s="26">
        <v>46113</v>
      </c>
      <c r="D90" s="48">
        <v>3319</v>
      </c>
      <c r="E90" s="48">
        <v>327</v>
      </c>
      <c r="F90" s="28">
        <v>2</v>
      </c>
      <c r="G90" s="28">
        <v>1</v>
      </c>
      <c r="H90" s="28">
        <v>81778</v>
      </c>
      <c r="I90" s="28" t="s">
        <v>17</v>
      </c>
      <c r="J90" s="28">
        <v>55524226</v>
      </c>
      <c r="K90" s="28" t="s">
        <v>2943</v>
      </c>
      <c r="L90" t="s">
        <v>2951</v>
      </c>
      <c r="M90" s="37">
        <v>149900</v>
      </c>
      <c r="N90" s="28" t="s">
        <v>2826</v>
      </c>
      <c r="O90" s="28" t="s">
        <v>3212</v>
      </c>
      <c r="P90" s="28" t="s">
        <v>2826</v>
      </c>
    </row>
    <row r="91" spans="1:16" x14ac:dyDescent="0.3">
      <c r="A91" s="28" t="s">
        <v>3225</v>
      </c>
      <c r="B91" s="26">
        <v>46108</v>
      </c>
      <c r="C91" s="26">
        <v>46113</v>
      </c>
      <c r="D91" s="48">
        <v>3319</v>
      </c>
      <c r="E91" s="48">
        <v>327</v>
      </c>
      <c r="F91" s="28">
        <v>2</v>
      </c>
      <c r="G91" s="28">
        <v>1</v>
      </c>
      <c r="H91" s="28">
        <v>81778</v>
      </c>
      <c r="I91" s="28" t="s">
        <v>17</v>
      </c>
      <c r="J91" s="28">
        <v>55524235</v>
      </c>
      <c r="K91" s="28" t="s">
        <v>2943</v>
      </c>
      <c r="L91" t="s">
        <v>2952</v>
      </c>
      <c r="M91" s="37">
        <v>149900</v>
      </c>
      <c r="N91" s="28" t="s">
        <v>2826</v>
      </c>
      <c r="O91" s="28" t="s">
        <v>3212</v>
      </c>
      <c r="P91" s="28" t="s">
        <v>2826</v>
      </c>
    </row>
    <row r="92" spans="1:16" x14ac:dyDescent="0.3">
      <c r="A92" s="28" t="s">
        <v>3225</v>
      </c>
      <c r="B92" s="26">
        <v>46108</v>
      </c>
      <c r="C92" s="26">
        <v>46113</v>
      </c>
      <c r="D92" s="48">
        <v>3319</v>
      </c>
      <c r="E92" s="48">
        <v>327</v>
      </c>
      <c r="F92" s="28">
        <v>2</v>
      </c>
      <c r="G92" s="28">
        <v>1</v>
      </c>
      <c r="H92" s="28">
        <v>81778</v>
      </c>
      <c r="I92" s="28" t="s">
        <v>17</v>
      </c>
      <c r="J92" s="28">
        <v>55524244</v>
      </c>
      <c r="K92" s="28" t="s">
        <v>2943</v>
      </c>
      <c r="L92" t="s">
        <v>2953</v>
      </c>
      <c r="M92" s="37">
        <v>149900</v>
      </c>
      <c r="N92" s="28" t="s">
        <v>2826</v>
      </c>
      <c r="O92" s="28" t="s">
        <v>3212</v>
      </c>
      <c r="P92" s="28" t="s">
        <v>2826</v>
      </c>
    </row>
  </sheetData>
  <autoFilter ref="A1:P92" xr:uid="{95CA2E2C-91E0-482D-85D6-F23A898C0467}"/>
  <conditionalFormatting sqref="J1">
    <cfRule type="duplicateValues" dxfId="38" priority="55"/>
    <cfRule type="duplicateValues" dxfId="37" priority="56"/>
    <cfRule type="duplicateValues" dxfId="36" priority="57"/>
    <cfRule type="duplicateValues" dxfId="35" priority="58"/>
    <cfRule type="duplicateValues" dxfId="34" priority="59"/>
    <cfRule type="duplicateValues" dxfId="33" priority="60"/>
  </conditionalFormatting>
  <conditionalFormatting sqref="J1:J1048576">
    <cfRule type="duplicateValues" dxfId="32" priority="597"/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50FE9-E6A4-4F13-8196-23E0C69830CF}">
  <sheetPr>
    <tabColor rgb="FFFF0000"/>
  </sheetPr>
  <dimension ref="A1:P202"/>
  <sheetViews>
    <sheetView zoomScale="87" zoomScaleNormal="87" workbookViewId="0">
      <selection activeCell="N2" sqref="N2"/>
    </sheetView>
  </sheetViews>
  <sheetFormatPr defaultRowHeight="14.4" x14ac:dyDescent="0.3"/>
  <cols>
    <col min="1" max="1" width="20.6640625" style="28" customWidth="1"/>
    <col min="2" max="3" width="11.6640625" style="28" customWidth="1"/>
    <col min="4" max="5" width="8.6640625" style="48" customWidth="1"/>
    <col min="6" max="7" width="8.6640625" style="28" customWidth="1"/>
    <col min="8" max="10" width="11.6640625" style="28" customWidth="1"/>
    <col min="11" max="11" width="11.6640625" customWidth="1"/>
    <col min="12" max="12" width="50" customWidth="1"/>
    <col min="13" max="13" width="15.6640625" style="37" customWidth="1"/>
    <col min="14" max="14" width="8.6640625" style="28" customWidth="1"/>
    <col min="15" max="15" width="15.6640625" style="37" customWidth="1"/>
    <col min="16" max="16" width="15.6640625" style="28" customWidth="1"/>
  </cols>
  <sheetData>
    <row r="1" spans="1:16" ht="30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1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25" t="s">
        <v>3220</v>
      </c>
      <c r="B2" s="26">
        <v>46108</v>
      </c>
      <c r="C2" s="26">
        <v>46113</v>
      </c>
      <c r="D2" s="82">
        <v>3319</v>
      </c>
      <c r="E2" s="82">
        <v>327</v>
      </c>
      <c r="F2" s="25">
        <v>2</v>
      </c>
      <c r="G2" s="28">
        <v>1</v>
      </c>
      <c r="H2" s="28">
        <v>81433</v>
      </c>
      <c r="I2" s="28" t="s">
        <v>17</v>
      </c>
      <c r="J2" s="28">
        <v>59171556</v>
      </c>
      <c r="K2" t="s">
        <v>2972</v>
      </c>
      <c r="L2" t="s">
        <v>2973</v>
      </c>
      <c r="M2" s="37">
        <v>199900</v>
      </c>
      <c r="N2" s="81" t="s">
        <v>2826</v>
      </c>
      <c r="O2" s="37" t="s">
        <v>3221</v>
      </c>
      <c r="P2" s="28" t="s">
        <v>2826</v>
      </c>
    </row>
    <row r="3" spans="1:16" x14ac:dyDescent="0.3">
      <c r="A3" s="25" t="s">
        <v>3220</v>
      </c>
      <c r="B3" s="26">
        <v>46108</v>
      </c>
      <c r="C3" s="26">
        <v>46113</v>
      </c>
      <c r="D3" s="82">
        <v>3319</v>
      </c>
      <c r="E3" s="82">
        <v>327</v>
      </c>
      <c r="F3" s="25">
        <v>2</v>
      </c>
      <c r="G3" s="28">
        <v>1</v>
      </c>
      <c r="H3" s="28">
        <v>81433</v>
      </c>
      <c r="I3" s="28" t="s">
        <v>17</v>
      </c>
      <c r="J3" s="28">
        <v>59171565</v>
      </c>
      <c r="K3" t="s">
        <v>2972</v>
      </c>
      <c r="L3" t="s">
        <v>2974</v>
      </c>
      <c r="M3" s="37">
        <v>199900</v>
      </c>
      <c r="N3" s="81" t="s">
        <v>2826</v>
      </c>
      <c r="O3" s="37" t="s">
        <v>3221</v>
      </c>
      <c r="P3" s="28" t="s">
        <v>2826</v>
      </c>
    </row>
    <row r="4" spans="1:16" x14ac:dyDescent="0.3">
      <c r="A4" s="25" t="s">
        <v>3220</v>
      </c>
      <c r="B4" s="26">
        <v>46108</v>
      </c>
      <c r="C4" s="26">
        <v>46113</v>
      </c>
      <c r="D4" s="82">
        <v>3319</v>
      </c>
      <c r="E4" s="82">
        <v>327</v>
      </c>
      <c r="F4" s="25">
        <v>2</v>
      </c>
      <c r="G4" s="28">
        <v>1</v>
      </c>
      <c r="H4" s="28">
        <v>81433</v>
      </c>
      <c r="I4" s="28" t="s">
        <v>17</v>
      </c>
      <c r="J4" s="28">
        <v>59171574</v>
      </c>
      <c r="K4" t="s">
        <v>2972</v>
      </c>
      <c r="L4" t="s">
        <v>2975</v>
      </c>
      <c r="M4" s="37">
        <v>199900</v>
      </c>
      <c r="N4" s="81" t="s">
        <v>2826</v>
      </c>
      <c r="O4" s="37" t="s">
        <v>3221</v>
      </c>
      <c r="P4" s="28" t="s">
        <v>2826</v>
      </c>
    </row>
    <row r="5" spans="1:16" x14ac:dyDescent="0.3">
      <c r="A5" s="25" t="s">
        <v>3220</v>
      </c>
      <c r="B5" s="26">
        <v>46108</v>
      </c>
      <c r="C5" s="26">
        <v>46113</v>
      </c>
      <c r="D5" s="82">
        <v>3319</v>
      </c>
      <c r="E5" s="82">
        <v>327</v>
      </c>
      <c r="F5" s="25">
        <v>2</v>
      </c>
      <c r="G5" s="28">
        <v>1</v>
      </c>
      <c r="H5" s="28">
        <v>81433</v>
      </c>
      <c r="I5" s="28" t="s">
        <v>17</v>
      </c>
      <c r="J5" s="28">
        <v>59171583</v>
      </c>
      <c r="K5" t="s">
        <v>2972</v>
      </c>
      <c r="L5" t="s">
        <v>2976</v>
      </c>
      <c r="M5" s="37">
        <v>199900</v>
      </c>
      <c r="N5" s="81" t="s">
        <v>2826</v>
      </c>
      <c r="O5" s="37" t="s">
        <v>3221</v>
      </c>
      <c r="P5" s="28" t="s">
        <v>2826</v>
      </c>
    </row>
    <row r="6" spans="1:16" x14ac:dyDescent="0.3">
      <c r="A6" s="25" t="s">
        <v>3220</v>
      </c>
      <c r="B6" s="26">
        <v>46108</v>
      </c>
      <c r="C6" s="26">
        <v>46113</v>
      </c>
      <c r="D6" s="82">
        <v>3319</v>
      </c>
      <c r="E6" s="82">
        <v>327</v>
      </c>
      <c r="F6" s="25">
        <v>2</v>
      </c>
      <c r="G6" s="28">
        <v>1</v>
      </c>
      <c r="H6" s="28">
        <v>81433</v>
      </c>
      <c r="I6" s="28" t="s">
        <v>17</v>
      </c>
      <c r="J6" s="28">
        <v>59171592</v>
      </c>
      <c r="K6" t="s">
        <v>2972</v>
      </c>
      <c r="L6" t="s">
        <v>2977</v>
      </c>
      <c r="M6" s="37">
        <v>199900</v>
      </c>
      <c r="N6" s="81" t="s">
        <v>2826</v>
      </c>
      <c r="O6" s="37" t="s">
        <v>3221</v>
      </c>
      <c r="P6" s="28" t="s">
        <v>2826</v>
      </c>
    </row>
    <row r="7" spans="1:16" x14ac:dyDescent="0.3">
      <c r="A7" s="25" t="s">
        <v>3220</v>
      </c>
      <c r="B7" s="26">
        <v>46108</v>
      </c>
      <c r="C7" s="26">
        <v>46113</v>
      </c>
      <c r="D7" s="82">
        <v>3319</v>
      </c>
      <c r="E7" s="82">
        <v>327</v>
      </c>
      <c r="F7" s="25">
        <v>2</v>
      </c>
      <c r="G7" s="28">
        <v>1</v>
      </c>
      <c r="H7" s="28">
        <v>81433</v>
      </c>
      <c r="I7" s="28" t="s">
        <v>17</v>
      </c>
      <c r="J7" s="28">
        <v>59171609</v>
      </c>
      <c r="K7" t="s">
        <v>2972</v>
      </c>
      <c r="L7" t="s">
        <v>2978</v>
      </c>
      <c r="M7" s="37">
        <v>199900</v>
      </c>
      <c r="N7" s="81" t="s">
        <v>2826</v>
      </c>
      <c r="O7" s="37" t="s">
        <v>3221</v>
      </c>
      <c r="P7" s="28" t="s">
        <v>2826</v>
      </c>
    </row>
    <row r="8" spans="1:16" x14ac:dyDescent="0.3">
      <c r="A8" s="25" t="s">
        <v>3220</v>
      </c>
      <c r="B8" s="26">
        <v>46108</v>
      </c>
      <c r="C8" s="26">
        <v>46113</v>
      </c>
      <c r="D8" s="82">
        <v>3319</v>
      </c>
      <c r="E8" s="82">
        <v>327</v>
      </c>
      <c r="F8" s="25">
        <v>2</v>
      </c>
      <c r="G8" s="28">
        <v>1</v>
      </c>
      <c r="H8" s="28">
        <v>81433</v>
      </c>
      <c r="I8" s="28" t="s">
        <v>17</v>
      </c>
      <c r="J8" s="28">
        <v>59171618</v>
      </c>
      <c r="K8" t="s">
        <v>2972</v>
      </c>
      <c r="L8" t="s">
        <v>2979</v>
      </c>
      <c r="M8" s="37">
        <v>199900</v>
      </c>
      <c r="N8" s="81" t="s">
        <v>2826</v>
      </c>
      <c r="O8" s="37" t="s">
        <v>3221</v>
      </c>
      <c r="P8" s="28" t="s">
        <v>2826</v>
      </c>
    </row>
    <row r="9" spans="1:16" x14ac:dyDescent="0.3">
      <c r="A9" s="25" t="s">
        <v>3220</v>
      </c>
      <c r="B9" s="26">
        <v>46108</v>
      </c>
      <c r="C9" s="26">
        <v>46113</v>
      </c>
      <c r="D9" s="82">
        <v>3319</v>
      </c>
      <c r="E9" s="82">
        <v>327</v>
      </c>
      <c r="F9" s="25">
        <v>2</v>
      </c>
      <c r="G9" s="28">
        <v>1</v>
      </c>
      <c r="H9" s="28">
        <v>81433</v>
      </c>
      <c r="I9" s="28" t="s">
        <v>17</v>
      </c>
      <c r="J9" s="28">
        <v>59171627</v>
      </c>
      <c r="K9" t="s">
        <v>2972</v>
      </c>
      <c r="L9" t="s">
        <v>2980</v>
      </c>
      <c r="M9" s="37">
        <v>199900</v>
      </c>
      <c r="N9" s="81" t="s">
        <v>2826</v>
      </c>
      <c r="O9" s="37" t="s">
        <v>3221</v>
      </c>
      <c r="P9" s="28" t="s">
        <v>2826</v>
      </c>
    </row>
    <row r="10" spans="1:16" x14ac:dyDescent="0.3">
      <c r="A10" s="25" t="s">
        <v>3220</v>
      </c>
      <c r="B10" s="26">
        <v>46108</v>
      </c>
      <c r="C10" s="26">
        <v>46113</v>
      </c>
      <c r="D10" s="82">
        <v>3319</v>
      </c>
      <c r="E10" s="82">
        <v>327</v>
      </c>
      <c r="F10" s="25">
        <v>2</v>
      </c>
      <c r="G10" s="28">
        <v>1</v>
      </c>
      <c r="H10" s="28">
        <v>81433</v>
      </c>
      <c r="I10" s="28" t="s">
        <v>17</v>
      </c>
      <c r="J10" s="28">
        <v>59171636</v>
      </c>
      <c r="K10" t="s">
        <v>2972</v>
      </c>
      <c r="L10" t="s">
        <v>2981</v>
      </c>
      <c r="M10" s="37">
        <v>199900</v>
      </c>
      <c r="N10" s="81" t="s">
        <v>2826</v>
      </c>
      <c r="O10" s="37" t="s">
        <v>3221</v>
      </c>
      <c r="P10" s="28" t="s">
        <v>2826</v>
      </c>
    </row>
    <row r="11" spans="1:16" x14ac:dyDescent="0.3">
      <c r="A11" s="25" t="s">
        <v>3220</v>
      </c>
      <c r="B11" s="26">
        <v>46108</v>
      </c>
      <c r="C11" s="26">
        <v>46113</v>
      </c>
      <c r="D11" s="82">
        <v>3319</v>
      </c>
      <c r="E11" s="82">
        <v>327</v>
      </c>
      <c r="F11" s="25">
        <v>2</v>
      </c>
      <c r="G11" s="28">
        <v>1</v>
      </c>
      <c r="H11" s="28">
        <v>81433</v>
      </c>
      <c r="I11" s="28" t="s">
        <v>17</v>
      </c>
      <c r="J11" s="28">
        <v>59171645</v>
      </c>
      <c r="K11" t="s">
        <v>2972</v>
      </c>
      <c r="L11" t="s">
        <v>2982</v>
      </c>
      <c r="M11" s="37">
        <v>199900</v>
      </c>
      <c r="N11" s="81" t="s">
        <v>2826</v>
      </c>
      <c r="O11" s="37" t="s">
        <v>3221</v>
      </c>
      <c r="P11" s="28" t="s">
        <v>2826</v>
      </c>
    </row>
    <row r="12" spans="1:16" x14ac:dyDescent="0.3">
      <c r="A12" s="25" t="s">
        <v>3220</v>
      </c>
      <c r="B12" s="26">
        <v>46108</v>
      </c>
      <c r="C12" s="26">
        <v>46113</v>
      </c>
      <c r="D12" s="82">
        <v>3319</v>
      </c>
      <c r="E12" s="82">
        <v>327</v>
      </c>
      <c r="F12" s="25">
        <v>2</v>
      </c>
      <c r="G12" s="28">
        <v>1</v>
      </c>
      <c r="H12" s="28">
        <v>81433</v>
      </c>
      <c r="I12" s="28" t="s">
        <v>17</v>
      </c>
      <c r="J12" s="28">
        <v>59171654</v>
      </c>
      <c r="K12" t="s">
        <v>2983</v>
      </c>
      <c r="L12" t="s">
        <v>2984</v>
      </c>
      <c r="M12" s="37">
        <v>199900</v>
      </c>
      <c r="N12" s="81" t="s">
        <v>2826</v>
      </c>
      <c r="O12" s="37" t="s">
        <v>3221</v>
      </c>
      <c r="P12" s="28" t="s">
        <v>2826</v>
      </c>
    </row>
    <row r="13" spans="1:16" x14ac:dyDescent="0.3">
      <c r="A13" s="25" t="s">
        <v>3220</v>
      </c>
      <c r="B13" s="26">
        <v>46108</v>
      </c>
      <c r="C13" s="26">
        <v>46113</v>
      </c>
      <c r="D13" s="82">
        <v>3319</v>
      </c>
      <c r="E13" s="82">
        <v>327</v>
      </c>
      <c r="F13" s="25">
        <v>2</v>
      </c>
      <c r="G13" s="28">
        <v>1</v>
      </c>
      <c r="H13" s="28">
        <v>81433</v>
      </c>
      <c r="I13" s="28" t="s">
        <v>17</v>
      </c>
      <c r="J13" s="28">
        <v>59171663</v>
      </c>
      <c r="K13" t="s">
        <v>2983</v>
      </c>
      <c r="L13" t="s">
        <v>2985</v>
      </c>
      <c r="M13" s="37">
        <v>199900</v>
      </c>
      <c r="N13" s="81" t="s">
        <v>2826</v>
      </c>
      <c r="O13" s="37" t="s">
        <v>3221</v>
      </c>
      <c r="P13" s="28" t="s">
        <v>2826</v>
      </c>
    </row>
    <row r="14" spans="1:16" x14ac:dyDescent="0.3">
      <c r="A14" s="25" t="s">
        <v>3220</v>
      </c>
      <c r="B14" s="26">
        <v>46108</v>
      </c>
      <c r="C14" s="26">
        <v>46113</v>
      </c>
      <c r="D14" s="82">
        <v>3319</v>
      </c>
      <c r="E14" s="82">
        <v>327</v>
      </c>
      <c r="F14" s="25">
        <v>2</v>
      </c>
      <c r="G14" s="28">
        <v>1</v>
      </c>
      <c r="H14" s="28">
        <v>81433</v>
      </c>
      <c r="I14" s="28" t="s">
        <v>17</v>
      </c>
      <c r="J14" s="28">
        <v>59171672</v>
      </c>
      <c r="K14" t="s">
        <v>2983</v>
      </c>
      <c r="L14" t="s">
        <v>2986</v>
      </c>
      <c r="M14" s="37">
        <v>199900</v>
      </c>
      <c r="N14" s="81" t="s">
        <v>2826</v>
      </c>
      <c r="O14" s="37" t="s">
        <v>3221</v>
      </c>
      <c r="P14" s="28" t="s">
        <v>2826</v>
      </c>
    </row>
    <row r="15" spans="1:16" x14ac:dyDescent="0.3">
      <c r="A15" s="25" t="s">
        <v>3220</v>
      </c>
      <c r="B15" s="26">
        <v>46108</v>
      </c>
      <c r="C15" s="26">
        <v>46113</v>
      </c>
      <c r="D15" s="82">
        <v>3319</v>
      </c>
      <c r="E15" s="82">
        <v>327</v>
      </c>
      <c r="F15" s="25">
        <v>2</v>
      </c>
      <c r="G15" s="28">
        <v>1</v>
      </c>
      <c r="H15" s="28">
        <v>81433</v>
      </c>
      <c r="I15" s="28" t="s">
        <v>17</v>
      </c>
      <c r="J15" s="28">
        <v>59171681</v>
      </c>
      <c r="K15" t="s">
        <v>2983</v>
      </c>
      <c r="L15" t="s">
        <v>2987</v>
      </c>
      <c r="M15" s="37">
        <v>199900</v>
      </c>
      <c r="N15" s="81" t="s">
        <v>2826</v>
      </c>
      <c r="O15" s="37" t="s">
        <v>3221</v>
      </c>
      <c r="P15" s="28" t="s">
        <v>2826</v>
      </c>
    </row>
    <row r="16" spans="1:16" x14ac:dyDescent="0.3">
      <c r="A16" s="25" t="s">
        <v>3220</v>
      </c>
      <c r="B16" s="26">
        <v>46108</v>
      </c>
      <c r="C16" s="26">
        <v>46113</v>
      </c>
      <c r="D16" s="82">
        <v>3319</v>
      </c>
      <c r="E16" s="82">
        <v>327</v>
      </c>
      <c r="F16" s="25">
        <v>2</v>
      </c>
      <c r="G16" s="28">
        <v>1</v>
      </c>
      <c r="H16" s="28">
        <v>81433</v>
      </c>
      <c r="I16" s="28" t="s">
        <v>17</v>
      </c>
      <c r="J16" s="28">
        <v>59171690</v>
      </c>
      <c r="K16" t="s">
        <v>2983</v>
      </c>
      <c r="L16" t="s">
        <v>2988</v>
      </c>
      <c r="M16" s="37">
        <v>199900</v>
      </c>
      <c r="N16" s="81" t="s">
        <v>2826</v>
      </c>
      <c r="O16" s="37" t="s">
        <v>3221</v>
      </c>
      <c r="P16" s="28" t="s">
        <v>2826</v>
      </c>
    </row>
    <row r="17" spans="1:16" x14ac:dyDescent="0.3">
      <c r="A17" s="25" t="s">
        <v>3220</v>
      </c>
      <c r="B17" s="26">
        <v>46108</v>
      </c>
      <c r="C17" s="26">
        <v>46113</v>
      </c>
      <c r="D17" s="82">
        <v>3319</v>
      </c>
      <c r="E17" s="82">
        <v>327</v>
      </c>
      <c r="F17" s="25">
        <v>2</v>
      </c>
      <c r="G17" s="28">
        <v>1</v>
      </c>
      <c r="H17" s="28">
        <v>81433</v>
      </c>
      <c r="I17" s="28" t="s">
        <v>17</v>
      </c>
      <c r="J17" s="28">
        <v>59171707</v>
      </c>
      <c r="K17" t="s">
        <v>2983</v>
      </c>
      <c r="L17" t="s">
        <v>2989</v>
      </c>
      <c r="M17" s="37">
        <v>199900</v>
      </c>
      <c r="N17" s="81" t="s">
        <v>2826</v>
      </c>
      <c r="O17" s="37" t="s">
        <v>3221</v>
      </c>
      <c r="P17" s="28" t="s">
        <v>2826</v>
      </c>
    </row>
    <row r="18" spans="1:16" x14ac:dyDescent="0.3">
      <c r="A18" s="25" t="s">
        <v>3220</v>
      </c>
      <c r="B18" s="26">
        <v>46108</v>
      </c>
      <c r="C18" s="26">
        <v>46113</v>
      </c>
      <c r="D18" s="82">
        <v>3319</v>
      </c>
      <c r="E18" s="82">
        <v>327</v>
      </c>
      <c r="F18" s="25">
        <v>2</v>
      </c>
      <c r="G18" s="28">
        <v>1</v>
      </c>
      <c r="H18" s="28">
        <v>81433</v>
      </c>
      <c r="I18" s="28" t="s">
        <v>17</v>
      </c>
      <c r="J18" s="28">
        <v>59171716</v>
      </c>
      <c r="K18" t="s">
        <v>2983</v>
      </c>
      <c r="L18" t="s">
        <v>2990</v>
      </c>
      <c r="M18" s="37">
        <v>199900</v>
      </c>
      <c r="N18" s="81" t="s">
        <v>2826</v>
      </c>
      <c r="O18" s="37" t="s">
        <v>3221</v>
      </c>
      <c r="P18" s="28" t="s">
        <v>2826</v>
      </c>
    </row>
    <row r="19" spans="1:16" x14ac:dyDescent="0.3">
      <c r="A19" s="25" t="s">
        <v>3220</v>
      </c>
      <c r="B19" s="26">
        <v>46108</v>
      </c>
      <c r="C19" s="26">
        <v>46113</v>
      </c>
      <c r="D19" s="82">
        <v>3319</v>
      </c>
      <c r="E19" s="82">
        <v>327</v>
      </c>
      <c r="F19" s="25">
        <v>2</v>
      </c>
      <c r="G19" s="28">
        <v>1</v>
      </c>
      <c r="H19" s="28">
        <v>81433</v>
      </c>
      <c r="I19" s="28" t="s">
        <v>17</v>
      </c>
      <c r="J19" s="28">
        <v>59171725</v>
      </c>
      <c r="K19" t="s">
        <v>2983</v>
      </c>
      <c r="L19" t="s">
        <v>2991</v>
      </c>
      <c r="M19" s="37">
        <v>199900</v>
      </c>
      <c r="N19" s="81" t="s">
        <v>2826</v>
      </c>
      <c r="O19" s="37" t="s">
        <v>3221</v>
      </c>
      <c r="P19" s="28" t="s">
        <v>2826</v>
      </c>
    </row>
    <row r="20" spans="1:16" x14ac:dyDescent="0.3">
      <c r="A20" s="25" t="s">
        <v>3220</v>
      </c>
      <c r="B20" s="26">
        <v>46108</v>
      </c>
      <c r="C20" s="26">
        <v>46113</v>
      </c>
      <c r="D20" s="82">
        <v>3319</v>
      </c>
      <c r="E20" s="82">
        <v>327</v>
      </c>
      <c r="F20" s="25">
        <v>2</v>
      </c>
      <c r="G20" s="28">
        <v>1</v>
      </c>
      <c r="H20" s="28">
        <v>81433</v>
      </c>
      <c r="I20" s="28" t="s">
        <v>17</v>
      </c>
      <c r="J20" s="28">
        <v>59171734</v>
      </c>
      <c r="K20" t="s">
        <v>2983</v>
      </c>
      <c r="L20" t="s">
        <v>2992</v>
      </c>
      <c r="M20" s="37">
        <v>199900</v>
      </c>
      <c r="N20" s="81" t="s">
        <v>2826</v>
      </c>
      <c r="O20" s="37" t="s">
        <v>3221</v>
      </c>
      <c r="P20" s="28" t="s">
        <v>2826</v>
      </c>
    </row>
    <row r="21" spans="1:16" x14ac:dyDescent="0.3">
      <c r="A21" s="25" t="s">
        <v>3220</v>
      </c>
      <c r="B21" s="26">
        <v>46108</v>
      </c>
      <c r="C21" s="26">
        <v>46113</v>
      </c>
      <c r="D21" s="82">
        <v>3319</v>
      </c>
      <c r="E21" s="82">
        <v>327</v>
      </c>
      <c r="F21" s="25">
        <v>2</v>
      </c>
      <c r="G21" s="28">
        <v>1</v>
      </c>
      <c r="H21" s="28">
        <v>81433</v>
      </c>
      <c r="I21" s="28" t="s">
        <v>17</v>
      </c>
      <c r="J21" s="28">
        <v>59171743</v>
      </c>
      <c r="K21" t="s">
        <v>2983</v>
      </c>
      <c r="L21" t="s">
        <v>2993</v>
      </c>
      <c r="M21" s="37">
        <v>199900</v>
      </c>
      <c r="N21" s="81" t="s">
        <v>2826</v>
      </c>
      <c r="O21" s="37" t="s">
        <v>3221</v>
      </c>
      <c r="P21" s="28" t="s">
        <v>2826</v>
      </c>
    </row>
    <row r="22" spans="1:16" x14ac:dyDescent="0.3">
      <c r="A22" s="25" t="s">
        <v>3220</v>
      </c>
      <c r="B22" s="26">
        <v>46108</v>
      </c>
      <c r="C22" s="26">
        <v>46113</v>
      </c>
      <c r="D22" s="82">
        <v>3319</v>
      </c>
      <c r="E22" s="82">
        <v>327</v>
      </c>
      <c r="F22" s="25">
        <v>2</v>
      </c>
      <c r="G22" s="28">
        <v>1</v>
      </c>
      <c r="H22" s="28">
        <v>81433</v>
      </c>
      <c r="I22" s="28" t="s">
        <v>17</v>
      </c>
      <c r="J22" s="28">
        <v>59172028</v>
      </c>
      <c r="K22" t="s">
        <v>2994</v>
      </c>
      <c r="L22" t="s">
        <v>2995</v>
      </c>
      <c r="M22" s="37">
        <v>229900</v>
      </c>
      <c r="N22" s="81" t="s">
        <v>2826</v>
      </c>
      <c r="O22" s="37" t="s">
        <v>3221</v>
      </c>
      <c r="P22" s="28" t="s">
        <v>2826</v>
      </c>
    </row>
    <row r="23" spans="1:16" x14ac:dyDescent="0.3">
      <c r="A23" s="25" t="s">
        <v>3220</v>
      </c>
      <c r="B23" s="26">
        <v>46108</v>
      </c>
      <c r="C23" s="26">
        <v>46113</v>
      </c>
      <c r="D23" s="82">
        <v>3319</v>
      </c>
      <c r="E23" s="82">
        <v>327</v>
      </c>
      <c r="F23" s="25">
        <v>2</v>
      </c>
      <c r="G23" s="28">
        <v>1</v>
      </c>
      <c r="H23" s="28">
        <v>81433</v>
      </c>
      <c r="I23" s="28" t="s">
        <v>17</v>
      </c>
      <c r="J23" s="28">
        <v>59172037</v>
      </c>
      <c r="K23" t="s">
        <v>2994</v>
      </c>
      <c r="L23" t="s">
        <v>2996</v>
      </c>
      <c r="M23" s="37">
        <v>229900</v>
      </c>
      <c r="N23" s="81" t="s">
        <v>2826</v>
      </c>
      <c r="O23" s="37" t="s">
        <v>3221</v>
      </c>
      <c r="P23" s="28" t="s">
        <v>2826</v>
      </c>
    </row>
    <row r="24" spans="1:16" x14ac:dyDescent="0.3">
      <c r="A24" s="25" t="s">
        <v>3220</v>
      </c>
      <c r="B24" s="26">
        <v>46108</v>
      </c>
      <c r="C24" s="26">
        <v>46113</v>
      </c>
      <c r="D24" s="82">
        <v>3319</v>
      </c>
      <c r="E24" s="82">
        <v>327</v>
      </c>
      <c r="F24" s="25">
        <v>2</v>
      </c>
      <c r="G24" s="28">
        <v>1</v>
      </c>
      <c r="H24" s="28">
        <v>81433</v>
      </c>
      <c r="I24" s="28" t="s">
        <v>17</v>
      </c>
      <c r="J24" s="28">
        <v>59172046</v>
      </c>
      <c r="K24" t="s">
        <v>2994</v>
      </c>
      <c r="L24" t="s">
        <v>2997</v>
      </c>
      <c r="M24" s="37">
        <v>229900</v>
      </c>
      <c r="N24" s="81" t="s">
        <v>2826</v>
      </c>
      <c r="O24" s="37" t="s">
        <v>3221</v>
      </c>
      <c r="P24" s="28" t="s">
        <v>2826</v>
      </c>
    </row>
    <row r="25" spans="1:16" x14ac:dyDescent="0.3">
      <c r="A25" s="25" t="s">
        <v>3220</v>
      </c>
      <c r="B25" s="26">
        <v>46108</v>
      </c>
      <c r="C25" s="26">
        <v>46113</v>
      </c>
      <c r="D25" s="82">
        <v>3319</v>
      </c>
      <c r="E25" s="82">
        <v>327</v>
      </c>
      <c r="F25" s="25">
        <v>2</v>
      </c>
      <c r="G25" s="28">
        <v>1</v>
      </c>
      <c r="H25" s="28">
        <v>81433</v>
      </c>
      <c r="I25" s="28" t="s">
        <v>17</v>
      </c>
      <c r="J25" s="28">
        <v>59172055</v>
      </c>
      <c r="K25" t="s">
        <v>2994</v>
      </c>
      <c r="L25" t="s">
        <v>2998</v>
      </c>
      <c r="M25" s="37">
        <v>229900</v>
      </c>
      <c r="N25" s="81" t="s">
        <v>2826</v>
      </c>
      <c r="O25" s="37" t="s">
        <v>3221</v>
      </c>
      <c r="P25" s="28" t="s">
        <v>2826</v>
      </c>
    </row>
    <row r="26" spans="1:16" x14ac:dyDescent="0.3">
      <c r="A26" s="25" t="s">
        <v>3220</v>
      </c>
      <c r="B26" s="26">
        <v>46108</v>
      </c>
      <c r="C26" s="26">
        <v>46113</v>
      </c>
      <c r="D26" s="82">
        <v>3319</v>
      </c>
      <c r="E26" s="82">
        <v>327</v>
      </c>
      <c r="F26" s="25">
        <v>2</v>
      </c>
      <c r="G26" s="28">
        <v>1</v>
      </c>
      <c r="H26" s="28">
        <v>81433</v>
      </c>
      <c r="I26" s="28" t="s">
        <v>17</v>
      </c>
      <c r="J26" s="28">
        <v>59172064</v>
      </c>
      <c r="K26" t="s">
        <v>2994</v>
      </c>
      <c r="L26" t="s">
        <v>2999</v>
      </c>
      <c r="M26" s="37">
        <v>229900</v>
      </c>
      <c r="N26" s="81" t="s">
        <v>2826</v>
      </c>
      <c r="O26" s="37" t="s">
        <v>3221</v>
      </c>
      <c r="P26" s="28" t="s">
        <v>2826</v>
      </c>
    </row>
    <row r="27" spans="1:16" x14ac:dyDescent="0.3">
      <c r="A27" s="25" t="s">
        <v>3220</v>
      </c>
      <c r="B27" s="26">
        <v>46108</v>
      </c>
      <c r="C27" s="26">
        <v>46113</v>
      </c>
      <c r="D27" s="82">
        <v>3319</v>
      </c>
      <c r="E27" s="82">
        <v>327</v>
      </c>
      <c r="F27" s="25">
        <v>2</v>
      </c>
      <c r="G27" s="28">
        <v>1</v>
      </c>
      <c r="H27" s="28">
        <v>81433</v>
      </c>
      <c r="I27" s="28" t="s">
        <v>17</v>
      </c>
      <c r="J27" s="28">
        <v>59172073</v>
      </c>
      <c r="K27" t="s">
        <v>2994</v>
      </c>
      <c r="L27" t="s">
        <v>3000</v>
      </c>
      <c r="M27" s="37">
        <v>229900</v>
      </c>
      <c r="N27" s="81" t="s">
        <v>2826</v>
      </c>
      <c r="O27" s="37" t="s">
        <v>3221</v>
      </c>
      <c r="P27" s="28" t="s">
        <v>2826</v>
      </c>
    </row>
    <row r="28" spans="1:16" x14ac:dyDescent="0.3">
      <c r="A28" s="25" t="s">
        <v>3220</v>
      </c>
      <c r="B28" s="26">
        <v>46108</v>
      </c>
      <c r="C28" s="26">
        <v>46113</v>
      </c>
      <c r="D28" s="82">
        <v>3319</v>
      </c>
      <c r="E28" s="82">
        <v>327</v>
      </c>
      <c r="F28" s="25">
        <v>2</v>
      </c>
      <c r="G28" s="28">
        <v>1</v>
      </c>
      <c r="H28" s="28">
        <v>81433</v>
      </c>
      <c r="I28" s="28" t="s">
        <v>17</v>
      </c>
      <c r="J28" s="28">
        <v>59172082</v>
      </c>
      <c r="K28" t="s">
        <v>2994</v>
      </c>
      <c r="L28" t="s">
        <v>3001</v>
      </c>
      <c r="M28" s="37">
        <v>229900</v>
      </c>
      <c r="N28" s="81" t="s">
        <v>2826</v>
      </c>
      <c r="O28" s="37" t="s">
        <v>3221</v>
      </c>
      <c r="P28" s="28" t="s">
        <v>2826</v>
      </c>
    </row>
    <row r="29" spans="1:16" x14ac:dyDescent="0.3">
      <c r="A29" s="25" t="s">
        <v>3220</v>
      </c>
      <c r="B29" s="26">
        <v>46108</v>
      </c>
      <c r="C29" s="26">
        <v>46113</v>
      </c>
      <c r="D29" s="82">
        <v>3319</v>
      </c>
      <c r="E29" s="82">
        <v>327</v>
      </c>
      <c r="F29" s="25">
        <v>2</v>
      </c>
      <c r="G29" s="28">
        <v>1</v>
      </c>
      <c r="H29" s="28">
        <v>81433</v>
      </c>
      <c r="I29" s="28" t="s">
        <v>17</v>
      </c>
      <c r="J29" s="28">
        <v>59172091</v>
      </c>
      <c r="K29" t="s">
        <v>2994</v>
      </c>
      <c r="L29" t="s">
        <v>3002</v>
      </c>
      <c r="M29" s="37">
        <v>229900</v>
      </c>
      <c r="N29" s="81" t="s">
        <v>2826</v>
      </c>
      <c r="O29" s="37" t="s">
        <v>3221</v>
      </c>
      <c r="P29" s="28" t="s">
        <v>2826</v>
      </c>
    </row>
    <row r="30" spans="1:16" x14ac:dyDescent="0.3">
      <c r="A30" s="25" t="s">
        <v>3220</v>
      </c>
      <c r="B30" s="26">
        <v>46108</v>
      </c>
      <c r="C30" s="26">
        <v>46113</v>
      </c>
      <c r="D30" s="82">
        <v>3319</v>
      </c>
      <c r="E30" s="82">
        <v>327</v>
      </c>
      <c r="F30" s="25">
        <v>2</v>
      </c>
      <c r="G30" s="28">
        <v>1</v>
      </c>
      <c r="H30" s="28">
        <v>81433</v>
      </c>
      <c r="I30" s="28" t="s">
        <v>17</v>
      </c>
      <c r="J30" s="28">
        <v>59172108</v>
      </c>
      <c r="K30" t="s">
        <v>2994</v>
      </c>
      <c r="L30" t="s">
        <v>3003</v>
      </c>
      <c r="M30" s="37">
        <v>229900</v>
      </c>
      <c r="N30" s="81" t="s">
        <v>2826</v>
      </c>
      <c r="O30" s="37" t="s">
        <v>3221</v>
      </c>
      <c r="P30" s="28" t="s">
        <v>2826</v>
      </c>
    </row>
    <row r="31" spans="1:16" x14ac:dyDescent="0.3">
      <c r="A31" s="25" t="s">
        <v>3220</v>
      </c>
      <c r="B31" s="26">
        <v>46108</v>
      </c>
      <c r="C31" s="26">
        <v>46113</v>
      </c>
      <c r="D31" s="82">
        <v>3319</v>
      </c>
      <c r="E31" s="82">
        <v>327</v>
      </c>
      <c r="F31" s="25">
        <v>2</v>
      </c>
      <c r="G31" s="28">
        <v>1</v>
      </c>
      <c r="H31" s="28">
        <v>81433</v>
      </c>
      <c r="I31" s="28" t="s">
        <v>17</v>
      </c>
      <c r="J31" s="28">
        <v>59172117</v>
      </c>
      <c r="K31" t="s">
        <v>2994</v>
      </c>
      <c r="L31" t="s">
        <v>3004</v>
      </c>
      <c r="M31" s="37">
        <v>229900</v>
      </c>
      <c r="N31" s="81" t="s">
        <v>2826</v>
      </c>
      <c r="O31" s="37" t="s">
        <v>3221</v>
      </c>
      <c r="P31" s="28" t="s">
        <v>2826</v>
      </c>
    </row>
    <row r="32" spans="1:16" x14ac:dyDescent="0.3">
      <c r="A32" s="25" t="s">
        <v>3220</v>
      </c>
      <c r="B32" s="26">
        <v>46108</v>
      </c>
      <c r="C32" s="26">
        <v>46113</v>
      </c>
      <c r="D32" s="82">
        <v>3319</v>
      </c>
      <c r="E32" s="82">
        <v>327</v>
      </c>
      <c r="F32" s="25">
        <v>2</v>
      </c>
      <c r="G32" s="28">
        <v>1</v>
      </c>
      <c r="H32" s="28">
        <v>81433</v>
      </c>
      <c r="I32" s="28" t="s">
        <v>17</v>
      </c>
      <c r="J32" s="28">
        <v>59172126</v>
      </c>
      <c r="K32" t="s">
        <v>3005</v>
      </c>
      <c r="L32" t="s">
        <v>3006</v>
      </c>
      <c r="M32" s="37">
        <v>229900</v>
      </c>
      <c r="N32" s="81" t="s">
        <v>2826</v>
      </c>
      <c r="O32" s="37" t="s">
        <v>3221</v>
      </c>
      <c r="P32" s="28" t="s">
        <v>2826</v>
      </c>
    </row>
    <row r="33" spans="1:16" x14ac:dyDescent="0.3">
      <c r="A33" s="25" t="s">
        <v>3220</v>
      </c>
      <c r="B33" s="26">
        <v>46108</v>
      </c>
      <c r="C33" s="26">
        <v>46113</v>
      </c>
      <c r="D33" s="82">
        <v>3319</v>
      </c>
      <c r="E33" s="82">
        <v>327</v>
      </c>
      <c r="F33" s="25">
        <v>2</v>
      </c>
      <c r="G33" s="28">
        <v>1</v>
      </c>
      <c r="H33" s="28">
        <v>81433</v>
      </c>
      <c r="I33" s="28" t="s">
        <v>17</v>
      </c>
      <c r="J33" s="28">
        <v>59172135</v>
      </c>
      <c r="K33" t="s">
        <v>3005</v>
      </c>
      <c r="L33" t="s">
        <v>3007</v>
      </c>
      <c r="M33" s="37">
        <v>229900</v>
      </c>
      <c r="N33" s="81" t="s">
        <v>2826</v>
      </c>
      <c r="O33" s="37" t="s">
        <v>3221</v>
      </c>
      <c r="P33" s="28" t="s">
        <v>2826</v>
      </c>
    </row>
    <row r="34" spans="1:16" x14ac:dyDescent="0.3">
      <c r="A34" s="25" t="s">
        <v>3220</v>
      </c>
      <c r="B34" s="26">
        <v>46108</v>
      </c>
      <c r="C34" s="26">
        <v>46113</v>
      </c>
      <c r="D34" s="82">
        <v>3319</v>
      </c>
      <c r="E34" s="82">
        <v>327</v>
      </c>
      <c r="F34" s="25">
        <v>2</v>
      </c>
      <c r="G34" s="28">
        <v>1</v>
      </c>
      <c r="H34" s="28">
        <v>81433</v>
      </c>
      <c r="I34" s="28" t="s">
        <v>17</v>
      </c>
      <c r="J34" s="28">
        <v>59172144</v>
      </c>
      <c r="K34" t="s">
        <v>3005</v>
      </c>
      <c r="L34" t="s">
        <v>3008</v>
      </c>
      <c r="M34" s="37">
        <v>229900</v>
      </c>
      <c r="N34" s="81" t="s">
        <v>2826</v>
      </c>
      <c r="O34" s="37" t="s">
        <v>3221</v>
      </c>
      <c r="P34" s="28" t="s">
        <v>2826</v>
      </c>
    </row>
    <row r="35" spans="1:16" x14ac:dyDescent="0.3">
      <c r="A35" s="25" t="s">
        <v>3220</v>
      </c>
      <c r="B35" s="26">
        <v>46108</v>
      </c>
      <c r="C35" s="26">
        <v>46113</v>
      </c>
      <c r="D35" s="82">
        <v>3319</v>
      </c>
      <c r="E35" s="82">
        <v>327</v>
      </c>
      <c r="F35" s="25">
        <v>2</v>
      </c>
      <c r="G35" s="28">
        <v>1</v>
      </c>
      <c r="H35" s="28">
        <v>81433</v>
      </c>
      <c r="I35" s="28" t="s">
        <v>17</v>
      </c>
      <c r="J35" s="28">
        <v>59172153</v>
      </c>
      <c r="K35" t="s">
        <v>3005</v>
      </c>
      <c r="L35" t="s">
        <v>3009</v>
      </c>
      <c r="M35" s="37">
        <v>229900</v>
      </c>
      <c r="N35" s="81" t="s">
        <v>2826</v>
      </c>
      <c r="O35" s="37" t="s">
        <v>3221</v>
      </c>
      <c r="P35" s="28" t="s">
        <v>2826</v>
      </c>
    </row>
    <row r="36" spans="1:16" x14ac:dyDescent="0.3">
      <c r="A36" s="25" t="s">
        <v>3220</v>
      </c>
      <c r="B36" s="26">
        <v>46108</v>
      </c>
      <c r="C36" s="26">
        <v>46113</v>
      </c>
      <c r="D36" s="82">
        <v>3319</v>
      </c>
      <c r="E36" s="82">
        <v>327</v>
      </c>
      <c r="F36" s="25">
        <v>2</v>
      </c>
      <c r="G36" s="28">
        <v>1</v>
      </c>
      <c r="H36" s="28">
        <v>81433</v>
      </c>
      <c r="I36" s="28" t="s">
        <v>17</v>
      </c>
      <c r="J36" s="28">
        <v>59172162</v>
      </c>
      <c r="K36" t="s">
        <v>3005</v>
      </c>
      <c r="L36" t="s">
        <v>3010</v>
      </c>
      <c r="M36" s="37">
        <v>229900</v>
      </c>
      <c r="N36" s="81" t="s">
        <v>2826</v>
      </c>
      <c r="O36" s="37" t="s">
        <v>3221</v>
      </c>
      <c r="P36" s="28" t="s">
        <v>2826</v>
      </c>
    </row>
    <row r="37" spans="1:16" x14ac:dyDescent="0.3">
      <c r="A37" s="25" t="s">
        <v>3220</v>
      </c>
      <c r="B37" s="26">
        <v>46108</v>
      </c>
      <c r="C37" s="26">
        <v>46113</v>
      </c>
      <c r="D37" s="82">
        <v>3319</v>
      </c>
      <c r="E37" s="82">
        <v>327</v>
      </c>
      <c r="F37" s="25">
        <v>2</v>
      </c>
      <c r="G37" s="28">
        <v>1</v>
      </c>
      <c r="H37" s="28">
        <v>81433</v>
      </c>
      <c r="I37" s="28" t="s">
        <v>17</v>
      </c>
      <c r="J37" s="28">
        <v>59172171</v>
      </c>
      <c r="K37" t="s">
        <v>3005</v>
      </c>
      <c r="L37" t="s">
        <v>3011</v>
      </c>
      <c r="M37" s="37">
        <v>229900</v>
      </c>
      <c r="N37" s="81" t="s">
        <v>2826</v>
      </c>
      <c r="O37" s="37" t="s">
        <v>3221</v>
      </c>
      <c r="P37" s="28" t="s">
        <v>2826</v>
      </c>
    </row>
    <row r="38" spans="1:16" x14ac:dyDescent="0.3">
      <c r="A38" s="25" t="s">
        <v>3220</v>
      </c>
      <c r="B38" s="26">
        <v>46108</v>
      </c>
      <c r="C38" s="26">
        <v>46113</v>
      </c>
      <c r="D38" s="82">
        <v>3319</v>
      </c>
      <c r="E38" s="82">
        <v>327</v>
      </c>
      <c r="F38" s="25">
        <v>2</v>
      </c>
      <c r="G38" s="28">
        <v>1</v>
      </c>
      <c r="H38" s="28">
        <v>81433</v>
      </c>
      <c r="I38" s="28" t="s">
        <v>17</v>
      </c>
      <c r="J38" s="28">
        <v>59172180</v>
      </c>
      <c r="K38" t="s">
        <v>3005</v>
      </c>
      <c r="L38" t="s">
        <v>3012</v>
      </c>
      <c r="M38" s="37">
        <v>229900</v>
      </c>
      <c r="N38" s="81" t="s">
        <v>2826</v>
      </c>
      <c r="O38" s="37" t="s">
        <v>3221</v>
      </c>
      <c r="P38" s="28" t="s">
        <v>2826</v>
      </c>
    </row>
    <row r="39" spans="1:16" x14ac:dyDescent="0.3">
      <c r="A39" s="25" t="s">
        <v>3220</v>
      </c>
      <c r="B39" s="26">
        <v>46108</v>
      </c>
      <c r="C39" s="26">
        <v>46113</v>
      </c>
      <c r="D39" s="82">
        <v>3319</v>
      </c>
      <c r="E39" s="82">
        <v>327</v>
      </c>
      <c r="F39" s="25">
        <v>2</v>
      </c>
      <c r="G39" s="28">
        <v>1</v>
      </c>
      <c r="H39" s="28">
        <v>81433</v>
      </c>
      <c r="I39" s="28" t="s">
        <v>17</v>
      </c>
      <c r="J39" s="28">
        <v>59172199</v>
      </c>
      <c r="K39" t="s">
        <v>3005</v>
      </c>
      <c r="L39" t="s">
        <v>3013</v>
      </c>
      <c r="M39" s="37">
        <v>229900</v>
      </c>
      <c r="N39" s="81" t="s">
        <v>2826</v>
      </c>
      <c r="O39" s="37" t="s">
        <v>3221</v>
      </c>
      <c r="P39" s="28" t="s">
        <v>2826</v>
      </c>
    </row>
    <row r="40" spans="1:16" x14ac:dyDescent="0.3">
      <c r="A40" s="25" t="s">
        <v>3220</v>
      </c>
      <c r="B40" s="26">
        <v>46108</v>
      </c>
      <c r="C40" s="26">
        <v>46113</v>
      </c>
      <c r="D40" s="82">
        <v>3319</v>
      </c>
      <c r="E40" s="82">
        <v>327</v>
      </c>
      <c r="F40" s="25">
        <v>2</v>
      </c>
      <c r="G40" s="28">
        <v>1</v>
      </c>
      <c r="H40" s="28">
        <v>81433</v>
      </c>
      <c r="I40" s="28" t="s">
        <v>17</v>
      </c>
      <c r="J40" s="28">
        <v>59172206</v>
      </c>
      <c r="K40" t="s">
        <v>3005</v>
      </c>
      <c r="L40" t="s">
        <v>3014</v>
      </c>
      <c r="M40" s="37">
        <v>229900</v>
      </c>
      <c r="N40" s="81" t="s">
        <v>2826</v>
      </c>
      <c r="O40" s="37" t="s">
        <v>3221</v>
      </c>
      <c r="P40" s="28" t="s">
        <v>2826</v>
      </c>
    </row>
    <row r="41" spans="1:16" x14ac:dyDescent="0.3">
      <c r="A41" s="25" t="s">
        <v>3220</v>
      </c>
      <c r="B41" s="26">
        <v>46108</v>
      </c>
      <c r="C41" s="26">
        <v>46113</v>
      </c>
      <c r="D41" s="82">
        <v>3319</v>
      </c>
      <c r="E41" s="82">
        <v>327</v>
      </c>
      <c r="F41" s="25">
        <v>2</v>
      </c>
      <c r="G41" s="28">
        <v>1</v>
      </c>
      <c r="H41" s="28">
        <v>81433</v>
      </c>
      <c r="I41" s="28" t="s">
        <v>17</v>
      </c>
      <c r="J41" s="28">
        <v>59172215</v>
      </c>
      <c r="K41" t="s">
        <v>3005</v>
      </c>
      <c r="L41" t="s">
        <v>3015</v>
      </c>
      <c r="M41" s="37">
        <v>229900</v>
      </c>
      <c r="N41" s="81" t="s">
        <v>2826</v>
      </c>
      <c r="O41" s="37" t="s">
        <v>3221</v>
      </c>
      <c r="P41" s="28" t="s">
        <v>2826</v>
      </c>
    </row>
    <row r="42" spans="1:16" x14ac:dyDescent="0.3">
      <c r="A42" s="25" t="s">
        <v>3220</v>
      </c>
      <c r="B42" s="26">
        <v>46108</v>
      </c>
      <c r="C42" s="26">
        <v>46113</v>
      </c>
      <c r="D42" s="82">
        <v>3319</v>
      </c>
      <c r="E42" s="82">
        <v>327</v>
      </c>
      <c r="F42" s="25">
        <v>2</v>
      </c>
      <c r="G42" s="28">
        <v>1</v>
      </c>
      <c r="H42" s="28">
        <v>81433</v>
      </c>
      <c r="I42" s="28" t="s">
        <v>17</v>
      </c>
      <c r="J42" s="28">
        <v>59172224</v>
      </c>
      <c r="K42" t="s">
        <v>3016</v>
      </c>
      <c r="L42" t="s">
        <v>3017</v>
      </c>
      <c r="M42" s="37">
        <v>199900</v>
      </c>
      <c r="N42" s="81" t="s">
        <v>2826</v>
      </c>
      <c r="O42" s="37" t="s">
        <v>3221</v>
      </c>
      <c r="P42" s="28" t="s">
        <v>2826</v>
      </c>
    </row>
    <row r="43" spans="1:16" x14ac:dyDescent="0.3">
      <c r="A43" s="25" t="s">
        <v>3220</v>
      </c>
      <c r="B43" s="26">
        <v>46108</v>
      </c>
      <c r="C43" s="26">
        <v>46113</v>
      </c>
      <c r="D43" s="82">
        <v>3319</v>
      </c>
      <c r="E43" s="82">
        <v>327</v>
      </c>
      <c r="F43" s="25">
        <v>2</v>
      </c>
      <c r="G43" s="28">
        <v>1</v>
      </c>
      <c r="H43" s="28">
        <v>81433</v>
      </c>
      <c r="I43" s="28" t="s">
        <v>17</v>
      </c>
      <c r="J43" s="28">
        <v>59172233</v>
      </c>
      <c r="K43" t="s">
        <v>3016</v>
      </c>
      <c r="L43" t="s">
        <v>3018</v>
      </c>
      <c r="M43" s="37">
        <v>199900</v>
      </c>
      <c r="N43" s="81" t="s">
        <v>2826</v>
      </c>
      <c r="O43" s="37" t="s">
        <v>3221</v>
      </c>
      <c r="P43" s="28" t="s">
        <v>2826</v>
      </c>
    </row>
    <row r="44" spans="1:16" x14ac:dyDescent="0.3">
      <c r="A44" s="25" t="s">
        <v>3220</v>
      </c>
      <c r="B44" s="26">
        <v>46108</v>
      </c>
      <c r="C44" s="26">
        <v>46113</v>
      </c>
      <c r="D44" s="82">
        <v>3319</v>
      </c>
      <c r="E44" s="82">
        <v>327</v>
      </c>
      <c r="F44" s="25">
        <v>2</v>
      </c>
      <c r="G44" s="28">
        <v>1</v>
      </c>
      <c r="H44" s="28">
        <v>81433</v>
      </c>
      <c r="I44" s="28" t="s">
        <v>17</v>
      </c>
      <c r="J44" s="28">
        <v>59172242</v>
      </c>
      <c r="K44" t="s">
        <v>3016</v>
      </c>
      <c r="L44" t="s">
        <v>3019</v>
      </c>
      <c r="M44" s="37">
        <v>199900</v>
      </c>
      <c r="N44" s="81" t="s">
        <v>2826</v>
      </c>
      <c r="O44" s="37" t="s">
        <v>3221</v>
      </c>
      <c r="P44" s="28" t="s">
        <v>2826</v>
      </c>
    </row>
    <row r="45" spans="1:16" x14ac:dyDescent="0.3">
      <c r="A45" s="25" t="s">
        <v>3220</v>
      </c>
      <c r="B45" s="26">
        <v>46108</v>
      </c>
      <c r="C45" s="26">
        <v>46113</v>
      </c>
      <c r="D45" s="82">
        <v>3319</v>
      </c>
      <c r="E45" s="82">
        <v>327</v>
      </c>
      <c r="F45" s="25">
        <v>2</v>
      </c>
      <c r="G45" s="28">
        <v>1</v>
      </c>
      <c r="H45" s="28">
        <v>81433</v>
      </c>
      <c r="I45" s="28" t="s">
        <v>17</v>
      </c>
      <c r="J45" s="28">
        <v>59172251</v>
      </c>
      <c r="K45" t="s">
        <v>3016</v>
      </c>
      <c r="L45" t="s">
        <v>3020</v>
      </c>
      <c r="M45" s="37">
        <v>199900</v>
      </c>
      <c r="N45" s="81" t="s">
        <v>2826</v>
      </c>
      <c r="O45" s="37" t="s">
        <v>3221</v>
      </c>
      <c r="P45" s="28" t="s">
        <v>2826</v>
      </c>
    </row>
    <row r="46" spans="1:16" x14ac:dyDescent="0.3">
      <c r="A46" s="25" t="s">
        <v>3220</v>
      </c>
      <c r="B46" s="26">
        <v>46108</v>
      </c>
      <c r="C46" s="26">
        <v>46113</v>
      </c>
      <c r="D46" s="82">
        <v>3319</v>
      </c>
      <c r="E46" s="82">
        <v>327</v>
      </c>
      <c r="F46" s="25">
        <v>2</v>
      </c>
      <c r="G46" s="28">
        <v>1</v>
      </c>
      <c r="H46" s="28">
        <v>81433</v>
      </c>
      <c r="I46" s="28" t="s">
        <v>17</v>
      </c>
      <c r="J46" s="28">
        <v>59172260</v>
      </c>
      <c r="K46" t="s">
        <v>3016</v>
      </c>
      <c r="L46" t="s">
        <v>3021</v>
      </c>
      <c r="M46" s="37">
        <v>199900</v>
      </c>
      <c r="N46" s="81" t="s">
        <v>2826</v>
      </c>
      <c r="O46" s="37" t="s">
        <v>3221</v>
      </c>
      <c r="P46" s="28" t="s">
        <v>2826</v>
      </c>
    </row>
    <row r="47" spans="1:16" x14ac:dyDescent="0.3">
      <c r="A47" s="25" t="s">
        <v>3220</v>
      </c>
      <c r="B47" s="26">
        <v>46108</v>
      </c>
      <c r="C47" s="26">
        <v>46113</v>
      </c>
      <c r="D47" s="82">
        <v>3319</v>
      </c>
      <c r="E47" s="82">
        <v>327</v>
      </c>
      <c r="F47" s="25">
        <v>2</v>
      </c>
      <c r="G47" s="28">
        <v>1</v>
      </c>
      <c r="H47" s="28">
        <v>81433</v>
      </c>
      <c r="I47" s="28" t="s">
        <v>17</v>
      </c>
      <c r="J47" s="28">
        <v>59172279</v>
      </c>
      <c r="K47" t="s">
        <v>3016</v>
      </c>
      <c r="L47" t="s">
        <v>3022</v>
      </c>
      <c r="M47" s="37">
        <v>199900</v>
      </c>
      <c r="N47" s="81" t="s">
        <v>2826</v>
      </c>
      <c r="O47" s="37" t="s">
        <v>3221</v>
      </c>
      <c r="P47" s="28" t="s">
        <v>2826</v>
      </c>
    </row>
    <row r="48" spans="1:16" x14ac:dyDescent="0.3">
      <c r="A48" s="25" t="s">
        <v>3220</v>
      </c>
      <c r="B48" s="26">
        <v>46108</v>
      </c>
      <c r="C48" s="26">
        <v>46113</v>
      </c>
      <c r="D48" s="82">
        <v>3319</v>
      </c>
      <c r="E48" s="82">
        <v>327</v>
      </c>
      <c r="F48" s="25">
        <v>2</v>
      </c>
      <c r="G48" s="28">
        <v>1</v>
      </c>
      <c r="H48" s="28">
        <v>81433</v>
      </c>
      <c r="I48" s="28" t="s">
        <v>17</v>
      </c>
      <c r="J48" s="28">
        <v>59172288</v>
      </c>
      <c r="K48" t="s">
        <v>3016</v>
      </c>
      <c r="L48" t="s">
        <v>3023</v>
      </c>
      <c r="M48" s="37">
        <v>199900</v>
      </c>
      <c r="N48" s="81" t="s">
        <v>2826</v>
      </c>
      <c r="O48" s="37" t="s">
        <v>3221</v>
      </c>
      <c r="P48" s="28" t="s">
        <v>2826</v>
      </c>
    </row>
    <row r="49" spans="1:16" x14ac:dyDescent="0.3">
      <c r="A49" s="25" t="s">
        <v>3220</v>
      </c>
      <c r="B49" s="26">
        <v>46108</v>
      </c>
      <c r="C49" s="26">
        <v>46113</v>
      </c>
      <c r="D49" s="82">
        <v>3319</v>
      </c>
      <c r="E49" s="82">
        <v>327</v>
      </c>
      <c r="F49" s="25">
        <v>2</v>
      </c>
      <c r="G49" s="28">
        <v>1</v>
      </c>
      <c r="H49" s="28">
        <v>81433</v>
      </c>
      <c r="I49" s="28" t="s">
        <v>17</v>
      </c>
      <c r="J49" s="28">
        <v>59172297</v>
      </c>
      <c r="K49" t="s">
        <v>3016</v>
      </c>
      <c r="L49" t="s">
        <v>3024</v>
      </c>
      <c r="M49" s="37">
        <v>199900</v>
      </c>
      <c r="N49" s="81" t="s">
        <v>2826</v>
      </c>
      <c r="O49" s="37" t="s">
        <v>3221</v>
      </c>
      <c r="P49" s="28" t="s">
        <v>2826</v>
      </c>
    </row>
    <row r="50" spans="1:16" x14ac:dyDescent="0.3">
      <c r="A50" s="25" t="s">
        <v>3220</v>
      </c>
      <c r="B50" s="26">
        <v>46108</v>
      </c>
      <c r="C50" s="26">
        <v>46113</v>
      </c>
      <c r="D50" s="82">
        <v>3319</v>
      </c>
      <c r="E50" s="82">
        <v>327</v>
      </c>
      <c r="F50" s="25">
        <v>2</v>
      </c>
      <c r="G50" s="28">
        <v>1</v>
      </c>
      <c r="H50" s="28">
        <v>81433</v>
      </c>
      <c r="I50" s="28" t="s">
        <v>17</v>
      </c>
      <c r="J50" s="28">
        <v>59172304</v>
      </c>
      <c r="K50" t="s">
        <v>3016</v>
      </c>
      <c r="L50" t="s">
        <v>3025</v>
      </c>
      <c r="M50" s="37">
        <v>199900</v>
      </c>
      <c r="N50" s="81" t="s">
        <v>2826</v>
      </c>
      <c r="O50" s="37" t="s">
        <v>3221</v>
      </c>
      <c r="P50" s="28" t="s">
        <v>2826</v>
      </c>
    </row>
    <row r="51" spans="1:16" x14ac:dyDescent="0.3">
      <c r="A51" s="25" t="s">
        <v>3220</v>
      </c>
      <c r="B51" s="26">
        <v>46108</v>
      </c>
      <c r="C51" s="26">
        <v>46113</v>
      </c>
      <c r="D51" s="82">
        <v>3319</v>
      </c>
      <c r="E51" s="82">
        <v>327</v>
      </c>
      <c r="F51" s="25">
        <v>2</v>
      </c>
      <c r="G51" s="28">
        <v>1</v>
      </c>
      <c r="H51" s="28">
        <v>81433</v>
      </c>
      <c r="I51" s="28" t="s">
        <v>17</v>
      </c>
      <c r="J51" s="28">
        <v>59172313</v>
      </c>
      <c r="K51" t="s">
        <v>3016</v>
      </c>
      <c r="L51" t="s">
        <v>3026</v>
      </c>
      <c r="M51" s="37">
        <v>199900</v>
      </c>
      <c r="N51" s="81" t="s">
        <v>2826</v>
      </c>
      <c r="O51" s="37" t="s">
        <v>3221</v>
      </c>
      <c r="P51" s="28" t="s">
        <v>2826</v>
      </c>
    </row>
    <row r="52" spans="1:16" x14ac:dyDescent="0.3">
      <c r="A52" s="25" t="s">
        <v>3220</v>
      </c>
      <c r="B52" s="26">
        <v>46108</v>
      </c>
      <c r="C52" s="26">
        <v>46113</v>
      </c>
      <c r="D52" s="82">
        <v>3319</v>
      </c>
      <c r="E52" s="82">
        <v>327</v>
      </c>
      <c r="F52" s="25">
        <v>2</v>
      </c>
      <c r="G52" s="28">
        <v>1</v>
      </c>
      <c r="H52" s="28">
        <v>81433</v>
      </c>
      <c r="I52" s="28" t="s">
        <v>17</v>
      </c>
      <c r="J52" s="28">
        <v>59172322</v>
      </c>
      <c r="K52" t="s">
        <v>3027</v>
      </c>
      <c r="L52" t="s">
        <v>3028</v>
      </c>
      <c r="M52" s="37">
        <v>199900</v>
      </c>
      <c r="N52" s="81" t="s">
        <v>2826</v>
      </c>
      <c r="O52" s="37" t="s">
        <v>3221</v>
      </c>
      <c r="P52" s="28" t="s">
        <v>2826</v>
      </c>
    </row>
    <row r="53" spans="1:16" x14ac:dyDescent="0.3">
      <c r="A53" s="25" t="s">
        <v>3220</v>
      </c>
      <c r="B53" s="26">
        <v>46108</v>
      </c>
      <c r="C53" s="26">
        <v>46113</v>
      </c>
      <c r="D53" s="82">
        <v>3319</v>
      </c>
      <c r="E53" s="82">
        <v>327</v>
      </c>
      <c r="F53" s="25">
        <v>2</v>
      </c>
      <c r="G53" s="28">
        <v>1</v>
      </c>
      <c r="H53" s="28">
        <v>81433</v>
      </c>
      <c r="I53" s="28" t="s">
        <v>17</v>
      </c>
      <c r="J53" s="28">
        <v>59172331</v>
      </c>
      <c r="K53" t="s">
        <v>3027</v>
      </c>
      <c r="L53" t="s">
        <v>3029</v>
      </c>
      <c r="M53" s="37">
        <v>199900</v>
      </c>
      <c r="N53" s="81" t="s">
        <v>2826</v>
      </c>
      <c r="O53" s="37" t="s">
        <v>3221</v>
      </c>
      <c r="P53" s="28" t="s">
        <v>2826</v>
      </c>
    </row>
    <row r="54" spans="1:16" x14ac:dyDescent="0.3">
      <c r="A54" s="25" t="s">
        <v>3220</v>
      </c>
      <c r="B54" s="26">
        <v>46108</v>
      </c>
      <c r="C54" s="26">
        <v>46113</v>
      </c>
      <c r="D54" s="82">
        <v>3319</v>
      </c>
      <c r="E54" s="82">
        <v>327</v>
      </c>
      <c r="F54" s="25">
        <v>2</v>
      </c>
      <c r="G54" s="28">
        <v>1</v>
      </c>
      <c r="H54" s="28">
        <v>81433</v>
      </c>
      <c r="I54" s="28" t="s">
        <v>17</v>
      </c>
      <c r="J54" s="28">
        <v>59172340</v>
      </c>
      <c r="K54" t="s">
        <v>3027</v>
      </c>
      <c r="L54" t="s">
        <v>3030</v>
      </c>
      <c r="M54" s="37">
        <v>199900</v>
      </c>
      <c r="N54" s="81" t="s">
        <v>2826</v>
      </c>
      <c r="O54" s="37" t="s">
        <v>3221</v>
      </c>
      <c r="P54" s="28" t="s">
        <v>2826</v>
      </c>
    </row>
    <row r="55" spans="1:16" x14ac:dyDescent="0.3">
      <c r="A55" s="25" t="s">
        <v>3220</v>
      </c>
      <c r="B55" s="26">
        <v>46108</v>
      </c>
      <c r="C55" s="26">
        <v>46113</v>
      </c>
      <c r="D55" s="82">
        <v>3319</v>
      </c>
      <c r="E55" s="82">
        <v>327</v>
      </c>
      <c r="F55" s="25">
        <v>2</v>
      </c>
      <c r="G55" s="28">
        <v>1</v>
      </c>
      <c r="H55" s="28">
        <v>81433</v>
      </c>
      <c r="I55" s="28" t="s">
        <v>17</v>
      </c>
      <c r="J55" s="28">
        <v>59172359</v>
      </c>
      <c r="K55" t="s">
        <v>3027</v>
      </c>
      <c r="L55" t="s">
        <v>3031</v>
      </c>
      <c r="M55" s="37">
        <v>199900</v>
      </c>
      <c r="N55" s="81" t="s">
        <v>2826</v>
      </c>
      <c r="O55" s="37" t="s">
        <v>3221</v>
      </c>
      <c r="P55" s="28" t="s">
        <v>2826</v>
      </c>
    </row>
    <row r="56" spans="1:16" x14ac:dyDescent="0.3">
      <c r="A56" s="25" t="s">
        <v>3220</v>
      </c>
      <c r="B56" s="26">
        <v>46108</v>
      </c>
      <c r="C56" s="26">
        <v>46113</v>
      </c>
      <c r="D56" s="82">
        <v>3319</v>
      </c>
      <c r="E56" s="82">
        <v>327</v>
      </c>
      <c r="F56" s="25">
        <v>2</v>
      </c>
      <c r="G56" s="28">
        <v>1</v>
      </c>
      <c r="H56" s="28">
        <v>81433</v>
      </c>
      <c r="I56" s="28" t="s">
        <v>17</v>
      </c>
      <c r="J56" s="28">
        <v>59172368</v>
      </c>
      <c r="K56" t="s">
        <v>3027</v>
      </c>
      <c r="L56" t="s">
        <v>3032</v>
      </c>
      <c r="M56" s="37">
        <v>199900</v>
      </c>
      <c r="N56" s="81" t="s">
        <v>2826</v>
      </c>
      <c r="O56" s="37" t="s">
        <v>3221</v>
      </c>
      <c r="P56" s="28" t="s">
        <v>2826</v>
      </c>
    </row>
    <row r="57" spans="1:16" x14ac:dyDescent="0.3">
      <c r="A57" s="25" t="s">
        <v>3220</v>
      </c>
      <c r="B57" s="26">
        <v>46108</v>
      </c>
      <c r="C57" s="26">
        <v>46113</v>
      </c>
      <c r="D57" s="82">
        <v>3319</v>
      </c>
      <c r="E57" s="82">
        <v>327</v>
      </c>
      <c r="F57" s="25">
        <v>2</v>
      </c>
      <c r="G57" s="28">
        <v>1</v>
      </c>
      <c r="H57" s="28">
        <v>81433</v>
      </c>
      <c r="I57" s="28" t="s">
        <v>17</v>
      </c>
      <c r="J57" s="28">
        <v>59172377</v>
      </c>
      <c r="K57" t="s">
        <v>3027</v>
      </c>
      <c r="L57" t="s">
        <v>3033</v>
      </c>
      <c r="M57" s="37">
        <v>199900</v>
      </c>
      <c r="N57" s="81" t="s">
        <v>2826</v>
      </c>
      <c r="O57" s="37" t="s">
        <v>3221</v>
      </c>
      <c r="P57" s="28" t="s">
        <v>2826</v>
      </c>
    </row>
    <row r="58" spans="1:16" x14ac:dyDescent="0.3">
      <c r="A58" s="25" t="s">
        <v>3220</v>
      </c>
      <c r="B58" s="26">
        <v>46108</v>
      </c>
      <c r="C58" s="26">
        <v>46113</v>
      </c>
      <c r="D58" s="82">
        <v>3319</v>
      </c>
      <c r="E58" s="82">
        <v>327</v>
      </c>
      <c r="F58" s="25">
        <v>2</v>
      </c>
      <c r="G58" s="28">
        <v>1</v>
      </c>
      <c r="H58" s="28">
        <v>81433</v>
      </c>
      <c r="I58" s="28" t="s">
        <v>17</v>
      </c>
      <c r="J58" s="28">
        <v>59172386</v>
      </c>
      <c r="K58" t="s">
        <v>3027</v>
      </c>
      <c r="L58" t="s">
        <v>3034</v>
      </c>
      <c r="M58" s="37">
        <v>199900</v>
      </c>
      <c r="N58" s="81" t="s">
        <v>2826</v>
      </c>
      <c r="O58" s="37" t="s">
        <v>3221</v>
      </c>
      <c r="P58" s="28" t="s">
        <v>2826</v>
      </c>
    </row>
    <row r="59" spans="1:16" x14ac:dyDescent="0.3">
      <c r="A59" s="25" t="s">
        <v>3220</v>
      </c>
      <c r="B59" s="26">
        <v>46108</v>
      </c>
      <c r="C59" s="26">
        <v>46113</v>
      </c>
      <c r="D59" s="82">
        <v>3319</v>
      </c>
      <c r="E59" s="82">
        <v>327</v>
      </c>
      <c r="F59" s="25">
        <v>2</v>
      </c>
      <c r="G59" s="28">
        <v>1</v>
      </c>
      <c r="H59" s="28">
        <v>81433</v>
      </c>
      <c r="I59" s="28" t="s">
        <v>17</v>
      </c>
      <c r="J59" s="28">
        <v>59172395</v>
      </c>
      <c r="K59" t="s">
        <v>3027</v>
      </c>
      <c r="L59" t="s">
        <v>3035</v>
      </c>
      <c r="M59" s="37">
        <v>199900</v>
      </c>
      <c r="N59" s="81" t="s">
        <v>2826</v>
      </c>
      <c r="O59" s="37" t="s">
        <v>3221</v>
      </c>
      <c r="P59" s="28" t="s">
        <v>2826</v>
      </c>
    </row>
    <row r="60" spans="1:16" x14ac:dyDescent="0.3">
      <c r="A60" s="25" t="s">
        <v>3220</v>
      </c>
      <c r="B60" s="26">
        <v>46108</v>
      </c>
      <c r="C60" s="26">
        <v>46113</v>
      </c>
      <c r="D60" s="82">
        <v>3319</v>
      </c>
      <c r="E60" s="82">
        <v>327</v>
      </c>
      <c r="F60" s="25">
        <v>2</v>
      </c>
      <c r="G60" s="28">
        <v>1</v>
      </c>
      <c r="H60" s="28">
        <v>81433</v>
      </c>
      <c r="I60" s="28" t="s">
        <v>17</v>
      </c>
      <c r="J60" s="28">
        <v>59172402</v>
      </c>
      <c r="K60" t="s">
        <v>3027</v>
      </c>
      <c r="L60" t="s">
        <v>3036</v>
      </c>
      <c r="M60" s="37">
        <v>199900</v>
      </c>
      <c r="N60" s="81" t="s">
        <v>2826</v>
      </c>
      <c r="O60" s="37" t="s">
        <v>3221</v>
      </c>
      <c r="P60" s="28" t="s">
        <v>2826</v>
      </c>
    </row>
    <row r="61" spans="1:16" x14ac:dyDescent="0.3">
      <c r="A61" s="25" t="s">
        <v>3220</v>
      </c>
      <c r="B61" s="26">
        <v>46108</v>
      </c>
      <c r="C61" s="26">
        <v>46113</v>
      </c>
      <c r="D61" s="82">
        <v>3319</v>
      </c>
      <c r="E61" s="82">
        <v>327</v>
      </c>
      <c r="F61" s="25">
        <v>2</v>
      </c>
      <c r="G61" s="28">
        <v>1</v>
      </c>
      <c r="H61" s="28">
        <v>81433</v>
      </c>
      <c r="I61" s="28" t="s">
        <v>17</v>
      </c>
      <c r="J61" s="28">
        <v>59172411</v>
      </c>
      <c r="K61" t="s">
        <v>3027</v>
      </c>
      <c r="L61" t="s">
        <v>3037</v>
      </c>
      <c r="M61" s="37">
        <v>199900</v>
      </c>
      <c r="N61" s="81" t="s">
        <v>2826</v>
      </c>
      <c r="O61" s="37" t="s">
        <v>3221</v>
      </c>
      <c r="P61" s="28" t="s">
        <v>2826</v>
      </c>
    </row>
    <row r="62" spans="1:16" x14ac:dyDescent="0.3">
      <c r="A62" s="25" t="s">
        <v>3220</v>
      </c>
      <c r="B62" s="26">
        <v>46108</v>
      </c>
      <c r="C62" s="26">
        <v>46113</v>
      </c>
      <c r="D62" s="82">
        <v>3319</v>
      </c>
      <c r="E62" s="82">
        <v>327</v>
      </c>
      <c r="F62" s="25">
        <v>2</v>
      </c>
      <c r="G62" s="28">
        <v>1</v>
      </c>
      <c r="H62" s="28">
        <v>81778</v>
      </c>
      <c r="I62" s="28" t="s">
        <v>17</v>
      </c>
      <c r="J62" s="28">
        <v>59170342</v>
      </c>
      <c r="K62" t="s">
        <v>3038</v>
      </c>
      <c r="L62" t="s">
        <v>3039</v>
      </c>
      <c r="M62" s="37">
        <v>199900</v>
      </c>
      <c r="N62" s="81" t="s">
        <v>2826</v>
      </c>
      <c r="O62" s="37" t="s">
        <v>3221</v>
      </c>
      <c r="P62" s="28" t="s">
        <v>2826</v>
      </c>
    </row>
    <row r="63" spans="1:16" x14ac:dyDescent="0.3">
      <c r="A63" s="25" t="s">
        <v>3220</v>
      </c>
      <c r="B63" s="26">
        <v>46108</v>
      </c>
      <c r="C63" s="26">
        <v>46113</v>
      </c>
      <c r="D63" s="82">
        <v>3319</v>
      </c>
      <c r="E63" s="82">
        <v>327</v>
      </c>
      <c r="F63" s="25">
        <v>2</v>
      </c>
      <c r="G63" s="28">
        <v>1</v>
      </c>
      <c r="H63" s="28">
        <v>81778</v>
      </c>
      <c r="I63" s="28" t="s">
        <v>17</v>
      </c>
      <c r="J63" s="28">
        <v>59170351</v>
      </c>
      <c r="K63" t="s">
        <v>3038</v>
      </c>
      <c r="L63" t="s">
        <v>3040</v>
      </c>
      <c r="M63" s="37">
        <v>199900</v>
      </c>
      <c r="N63" s="81" t="s">
        <v>2826</v>
      </c>
      <c r="O63" s="37" t="s">
        <v>3221</v>
      </c>
      <c r="P63" s="28" t="s">
        <v>2826</v>
      </c>
    </row>
    <row r="64" spans="1:16" x14ac:dyDescent="0.3">
      <c r="A64" s="25" t="s">
        <v>3220</v>
      </c>
      <c r="B64" s="26">
        <v>46108</v>
      </c>
      <c r="C64" s="26">
        <v>46113</v>
      </c>
      <c r="D64" s="82">
        <v>3319</v>
      </c>
      <c r="E64" s="82">
        <v>327</v>
      </c>
      <c r="F64" s="25">
        <v>2</v>
      </c>
      <c r="G64" s="28">
        <v>1</v>
      </c>
      <c r="H64" s="28">
        <v>81778</v>
      </c>
      <c r="I64" s="28" t="s">
        <v>17</v>
      </c>
      <c r="J64" s="28">
        <v>59170360</v>
      </c>
      <c r="K64" t="s">
        <v>3038</v>
      </c>
      <c r="L64" t="s">
        <v>3041</v>
      </c>
      <c r="M64" s="37">
        <v>199900</v>
      </c>
      <c r="N64" s="81" t="s">
        <v>2826</v>
      </c>
      <c r="O64" s="37" t="s">
        <v>3221</v>
      </c>
      <c r="P64" s="28" t="s">
        <v>2826</v>
      </c>
    </row>
    <row r="65" spans="1:16" x14ac:dyDescent="0.3">
      <c r="A65" s="25" t="s">
        <v>3220</v>
      </c>
      <c r="B65" s="26">
        <v>46108</v>
      </c>
      <c r="C65" s="26">
        <v>46113</v>
      </c>
      <c r="D65" s="82">
        <v>3319</v>
      </c>
      <c r="E65" s="82">
        <v>327</v>
      </c>
      <c r="F65" s="25">
        <v>2</v>
      </c>
      <c r="G65" s="28">
        <v>1</v>
      </c>
      <c r="H65" s="28">
        <v>81778</v>
      </c>
      <c r="I65" s="28" t="s">
        <v>17</v>
      </c>
      <c r="J65" s="28">
        <v>59170379</v>
      </c>
      <c r="K65" t="s">
        <v>3038</v>
      </c>
      <c r="L65" t="s">
        <v>3042</v>
      </c>
      <c r="M65" s="37">
        <v>199900</v>
      </c>
      <c r="N65" s="81" t="s">
        <v>2826</v>
      </c>
      <c r="O65" s="37" t="s">
        <v>3221</v>
      </c>
      <c r="P65" s="28" t="s">
        <v>2826</v>
      </c>
    </row>
    <row r="66" spans="1:16" x14ac:dyDescent="0.3">
      <c r="A66" s="25" t="s">
        <v>3220</v>
      </c>
      <c r="B66" s="26">
        <v>46108</v>
      </c>
      <c r="C66" s="26">
        <v>46113</v>
      </c>
      <c r="D66" s="82">
        <v>3319</v>
      </c>
      <c r="E66" s="82">
        <v>327</v>
      </c>
      <c r="F66" s="25">
        <v>2</v>
      </c>
      <c r="G66" s="28">
        <v>1</v>
      </c>
      <c r="H66" s="28">
        <v>81778</v>
      </c>
      <c r="I66" s="28" t="s">
        <v>17</v>
      </c>
      <c r="J66" s="28">
        <v>59170388</v>
      </c>
      <c r="K66" t="s">
        <v>3038</v>
      </c>
      <c r="L66" t="s">
        <v>3043</v>
      </c>
      <c r="M66" s="37">
        <v>199900</v>
      </c>
      <c r="N66" s="81" t="s">
        <v>2826</v>
      </c>
      <c r="O66" s="37" t="s">
        <v>3221</v>
      </c>
      <c r="P66" s="28" t="s">
        <v>2826</v>
      </c>
    </row>
    <row r="67" spans="1:16" x14ac:dyDescent="0.3">
      <c r="A67" s="25" t="s">
        <v>3220</v>
      </c>
      <c r="B67" s="26">
        <v>46108</v>
      </c>
      <c r="C67" s="26">
        <v>46113</v>
      </c>
      <c r="D67" s="82">
        <v>3319</v>
      </c>
      <c r="E67" s="82">
        <v>327</v>
      </c>
      <c r="F67" s="25">
        <v>2</v>
      </c>
      <c r="G67" s="28">
        <v>1</v>
      </c>
      <c r="H67" s="28">
        <v>81778</v>
      </c>
      <c r="I67" s="28" t="s">
        <v>17</v>
      </c>
      <c r="J67" s="28">
        <v>59170397</v>
      </c>
      <c r="K67" t="s">
        <v>3038</v>
      </c>
      <c r="L67" t="s">
        <v>3044</v>
      </c>
      <c r="M67" s="37">
        <v>199900</v>
      </c>
      <c r="N67" s="81" t="s">
        <v>2826</v>
      </c>
      <c r="O67" s="37" t="s">
        <v>3221</v>
      </c>
      <c r="P67" s="28" t="s">
        <v>2826</v>
      </c>
    </row>
    <row r="68" spans="1:16" x14ac:dyDescent="0.3">
      <c r="A68" s="25" t="s">
        <v>3220</v>
      </c>
      <c r="B68" s="26">
        <v>46108</v>
      </c>
      <c r="C68" s="26">
        <v>46113</v>
      </c>
      <c r="D68" s="82">
        <v>3319</v>
      </c>
      <c r="E68" s="82">
        <v>327</v>
      </c>
      <c r="F68" s="25">
        <v>2</v>
      </c>
      <c r="G68" s="28">
        <v>1</v>
      </c>
      <c r="H68" s="28">
        <v>81778</v>
      </c>
      <c r="I68" s="28" t="s">
        <v>17</v>
      </c>
      <c r="J68" s="28">
        <v>59170753</v>
      </c>
      <c r="K68" t="s">
        <v>3045</v>
      </c>
      <c r="L68" t="s">
        <v>3046</v>
      </c>
      <c r="M68" s="37">
        <v>199900</v>
      </c>
      <c r="N68" s="81" t="s">
        <v>2826</v>
      </c>
      <c r="O68" s="37" t="s">
        <v>3221</v>
      </c>
      <c r="P68" s="28" t="s">
        <v>2826</v>
      </c>
    </row>
    <row r="69" spans="1:16" x14ac:dyDescent="0.3">
      <c r="A69" s="25" t="s">
        <v>3220</v>
      </c>
      <c r="B69" s="26">
        <v>46108</v>
      </c>
      <c r="C69" s="26">
        <v>46113</v>
      </c>
      <c r="D69" s="82">
        <v>3319</v>
      </c>
      <c r="E69" s="82">
        <v>327</v>
      </c>
      <c r="F69" s="25">
        <v>2</v>
      </c>
      <c r="G69" s="28">
        <v>1</v>
      </c>
      <c r="H69" s="28">
        <v>81778</v>
      </c>
      <c r="I69" s="28" t="s">
        <v>17</v>
      </c>
      <c r="J69" s="28">
        <v>59170762</v>
      </c>
      <c r="K69" t="s">
        <v>3045</v>
      </c>
      <c r="L69" t="s">
        <v>3047</v>
      </c>
      <c r="M69" s="37">
        <v>199900</v>
      </c>
      <c r="N69" s="81" t="s">
        <v>2826</v>
      </c>
      <c r="O69" s="37" t="s">
        <v>3221</v>
      </c>
      <c r="P69" s="28" t="s">
        <v>2826</v>
      </c>
    </row>
    <row r="70" spans="1:16" x14ac:dyDescent="0.3">
      <c r="A70" s="25" t="s">
        <v>3220</v>
      </c>
      <c r="B70" s="26">
        <v>46108</v>
      </c>
      <c r="C70" s="26">
        <v>46113</v>
      </c>
      <c r="D70" s="82">
        <v>3319</v>
      </c>
      <c r="E70" s="82">
        <v>327</v>
      </c>
      <c r="F70" s="25">
        <v>2</v>
      </c>
      <c r="G70" s="28">
        <v>1</v>
      </c>
      <c r="H70" s="28">
        <v>81778</v>
      </c>
      <c r="I70" s="28" t="s">
        <v>17</v>
      </c>
      <c r="J70" s="28">
        <v>59170771</v>
      </c>
      <c r="K70" t="s">
        <v>3045</v>
      </c>
      <c r="L70" t="s">
        <v>3048</v>
      </c>
      <c r="M70" s="37">
        <v>199900</v>
      </c>
      <c r="N70" s="81" t="s">
        <v>2826</v>
      </c>
      <c r="O70" s="37" t="s">
        <v>3221</v>
      </c>
      <c r="P70" s="28" t="s">
        <v>2826</v>
      </c>
    </row>
    <row r="71" spans="1:16" x14ac:dyDescent="0.3">
      <c r="A71" s="25" t="s">
        <v>3220</v>
      </c>
      <c r="B71" s="26">
        <v>46108</v>
      </c>
      <c r="C71" s="26">
        <v>46113</v>
      </c>
      <c r="D71" s="82">
        <v>3319</v>
      </c>
      <c r="E71" s="82">
        <v>327</v>
      </c>
      <c r="F71" s="25">
        <v>2</v>
      </c>
      <c r="G71" s="28">
        <v>1</v>
      </c>
      <c r="H71" s="28">
        <v>81778</v>
      </c>
      <c r="I71" s="28" t="s">
        <v>17</v>
      </c>
      <c r="J71" s="28">
        <v>59170780</v>
      </c>
      <c r="K71" t="s">
        <v>3045</v>
      </c>
      <c r="L71" t="s">
        <v>3049</v>
      </c>
      <c r="M71" s="37">
        <v>199900</v>
      </c>
      <c r="N71" s="81" t="s">
        <v>2826</v>
      </c>
      <c r="O71" s="37" t="s">
        <v>3221</v>
      </c>
      <c r="P71" s="28" t="s">
        <v>2826</v>
      </c>
    </row>
    <row r="72" spans="1:16" x14ac:dyDescent="0.3">
      <c r="A72" s="25" t="s">
        <v>3220</v>
      </c>
      <c r="B72" s="26">
        <v>46108</v>
      </c>
      <c r="C72" s="26">
        <v>46113</v>
      </c>
      <c r="D72" s="82">
        <v>3319</v>
      </c>
      <c r="E72" s="82">
        <v>327</v>
      </c>
      <c r="F72" s="25">
        <v>2</v>
      </c>
      <c r="G72" s="28">
        <v>1</v>
      </c>
      <c r="H72" s="28">
        <v>81778</v>
      </c>
      <c r="I72" s="28" t="s">
        <v>17</v>
      </c>
      <c r="J72" s="28">
        <v>59170799</v>
      </c>
      <c r="K72" t="s">
        <v>3045</v>
      </c>
      <c r="L72" t="s">
        <v>3050</v>
      </c>
      <c r="M72" s="37">
        <v>199900</v>
      </c>
      <c r="N72" s="81" t="s">
        <v>2826</v>
      </c>
      <c r="O72" s="37" t="s">
        <v>3221</v>
      </c>
      <c r="P72" s="28" t="s">
        <v>2826</v>
      </c>
    </row>
    <row r="73" spans="1:16" x14ac:dyDescent="0.3">
      <c r="A73" s="25" t="s">
        <v>3220</v>
      </c>
      <c r="B73" s="26">
        <v>46108</v>
      </c>
      <c r="C73" s="26">
        <v>46113</v>
      </c>
      <c r="D73" s="82">
        <v>3319</v>
      </c>
      <c r="E73" s="82">
        <v>327</v>
      </c>
      <c r="F73" s="25">
        <v>2</v>
      </c>
      <c r="G73" s="28">
        <v>1</v>
      </c>
      <c r="H73" s="28">
        <v>81778</v>
      </c>
      <c r="I73" s="28" t="s">
        <v>17</v>
      </c>
      <c r="J73" s="28">
        <v>59170806</v>
      </c>
      <c r="K73" t="s">
        <v>3045</v>
      </c>
      <c r="L73" t="s">
        <v>3051</v>
      </c>
      <c r="M73" s="37">
        <v>199900</v>
      </c>
      <c r="N73" s="81" t="s">
        <v>2826</v>
      </c>
      <c r="O73" s="37" t="s">
        <v>3221</v>
      </c>
      <c r="P73" s="28" t="s">
        <v>2826</v>
      </c>
    </row>
    <row r="74" spans="1:16" x14ac:dyDescent="0.3">
      <c r="A74" s="25" t="s">
        <v>3220</v>
      </c>
      <c r="B74" s="26">
        <v>46108</v>
      </c>
      <c r="C74" s="26">
        <v>46113</v>
      </c>
      <c r="D74" s="82">
        <v>3319</v>
      </c>
      <c r="E74" s="82">
        <v>327</v>
      </c>
      <c r="F74" s="25">
        <v>2</v>
      </c>
      <c r="G74" s="28">
        <v>1</v>
      </c>
      <c r="H74" s="28">
        <v>81778</v>
      </c>
      <c r="I74" s="28" t="s">
        <v>17</v>
      </c>
      <c r="J74" s="28">
        <v>59170815</v>
      </c>
      <c r="K74" t="s">
        <v>3045</v>
      </c>
      <c r="L74" t="s">
        <v>3052</v>
      </c>
      <c r="M74" s="37">
        <v>199900</v>
      </c>
      <c r="N74" s="81" t="s">
        <v>2826</v>
      </c>
      <c r="O74" s="37" t="s">
        <v>3221</v>
      </c>
      <c r="P74" s="28" t="s">
        <v>2826</v>
      </c>
    </row>
    <row r="75" spans="1:16" x14ac:dyDescent="0.3">
      <c r="A75" s="25" t="s">
        <v>3220</v>
      </c>
      <c r="B75" s="26">
        <v>46108</v>
      </c>
      <c r="C75" s="26">
        <v>46113</v>
      </c>
      <c r="D75" s="82">
        <v>3319</v>
      </c>
      <c r="E75" s="82">
        <v>327</v>
      </c>
      <c r="F75" s="25">
        <v>2</v>
      </c>
      <c r="G75" s="28">
        <v>1</v>
      </c>
      <c r="H75" s="28">
        <v>81778</v>
      </c>
      <c r="I75" s="28" t="s">
        <v>17</v>
      </c>
      <c r="J75" s="28">
        <v>59170824</v>
      </c>
      <c r="K75" t="s">
        <v>3045</v>
      </c>
      <c r="L75" t="s">
        <v>3053</v>
      </c>
      <c r="M75" s="37">
        <v>199900</v>
      </c>
      <c r="N75" s="81" t="s">
        <v>2826</v>
      </c>
      <c r="O75" s="37" t="s">
        <v>3221</v>
      </c>
      <c r="P75" s="28" t="s">
        <v>2826</v>
      </c>
    </row>
    <row r="76" spans="1:16" x14ac:dyDescent="0.3">
      <c r="A76" s="25" t="s">
        <v>3220</v>
      </c>
      <c r="B76" s="26">
        <v>46108</v>
      </c>
      <c r="C76" s="26">
        <v>46113</v>
      </c>
      <c r="D76" s="82">
        <v>3319</v>
      </c>
      <c r="E76" s="82">
        <v>327</v>
      </c>
      <c r="F76" s="25">
        <v>2</v>
      </c>
      <c r="G76" s="28">
        <v>1</v>
      </c>
      <c r="H76" s="28">
        <v>81778</v>
      </c>
      <c r="I76" s="28" t="s">
        <v>17</v>
      </c>
      <c r="J76" s="28">
        <v>59170833</v>
      </c>
      <c r="K76" t="s">
        <v>3045</v>
      </c>
      <c r="L76" t="s">
        <v>3054</v>
      </c>
      <c r="M76" s="37">
        <v>199900</v>
      </c>
      <c r="N76" s="81" t="s">
        <v>2826</v>
      </c>
      <c r="O76" s="37" t="s">
        <v>3221</v>
      </c>
      <c r="P76" s="28" t="s">
        <v>2826</v>
      </c>
    </row>
    <row r="77" spans="1:16" x14ac:dyDescent="0.3">
      <c r="A77" s="25" t="s">
        <v>3220</v>
      </c>
      <c r="B77" s="26">
        <v>46108</v>
      </c>
      <c r="C77" s="26">
        <v>46113</v>
      </c>
      <c r="D77" s="82">
        <v>3319</v>
      </c>
      <c r="E77" s="82">
        <v>327</v>
      </c>
      <c r="F77" s="25">
        <v>2</v>
      </c>
      <c r="G77" s="28">
        <v>1</v>
      </c>
      <c r="H77" s="28">
        <v>81778</v>
      </c>
      <c r="I77" s="28" t="s">
        <v>17</v>
      </c>
      <c r="J77" s="28">
        <v>59170842</v>
      </c>
      <c r="K77" t="s">
        <v>3045</v>
      </c>
      <c r="L77" t="s">
        <v>3055</v>
      </c>
      <c r="M77" s="37">
        <v>199900</v>
      </c>
      <c r="N77" s="81" t="s">
        <v>2826</v>
      </c>
      <c r="O77" s="37" t="s">
        <v>3221</v>
      </c>
      <c r="P77" s="28" t="s">
        <v>2826</v>
      </c>
    </row>
    <row r="78" spans="1:16" x14ac:dyDescent="0.3">
      <c r="A78" s="25" t="s">
        <v>3220</v>
      </c>
      <c r="B78" s="26">
        <v>46108</v>
      </c>
      <c r="C78" s="26">
        <v>46113</v>
      </c>
      <c r="D78" s="82">
        <v>3319</v>
      </c>
      <c r="E78" s="82">
        <v>327</v>
      </c>
      <c r="F78" s="25">
        <v>2</v>
      </c>
      <c r="G78" s="28">
        <v>1</v>
      </c>
      <c r="H78" s="28">
        <v>81778</v>
      </c>
      <c r="I78" s="28" t="s">
        <v>17</v>
      </c>
      <c r="J78" s="28">
        <v>59170851</v>
      </c>
      <c r="K78" t="s">
        <v>3056</v>
      </c>
      <c r="L78" t="s">
        <v>3057</v>
      </c>
      <c r="M78" s="37">
        <v>199900</v>
      </c>
      <c r="N78" s="81" t="s">
        <v>2826</v>
      </c>
      <c r="O78" s="37" t="s">
        <v>3221</v>
      </c>
      <c r="P78" s="28" t="s">
        <v>2826</v>
      </c>
    </row>
    <row r="79" spans="1:16" x14ac:dyDescent="0.3">
      <c r="A79" s="25" t="s">
        <v>3220</v>
      </c>
      <c r="B79" s="26">
        <v>46108</v>
      </c>
      <c r="C79" s="26">
        <v>46113</v>
      </c>
      <c r="D79" s="82">
        <v>3319</v>
      </c>
      <c r="E79" s="82">
        <v>327</v>
      </c>
      <c r="F79" s="25">
        <v>2</v>
      </c>
      <c r="G79" s="28">
        <v>1</v>
      </c>
      <c r="H79" s="28">
        <v>81778</v>
      </c>
      <c r="I79" s="28" t="s">
        <v>17</v>
      </c>
      <c r="J79" s="28">
        <v>59170860</v>
      </c>
      <c r="K79" t="s">
        <v>3056</v>
      </c>
      <c r="L79" t="s">
        <v>3058</v>
      </c>
      <c r="M79" s="37">
        <v>199900</v>
      </c>
      <c r="N79" s="81" t="s">
        <v>2826</v>
      </c>
      <c r="O79" s="37" t="s">
        <v>3221</v>
      </c>
      <c r="P79" s="28" t="s">
        <v>2826</v>
      </c>
    </row>
    <row r="80" spans="1:16" x14ac:dyDescent="0.3">
      <c r="A80" s="25" t="s">
        <v>3220</v>
      </c>
      <c r="B80" s="26">
        <v>46108</v>
      </c>
      <c r="C80" s="26">
        <v>46113</v>
      </c>
      <c r="D80" s="82">
        <v>3319</v>
      </c>
      <c r="E80" s="82">
        <v>327</v>
      </c>
      <c r="F80" s="25">
        <v>2</v>
      </c>
      <c r="G80" s="28">
        <v>1</v>
      </c>
      <c r="H80" s="28">
        <v>81778</v>
      </c>
      <c r="I80" s="28" t="s">
        <v>17</v>
      </c>
      <c r="J80" s="28">
        <v>59170879</v>
      </c>
      <c r="K80" t="s">
        <v>3056</v>
      </c>
      <c r="L80" t="s">
        <v>3059</v>
      </c>
      <c r="M80" s="37">
        <v>199900</v>
      </c>
      <c r="N80" s="81" t="s">
        <v>2826</v>
      </c>
      <c r="O80" s="37" t="s">
        <v>3221</v>
      </c>
      <c r="P80" s="28" t="s">
        <v>2826</v>
      </c>
    </row>
    <row r="81" spans="1:16" x14ac:dyDescent="0.3">
      <c r="A81" s="25" t="s">
        <v>3220</v>
      </c>
      <c r="B81" s="26">
        <v>46108</v>
      </c>
      <c r="C81" s="26">
        <v>46113</v>
      </c>
      <c r="D81" s="82">
        <v>3319</v>
      </c>
      <c r="E81" s="82">
        <v>327</v>
      </c>
      <c r="F81" s="25">
        <v>2</v>
      </c>
      <c r="G81" s="28">
        <v>1</v>
      </c>
      <c r="H81" s="28">
        <v>81778</v>
      </c>
      <c r="I81" s="28" t="s">
        <v>17</v>
      </c>
      <c r="J81" s="28">
        <v>59170888</v>
      </c>
      <c r="K81" t="s">
        <v>3056</v>
      </c>
      <c r="L81" t="s">
        <v>3060</v>
      </c>
      <c r="M81" s="37">
        <v>199900</v>
      </c>
      <c r="N81" s="81" t="s">
        <v>2826</v>
      </c>
      <c r="O81" s="37" t="s">
        <v>3221</v>
      </c>
      <c r="P81" s="28" t="s">
        <v>2826</v>
      </c>
    </row>
    <row r="82" spans="1:16" x14ac:dyDescent="0.3">
      <c r="A82" s="25" t="s">
        <v>3220</v>
      </c>
      <c r="B82" s="26">
        <v>46108</v>
      </c>
      <c r="C82" s="26">
        <v>46113</v>
      </c>
      <c r="D82" s="82">
        <v>3319</v>
      </c>
      <c r="E82" s="82">
        <v>327</v>
      </c>
      <c r="F82" s="25">
        <v>2</v>
      </c>
      <c r="G82" s="28">
        <v>1</v>
      </c>
      <c r="H82" s="28">
        <v>81778</v>
      </c>
      <c r="I82" s="28" t="s">
        <v>17</v>
      </c>
      <c r="J82" s="28">
        <v>59170897</v>
      </c>
      <c r="K82" t="s">
        <v>3056</v>
      </c>
      <c r="L82" t="s">
        <v>3061</v>
      </c>
      <c r="M82" s="37">
        <v>199900</v>
      </c>
      <c r="N82" s="81" t="s">
        <v>2826</v>
      </c>
      <c r="O82" s="37" t="s">
        <v>3221</v>
      </c>
      <c r="P82" s="28" t="s">
        <v>2826</v>
      </c>
    </row>
    <row r="83" spans="1:16" x14ac:dyDescent="0.3">
      <c r="A83" s="25" t="s">
        <v>3220</v>
      </c>
      <c r="B83" s="26">
        <v>46108</v>
      </c>
      <c r="C83" s="26">
        <v>46113</v>
      </c>
      <c r="D83" s="82">
        <v>3319</v>
      </c>
      <c r="E83" s="82">
        <v>327</v>
      </c>
      <c r="F83" s="25">
        <v>2</v>
      </c>
      <c r="G83" s="28">
        <v>1</v>
      </c>
      <c r="H83" s="28">
        <v>81778</v>
      </c>
      <c r="I83" s="28" t="s">
        <v>17</v>
      </c>
      <c r="J83" s="28">
        <v>59170904</v>
      </c>
      <c r="K83" t="s">
        <v>3056</v>
      </c>
      <c r="L83" t="s">
        <v>3062</v>
      </c>
      <c r="M83" s="37">
        <v>199900</v>
      </c>
      <c r="N83" s="81" t="s">
        <v>2826</v>
      </c>
      <c r="O83" s="37" t="s">
        <v>3221</v>
      </c>
      <c r="P83" s="28" t="s">
        <v>2826</v>
      </c>
    </row>
    <row r="84" spans="1:16" x14ac:dyDescent="0.3">
      <c r="A84" s="25" t="s">
        <v>3220</v>
      </c>
      <c r="B84" s="26">
        <v>46108</v>
      </c>
      <c r="C84" s="26">
        <v>46113</v>
      </c>
      <c r="D84" s="82">
        <v>3319</v>
      </c>
      <c r="E84" s="82">
        <v>327</v>
      </c>
      <c r="F84" s="25">
        <v>2</v>
      </c>
      <c r="G84" s="28">
        <v>1</v>
      </c>
      <c r="H84" s="28">
        <v>81778</v>
      </c>
      <c r="I84" s="28" t="s">
        <v>17</v>
      </c>
      <c r="J84" s="28">
        <v>59170913</v>
      </c>
      <c r="K84" t="s">
        <v>3056</v>
      </c>
      <c r="L84" t="s">
        <v>3063</v>
      </c>
      <c r="M84" s="37">
        <v>199900</v>
      </c>
      <c r="N84" s="81" t="s">
        <v>2826</v>
      </c>
      <c r="O84" s="37" t="s">
        <v>3221</v>
      </c>
      <c r="P84" s="28" t="s">
        <v>2826</v>
      </c>
    </row>
    <row r="85" spans="1:16" x14ac:dyDescent="0.3">
      <c r="A85" s="25" t="s">
        <v>3220</v>
      </c>
      <c r="B85" s="26">
        <v>46108</v>
      </c>
      <c r="C85" s="26">
        <v>46113</v>
      </c>
      <c r="D85" s="82">
        <v>3319</v>
      </c>
      <c r="E85" s="82">
        <v>327</v>
      </c>
      <c r="F85" s="25">
        <v>2</v>
      </c>
      <c r="G85" s="28">
        <v>1</v>
      </c>
      <c r="H85" s="28">
        <v>81778</v>
      </c>
      <c r="I85" s="28" t="s">
        <v>17</v>
      </c>
      <c r="J85" s="28">
        <v>59170922</v>
      </c>
      <c r="K85" t="s">
        <v>3056</v>
      </c>
      <c r="L85" t="s">
        <v>3064</v>
      </c>
      <c r="M85" s="37">
        <v>199900</v>
      </c>
      <c r="N85" s="81" t="s">
        <v>2826</v>
      </c>
      <c r="O85" s="37" t="s">
        <v>3221</v>
      </c>
      <c r="P85" s="28" t="s">
        <v>2826</v>
      </c>
    </row>
    <row r="86" spans="1:16" x14ac:dyDescent="0.3">
      <c r="A86" s="25" t="s">
        <v>3220</v>
      </c>
      <c r="B86" s="26">
        <v>46108</v>
      </c>
      <c r="C86" s="26">
        <v>46113</v>
      </c>
      <c r="D86" s="82">
        <v>3319</v>
      </c>
      <c r="E86" s="82">
        <v>327</v>
      </c>
      <c r="F86" s="25">
        <v>2</v>
      </c>
      <c r="G86" s="28">
        <v>1</v>
      </c>
      <c r="H86" s="28">
        <v>81778</v>
      </c>
      <c r="I86" s="28" t="s">
        <v>17</v>
      </c>
      <c r="J86" s="28">
        <v>59170931</v>
      </c>
      <c r="K86" t="s">
        <v>3056</v>
      </c>
      <c r="L86" t="s">
        <v>3065</v>
      </c>
      <c r="M86" s="37">
        <v>199900</v>
      </c>
      <c r="N86" s="81" t="s">
        <v>2826</v>
      </c>
      <c r="O86" s="37" t="s">
        <v>3221</v>
      </c>
      <c r="P86" s="28" t="s">
        <v>2826</v>
      </c>
    </row>
    <row r="87" spans="1:16" x14ac:dyDescent="0.3">
      <c r="A87" s="25" t="s">
        <v>3220</v>
      </c>
      <c r="B87" s="26">
        <v>46108</v>
      </c>
      <c r="C87" s="26">
        <v>46113</v>
      </c>
      <c r="D87" s="82">
        <v>3319</v>
      </c>
      <c r="E87" s="82">
        <v>327</v>
      </c>
      <c r="F87" s="25">
        <v>2</v>
      </c>
      <c r="G87" s="28">
        <v>1</v>
      </c>
      <c r="H87" s="28">
        <v>81778</v>
      </c>
      <c r="I87" s="28" t="s">
        <v>17</v>
      </c>
      <c r="J87" s="28">
        <v>59170940</v>
      </c>
      <c r="K87" t="s">
        <v>3056</v>
      </c>
      <c r="L87" t="s">
        <v>3066</v>
      </c>
      <c r="M87" s="37">
        <v>199900</v>
      </c>
      <c r="N87" s="81" t="s">
        <v>2826</v>
      </c>
      <c r="O87" s="37" t="s">
        <v>3221</v>
      </c>
      <c r="P87" s="28" t="s">
        <v>2826</v>
      </c>
    </row>
    <row r="88" spans="1:16" x14ac:dyDescent="0.3">
      <c r="A88" s="25" t="s">
        <v>3220</v>
      </c>
      <c r="B88" s="26">
        <v>46108</v>
      </c>
      <c r="C88" s="26">
        <v>46113</v>
      </c>
      <c r="D88" s="82">
        <v>3319</v>
      </c>
      <c r="E88" s="82">
        <v>327</v>
      </c>
      <c r="F88" s="25">
        <v>2</v>
      </c>
      <c r="G88" s="28">
        <v>1</v>
      </c>
      <c r="H88" s="28">
        <v>81778</v>
      </c>
      <c r="I88" s="28" t="s">
        <v>17</v>
      </c>
      <c r="J88" s="28">
        <v>59170959</v>
      </c>
      <c r="K88" t="s">
        <v>3056</v>
      </c>
      <c r="L88" t="s">
        <v>3067</v>
      </c>
      <c r="M88" s="37">
        <v>199900</v>
      </c>
      <c r="N88" s="81" t="s">
        <v>2826</v>
      </c>
      <c r="O88" s="37" t="s">
        <v>3221</v>
      </c>
      <c r="P88" s="28" t="s">
        <v>2826</v>
      </c>
    </row>
    <row r="89" spans="1:16" x14ac:dyDescent="0.3">
      <c r="A89" s="25" t="s">
        <v>3220</v>
      </c>
      <c r="B89" s="26">
        <v>46108</v>
      </c>
      <c r="C89" s="26">
        <v>46113</v>
      </c>
      <c r="D89" s="82">
        <v>3319</v>
      </c>
      <c r="E89" s="82">
        <v>327</v>
      </c>
      <c r="F89" s="25">
        <v>2</v>
      </c>
      <c r="G89" s="28">
        <v>1</v>
      </c>
      <c r="H89" s="28">
        <v>81778</v>
      </c>
      <c r="I89" s="28" t="s">
        <v>17</v>
      </c>
      <c r="J89" s="28">
        <v>59170968</v>
      </c>
      <c r="K89" t="s">
        <v>3056</v>
      </c>
      <c r="L89" t="s">
        <v>3068</v>
      </c>
      <c r="M89" s="37">
        <v>199900</v>
      </c>
      <c r="N89" s="81" t="s">
        <v>2826</v>
      </c>
      <c r="O89" s="37" t="s">
        <v>3221</v>
      </c>
      <c r="P89" s="28" t="s">
        <v>2826</v>
      </c>
    </row>
    <row r="90" spans="1:16" x14ac:dyDescent="0.3">
      <c r="A90" s="25" t="s">
        <v>3220</v>
      </c>
      <c r="B90" s="26">
        <v>46108</v>
      </c>
      <c r="C90" s="26">
        <v>46113</v>
      </c>
      <c r="D90" s="82">
        <v>3319</v>
      </c>
      <c r="E90" s="82">
        <v>327</v>
      </c>
      <c r="F90" s="25">
        <v>2</v>
      </c>
      <c r="G90" s="28">
        <v>1</v>
      </c>
      <c r="H90" s="28">
        <v>81778</v>
      </c>
      <c r="I90" s="28" t="s">
        <v>17</v>
      </c>
      <c r="J90" s="28">
        <v>59170977</v>
      </c>
      <c r="K90" t="s">
        <v>3056</v>
      </c>
      <c r="L90" t="s">
        <v>3069</v>
      </c>
      <c r="M90" s="37">
        <v>199900</v>
      </c>
      <c r="N90" s="81" t="s">
        <v>2826</v>
      </c>
      <c r="O90" s="37" t="s">
        <v>3221</v>
      </c>
      <c r="P90" s="28" t="s">
        <v>2826</v>
      </c>
    </row>
    <row r="91" spans="1:16" x14ac:dyDescent="0.3">
      <c r="A91" s="25" t="s">
        <v>3220</v>
      </c>
      <c r="B91" s="26">
        <v>46108</v>
      </c>
      <c r="C91" s="26">
        <v>46113</v>
      </c>
      <c r="D91" s="82">
        <v>3319</v>
      </c>
      <c r="E91" s="82">
        <v>327</v>
      </c>
      <c r="F91" s="25">
        <v>2</v>
      </c>
      <c r="G91" s="28">
        <v>1</v>
      </c>
      <c r="H91" s="28">
        <v>81778</v>
      </c>
      <c r="I91" s="28" t="s">
        <v>17</v>
      </c>
      <c r="J91" s="28">
        <v>59170986</v>
      </c>
      <c r="K91" t="s">
        <v>3056</v>
      </c>
      <c r="L91" t="s">
        <v>3070</v>
      </c>
      <c r="M91" s="37">
        <v>199900</v>
      </c>
      <c r="N91" s="81" t="s">
        <v>2826</v>
      </c>
      <c r="O91" s="37" t="s">
        <v>3221</v>
      </c>
      <c r="P91" s="28" t="s">
        <v>2826</v>
      </c>
    </row>
    <row r="92" spans="1:16" x14ac:dyDescent="0.3">
      <c r="A92" s="25" t="s">
        <v>3220</v>
      </c>
      <c r="B92" s="26">
        <v>46108</v>
      </c>
      <c r="C92" s="26">
        <v>46113</v>
      </c>
      <c r="D92" s="82">
        <v>3319</v>
      </c>
      <c r="E92" s="82">
        <v>327</v>
      </c>
      <c r="F92" s="25">
        <v>2</v>
      </c>
      <c r="G92" s="28">
        <v>1</v>
      </c>
      <c r="H92" s="28">
        <v>81778</v>
      </c>
      <c r="I92" s="28" t="s">
        <v>17</v>
      </c>
      <c r="J92" s="28">
        <v>59170995</v>
      </c>
      <c r="K92" t="s">
        <v>3056</v>
      </c>
      <c r="L92" t="s">
        <v>3071</v>
      </c>
      <c r="M92" s="37">
        <v>199900</v>
      </c>
      <c r="N92" s="81" t="s">
        <v>2826</v>
      </c>
      <c r="O92" s="37" t="s">
        <v>3221</v>
      </c>
      <c r="P92" s="28" t="s">
        <v>2826</v>
      </c>
    </row>
    <row r="93" spans="1:16" x14ac:dyDescent="0.3">
      <c r="A93" s="25" t="s">
        <v>3220</v>
      </c>
      <c r="B93" s="26">
        <v>46108</v>
      </c>
      <c r="C93" s="26">
        <v>46113</v>
      </c>
      <c r="D93" s="82">
        <v>3319</v>
      </c>
      <c r="E93" s="82">
        <v>327</v>
      </c>
      <c r="F93" s="25">
        <v>2</v>
      </c>
      <c r="G93" s="28">
        <v>1</v>
      </c>
      <c r="H93" s="28">
        <v>81778</v>
      </c>
      <c r="I93" s="28" t="s">
        <v>17</v>
      </c>
      <c r="J93" s="28">
        <v>59171207</v>
      </c>
      <c r="K93" t="s">
        <v>3072</v>
      </c>
      <c r="L93" t="s">
        <v>3073</v>
      </c>
      <c r="M93" s="37">
        <v>199900</v>
      </c>
      <c r="N93" s="81" t="s">
        <v>2826</v>
      </c>
      <c r="O93" s="37" t="s">
        <v>3221</v>
      </c>
      <c r="P93" s="28" t="s">
        <v>2826</v>
      </c>
    </row>
    <row r="94" spans="1:16" x14ac:dyDescent="0.3">
      <c r="A94" s="25" t="s">
        <v>3220</v>
      </c>
      <c r="B94" s="26">
        <v>46108</v>
      </c>
      <c r="C94" s="26">
        <v>46113</v>
      </c>
      <c r="D94" s="82">
        <v>3319</v>
      </c>
      <c r="E94" s="82">
        <v>327</v>
      </c>
      <c r="F94" s="25">
        <v>2</v>
      </c>
      <c r="G94" s="28">
        <v>1</v>
      </c>
      <c r="H94" s="28">
        <v>81778</v>
      </c>
      <c r="I94" s="28" t="s">
        <v>17</v>
      </c>
      <c r="J94" s="28">
        <v>59171216</v>
      </c>
      <c r="K94" t="s">
        <v>3072</v>
      </c>
      <c r="L94" t="s">
        <v>3074</v>
      </c>
      <c r="M94" s="37">
        <v>199900</v>
      </c>
      <c r="N94" s="81" t="s">
        <v>2826</v>
      </c>
      <c r="O94" s="37" t="s">
        <v>3221</v>
      </c>
      <c r="P94" s="28" t="s">
        <v>2826</v>
      </c>
    </row>
    <row r="95" spans="1:16" x14ac:dyDescent="0.3">
      <c r="A95" s="25" t="s">
        <v>3220</v>
      </c>
      <c r="B95" s="26">
        <v>46108</v>
      </c>
      <c r="C95" s="26">
        <v>46113</v>
      </c>
      <c r="D95" s="82">
        <v>3319</v>
      </c>
      <c r="E95" s="82">
        <v>327</v>
      </c>
      <c r="F95" s="25">
        <v>2</v>
      </c>
      <c r="G95" s="28">
        <v>1</v>
      </c>
      <c r="H95" s="28">
        <v>81778</v>
      </c>
      <c r="I95" s="28" t="s">
        <v>17</v>
      </c>
      <c r="J95" s="28">
        <v>59171225</v>
      </c>
      <c r="K95" t="s">
        <v>3072</v>
      </c>
      <c r="L95" t="s">
        <v>3075</v>
      </c>
      <c r="M95" s="37">
        <v>199900</v>
      </c>
      <c r="N95" s="81" t="s">
        <v>2826</v>
      </c>
      <c r="O95" s="37" t="s">
        <v>3221</v>
      </c>
      <c r="P95" s="28" t="s">
        <v>2826</v>
      </c>
    </row>
    <row r="96" spans="1:16" x14ac:dyDescent="0.3">
      <c r="A96" s="25" t="s">
        <v>3220</v>
      </c>
      <c r="B96" s="26">
        <v>46108</v>
      </c>
      <c r="C96" s="26">
        <v>46113</v>
      </c>
      <c r="D96" s="82">
        <v>3319</v>
      </c>
      <c r="E96" s="82">
        <v>327</v>
      </c>
      <c r="F96" s="25">
        <v>2</v>
      </c>
      <c r="G96" s="28">
        <v>1</v>
      </c>
      <c r="H96" s="28">
        <v>81778</v>
      </c>
      <c r="I96" s="28" t="s">
        <v>17</v>
      </c>
      <c r="J96" s="28">
        <v>59171234</v>
      </c>
      <c r="K96" t="s">
        <v>3072</v>
      </c>
      <c r="L96" t="s">
        <v>3076</v>
      </c>
      <c r="M96" s="37">
        <v>199900</v>
      </c>
      <c r="N96" s="81" t="s">
        <v>2826</v>
      </c>
      <c r="O96" s="37" t="s">
        <v>3221</v>
      </c>
      <c r="P96" s="28" t="s">
        <v>2826</v>
      </c>
    </row>
    <row r="97" spans="1:16" x14ac:dyDescent="0.3">
      <c r="A97" s="25" t="s">
        <v>3220</v>
      </c>
      <c r="B97" s="26">
        <v>46108</v>
      </c>
      <c r="C97" s="26">
        <v>46113</v>
      </c>
      <c r="D97" s="82">
        <v>3319</v>
      </c>
      <c r="E97" s="82">
        <v>327</v>
      </c>
      <c r="F97" s="25">
        <v>2</v>
      </c>
      <c r="G97" s="28">
        <v>1</v>
      </c>
      <c r="H97" s="28">
        <v>81778</v>
      </c>
      <c r="I97" s="28" t="s">
        <v>17</v>
      </c>
      <c r="J97" s="28">
        <v>59171243</v>
      </c>
      <c r="K97" t="s">
        <v>3072</v>
      </c>
      <c r="L97" t="s">
        <v>3077</v>
      </c>
      <c r="M97" s="37">
        <v>199900</v>
      </c>
      <c r="N97" s="81" t="s">
        <v>2826</v>
      </c>
      <c r="O97" s="37" t="s">
        <v>3221</v>
      </c>
      <c r="P97" s="28" t="s">
        <v>2826</v>
      </c>
    </row>
    <row r="98" spans="1:16" x14ac:dyDescent="0.3">
      <c r="A98" s="25" t="s">
        <v>3220</v>
      </c>
      <c r="B98" s="26">
        <v>46108</v>
      </c>
      <c r="C98" s="26">
        <v>46113</v>
      </c>
      <c r="D98" s="82">
        <v>3319</v>
      </c>
      <c r="E98" s="82">
        <v>327</v>
      </c>
      <c r="F98" s="25">
        <v>2</v>
      </c>
      <c r="G98" s="28">
        <v>1</v>
      </c>
      <c r="H98" s="28">
        <v>81778</v>
      </c>
      <c r="I98" s="28" t="s">
        <v>17</v>
      </c>
      <c r="J98" s="28">
        <v>59171252</v>
      </c>
      <c r="K98" t="s">
        <v>3072</v>
      </c>
      <c r="L98" t="s">
        <v>3078</v>
      </c>
      <c r="M98" s="37">
        <v>199900</v>
      </c>
      <c r="N98" s="81" t="s">
        <v>2826</v>
      </c>
      <c r="O98" s="37" t="s">
        <v>3221</v>
      </c>
      <c r="P98" s="28" t="s">
        <v>2826</v>
      </c>
    </row>
    <row r="99" spans="1:16" x14ac:dyDescent="0.3">
      <c r="A99" s="25" t="s">
        <v>3220</v>
      </c>
      <c r="B99" s="26">
        <v>46108</v>
      </c>
      <c r="C99" s="26">
        <v>46113</v>
      </c>
      <c r="D99" s="82">
        <v>3319</v>
      </c>
      <c r="E99" s="82">
        <v>327</v>
      </c>
      <c r="F99" s="25">
        <v>2</v>
      </c>
      <c r="G99" s="28">
        <v>1</v>
      </c>
      <c r="H99" s="28">
        <v>81778</v>
      </c>
      <c r="I99" s="28" t="s">
        <v>17</v>
      </c>
      <c r="J99" s="28">
        <v>59171261</v>
      </c>
      <c r="K99" t="s">
        <v>3072</v>
      </c>
      <c r="L99" t="s">
        <v>3079</v>
      </c>
      <c r="M99" s="37">
        <v>199900</v>
      </c>
      <c r="N99" s="81" t="s">
        <v>2826</v>
      </c>
      <c r="O99" s="37" t="s">
        <v>3221</v>
      </c>
      <c r="P99" s="28" t="s">
        <v>2826</v>
      </c>
    </row>
    <row r="100" spans="1:16" x14ac:dyDescent="0.3">
      <c r="A100" s="25" t="s">
        <v>3220</v>
      </c>
      <c r="B100" s="26">
        <v>46108</v>
      </c>
      <c r="C100" s="26">
        <v>46113</v>
      </c>
      <c r="D100" s="82">
        <v>3319</v>
      </c>
      <c r="E100" s="82">
        <v>327</v>
      </c>
      <c r="F100" s="25">
        <v>2</v>
      </c>
      <c r="G100" s="28">
        <v>1</v>
      </c>
      <c r="H100" s="28">
        <v>81778</v>
      </c>
      <c r="I100" s="28" t="s">
        <v>17</v>
      </c>
      <c r="J100" s="28">
        <v>59171270</v>
      </c>
      <c r="K100" t="s">
        <v>3072</v>
      </c>
      <c r="L100" t="s">
        <v>3080</v>
      </c>
      <c r="M100" s="37">
        <v>199900</v>
      </c>
      <c r="N100" s="81" t="s">
        <v>2826</v>
      </c>
      <c r="O100" s="37" t="s">
        <v>3221</v>
      </c>
      <c r="P100" s="28" t="s">
        <v>2826</v>
      </c>
    </row>
    <row r="101" spans="1:16" x14ac:dyDescent="0.3">
      <c r="A101" s="25" t="s">
        <v>3220</v>
      </c>
      <c r="B101" s="26">
        <v>46108</v>
      </c>
      <c r="C101" s="26">
        <v>46113</v>
      </c>
      <c r="D101" s="82">
        <v>3319</v>
      </c>
      <c r="E101" s="82">
        <v>327</v>
      </c>
      <c r="F101" s="25">
        <v>2</v>
      </c>
      <c r="G101" s="28">
        <v>1</v>
      </c>
      <c r="H101" s="28">
        <v>81778</v>
      </c>
      <c r="I101" s="28" t="s">
        <v>17</v>
      </c>
      <c r="J101" s="28">
        <v>59171289</v>
      </c>
      <c r="K101" t="s">
        <v>3072</v>
      </c>
      <c r="L101" t="s">
        <v>3081</v>
      </c>
      <c r="M101" s="37">
        <v>199900</v>
      </c>
      <c r="N101" s="81" t="s">
        <v>2826</v>
      </c>
      <c r="O101" s="37" t="s">
        <v>3221</v>
      </c>
      <c r="P101" s="28" t="s">
        <v>2826</v>
      </c>
    </row>
    <row r="102" spans="1:16" x14ac:dyDescent="0.3">
      <c r="A102" s="25" t="s">
        <v>3220</v>
      </c>
      <c r="B102" s="26">
        <v>46108</v>
      </c>
      <c r="C102" s="26">
        <v>46113</v>
      </c>
      <c r="D102" s="82">
        <v>3319</v>
      </c>
      <c r="E102" s="82">
        <v>327</v>
      </c>
      <c r="F102" s="25">
        <v>2</v>
      </c>
      <c r="G102" s="28">
        <v>1</v>
      </c>
      <c r="H102" s="28">
        <v>81778</v>
      </c>
      <c r="I102" s="28" t="s">
        <v>17</v>
      </c>
      <c r="J102" s="28">
        <v>59171298</v>
      </c>
      <c r="K102" t="s">
        <v>3072</v>
      </c>
      <c r="L102" t="s">
        <v>3082</v>
      </c>
      <c r="M102" s="37">
        <v>199900</v>
      </c>
      <c r="N102" s="81" t="s">
        <v>2826</v>
      </c>
      <c r="O102" s="37" t="s">
        <v>3221</v>
      </c>
      <c r="P102" s="28" t="s">
        <v>2826</v>
      </c>
    </row>
    <row r="103" spans="1:16" x14ac:dyDescent="0.3">
      <c r="A103" s="25" t="s">
        <v>3220</v>
      </c>
      <c r="B103" s="26">
        <v>46108</v>
      </c>
      <c r="C103" s="26">
        <v>46113</v>
      </c>
      <c r="D103" s="82">
        <v>3319</v>
      </c>
      <c r="E103" s="82">
        <v>327</v>
      </c>
      <c r="F103" s="25">
        <v>2</v>
      </c>
      <c r="G103" s="28">
        <v>1</v>
      </c>
      <c r="H103" s="28">
        <v>81778</v>
      </c>
      <c r="I103" s="28" t="s">
        <v>17</v>
      </c>
      <c r="J103" s="28">
        <v>59171305</v>
      </c>
      <c r="K103" t="s">
        <v>3083</v>
      </c>
      <c r="L103" t="s">
        <v>3084</v>
      </c>
      <c r="M103" s="37">
        <v>199900</v>
      </c>
      <c r="N103" s="81" t="s">
        <v>2826</v>
      </c>
      <c r="O103" s="37" t="s">
        <v>3221</v>
      </c>
      <c r="P103" s="28" t="s">
        <v>2826</v>
      </c>
    </row>
    <row r="104" spans="1:16" x14ac:dyDescent="0.3">
      <c r="A104" s="25" t="s">
        <v>3220</v>
      </c>
      <c r="B104" s="26">
        <v>46108</v>
      </c>
      <c r="C104" s="26">
        <v>46113</v>
      </c>
      <c r="D104" s="82">
        <v>3319</v>
      </c>
      <c r="E104" s="82">
        <v>327</v>
      </c>
      <c r="F104" s="25">
        <v>2</v>
      </c>
      <c r="G104" s="28">
        <v>1</v>
      </c>
      <c r="H104" s="28">
        <v>81778</v>
      </c>
      <c r="I104" s="28" t="s">
        <v>17</v>
      </c>
      <c r="J104" s="28">
        <v>59171314</v>
      </c>
      <c r="K104" t="s">
        <v>3083</v>
      </c>
      <c r="L104" t="s">
        <v>3085</v>
      </c>
      <c r="M104" s="37">
        <v>199900</v>
      </c>
      <c r="N104" s="81" t="s">
        <v>2826</v>
      </c>
      <c r="O104" s="37" t="s">
        <v>3221</v>
      </c>
      <c r="P104" s="28" t="s">
        <v>2826</v>
      </c>
    </row>
    <row r="105" spans="1:16" x14ac:dyDescent="0.3">
      <c r="A105" s="25" t="s">
        <v>3220</v>
      </c>
      <c r="B105" s="26">
        <v>46108</v>
      </c>
      <c r="C105" s="26">
        <v>46113</v>
      </c>
      <c r="D105" s="82">
        <v>3319</v>
      </c>
      <c r="E105" s="82">
        <v>327</v>
      </c>
      <c r="F105" s="25">
        <v>2</v>
      </c>
      <c r="G105" s="28">
        <v>1</v>
      </c>
      <c r="H105" s="28">
        <v>81778</v>
      </c>
      <c r="I105" s="28" t="s">
        <v>17</v>
      </c>
      <c r="J105" s="28">
        <v>59171323</v>
      </c>
      <c r="K105" t="s">
        <v>3083</v>
      </c>
      <c r="L105" t="s">
        <v>3086</v>
      </c>
      <c r="M105" s="37">
        <v>199900</v>
      </c>
      <c r="N105" s="81" t="s">
        <v>2826</v>
      </c>
      <c r="O105" s="37" t="s">
        <v>3221</v>
      </c>
      <c r="P105" s="28" t="s">
        <v>2826</v>
      </c>
    </row>
    <row r="106" spans="1:16" x14ac:dyDescent="0.3">
      <c r="A106" s="25" t="s">
        <v>3220</v>
      </c>
      <c r="B106" s="26">
        <v>46108</v>
      </c>
      <c r="C106" s="26">
        <v>46113</v>
      </c>
      <c r="D106" s="82">
        <v>3319</v>
      </c>
      <c r="E106" s="82">
        <v>327</v>
      </c>
      <c r="F106" s="25">
        <v>2</v>
      </c>
      <c r="G106" s="28">
        <v>1</v>
      </c>
      <c r="H106" s="28">
        <v>81778</v>
      </c>
      <c r="I106" s="28" t="s">
        <v>17</v>
      </c>
      <c r="J106" s="28">
        <v>59171332</v>
      </c>
      <c r="K106" t="s">
        <v>3083</v>
      </c>
      <c r="L106" t="s">
        <v>3087</v>
      </c>
      <c r="M106" s="37">
        <v>199900</v>
      </c>
      <c r="N106" s="81" t="s">
        <v>2826</v>
      </c>
      <c r="O106" s="37" t="s">
        <v>3221</v>
      </c>
      <c r="P106" s="28" t="s">
        <v>2826</v>
      </c>
    </row>
    <row r="107" spans="1:16" x14ac:dyDescent="0.3">
      <c r="A107" s="25" t="s">
        <v>3220</v>
      </c>
      <c r="B107" s="26">
        <v>46108</v>
      </c>
      <c r="C107" s="26">
        <v>46113</v>
      </c>
      <c r="D107" s="82">
        <v>3319</v>
      </c>
      <c r="E107" s="82">
        <v>327</v>
      </c>
      <c r="F107" s="25">
        <v>2</v>
      </c>
      <c r="G107" s="28">
        <v>1</v>
      </c>
      <c r="H107" s="28">
        <v>81778</v>
      </c>
      <c r="I107" s="28" t="s">
        <v>17</v>
      </c>
      <c r="J107" s="28">
        <v>59171341</v>
      </c>
      <c r="K107" t="s">
        <v>3083</v>
      </c>
      <c r="L107" t="s">
        <v>3088</v>
      </c>
      <c r="M107" s="37">
        <v>199900</v>
      </c>
      <c r="N107" s="81" t="s">
        <v>2826</v>
      </c>
      <c r="O107" s="37" t="s">
        <v>3221</v>
      </c>
      <c r="P107" s="28" t="s">
        <v>2826</v>
      </c>
    </row>
    <row r="108" spans="1:16" x14ac:dyDescent="0.3">
      <c r="A108" s="25" t="s">
        <v>3220</v>
      </c>
      <c r="B108" s="26">
        <v>46108</v>
      </c>
      <c r="C108" s="26">
        <v>46113</v>
      </c>
      <c r="D108" s="82">
        <v>3319</v>
      </c>
      <c r="E108" s="82">
        <v>327</v>
      </c>
      <c r="F108" s="25">
        <v>2</v>
      </c>
      <c r="G108" s="28">
        <v>1</v>
      </c>
      <c r="H108" s="28">
        <v>81778</v>
      </c>
      <c r="I108" s="28" t="s">
        <v>17</v>
      </c>
      <c r="J108" s="28">
        <v>59171350</v>
      </c>
      <c r="K108" t="s">
        <v>3083</v>
      </c>
      <c r="L108" t="s">
        <v>3089</v>
      </c>
      <c r="M108" s="37">
        <v>199900</v>
      </c>
      <c r="N108" s="81" t="s">
        <v>2826</v>
      </c>
      <c r="O108" s="37" t="s">
        <v>3221</v>
      </c>
      <c r="P108" s="28" t="s">
        <v>2826</v>
      </c>
    </row>
    <row r="109" spans="1:16" x14ac:dyDescent="0.3">
      <c r="A109" s="25" t="s">
        <v>3220</v>
      </c>
      <c r="B109" s="26">
        <v>46108</v>
      </c>
      <c r="C109" s="26">
        <v>46113</v>
      </c>
      <c r="D109" s="82">
        <v>3319</v>
      </c>
      <c r="E109" s="82">
        <v>327</v>
      </c>
      <c r="F109" s="25">
        <v>2</v>
      </c>
      <c r="G109" s="28">
        <v>1</v>
      </c>
      <c r="H109" s="28">
        <v>81778</v>
      </c>
      <c r="I109" s="28" t="s">
        <v>17</v>
      </c>
      <c r="J109" s="28">
        <v>59171369</v>
      </c>
      <c r="K109" t="s">
        <v>3083</v>
      </c>
      <c r="L109" t="s">
        <v>3090</v>
      </c>
      <c r="M109" s="37">
        <v>199900</v>
      </c>
      <c r="N109" s="81" t="s">
        <v>2826</v>
      </c>
      <c r="O109" s="37" t="s">
        <v>3221</v>
      </c>
      <c r="P109" s="28" t="s">
        <v>2826</v>
      </c>
    </row>
    <row r="110" spans="1:16" x14ac:dyDescent="0.3">
      <c r="A110" s="25" t="s">
        <v>3220</v>
      </c>
      <c r="B110" s="26">
        <v>46108</v>
      </c>
      <c r="C110" s="26">
        <v>46113</v>
      </c>
      <c r="D110" s="82">
        <v>3319</v>
      </c>
      <c r="E110" s="82">
        <v>327</v>
      </c>
      <c r="F110" s="25">
        <v>2</v>
      </c>
      <c r="G110" s="28">
        <v>1</v>
      </c>
      <c r="H110" s="28">
        <v>81778</v>
      </c>
      <c r="I110" s="28" t="s">
        <v>17</v>
      </c>
      <c r="J110" s="28">
        <v>59171378</v>
      </c>
      <c r="K110" t="s">
        <v>3083</v>
      </c>
      <c r="L110" t="s">
        <v>3091</v>
      </c>
      <c r="M110" s="37">
        <v>199900</v>
      </c>
      <c r="N110" s="81" t="s">
        <v>2826</v>
      </c>
      <c r="O110" s="37" t="s">
        <v>3221</v>
      </c>
      <c r="P110" s="28" t="s">
        <v>2826</v>
      </c>
    </row>
    <row r="111" spans="1:16" x14ac:dyDescent="0.3">
      <c r="A111" s="25" t="s">
        <v>3220</v>
      </c>
      <c r="B111" s="26">
        <v>46108</v>
      </c>
      <c r="C111" s="26">
        <v>46113</v>
      </c>
      <c r="D111" s="82">
        <v>3319</v>
      </c>
      <c r="E111" s="82">
        <v>327</v>
      </c>
      <c r="F111" s="25">
        <v>2</v>
      </c>
      <c r="G111" s="28">
        <v>1</v>
      </c>
      <c r="H111" s="28">
        <v>81778</v>
      </c>
      <c r="I111" s="28" t="s">
        <v>17</v>
      </c>
      <c r="J111" s="28">
        <v>59171387</v>
      </c>
      <c r="K111" t="s">
        <v>3083</v>
      </c>
      <c r="L111" t="s">
        <v>3092</v>
      </c>
      <c r="M111" s="37">
        <v>199900</v>
      </c>
      <c r="N111" s="81" t="s">
        <v>2826</v>
      </c>
      <c r="O111" s="37" t="s">
        <v>3221</v>
      </c>
      <c r="P111" s="28" t="s">
        <v>2826</v>
      </c>
    </row>
    <row r="112" spans="1:16" x14ac:dyDescent="0.3">
      <c r="A112" s="25" t="s">
        <v>3220</v>
      </c>
      <c r="B112" s="26">
        <v>46108</v>
      </c>
      <c r="C112" s="26">
        <v>46113</v>
      </c>
      <c r="D112" s="82">
        <v>3319</v>
      </c>
      <c r="E112" s="82">
        <v>327</v>
      </c>
      <c r="F112" s="25">
        <v>2</v>
      </c>
      <c r="G112" s="28">
        <v>1</v>
      </c>
      <c r="H112" s="28">
        <v>81778</v>
      </c>
      <c r="I112" s="28" t="s">
        <v>17</v>
      </c>
      <c r="J112" s="28">
        <v>59171396</v>
      </c>
      <c r="K112" t="s">
        <v>3083</v>
      </c>
      <c r="L112" t="s">
        <v>3093</v>
      </c>
      <c r="M112" s="37">
        <v>199900</v>
      </c>
      <c r="N112" s="81" t="s">
        <v>2826</v>
      </c>
      <c r="O112" s="37" t="s">
        <v>3221</v>
      </c>
      <c r="P112" s="28" t="s">
        <v>2826</v>
      </c>
    </row>
    <row r="113" spans="1:16" x14ac:dyDescent="0.3">
      <c r="A113" s="25" t="s">
        <v>3220</v>
      </c>
      <c r="B113" s="26">
        <v>46108</v>
      </c>
      <c r="C113" s="26">
        <v>46113</v>
      </c>
      <c r="D113" s="82">
        <v>3319</v>
      </c>
      <c r="E113" s="82">
        <v>327</v>
      </c>
      <c r="F113" s="25">
        <v>2</v>
      </c>
      <c r="G113" s="28">
        <v>1</v>
      </c>
      <c r="H113" s="28">
        <v>81778</v>
      </c>
      <c r="I113" s="28" t="s">
        <v>17</v>
      </c>
      <c r="J113" s="28">
        <v>61199362</v>
      </c>
      <c r="K113" t="s">
        <v>3094</v>
      </c>
      <c r="L113" t="s">
        <v>3095</v>
      </c>
      <c r="M113" s="37">
        <v>199900</v>
      </c>
      <c r="N113" s="81" t="s">
        <v>2826</v>
      </c>
      <c r="O113" s="37" t="s">
        <v>3221</v>
      </c>
      <c r="P113" s="28" t="s">
        <v>2826</v>
      </c>
    </row>
    <row r="114" spans="1:16" x14ac:dyDescent="0.3">
      <c r="A114" s="25" t="s">
        <v>3220</v>
      </c>
      <c r="B114" s="26">
        <v>46108</v>
      </c>
      <c r="C114" s="26">
        <v>46113</v>
      </c>
      <c r="D114" s="82">
        <v>3319</v>
      </c>
      <c r="E114" s="82">
        <v>327</v>
      </c>
      <c r="F114" s="25">
        <v>2</v>
      </c>
      <c r="G114" s="28">
        <v>1</v>
      </c>
      <c r="H114" s="28">
        <v>81778</v>
      </c>
      <c r="I114" s="28" t="s">
        <v>17</v>
      </c>
      <c r="J114" s="28">
        <v>61199371</v>
      </c>
      <c r="K114" t="s">
        <v>3094</v>
      </c>
      <c r="L114" t="s">
        <v>3096</v>
      </c>
      <c r="M114" s="37">
        <v>199900</v>
      </c>
      <c r="N114" s="81" t="s">
        <v>2826</v>
      </c>
      <c r="O114" s="37" t="s">
        <v>3221</v>
      </c>
      <c r="P114" s="28" t="s">
        <v>2826</v>
      </c>
    </row>
    <row r="115" spans="1:16" x14ac:dyDescent="0.3">
      <c r="A115" s="25" t="s">
        <v>3220</v>
      </c>
      <c r="B115" s="26">
        <v>46108</v>
      </c>
      <c r="C115" s="26">
        <v>46113</v>
      </c>
      <c r="D115" s="82">
        <v>3319</v>
      </c>
      <c r="E115" s="82">
        <v>327</v>
      </c>
      <c r="F115" s="25">
        <v>2</v>
      </c>
      <c r="G115" s="28">
        <v>1</v>
      </c>
      <c r="H115" s="28">
        <v>81778</v>
      </c>
      <c r="I115" s="28" t="s">
        <v>17</v>
      </c>
      <c r="J115" s="28">
        <v>61199380</v>
      </c>
      <c r="K115" t="s">
        <v>3094</v>
      </c>
      <c r="L115" t="s">
        <v>3097</v>
      </c>
      <c r="M115" s="37">
        <v>199900</v>
      </c>
      <c r="N115" s="81" t="s">
        <v>2826</v>
      </c>
      <c r="O115" s="37" t="s">
        <v>3221</v>
      </c>
      <c r="P115" s="28" t="s">
        <v>2826</v>
      </c>
    </row>
    <row r="116" spans="1:16" x14ac:dyDescent="0.3">
      <c r="A116" s="25" t="s">
        <v>3220</v>
      </c>
      <c r="B116" s="26">
        <v>46108</v>
      </c>
      <c r="C116" s="26">
        <v>46113</v>
      </c>
      <c r="D116" s="82">
        <v>3319</v>
      </c>
      <c r="E116" s="82">
        <v>327</v>
      </c>
      <c r="F116" s="25">
        <v>2</v>
      </c>
      <c r="G116" s="28">
        <v>1</v>
      </c>
      <c r="H116" s="28">
        <v>81778</v>
      </c>
      <c r="I116" s="28" t="s">
        <v>17</v>
      </c>
      <c r="J116" s="28">
        <v>61199399</v>
      </c>
      <c r="K116" t="s">
        <v>3094</v>
      </c>
      <c r="L116" t="s">
        <v>3098</v>
      </c>
      <c r="M116" s="37">
        <v>199900</v>
      </c>
      <c r="N116" s="81" t="s">
        <v>2826</v>
      </c>
      <c r="O116" s="37" t="s">
        <v>3221</v>
      </c>
      <c r="P116" s="28" t="s">
        <v>2826</v>
      </c>
    </row>
    <row r="117" spans="1:16" x14ac:dyDescent="0.3">
      <c r="A117" s="25" t="s">
        <v>3220</v>
      </c>
      <c r="B117" s="26">
        <v>46108</v>
      </c>
      <c r="C117" s="26">
        <v>46113</v>
      </c>
      <c r="D117" s="82">
        <v>3319</v>
      </c>
      <c r="E117" s="82">
        <v>327</v>
      </c>
      <c r="F117" s="25">
        <v>2</v>
      </c>
      <c r="G117" s="28">
        <v>1</v>
      </c>
      <c r="H117" s="28">
        <v>81778</v>
      </c>
      <c r="I117" s="28" t="s">
        <v>17</v>
      </c>
      <c r="J117" s="28">
        <v>61199406</v>
      </c>
      <c r="K117" t="s">
        <v>3094</v>
      </c>
      <c r="L117" t="s">
        <v>3099</v>
      </c>
      <c r="M117" s="37">
        <v>199900</v>
      </c>
      <c r="N117" s="81" t="s">
        <v>2826</v>
      </c>
      <c r="O117" s="37" t="s">
        <v>3221</v>
      </c>
      <c r="P117" s="28" t="s">
        <v>2826</v>
      </c>
    </row>
    <row r="118" spans="1:16" x14ac:dyDescent="0.3">
      <c r="A118" s="25" t="s">
        <v>3220</v>
      </c>
      <c r="B118" s="26">
        <v>46108</v>
      </c>
      <c r="C118" s="26">
        <v>46113</v>
      </c>
      <c r="D118" s="82">
        <v>3319</v>
      </c>
      <c r="E118" s="82">
        <v>327</v>
      </c>
      <c r="F118" s="25">
        <v>2</v>
      </c>
      <c r="G118" s="28">
        <v>2</v>
      </c>
      <c r="H118" s="28">
        <v>81778</v>
      </c>
      <c r="I118" s="28" t="s">
        <v>17</v>
      </c>
      <c r="J118" s="28">
        <v>59170404</v>
      </c>
      <c r="K118" t="s">
        <v>3100</v>
      </c>
      <c r="L118" t="s">
        <v>3101</v>
      </c>
      <c r="M118" s="37">
        <v>249900</v>
      </c>
      <c r="N118" s="81" t="s">
        <v>2826</v>
      </c>
      <c r="O118" s="37" t="s">
        <v>3221</v>
      </c>
      <c r="P118" s="28" t="s">
        <v>2826</v>
      </c>
    </row>
    <row r="119" spans="1:16" x14ac:dyDescent="0.3">
      <c r="A119" s="25" t="s">
        <v>3220</v>
      </c>
      <c r="B119" s="26">
        <v>46108</v>
      </c>
      <c r="C119" s="26">
        <v>46113</v>
      </c>
      <c r="D119" s="82">
        <v>3319</v>
      </c>
      <c r="E119" s="82">
        <v>327</v>
      </c>
      <c r="F119" s="25">
        <v>2</v>
      </c>
      <c r="G119" s="28">
        <v>2</v>
      </c>
      <c r="H119" s="28">
        <v>81778</v>
      </c>
      <c r="I119" s="28" t="s">
        <v>17</v>
      </c>
      <c r="J119" s="28">
        <v>59170413</v>
      </c>
      <c r="K119" t="s">
        <v>3100</v>
      </c>
      <c r="L119" t="s">
        <v>3102</v>
      </c>
      <c r="M119" s="37">
        <v>249900</v>
      </c>
      <c r="N119" s="81" t="s">
        <v>2826</v>
      </c>
      <c r="O119" s="37" t="s">
        <v>3221</v>
      </c>
      <c r="P119" s="28" t="s">
        <v>2826</v>
      </c>
    </row>
    <row r="120" spans="1:16" x14ac:dyDescent="0.3">
      <c r="A120" s="25" t="s">
        <v>3220</v>
      </c>
      <c r="B120" s="26">
        <v>46108</v>
      </c>
      <c r="C120" s="26">
        <v>46113</v>
      </c>
      <c r="D120" s="82">
        <v>3319</v>
      </c>
      <c r="E120" s="82">
        <v>327</v>
      </c>
      <c r="F120" s="25">
        <v>2</v>
      </c>
      <c r="G120" s="28">
        <v>2</v>
      </c>
      <c r="H120" s="28">
        <v>81778</v>
      </c>
      <c r="I120" s="28" t="s">
        <v>17</v>
      </c>
      <c r="J120" s="28">
        <v>59170422</v>
      </c>
      <c r="K120" t="s">
        <v>3100</v>
      </c>
      <c r="L120" t="s">
        <v>3103</v>
      </c>
      <c r="M120" s="37">
        <v>249900</v>
      </c>
      <c r="N120" s="81" t="s">
        <v>2826</v>
      </c>
      <c r="O120" s="37" t="s">
        <v>3221</v>
      </c>
      <c r="P120" s="28" t="s">
        <v>2826</v>
      </c>
    </row>
    <row r="121" spans="1:16" x14ac:dyDescent="0.3">
      <c r="A121" s="25" t="s">
        <v>3220</v>
      </c>
      <c r="B121" s="26">
        <v>46108</v>
      </c>
      <c r="C121" s="26">
        <v>46113</v>
      </c>
      <c r="D121" s="82">
        <v>3319</v>
      </c>
      <c r="E121" s="82">
        <v>327</v>
      </c>
      <c r="F121" s="25">
        <v>2</v>
      </c>
      <c r="G121" s="28">
        <v>2</v>
      </c>
      <c r="H121" s="28">
        <v>81778</v>
      </c>
      <c r="I121" s="28" t="s">
        <v>17</v>
      </c>
      <c r="J121" s="28">
        <v>59170431</v>
      </c>
      <c r="K121" t="s">
        <v>3100</v>
      </c>
      <c r="L121" t="s">
        <v>3104</v>
      </c>
      <c r="M121" s="37">
        <v>249900</v>
      </c>
      <c r="N121" s="81" t="s">
        <v>2826</v>
      </c>
      <c r="O121" s="37" t="s">
        <v>3221</v>
      </c>
      <c r="P121" s="28" t="s">
        <v>2826</v>
      </c>
    </row>
    <row r="122" spans="1:16" x14ac:dyDescent="0.3">
      <c r="A122" s="25" t="s">
        <v>3220</v>
      </c>
      <c r="B122" s="26">
        <v>46108</v>
      </c>
      <c r="C122" s="26">
        <v>46113</v>
      </c>
      <c r="D122" s="82">
        <v>3319</v>
      </c>
      <c r="E122" s="82">
        <v>327</v>
      </c>
      <c r="F122" s="25">
        <v>2</v>
      </c>
      <c r="G122" s="28">
        <v>2</v>
      </c>
      <c r="H122" s="28">
        <v>81778</v>
      </c>
      <c r="I122" s="28" t="s">
        <v>17</v>
      </c>
      <c r="J122" s="28">
        <v>59170440</v>
      </c>
      <c r="K122" t="s">
        <v>3100</v>
      </c>
      <c r="L122" t="s">
        <v>3105</v>
      </c>
      <c r="M122" s="37">
        <v>249900</v>
      </c>
      <c r="N122" s="81" t="s">
        <v>2826</v>
      </c>
      <c r="O122" s="37" t="s">
        <v>3221</v>
      </c>
      <c r="P122" s="28" t="s">
        <v>2826</v>
      </c>
    </row>
    <row r="123" spans="1:16" x14ac:dyDescent="0.3">
      <c r="A123" s="25" t="s">
        <v>3220</v>
      </c>
      <c r="B123" s="26">
        <v>46108</v>
      </c>
      <c r="C123" s="26">
        <v>46113</v>
      </c>
      <c r="D123" s="82">
        <v>3319</v>
      </c>
      <c r="E123" s="82">
        <v>327</v>
      </c>
      <c r="F123" s="25">
        <v>2</v>
      </c>
      <c r="G123" s="28">
        <v>2</v>
      </c>
      <c r="H123" s="28">
        <v>81778</v>
      </c>
      <c r="I123" s="28" t="s">
        <v>17</v>
      </c>
      <c r="J123" s="28">
        <v>59170459</v>
      </c>
      <c r="K123" t="s">
        <v>3106</v>
      </c>
      <c r="L123" t="s">
        <v>3107</v>
      </c>
      <c r="M123" s="37">
        <v>249900</v>
      </c>
      <c r="N123" s="81" t="s">
        <v>2826</v>
      </c>
      <c r="O123" s="37" t="s">
        <v>3221</v>
      </c>
      <c r="P123" s="28" t="s">
        <v>2826</v>
      </c>
    </row>
    <row r="124" spans="1:16" x14ac:dyDescent="0.3">
      <c r="A124" s="25" t="s">
        <v>3220</v>
      </c>
      <c r="B124" s="26">
        <v>46108</v>
      </c>
      <c r="C124" s="26">
        <v>46113</v>
      </c>
      <c r="D124" s="82">
        <v>3319</v>
      </c>
      <c r="E124" s="82">
        <v>327</v>
      </c>
      <c r="F124" s="25">
        <v>2</v>
      </c>
      <c r="G124" s="28">
        <v>2</v>
      </c>
      <c r="H124" s="28">
        <v>81778</v>
      </c>
      <c r="I124" s="28" t="s">
        <v>17</v>
      </c>
      <c r="J124" s="28">
        <v>59170468</v>
      </c>
      <c r="K124" t="s">
        <v>3106</v>
      </c>
      <c r="L124" t="s">
        <v>3108</v>
      </c>
      <c r="M124" s="37">
        <v>249900</v>
      </c>
      <c r="N124" s="81" t="s">
        <v>2826</v>
      </c>
      <c r="O124" s="37" t="s">
        <v>3221</v>
      </c>
      <c r="P124" s="28" t="s">
        <v>2826</v>
      </c>
    </row>
    <row r="125" spans="1:16" x14ac:dyDescent="0.3">
      <c r="A125" s="25" t="s">
        <v>3220</v>
      </c>
      <c r="B125" s="26">
        <v>46108</v>
      </c>
      <c r="C125" s="26">
        <v>46113</v>
      </c>
      <c r="D125" s="82">
        <v>3319</v>
      </c>
      <c r="E125" s="82">
        <v>327</v>
      </c>
      <c r="F125" s="25">
        <v>2</v>
      </c>
      <c r="G125" s="28">
        <v>2</v>
      </c>
      <c r="H125" s="28">
        <v>81778</v>
      </c>
      <c r="I125" s="28" t="s">
        <v>17</v>
      </c>
      <c r="J125" s="28">
        <v>59170477</v>
      </c>
      <c r="K125" t="s">
        <v>3106</v>
      </c>
      <c r="L125" t="s">
        <v>3109</v>
      </c>
      <c r="M125" s="37">
        <v>249900</v>
      </c>
      <c r="N125" s="81" t="s">
        <v>2826</v>
      </c>
      <c r="O125" s="37" t="s">
        <v>3221</v>
      </c>
      <c r="P125" s="28" t="s">
        <v>2826</v>
      </c>
    </row>
    <row r="126" spans="1:16" x14ac:dyDescent="0.3">
      <c r="A126" s="25" t="s">
        <v>3220</v>
      </c>
      <c r="B126" s="26">
        <v>46108</v>
      </c>
      <c r="C126" s="26">
        <v>46113</v>
      </c>
      <c r="D126" s="82">
        <v>3319</v>
      </c>
      <c r="E126" s="82">
        <v>327</v>
      </c>
      <c r="F126" s="25">
        <v>2</v>
      </c>
      <c r="G126" s="28">
        <v>2</v>
      </c>
      <c r="H126" s="28">
        <v>81778</v>
      </c>
      <c r="I126" s="28" t="s">
        <v>17</v>
      </c>
      <c r="J126" s="28">
        <v>59170486</v>
      </c>
      <c r="K126" t="s">
        <v>3106</v>
      </c>
      <c r="L126" t="s">
        <v>3110</v>
      </c>
      <c r="M126" s="37">
        <v>249900</v>
      </c>
      <c r="N126" s="81" t="s">
        <v>2826</v>
      </c>
      <c r="O126" s="37" t="s">
        <v>3221</v>
      </c>
      <c r="P126" s="28" t="s">
        <v>2826</v>
      </c>
    </row>
    <row r="127" spans="1:16" x14ac:dyDescent="0.3">
      <c r="A127" s="25" t="s">
        <v>3220</v>
      </c>
      <c r="B127" s="26">
        <v>46108</v>
      </c>
      <c r="C127" s="26">
        <v>46113</v>
      </c>
      <c r="D127" s="82">
        <v>3319</v>
      </c>
      <c r="E127" s="82">
        <v>327</v>
      </c>
      <c r="F127" s="25">
        <v>2</v>
      </c>
      <c r="G127" s="28">
        <v>2</v>
      </c>
      <c r="H127" s="28">
        <v>81778</v>
      </c>
      <c r="I127" s="28" t="s">
        <v>17</v>
      </c>
      <c r="J127" s="28">
        <v>59170495</v>
      </c>
      <c r="K127" t="s">
        <v>3106</v>
      </c>
      <c r="L127" t="s">
        <v>3111</v>
      </c>
      <c r="M127" s="37">
        <v>249900</v>
      </c>
      <c r="N127" s="81" t="s">
        <v>2826</v>
      </c>
      <c r="O127" s="37" t="s">
        <v>3221</v>
      </c>
      <c r="P127" s="28" t="s">
        <v>2826</v>
      </c>
    </row>
    <row r="128" spans="1:16" x14ac:dyDescent="0.3">
      <c r="A128" s="25" t="s">
        <v>3220</v>
      </c>
      <c r="B128" s="26">
        <v>46108</v>
      </c>
      <c r="C128" s="26">
        <v>46113</v>
      </c>
      <c r="D128" s="82">
        <v>3319</v>
      </c>
      <c r="E128" s="82">
        <v>327</v>
      </c>
      <c r="F128" s="25">
        <v>2</v>
      </c>
      <c r="G128" s="28">
        <v>2</v>
      </c>
      <c r="H128" s="28">
        <v>81778</v>
      </c>
      <c r="I128" s="28" t="s">
        <v>17</v>
      </c>
      <c r="J128" s="28">
        <v>59170502</v>
      </c>
      <c r="K128" t="s">
        <v>3112</v>
      </c>
      <c r="L128" t="s">
        <v>3113</v>
      </c>
      <c r="M128" s="37">
        <v>249900</v>
      </c>
      <c r="N128" s="81" t="s">
        <v>2826</v>
      </c>
      <c r="O128" s="37" t="s">
        <v>3221</v>
      </c>
      <c r="P128" s="28" t="s">
        <v>2826</v>
      </c>
    </row>
    <row r="129" spans="1:16" x14ac:dyDescent="0.3">
      <c r="A129" s="25" t="s">
        <v>3220</v>
      </c>
      <c r="B129" s="26">
        <v>46108</v>
      </c>
      <c r="C129" s="26">
        <v>46113</v>
      </c>
      <c r="D129" s="82">
        <v>3319</v>
      </c>
      <c r="E129" s="82">
        <v>327</v>
      </c>
      <c r="F129" s="25">
        <v>2</v>
      </c>
      <c r="G129" s="28">
        <v>2</v>
      </c>
      <c r="H129" s="28">
        <v>81778</v>
      </c>
      <c r="I129" s="28" t="s">
        <v>17</v>
      </c>
      <c r="J129" s="28">
        <v>59170511</v>
      </c>
      <c r="K129" t="s">
        <v>3112</v>
      </c>
      <c r="L129" t="s">
        <v>3114</v>
      </c>
      <c r="M129" s="37">
        <v>249900</v>
      </c>
      <c r="N129" s="81" t="s">
        <v>2826</v>
      </c>
      <c r="O129" s="37" t="s">
        <v>3221</v>
      </c>
      <c r="P129" s="28" t="s">
        <v>2826</v>
      </c>
    </row>
    <row r="130" spans="1:16" x14ac:dyDescent="0.3">
      <c r="A130" s="25" t="s">
        <v>3220</v>
      </c>
      <c r="B130" s="26">
        <v>46108</v>
      </c>
      <c r="C130" s="26">
        <v>46113</v>
      </c>
      <c r="D130" s="82">
        <v>3319</v>
      </c>
      <c r="E130" s="82">
        <v>327</v>
      </c>
      <c r="F130" s="25">
        <v>2</v>
      </c>
      <c r="G130" s="28">
        <v>2</v>
      </c>
      <c r="H130" s="28">
        <v>81778</v>
      </c>
      <c r="I130" s="28" t="s">
        <v>17</v>
      </c>
      <c r="J130" s="28">
        <v>59170520</v>
      </c>
      <c r="K130" t="s">
        <v>3112</v>
      </c>
      <c r="L130" t="s">
        <v>3115</v>
      </c>
      <c r="M130" s="37">
        <v>249900</v>
      </c>
      <c r="N130" s="81" t="s">
        <v>2826</v>
      </c>
      <c r="O130" s="37" t="s">
        <v>3221</v>
      </c>
      <c r="P130" s="28" t="s">
        <v>2826</v>
      </c>
    </row>
    <row r="131" spans="1:16" x14ac:dyDescent="0.3">
      <c r="A131" s="25" t="s">
        <v>3220</v>
      </c>
      <c r="B131" s="26">
        <v>46108</v>
      </c>
      <c r="C131" s="26">
        <v>46113</v>
      </c>
      <c r="D131" s="82">
        <v>3319</v>
      </c>
      <c r="E131" s="82">
        <v>327</v>
      </c>
      <c r="F131" s="25">
        <v>2</v>
      </c>
      <c r="G131" s="28">
        <v>2</v>
      </c>
      <c r="H131" s="28">
        <v>81778</v>
      </c>
      <c r="I131" s="28" t="s">
        <v>17</v>
      </c>
      <c r="J131" s="28">
        <v>59170539</v>
      </c>
      <c r="K131" t="s">
        <v>3112</v>
      </c>
      <c r="L131" t="s">
        <v>3116</v>
      </c>
      <c r="M131" s="37">
        <v>249900</v>
      </c>
      <c r="N131" s="81" t="s">
        <v>2826</v>
      </c>
      <c r="O131" s="37" t="s">
        <v>3221</v>
      </c>
      <c r="P131" s="28" t="s">
        <v>2826</v>
      </c>
    </row>
    <row r="132" spans="1:16" x14ac:dyDescent="0.3">
      <c r="A132" s="25" t="s">
        <v>3220</v>
      </c>
      <c r="B132" s="26">
        <v>46108</v>
      </c>
      <c r="C132" s="26">
        <v>46113</v>
      </c>
      <c r="D132" s="82">
        <v>3319</v>
      </c>
      <c r="E132" s="82">
        <v>327</v>
      </c>
      <c r="F132" s="25">
        <v>2</v>
      </c>
      <c r="G132" s="28">
        <v>2</v>
      </c>
      <c r="H132" s="28">
        <v>81778</v>
      </c>
      <c r="I132" s="28" t="s">
        <v>17</v>
      </c>
      <c r="J132" s="28">
        <v>59170548</v>
      </c>
      <c r="K132" t="s">
        <v>3112</v>
      </c>
      <c r="L132" t="s">
        <v>3117</v>
      </c>
      <c r="M132" s="37">
        <v>249900</v>
      </c>
      <c r="N132" s="81" t="s">
        <v>2826</v>
      </c>
      <c r="O132" s="37" t="s">
        <v>3221</v>
      </c>
      <c r="P132" s="28" t="s">
        <v>2826</v>
      </c>
    </row>
    <row r="133" spans="1:16" x14ac:dyDescent="0.3">
      <c r="A133" s="25" t="s">
        <v>3220</v>
      </c>
      <c r="B133" s="26">
        <v>46108</v>
      </c>
      <c r="C133" s="26">
        <v>46113</v>
      </c>
      <c r="D133" s="82">
        <v>3319</v>
      </c>
      <c r="E133" s="82">
        <v>327</v>
      </c>
      <c r="F133" s="25">
        <v>2</v>
      </c>
      <c r="G133" s="28">
        <v>2</v>
      </c>
      <c r="H133" s="28">
        <v>81778</v>
      </c>
      <c r="I133" s="28" t="s">
        <v>17</v>
      </c>
      <c r="J133" s="28">
        <v>59170557</v>
      </c>
      <c r="K133" t="s">
        <v>3118</v>
      </c>
      <c r="L133" t="s">
        <v>3119</v>
      </c>
      <c r="M133" s="37">
        <v>199900</v>
      </c>
      <c r="N133" s="81" t="s">
        <v>2826</v>
      </c>
      <c r="O133" s="37" t="s">
        <v>3221</v>
      </c>
      <c r="P133" s="28" t="s">
        <v>2826</v>
      </c>
    </row>
    <row r="134" spans="1:16" x14ac:dyDescent="0.3">
      <c r="A134" s="25" t="s">
        <v>3220</v>
      </c>
      <c r="B134" s="26">
        <v>46108</v>
      </c>
      <c r="C134" s="26">
        <v>46113</v>
      </c>
      <c r="D134" s="82">
        <v>3319</v>
      </c>
      <c r="E134" s="82">
        <v>327</v>
      </c>
      <c r="F134" s="25">
        <v>2</v>
      </c>
      <c r="G134" s="28">
        <v>2</v>
      </c>
      <c r="H134" s="28">
        <v>81778</v>
      </c>
      <c r="I134" s="28" t="s">
        <v>17</v>
      </c>
      <c r="J134" s="28">
        <v>59170566</v>
      </c>
      <c r="K134" t="s">
        <v>3118</v>
      </c>
      <c r="L134" t="s">
        <v>3120</v>
      </c>
      <c r="M134" s="37">
        <v>199900</v>
      </c>
      <c r="N134" s="81" t="s">
        <v>2826</v>
      </c>
      <c r="O134" s="37" t="s">
        <v>3221</v>
      </c>
      <c r="P134" s="28" t="s">
        <v>2826</v>
      </c>
    </row>
    <row r="135" spans="1:16" x14ac:dyDescent="0.3">
      <c r="A135" s="25" t="s">
        <v>3220</v>
      </c>
      <c r="B135" s="26">
        <v>46108</v>
      </c>
      <c r="C135" s="26">
        <v>46113</v>
      </c>
      <c r="D135" s="82">
        <v>3319</v>
      </c>
      <c r="E135" s="82">
        <v>327</v>
      </c>
      <c r="F135" s="25">
        <v>2</v>
      </c>
      <c r="G135" s="28">
        <v>2</v>
      </c>
      <c r="H135" s="28">
        <v>81778</v>
      </c>
      <c r="I135" s="28" t="s">
        <v>17</v>
      </c>
      <c r="J135" s="28">
        <v>59170575</v>
      </c>
      <c r="K135" t="s">
        <v>3118</v>
      </c>
      <c r="L135" t="s">
        <v>3121</v>
      </c>
      <c r="M135" s="37">
        <v>199900</v>
      </c>
      <c r="N135" s="81" t="s">
        <v>2826</v>
      </c>
      <c r="O135" s="37" t="s">
        <v>3221</v>
      </c>
      <c r="P135" s="28" t="s">
        <v>2826</v>
      </c>
    </row>
    <row r="136" spans="1:16" x14ac:dyDescent="0.3">
      <c r="A136" s="25" t="s">
        <v>3220</v>
      </c>
      <c r="B136" s="26">
        <v>46108</v>
      </c>
      <c r="C136" s="26">
        <v>46113</v>
      </c>
      <c r="D136" s="82">
        <v>3319</v>
      </c>
      <c r="E136" s="82">
        <v>327</v>
      </c>
      <c r="F136" s="25">
        <v>2</v>
      </c>
      <c r="G136" s="28">
        <v>2</v>
      </c>
      <c r="H136" s="28">
        <v>81778</v>
      </c>
      <c r="I136" s="28" t="s">
        <v>17</v>
      </c>
      <c r="J136" s="28">
        <v>59170584</v>
      </c>
      <c r="K136" t="s">
        <v>3118</v>
      </c>
      <c r="L136" t="s">
        <v>3122</v>
      </c>
      <c r="M136" s="37">
        <v>199900</v>
      </c>
      <c r="N136" s="81" t="s">
        <v>2826</v>
      </c>
      <c r="O136" s="37" t="s">
        <v>3221</v>
      </c>
      <c r="P136" s="28" t="s">
        <v>2826</v>
      </c>
    </row>
    <row r="137" spans="1:16" x14ac:dyDescent="0.3">
      <c r="A137" s="25" t="s">
        <v>3220</v>
      </c>
      <c r="B137" s="26">
        <v>46108</v>
      </c>
      <c r="C137" s="26">
        <v>46113</v>
      </c>
      <c r="D137" s="82">
        <v>3319</v>
      </c>
      <c r="E137" s="82">
        <v>327</v>
      </c>
      <c r="F137" s="25">
        <v>2</v>
      </c>
      <c r="G137" s="28">
        <v>2</v>
      </c>
      <c r="H137" s="28">
        <v>81778</v>
      </c>
      <c r="I137" s="28" t="s">
        <v>17</v>
      </c>
      <c r="J137" s="28">
        <v>59170593</v>
      </c>
      <c r="K137" t="s">
        <v>3118</v>
      </c>
      <c r="L137" t="s">
        <v>3123</v>
      </c>
      <c r="M137" s="37">
        <v>199900</v>
      </c>
      <c r="N137" s="81" t="s">
        <v>2826</v>
      </c>
      <c r="O137" s="37" t="s">
        <v>3221</v>
      </c>
      <c r="P137" s="28" t="s">
        <v>2826</v>
      </c>
    </row>
    <row r="138" spans="1:16" x14ac:dyDescent="0.3">
      <c r="A138" s="25" t="s">
        <v>3220</v>
      </c>
      <c r="B138" s="26">
        <v>46108</v>
      </c>
      <c r="C138" s="26">
        <v>46113</v>
      </c>
      <c r="D138" s="82">
        <v>3319</v>
      </c>
      <c r="E138" s="82">
        <v>327</v>
      </c>
      <c r="F138" s="25">
        <v>2</v>
      </c>
      <c r="G138" s="28">
        <v>2</v>
      </c>
      <c r="H138" s="28">
        <v>81778</v>
      </c>
      <c r="I138" s="28" t="s">
        <v>17</v>
      </c>
      <c r="J138" s="28">
        <v>59170600</v>
      </c>
      <c r="K138" t="s">
        <v>3124</v>
      </c>
      <c r="L138" t="s">
        <v>3125</v>
      </c>
      <c r="M138" s="37">
        <v>199900</v>
      </c>
      <c r="N138" s="81" t="s">
        <v>2826</v>
      </c>
      <c r="O138" s="37" t="s">
        <v>3221</v>
      </c>
      <c r="P138" s="28" t="s">
        <v>2826</v>
      </c>
    </row>
    <row r="139" spans="1:16" x14ac:dyDescent="0.3">
      <c r="A139" s="25" t="s">
        <v>3220</v>
      </c>
      <c r="B139" s="26">
        <v>46108</v>
      </c>
      <c r="C139" s="26">
        <v>46113</v>
      </c>
      <c r="D139" s="82">
        <v>3319</v>
      </c>
      <c r="E139" s="82">
        <v>327</v>
      </c>
      <c r="F139" s="25">
        <v>2</v>
      </c>
      <c r="G139" s="28">
        <v>2</v>
      </c>
      <c r="H139" s="28">
        <v>81778</v>
      </c>
      <c r="I139" s="28" t="s">
        <v>17</v>
      </c>
      <c r="J139" s="28">
        <v>59170619</v>
      </c>
      <c r="K139" t="s">
        <v>3124</v>
      </c>
      <c r="L139" t="s">
        <v>3126</v>
      </c>
      <c r="M139" s="37">
        <v>199900</v>
      </c>
      <c r="N139" s="81" t="s">
        <v>2826</v>
      </c>
      <c r="O139" s="37" t="s">
        <v>3221</v>
      </c>
      <c r="P139" s="28" t="s">
        <v>2826</v>
      </c>
    </row>
    <row r="140" spans="1:16" x14ac:dyDescent="0.3">
      <c r="A140" s="25" t="s">
        <v>3220</v>
      </c>
      <c r="B140" s="26">
        <v>46108</v>
      </c>
      <c r="C140" s="26">
        <v>46113</v>
      </c>
      <c r="D140" s="82">
        <v>3319</v>
      </c>
      <c r="E140" s="82">
        <v>327</v>
      </c>
      <c r="F140" s="25">
        <v>2</v>
      </c>
      <c r="G140" s="28">
        <v>2</v>
      </c>
      <c r="H140" s="28">
        <v>81778</v>
      </c>
      <c r="I140" s="28" t="s">
        <v>17</v>
      </c>
      <c r="J140" s="28">
        <v>59170628</v>
      </c>
      <c r="K140" t="s">
        <v>3124</v>
      </c>
      <c r="L140" t="s">
        <v>3127</v>
      </c>
      <c r="M140" s="37">
        <v>199900</v>
      </c>
      <c r="N140" s="81" t="s">
        <v>2826</v>
      </c>
      <c r="O140" s="37" t="s">
        <v>3221</v>
      </c>
      <c r="P140" s="28" t="s">
        <v>2826</v>
      </c>
    </row>
    <row r="141" spans="1:16" x14ac:dyDescent="0.3">
      <c r="A141" s="25" t="s">
        <v>3220</v>
      </c>
      <c r="B141" s="26">
        <v>46108</v>
      </c>
      <c r="C141" s="26">
        <v>46113</v>
      </c>
      <c r="D141" s="82">
        <v>3319</v>
      </c>
      <c r="E141" s="82">
        <v>327</v>
      </c>
      <c r="F141" s="25">
        <v>2</v>
      </c>
      <c r="G141" s="28">
        <v>2</v>
      </c>
      <c r="H141" s="28">
        <v>81778</v>
      </c>
      <c r="I141" s="28" t="s">
        <v>17</v>
      </c>
      <c r="J141" s="28">
        <v>59170637</v>
      </c>
      <c r="K141" t="s">
        <v>3124</v>
      </c>
      <c r="L141" t="s">
        <v>3128</v>
      </c>
      <c r="M141" s="37">
        <v>199900</v>
      </c>
      <c r="N141" s="81" t="s">
        <v>2826</v>
      </c>
      <c r="O141" s="37" t="s">
        <v>3221</v>
      </c>
      <c r="P141" s="28" t="s">
        <v>2826</v>
      </c>
    </row>
    <row r="142" spans="1:16" x14ac:dyDescent="0.3">
      <c r="A142" s="25" t="s">
        <v>3220</v>
      </c>
      <c r="B142" s="26">
        <v>46108</v>
      </c>
      <c r="C142" s="26">
        <v>46113</v>
      </c>
      <c r="D142" s="82">
        <v>3319</v>
      </c>
      <c r="E142" s="82">
        <v>327</v>
      </c>
      <c r="F142" s="25">
        <v>2</v>
      </c>
      <c r="G142" s="28">
        <v>2</v>
      </c>
      <c r="H142" s="28">
        <v>81778</v>
      </c>
      <c r="I142" s="28" t="s">
        <v>17</v>
      </c>
      <c r="J142" s="28">
        <v>59170646</v>
      </c>
      <c r="K142" t="s">
        <v>3124</v>
      </c>
      <c r="L142" t="s">
        <v>3129</v>
      </c>
      <c r="M142" s="37">
        <v>199900</v>
      </c>
      <c r="N142" s="81" t="s">
        <v>2826</v>
      </c>
      <c r="O142" s="37" t="s">
        <v>3221</v>
      </c>
      <c r="P142" s="28" t="s">
        <v>2826</v>
      </c>
    </row>
    <row r="143" spans="1:16" x14ac:dyDescent="0.3">
      <c r="A143" s="25" t="s">
        <v>3220</v>
      </c>
      <c r="B143" s="26">
        <v>46108</v>
      </c>
      <c r="C143" s="26">
        <v>46113</v>
      </c>
      <c r="D143" s="82">
        <v>3319</v>
      </c>
      <c r="E143" s="82">
        <v>327</v>
      </c>
      <c r="F143" s="25">
        <v>2</v>
      </c>
      <c r="G143" s="28">
        <v>2</v>
      </c>
      <c r="H143" s="28">
        <v>81778</v>
      </c>
      <c r="I143" s="28" t="s">
        <v>17</v>
      </c>
      <c r="J143" s="28">
        <v>59170655</v>
      </c>
      <c r="K143" t="s">
        <v>3124</v>
      </c>
      <c r="L143" t="s">
        <v>3130</v>
      </c>
      <c r="M143" s="37">
        <v>199900</v>
      </c>
      <c r="N143" s="81" t="s">
        <v>2826</v>
      </c>
      <c r="O143" s="37" t="s">
        <v>3221</v>
      </c>
      <c r="P143" s="28" t="s">
        <v>2826</v>
      </c>
    </row>
    <row r="144" spans="1:16" x14ac:dyDescent="0.3">
      <c r="A144" s="25" t="s">
        <v>3220</v>
      </c>
      <c r="B144" s="26">
        <v>46108</v>
      </c>
      <c r="C144" s="26">
        <v>46113</v>
      </c>
      <c r="D144" s="82">
        <v>3319</v>
      </c>
      <c r="E144" s="82">
        <v>327</v>
      </c>
      <c r="F144" s="25">
        <v>2</v>
      </c>
      <c r="G144" s="28">
        <v>2</v>
      </c>
      <c r="H144" s="28">
        <v>81778</v>
      </c>
      <c r="I144" s="28" t="s">
        <v>17</v>
      </c>
      <c r="J144" s="28">
        <v>59170664</v>
      </c>
      <c r="K144" t="s">
        <v>3124</v>
      </c>
      <c r="L144" t="s">
        <v>3131</v>
      </c>
      <c r="M144" s="37">
        <v>199900</v>
      </c>
      <c r="N144" s="81" t="s">
        <v>2826</v>
      </c>
      <c r="O144" s="37" t="s">
        <v>3221</v>
      </c>
      <c r="P144" s="28" t="s">
        <v>2826</v>
      </c>
    </row>
    <row r="145" spans="1:16" x14ac:dyDescent="0.3">
      <c r="A145" s="25" t="s">
        <v>3220</v>
      </c>
      <c r="B145" s="26">
        <v>46108</v>
      </c>
      <c r="C145" s="26">
        <v>46113</v>
      </c>
      <c r="D145" s="82">
        <v>3319</v>
      </c>
      <c r="E145" s="82">
        <v>327</v>
      </c>
      <c r="F145" s="25">
        <v>2</v>
      </c>
      <c r="G145" s="28">
        <v>2</v>
      </c>
      <c r="H145" s="28">
        <v>81778</v>
      </c>
      <c r="I145" s="28" t="s">
        <v>17</v>
      </c>
      <c r="J145" s="28">
        <v>59170673</v>
      </c>
      <c r="K145" t="s">
        <v>3124</v>
      </c>
      <c r="L145" t="s">
        <v>3132</v>
      </c>
      <c r="M145" s="37">
        <v>199900</v>
      </c>
      <c r="N145" s="81" t="s">
        <v>2826</v>
      </c>
      <c r="O145" s="37" t="s">
        <v>3221</v>
      </c>
      <c r="P145" s="28" t="s">
        <v>2826</v>
      </c>
    </row>
    <row r="146" spans="1:16" x14ac:dyDescent="0.3">
      <c r="A146" s="25" t="s">
        <v>3220</v>
      </c>
      <c r="B146" s="26">
        <v>46108</v>
      </c>
      <c r="C146" s="26">
        <v>46113</v>
      </c>
      <c r="D146" s="82">
        <v>3319</v>
      </c>
      <c r="E146" s="82">
        <v>327</v>
      </c>
      <c r="F146" s="25">
        <v>2</v>
      </c>
      <c r="G146" s="28">
        <v>2</v>
      </c>
      <c r="H146" s="28">
        <v>81778</v>
      </c>
      <c r="I146" s="28" t="s">
        <v>17</v>
      </c>
      <c r="J146" s="28">
        <v>59170682</v>
      </c>
      <c r="K146" t="s">
        <v>3124</v>
      </c>
      <c r="L146" t="s">
        <v>3133</v>
      </c>
      <c r="M146" s="37">
        <v>199900</v>
      </c>
      <c r="N146" s="81" t="s">
        <v>2826</v>
      </c>
      <c r="O146" s="37" t="s">
        <v>3221</v>
      </c>
      <c r="P146" s="28" t="s">
        <v>2826</v>
      </c>
    </row>
    <row r="147" spans="1:16" x14ac:dyDescent="0.3">
      <c r="A147" s="25" t="s">
        <v>3220</v>
      </c>
      <c r="B147" s="26">
        <v>46108</v>
      </c>
      <c r="C147" s="26">
        <v>46113</v>
      </c>
      <c r="D147" s="82">
        <v>3319</v>
      </c>
      <c r="E147" s="82">
        <v>327</v>
      </c>
      <c r="F147" s="25">
        <v>2</v>
      </c>
      <c r="G147" s="28">
        <v>2</v>
      </c>
      <c r="H147" s="28">
        <v>81778</v>
      </c>
      <c r="I147" s="28" t="s">
        <v>17</v>
      </c>
      <c r="J147" s="28">
        <v>59170691</v>
      </c>
      <c r="K147" t="s">
        <v>3124</v>
      </c>
      <c r="L147" t="s">
        <v>3134</v>
      </c>
      <c r="M147" s="37">
        <v>199900</v>
      </c>
      <c r="N147" s="81" t="s">
        <v>2826</v>
      </c>
      <c r="O147" s="37" t="s">
        <v>3221</v>
      </c>
      <c r="P147" s="28" t="s">
        <v>2826</v>
      </c>
    </row>
    <row r="148" spans="1:16" x14ac:dyDescent="0.3">
      <c r="A148" s="25" t="s">
        <v>3220</v>
      </c>
      <c r="B148" s="26">
        <v>46108</v>
      </c>
      <c r="C148" s="26">
        <v>46113</v>
      </c>
      <c r="D148" s="82">
        <v>3319</v>
      </c>
      <c r="E148" s="82">
        <v>327</v>
      </c>
      <c r="F148" s="25">
        <v>2</v>
      </c>
      <c r="G148" s="28">
        <v>2</v>
      </c>
      <c r="H148" s="28">
        <v>81778</v>
      </c>
      <c r="I148" s="28" t="s">
        <v>17</v>
      </c>
      <c r="J148" s="28">
        <v>59170708</v>
      </c>
      <c r="K148" t="s">
        <v>3135</v>
      </c>
      <c r="L148" t="s">
        <v>3136</v>
      </c>
      <c r="M148" s="37">
        <v>199900</v>
      </c>
      <c r="N148" s="81" t="s">
        <v>2826</v>
      </c>
      <c r="O148" s="37" t="s">
        <v>3221</v>
      </c>
      <c r="P148" s="28" t="s">
        <v>2826</v>
      </c>
    </row>
    <row r="149" spans="1:16" x14ac:dyDescent="0.3">
      <c r="A149" s="25" t="s">
        <v>3220</v>
      </c>
      <c r="B149" s="26">
        <v>46108</v>
      </c>
      <c r="C149" s="26">
        <v>46113</v>
      </c>
      <c r="D149" s="82">
        <v>3319</v>
      </c>
      <c r="E149" s="82">
        <v>327</v>
      </c>
      <c r="F149" s="25">
        <v>2</v>
      </c>
      <c r="G149" s="28">
        <v>2</v>
      </c>
      <c r="H149" s="28">
        <v>81778</v>
      </c>
      <c r="I149" s="28" t="s">
        <v>17</v>
      </c>
      <c r="J149" s="28">
        <v>59170717</v>
      </c>
      <c r="K149" t="s">
        <v>3135</v>
      </c>
      <c r="L149" t="s">
        <v>3137</v>
      </c>
      <c r="M149" s="37">
        <v>199900</v>
      </c>
      <c r="N149" s="81" t="s">
        <v>2826</v>
      </c>
      <c r="O149" s="37" t="s">
        <v>3221</v>
      </c>
      <c r="P149" s="28" t="s">
        <v>2826</v>
      </c>
    </row>
    <row r="150" spans="1:16" x14ac:dyDescent="0.3">
      <c r="A150" s="25" t="s">
        <v>3220</v>
      </c>
      <c r="B150" s="26">
        <v>46108</v>
      </c>
      <c r="C150" s="26">
        <v>46113</v>
      </c>
      <c r="D150" s="82">
        <v>3319</v>
      </c>
      <c r="E150" s="82">
        <v>327</v>
      </c>
      <c r="F150" s="25">
        <v>2</v>
      </c>
      <c r="G150" s="28">
        <v>2</v>
      </c>
      <c r="H150" s="28">
        <v>81778</v>
      </c>
      <c r="I150" s="28" t="s">
        <v>17</v>
      </c>
      <c r="J150" s="28">
        <v>59170726</v>
      </c>
      <c r="K150" t="s">
        <v>3135</v>
      </c>
      <c r="L150" t="s">
        <v>3138</v>
      </c>
      <c r="M150" s="37">
        <v>199900</v>
      </c>
      <c r="N150" s="81" t="s">
        <v>2826</v>
      </c>
      <c r="O150" s="37" t="s">
        <v>3221</v>
      </c>
      <c r="P150" s="28" t="s">
        <v>2826</v>
      </c>
    </row>
    <row r="151" spans="1:16" x14ac:dyDescent="0.3">
      <c r="A151" s="25" t="s">
        <v>3220</v>
      </c>
      <c r="B151" s="26">
        <v>46108</v>
      </c>
      <c r="C151" s="26">
        <v>46113</v>
      </c>
      <c r="D151" s="82">
        <v>3319</v>
      </c>
      <c r="E151" s="82">
        <v>327</v>
      </c>
      <c r="F151" s="25">
        <v>2</v>
      </c>
      <c r="G151" s="28">
        <v>2</v>
      </c>
      <c r="H151" s="28">
        <v>81778</v>
      </c>
      <c r="I151" s="28" t="s">
        <v>17</v>
      </c>
      <c r="J151" s="28">
        <v>59170735</v>
      </c>
      <c r="K151" t="s">
        <v>3135</v>
      </c>
      <c r="L151" t="s">
        <v>3139</v>
      </c>
      <c r="M151" s="37">
        <v>199900</v>
      </c>
      <c r="N151" s="81" t="s">
        <v>2826</v>
      </c>
      <c r="O151" s="37" t="s">
        <v>3221</v>
      </c>
      <c r="P151" s="28" t="s">
        <v>2826</v>
      </c>
    </row>
    <row r="152" spans="1:16" x14ac:dyDescent="0.3">
      <c r="A152" s="25" t="s">
        <v>3220</v>
      </c>
      <c r="B152" s="26">
        <v>46108</v>
      </c>
      <c r="C152" s="26">
        <v>46113</v>
      </c>
      <c r="D152" s="82">
        <v>3319</v>
      </c>
      <c r="E152" s="82">
        <v>327</v>
      </c>
      <c r="F152" s="25">
        <v>2</v>
      </c>
      <c r="G152" s="28">
        <v>2</v>
      </c>
      <c r="H152" s="28">
        <v>81778</v>
      </c>
      <c r="I152" s="28" t="s">
        <v>17</v>
      </c>
      <c r="J152" s="28">
        <v>59170744</v>
      </c>
      <c r="K152" t="s">
        <v>3135</v>
      </c>
      <c r="L152" t="s">
        <v>3140</v>
      </c>
      <c r="M152" s="37">
        <v>199900</v>
      </c>
      <c r="N152" s="81" t="s">
        <v>2826</v>
      </c>
      <c r="O152" s="37" t="s">
        <v>3221</v>
      </c>
      <c r="P152" s="28" t="s">
        <v>2826</v>
      </c>
    </row>
    <row r="153" spans="1:16" x14ac:dyDescent="0.3">
      <c r="A153" s="25" t="s">
        <v>3220</v>
      </c>
      <c r="B153" s="26">
        <v>46108</v>
      </c>
      <c r="C153" s="26">
        <v>46113</v>
      </c>
      <c r="D153" s="82">
        <v>3319</v>
      </c>
      <c r="E153" s="82">
        <v>327</v>
      </c>
      <c r="F153" s="25">
        <v>2</v>
      </c>
      <c r="G153" s="28">
        <v>2</v>
      </c>
      <c r="H153" s="28">
        <v>81778</v>
      </c>
      <c r="I153" s="28" t="s">
        <v>17</v>
      </c>
      <c r="J153" s="28">
        <v>59171001</v>
      </c>
      <c r="K153" t="s">
        <v>3141</v>
      </c>
      <c r="L153" t="s">
        <v>3142</v>
      </c>
      <c r="M153" s="37">
        <v>199900</v>
      </c>
      <c r="N153" s="81" t="s">
        <v>2826</v>
      </c>
      <c r="O153" s="37" t="s">
        <v>3221</v>
      </c>
      <c r="P153" s="28" t="s">
        <v>2826</v>
      </c>
    </row>
    <row r="154" spans="1:16" x14ac:dyDescent="0.3">
      <c r="A154" s="25" t="s">
        <v>3220</v>
      </c>
      <c r="B154" s="26">
        <v>46108</v>
      </c>
      <c r="C154" s="26">
        <v>46113</v>
      </c>
      <c r="D154" s="82">
        <v>3319</v>
      </c>
      <c r="E154" s="82">
        <v>327</v>
      </c>
      <c r="F154" s="25">
        <v>2</v>
      </c>
      <c r="G154" s="28">
        <v>2</v>
      </c>
      <c r="H154" s="28">
        <v>81778</v>
      </c>
      <c r="I154" s="28" t="s">
        <v>17</v>
      </c>
      <c r="J154" s="28">
        <v>59171010</v>
      </c>
      <c r="K154" t="s">
        <v>3141</v>
      </c>
      <c r="L154" t="s">
        <v>3143</v>
      </c>
      <c r="M154" s="37">
        <v>199900</v>
      </c>
      <c r="N154" s="81" t="s">
        <v>2826</v>
      </c>
      <c r="O154" s="37" t="s">
        <v>3221</v>
      </c>
      <c r="P154" s="28" t="s">
        <v>2826</v>
      </c>
    </row>
    <row r="155" spans="1:16" x14ac:dyDescent="0.3">
      <c r="A155" s="25" t="s">
        <v>3220</v>
      </c>
      <c r="B155" s="26">
        <v>46108</v>
      </c>
      <c r="C155" s="26">
        <v>46113</v>
      </c>
      <c r="D155" s="82">
        <v>3319</v>
      </c>
      <c r="E155" s="82">
        <v>327</v>
      </c>
      <c r="F155" s="25">
        <v>2</v>
      </c>
      <c r="G155" s="28">
        <v>2</v>
      </c>
      <c r="H155" s="28">
        <v>81778</v>
      </c>
      <c r="I155" s="28" t="s">
        <v>17</v>
      </c>
      <c r="J155" s="28">
        <v>59171029</v>
      </c>
      <c r="K155" t="s">
        <v>3141</v>
      </c>
      <c r="L155" t="s">
        <v>3144</v>
      </c>
      <c r="M155" s="37">
        <v>199900</v>
      </c>
      <c r="N155" s="81" t="s">
        <v>2826</v>
      </c>
      <c r="O155" s="37" t="s">
        <v>3221</v>
      </c>
      <c r="P155" s="28" t="s">
        <v>2826</v>
      </c>
    </row>
    <row r="156" spans="1:16" x14ac:dyDescent="0.3">
      <c r="A156" s="25" t="s">
        <v>3220</v>
      </c>
      <c r="B156" s="26">
        <v>46108</v>
      </c>
      <c r="C156" s="26">
        <v>46113</v>
      </c>
      <c r="D156" s="82">
        <v>3319</v>
      </c>
      <c r="E156" s="82">
        <v>327</v>
      </c>
      <c r="F156" s="25">
        <v>2</v>
      </c>
      <c r="G156" s="28">
        <v>2</v>
      </c>
      <c r="H156" s="28">
        <v>81778</v>
      </c>
      <c r="I156" s="28" t="s">
        <v>17</v>
      </c>
      <c r="J156" s="28">
        <v>59171038</v>
      </c>
      <c r="K156" t="s">
        <v>3141</v>
      </c>
      <c r="L156" t="s">
        <v>3145</v>
      </c>
      <c r="M156" s="37">
        <v>199900</v>
      </c>
      <c r="N156" s="81" t="s">
        <v>2826</v>
      </c>
      <c r="O156" s="37" t="s">
        <v>3221</v>
      </c>
      <c r="P156" s="28" t="s">
        <v>2826</v>
      </c>
    </row>
    <row r="157" spans="1:16" x14ac:dyDescent="0.3">
      <c r="A157" s="25" t="s">
        <v>3220</v>
      </c>
      <c r="B157" s="26">
        <v>46108</v>
      </c>
      <c r="C157" s="26">
        <v>46113</v>
      </c>
      <c r="D157" s="82">
        <v>3319</v>
      </c>
      <c r="E157" s="82">
        <v>327</v>
      </c>
      <c r="F157" s="25">
        <v>2</v>
      </c>
      <c r="G157" s="28">
        <v>2</v>
      </c>
      <c r="H157" s="28">
        <v>81778</v>
      </c>
      <c r="I157" s="28" t="s">
        <v>17</v>
      </c>
      <c r="J157" s="28">
        <v>59171047</v>
      </c>
      <c r="K157" t="s">
        <v>3141</v>
      </c>
      <c r="L157" t="s">
        <v>3146</v>
      </c>
      <c r="M157" s="37">
        <v>199900</v>
      </c>
      <c r="N157" s="81" t="s">
        <v>2826</v>
      </c>
      <c r="O157" s="37" t="s">
        <v>3221</v>
      </c>
      <c r="P157" s="28" t="s">
        <v>2826</v>
      </c>
    </row>
    <row r="158" spans="1:16" x14ac:dyDescent="0.3">
      <c r="A158" s="25" t="s">
        <v>3220</v>
      </c>
      <c r="B158" s="26">
        <v>46108</v>
      </c>
      <c r="C158" s="26">
        <v>46113</v>
      </c>
      <c r="D158" s="82">
        <v>3319</v>
      </c>
      <c r="E158" s="82">
        <v>327</v>
      </c>
      <c r="F158" s="25">
        <v>2</v>
      </c>
      <c r="G158" s="28">
        <v>2</v>
      </c>
      <c r="H158" s="28">
        <v>81778</v>
      </c>
      <c r="I158" s="28" t="s">
        <v>17</v>
      </c>
      <c r="J158" s="28">
        <v>59171056</v>
      </c>
      <c r="K158" t="s">
        <v>3141</v>
      </c>
      <c r="L158" t="s">
        <v>3147</v>
      </c>
      <c r="M158" s="37">
        <v>199900</v>
      </c>
      <c r="N158" s="81" t="s">
        <v>2826</v>
      </c>
      <c r="O158" s="37" t="s">
        <v>3221</v>
      </c>
      <c r="P158" s="28" t="s">
        <v>2826</v>
      </c>
    </row>
    <row r="159" spans="1:16" x14ac:dyDescent="0.3">
      <c r="A159" s="25" t="s">
        <v>3220</v>
      </c>
      <c r="B159" s="26">
        <v>46108</v>
      </c>
      <c r="C159" s="26">
        <v>46113</v>
      </c>
      <c r="D159" s="82">
        <v>3319</v>
      </c>
      <c r="E159" s="82">
        <v>327</v>
      </c>
      <c r="F159" s="25">
        <v>2</v>
      </c>
      <c r="G159" s="28">
        <v>2</v>
      </c>
      <c r="H159" s="28">
        <v>81778</v>
      </c>
      <c r="I159" s="28" t="s">
        <v>17</v>
      </c>
      <c r="J159" s="28">
        <v>59171065</v>
      </c>
      <c r="K159" t="s">
        <v>3141</v>
      </c>
      <c r="L159" t="s">
        <v>3148</v>
      </c>
      <c r="M159" s="37">
        <v>199900</v>
      </c>
      <c r="N159" s="81" t="s">
        <v>2826</v>
      </c>
      <c r="O159" s="37" t="s">
        <v>3221</v>
      </c>
      <c r="P159" s="28" t="s">
        <v>2826</v>
      </c>
    </row>
    <row r="160" spans="1:16" x14ac:dyDescent="0.3">
      <c r="A160" s="25" t="s">
        <v>3220</v>
      </c>
      <c r="B160" s="26">
        <v>46108</v>
      </c>
      <c r="C160" s="26">
        <v>46113</v>
      </c>
      <c r="D160" s="82">
        <v>3319</v>
      </c>
      <c r="E160" s="82">
        <v>327</v>
      </c>
      <c r="F160" s="25">
        <v>2</v>
      </c>
      <c r="G160" s="28">
        <v>2</v>
      </c>
      <c r="H160" s="28">
        <v>81778</v>
      </c>
      <c r="I160" s="28" t="s">
        <v>17</v>
      </c>
      <c r="J160" s="28">
        <v>59171074</v>
      </c>
      <c r="K160" t="s">
        <v>3141</v>
      </c>
      <c r="L160" t="s">
        <v>3149</v>
      </c>
      <c r="M160" s="37">
        <v>199900</v>
      </c>
      <c r="N160" s="81" t="s">
        <v>2826</v>
      </c>
      <c r="O160" s="37" t="s">
        <v>3221</v>
      </c>
      <c r="P160" s="28" t="s">
        <v>2826</v>
      </c>
    </row>
    <row r="161" spans="1:16" x14ac:dyDescent="0.3">
      <c r="A161" s="25" t="s">
        <v>3220</v>
      </c>
      <c r="B161" s="26">
        <v>46108</v>
      </c>
      <c r="C161" s="26">
        <v>46113</v>
      </c>
      <c r="D161" s="82">
        <v>3319</v>
      </c>
      <c r="E161" s="82">
        <v>327</v>
      </c>
      <c r="F161" s="25">
        <v>2</v>
      </c>
      <c r="G161" s="28">
        <v>2</v>
      </c>
      <c r="H161" s="28">
        <v>81778</v>
      </c>
      <c r="I161" s="28" t="s">
        <v>17</v>
      </c>
      <c r="J161" s="28">
        <v>59171083</v>
      </c>
      <c r="K161" t="s">
        <v>3141</v>
      </c>
      <c r="L161" t="s">
        <v>3150</v>
      </c>
      <c r="M161" s="37">
        <v>199900</v>
      </c>
      <c r="N161" s="81" t="s">
        <v>2826</v>
      </c>
      <c r="O161" s="37" t="s">
        <v>3221</v>
      </c>
      <c r="P161" s="28" t="s">
        <v>2826</v>
      </c>
    </row>
    <row r="162" spans="1:16" x14ac:dyDescent="0.3">
      <c r="A162" s="25" t="s">
        <v>3220</v>
      </c>
      <c r="B162" s="26">
        <v>46108</v>
      </c>
      <c r="C162" s="26">
        <v>46113</v>
      </c>
      <c r="D162" s="82">
        <v>3319</v>
      </c>
      <c r="E162" s="82">
        <v>327</v>
      </c>
      <c r="F162" s="25">
        <v>2</v>
      </c>
      <c r="G162" s="28">
        <v>2</v>
      </c>
      <c r="H162" s="28">
        <v>81778</v>
      </c>
      <c r="I162" s="28" t="s">
        <v>17</v>
      </c>
      <c r="J162" s="28">
        <v>59171092</v>
      </c>
      <c r="K162" t="s">
        <v>3141</v>
      </c>
      <c r="L162" t="s">
        <v>3151</v>
      </c>
      <c r="M162" s="37">
        <v>199900</v>
      </c>
      <c r="N162" s="81" t="s">
        <v>2826</v>
      </c>
      <c r="O162" s="37" t="s">
        <v>3221</v>
      </c>
      <c r="P162" s="28" t="s">
        <v>2826</v>
      </c>
    </row>
    <row r="163" spans="1:16" x14ac:dyDescent="0.3">
      <c r="A163" s="25" t="s">
        <v>3220</v>
      </c>
      <c r="B163" s="26">
        <v>46108</v>
      </c>
      <c r="C163" s="26">
        <v>46113</v>
      </c>
      <c r="D163" s="82">
        <v>3319</v>
      </c>
      <c r="E163" s="82">
        <v>327</v>
      </c>
      <c r="F163" s="25">
        <v>2</v>
      </c>
      <c r="G163" s="28">
        <v>2</v>
      </c>
      <c r="H163" s="28">
        <v>81778</v>
      </c>
      <c r="I163" s="28" t="s">
        <v>17</v>
      </c>
      <c r="J163" s="28">
        <v>59171109</v>
      </c>
      <c r="K163" t="s">
        <v>3152</v>
      </c>
      <c r="L163" t="s">
        <v>3153</v>
      </c>
      <c r="M163" s="37">
        <v>199900</v>
      </c>
      <c r="N163" s="81" t="s">
        <v>2826</v>
      </c>
      <c r="O163" s="37" t="s">
        <v>3221</v>
      </c>
      <c r="P163" s="28" t="s">
        <v>2826</v>
      </c>
    </row>
    <row r="164" spans="1:16" x14ac:dyDescent="0.3">
      <c r="A164" s="25" t="s">
        <v>3220</v>
      </c>
      <c r="B164" s="26">
        <v>46108</v>
      </c>
      <c r="C164" s="26">
        <v>46113</v>
      </c>
      <c r="D164" s="82">
        <v>3319</v>
      </c>
      <c r="E164" s="82">
        <v>327</v>
      </c>
      <c r="F164" s="25">
        <v>2</v>
      </c>
      <c r="G164" s="28">
        <v>2</v>
      </c>
      <c r="H164" s="28">
        <v>81778</v>
      </c>
      <c r="I164" s="28" t="s">
        <v>17</v>
      </c>
      <c r="J164" s="28">
        <v>59171118</v>
      </c>
      <c r="K164" t="s">
        <v>3152</v>
      </c>
      <c r="L164" t="s">
        <v>3154</v>
      </c>
      <c r="M164" s="37">
        <v>199900</v>
      </c>
      <c r="N164" s="81" t="s">
        <v>2826</v>
      </c>
      <c r="O164" s="37" t="s">
        <v>3221</v>
      </c>
      <c r="P164" s="28" t="s">
        <v>2826</v>
      </c>
    </row>
    <row r="165" spans="1:16" x14ac:dyDescent="0.3">
      <c r="A165" s="25" t="s">
        <v>3220</v>
      </c>
      <c r="B165" s="26">
        <v>46108</v>
      </c>
      <c r="C165" s="26">
        <v>46113</v>
      </c>
      <c r="D165" s="82">
        <v>3319</v>
      </c>
      <c r="E165" s="82">
        <v>327</v>
      </c>
      <c r="F165" s="25">
        <v>2</v>
      </c>
      <c r="G165" s="28">
        <v>2</v>
      </c>
      <c r="H165" s="28">
        <v>81778</v>
      </c>
      <c r="I165" s="28" t="s">
        <v>17</v>
      </c>
      <c r="J165" s="28">
        <v>59171127</v>
      </c>
      <c r="K165" t="s">
        <v>3152</v>
      </c>
      <c r="L165" t="s">
        <v>3155</v>
      </c>
      <c r="M165" s="37">
        <v>199900</v>
      </c>
      <c r="N165" s="81" t="s">
        <v>2826</v>
      </c>
      <c r="O165" s="37" t="s">
        <v>3221</v>
      </c>
      <c r="P165" s="28" t="s">
        <v>2826</v>
      </c>
    </row>
    <row r="166" spans="1:16" x14ac:dyDescent="0.3">
      <c r="A166" s="25" t="s">
        <v>3220</v>
      </c>
      <c r="B166" s="26">
        <v>46108</v>
      </c>
      <c r="C166" s="26">
        <v>46113</v>
      </c>
      <c r="D166" s="82">
        <v>3319</v>
      </c>
      <c r="E166" s="82">
        <v>327</v>
      </c>
      <c r="F166" s="25">
        <v>2</v>
      </c>
      <c r="G166" s="28">
        <v>2</v>
      </c>
      <c r="H166" s="28">
        <v>81778</v>
      </c>
      <c r="I166" s="28" t="s">
        <v>17</v>
      </c>
      <c r="J166" s="28">
        <v>59171136</v>
      </c>
      <c r="K166" t="s">
        <v>3152</v>
      </c>
      <c r="L166" t="s">
        <v>3156</v>
      </c>
      <c r="M166" s="37">
        <v>199900</v>
      </c>
      <c r="N166" s="81" t="s">
        <v>2826</v>
      </c>
      <c r="O166" s="37" t="s">
        <v>3221</v>
      </c>
      <c r="P166" s="28" t="s">
        <v>2826</v>
      </c>
    </row>
    <row r="167" spans="1:16" x14ac:dyDescent="0.3">
      <c r="A167" s="25" t="s">
        <v>3220</v>
      </c>
      <c r="B167" s="26">
        <v>46108</v>
      </c>
      <c r="C167" s="26">
        <v>46113</v>
      </c>
      <c r="D167" s="82">
        <v>3319</v>
      </c>
      <c r="E167" s="82">
        <v>327</v>
      </c>
      <c r="F167" s="25">
        <v>2</v>
      </c>
      <c r="G167" s="28">
        <v>2</v>
      </c>
      <c r="H167" s="28">
        <v>81778</v>
      </c>
      <c r="I167" s="28" t="s">
        <v>17</v>
      </c>
      <c r="J167" s="28">
        <v>59171145</v>
      </c>
      <c r="K167" t="s">
        <v>3152</v>
      </c>
      <c r="L167" t="s">
        <v>3157</v>
      </c>
      <c r="M167" s="37">
        <v>199900</v>
      </c>
      <c r="N167" s="81" t="s">
        <v>2826</v>
      </c>
      <c r="O167" s="37" t="s">
        <v>3221</v>
      </c>
      <c r="P167" s="28" t="s">
        <v>2826</v>
      </c>
    </row>
    <row r="168" spans="1:16" x14ac:dyDescent="0.3">
      <c r="A168" s="25" t="s">
        <v>3220</v>
      </c>
      <c r="B168" s="26">
        <v>46108</v>
      </c>
      <c r="C168" s="26">
        <v>46113</v>
      </c>
      <c r="D168" s="82">
        <v>3319</v>
      </c>
      <c r="E168" s="82">
        <v>327</v>
      </c>
      <c r="F168" s="25">
        <v>2</v>
      </c>
      <c r="G168" s="28">
        <v>2</v>
      </c>
      <c r="H168" s="28">
        <v>81778</v>
      </c>
      <c r="I168" s="28" t="s">
        <v>17</v>
      </c>
      <c r="J168" s="28">
        <v>59171154</v>
      </c>
      <c r="K168" t="s">
        <v>3158</v>
      </c>
      <c r="L168" t="s">
        <v>3159</v>
      </c>
      <c r="M168" s="37">
        <v>249900</v>
      </c>
      <c r="N168" s="81" t="s">
        <v>2826</v>
      </c>
      <c r="O168" s="37" t="s">
        <v>3221</v>
      </c>
      <c r="P168" s="28" t="s">
        <v>2826</v>
      </c>
    </row>
    <row r="169" spans="1:16" x14ac:dyDescent="0.3">
      <c r="A169" s="25" t="s">
        <v>3220</v>
      </c>
      <c r="B169" s="26">
        <v>46108</v>
      </c>
      <c r="C169" s="26">
        <v>46113</v>
      </c>
      <c r="D169" s="82">
        <v>3319</v>
      </c>
      <c r="E169" s="82">
        <v>327</v>
      </c>
      <c r="F169" s="25">
        <v>2</v>
      </c>
      <c r="G169" s="28">
        <v>2</v>
      </c>
      <c r="H169" s="28">
        <v>81778</v>
      </c>
      <c r="I169" s="28" t="s">
        <v>17</v>
      </c>
      <c r="J169" s="28">
        <v>59171163</v>
      </c>
      <c r="K169" t="s">
        <v>3158</v>
      </c>
      <c r="L169" t="s">
        <v>3160</v>
      </c>
      <c r="M169" s="37">
        <v>249900</v>
      </c>
      <c r="N169" s="81" t="s">
        <v>2826</v>
      </c>
      <c r="O169" s="37" t="s">
        <v>3221</v>
      </c>
      <c r="P169" s="28" t="s">
        <v>2826</v>
      </c>
    </row>
    <row r="170" spans="1:16" x14ac:dyDescent="0.3">
      <c r="A170" s="25" t="s">
        <v>3220</v>
      </c>
      <c r="B170" s="26">
        <v>46108</v>
      </c>
      <c r="C170" s="26">
        <v>46113</v>
      </c>
      <c r="D170" s="82">
        <v>3319</v>
      </c>
      <c r="E170" s="82">
        <v>327</v>
      </c>
      <c r="F170" s="25">
        <v>2</v>
      </c>
      <c r="G170" s="28">
        <v>2</v>
      </c>
      <c r="H170" s="28">
        <v>81778</v>
      </c>
      <c r="I170" s="28" t="s">
        <v>17</v>
      </c>
      <c r="J170" s="28">
        <v>59171172</v>
      </c>
      <c r="K170" t="s">
        <v>3158</v>
      </c>
      <c r="L170" t="s">
        <v>3161</v>
      </c>
      <c r="M170" s="37">
        <v>249900</v>
      </c>
      <c r="N170" s="81" t="s">
        <v>2826</v>
      </c>
      <c r="O170" s="37" t="s">
        <v>3221</v>
      </c>
      <c r="P170" s="28" t="s">
        <v>2826</v>
      </c>
    </row>
    <row r="171" spans="1:16" x14ac:dyDescent="0.3">
      <c r="A171" s="25" t="s">
        <v>3220</v>
      </c>
      <c r="B171" s="26">
        <v>46108</v>
      </c>
      <c r="C171" s="26">
        <v>46113</v>
      </c>
      <c r="D171" s="82">
        <v>3319</v>
      </c>
      <c r="E171" s="82">
        <v>327</v>
      </c>
      <c r="F171" s="25">
        <v>2</v>
      </c>
      <c r="G171" s="28">
        <v>2</v>
      </c>
      <c r="H171" s="28">
        <v>81778</v>
      </c>
      <c r="I171" s="28" t="s">
        <v>17</v>
      </c>
      <c r="J171" s="28">
        <v>59171181</v>
      </c>
      <c r="K171" t="s">
        <v>3158</v>
      </c>
      <c r="L171" t="s">
        <v>3162</v>
      </c>
      <c r="M171" s="37">
        <v>249900</v>
      </c>
      <c r="N171" s="81" t="s">
        <v>2826</v>
      </c>
      <c r="O171" s="37" t="s">
        <v>3221</v>
      </c>
      <c r="P171" s="28" t="s">
        <v>2826</v>
      </c>
    </row>
    <row r="172" spans="1:16" x14ac:dyDescent="0.3">
      <c r="A172" s="25" t="s">
        <v>3220</v>
      </c>
      <c r="B172" s="26">
        <v>46108</v>
      </c>
      <c r="C172" s="26">
        <v>46113</v>
      </c>
      <c r="D172" s="82">
        <v>3319</v>
      </c>
      <c r="E172" s="82">
        <v>327</v>
      </c>
      <c r="F172" s="25">
        <v>2</v>
      </c>
      <c r="G172" s="28">
        <v>2</v>
      </c>
      <c r="H172" s="28">
        <v>81778</v>
      </c>
      <c r="I172" s="28" t="s">
        <v>17</v>
      </c>
      <c r="J172" s="28">
        <v>59171190</v>
      </c>
      <c r="K172" t="s">
        <v>3158</v>
      </c>
      <c r="L172" t="s">
        <v>3163</v>
      </c>
      <c r="M172" s="37">
        <v>249900</v>
      </c>
      <c r="N172" s="81" t="s">
        <v>2826</v>
      </c>
      <c r="O172" s="37" t="s">
        <v>3221</v>
      </c>
      <c r="P172" s="28" t="s">
        <v>2826</v>
      </c>
    </row>
    <row r="173" spans="1:16" x14ac:dyDescent="0.3">
      <c r="A173" s="25" t="s">
        <v>3220</v>
      </c>
      <c r="B173" s="26">
        <v>46108</v>
      </c>
      <c r="C173" s="26">
        <v>46113</v>
      </c>
      <c r="D173" s="82">
        <v>3319</v>
      </c>
      <c r="E173" s="82">
        <v>327</v>
      </c>
      <c r="F173" s="25">
        <v>2</v>
      </c>
      <c r="G173" s="28">
        <v>1</v>
      </c>
      <c r="H173" s="28">
        <v>81433</v>
      </c>
      <c r="I173" s="28" t="s">
        <v>17</v>
      </c>
      <c r="J173" s="28">
        <v>52703565</v>
      </c>
      <c r="K173" s="43" t="s">
        <v>2605</v>
      </c>
      <c r="L173" t="s">
        <v>2614</v>
      </c>
      <c r="M173" s="39">
        <v>199900</v>
      </c>
      <c r="N173" s="81" t="s">
        <v>2826</v>
      </c>
      <c r="O173" s="37" t="s">
        <v>3221</v>
      </c>
      <c r="P173" s="28" t="s">
        <v>2826</v>
      </c>
    </row>
    <row r="174" spans="1:16" x14ac:dyDescent="0.3">
      <c r="A174" s="25" t="s">
        <v>3220</v>
      </c>
      <c r="B174" s="26">
        <v>46108</v>
      </c>
      <c r="C174" s="26">
        <v>46113</v>
      </c>
      <c r="D174" s="82">
        <v>3319</v>
      </c>
      <c r="E174" s="82">
        <v>327</v>
      </c>
      <c r="F174" s="25">
        <v>2</v>
      </c>
      <c r="G174" s="28">
        <v>1</v>
      </c>
      <c r="H174" s="28">
        <v>81433</v>
      </c>
      <c r="I174" s="28" t="s">
        <v>17</v>
      </c>
      <c r="J174" s="28">
        <v>52703574</v>
      </c>
      <c r="K174" s="43" t="s">
        <v>2605</v>
      </c>
      <c r="L174" t="s">
        <v>2608</v>
      </c>
      <c r="M174" s="39">
        <v>199900</v>
      </c>
      <c r="N174" s="81" t="s">
        <v>2826</v>
      </c>
      <c r="O174" s="37" t="s">
        <v>3221</v>
      </c>
      <c r="P174" s="28" t="s">
        <v>2826</v>
      </c>
    </row>
    <row r="175" spans="1:16" x14ac:dyDescent="0.3">
      <c r="A175" s="25" t="s">
        <v>3220</v>
      </c>
      <c r="B175" s="26">
        <v>46108</v>
      </c>
      <c r="C175" s="26">
        <v>46113</v>
      </c>
      <c r="D175" s="82">
        <v>3319</v>
      </c>
      <c r="E175" s="82">
        <v>327</v>
      </c>
      <c r="F175" s="25">
        <v>2</v>
      </c>
      <c r="G175" s="28">
        <v>1</v>
      </c>
      <c r="H175" s="28">
        <v>81433</v>
      </c>
      <c r="I175" s="28" t="s">
        <v>17</v>
      </c>
      <c r="J175" s="28">
        <v>52703583</v>
      </c>
      <c r="K175" s="43" t="s">
        <v>2605</v>
      </c>
      <c r="L175" t="s">
        <v>2613</v>
      </c>
      <c r="M175" s="39">
        <v>199900</v>
      </c>
      <c r="N175" s="81" t="s">
        <v>2826</v>
      </c>
      <c r="O175" s="37" t="s">
        <v>3221</v>
      </c>
      <c r="P175" s="28" t="s">
        <v>2826</v>
      </c>
    </row>
    <row r="176" spans="1:16" x14ac:dyDescent="0.3">
      <c r="A176" s="25" t="s">
        <v>3220</v>
      </c>
      <c r="B176" s="26">
        <v>46108</v>
      </c>
      <c r="C176" s="26">
        <v>46113</v>
      </c>
      <c r="D176" s="82">
        <v>3319</v>
      </c>
      <c r="E176" s="82">
        <v>327</v>
      </c>
      <c r="F176" s="25">
        <v>2</v>
      </c>
      <c r="G176" s="28">
        <v>1</v>
      </c>
      <c r="H176" s="28">
        <v>81433</v>
      </c>
      <c r="I176" s="28" t="s">
        <v>17</v>
      </c>
      <c r="J176" s="28">
        <v>52703592</v>
      </c>
      <c r="K176" s="43" t="s">
        <v>2605</v>
      </c>
      <c r="L176" t="s">
        <v>2612</v>
      </c>
      <c r="M176" s="39">
        <v>199900</v>
      </c>
      <c r="N176" s="81" t="s">
        <v>2826</v>
      </c>
      <c r="O176" s="37" t="s">
        <v>3221</v>
      </c>
      <c r="P176" s="28" t="s">
        <v>2826</v>
      </c>
    </row>
    <row r="177" spans="1:16" x14ac:dyDescent="0.3">
      <c r="A177" s="25" t="s">
        <v>3220</v>
      </c>
      <c r="B177" s="26">
        <v>46108</v>
      </c>
      <c r="C177" s="26">
        <v>46113</v>
      </c>
      <c r="D177" s="82">
        <v>3319</v>
      </c>
      <c r="E177" s="82">
        <v>327</v>
      </c>
      <c r="F177" s="25">
        <v>2</v>
      </c>
      <c r="G177" s="28">
        <v>1</v>
      </c>
      <c r="H177" s="28">
        <v>81433</v>
      </c>
      <c r="I177" s="28" t="s">
        <v>17</v>
      </c>
      <c r="J177" s="28">
        <v>52703609</v>
      </c>
      <c r="K177" s="43" t="s">
        <v>2605</v>
      </c>
      <c r="L177" t="s">
        <v>2610</v>
      </c>
      <c r="M177" s="39">
        <v>199900</v>
      </c>
      <c r="N177" s="81" t="s">
        <v>2826</v>
      </c>
      <c r="O177" s="37" t="s">
        <v>3221</v>
      </c>
      <c r="P177" s="28" t="s">
        <v>2826</v>
      </c>
    </row>
    <row r="178" spans="1:16" x14ac:dyDescent="0.3">
      <c r="A178" s="25" t="s">
        <v>3220</v>
      </c>
      <c r="B178" s="26">
        <v>46108</v>
      </c>
      <c r="C178" s="26">
        <v>46113</v>
      </c>
      <c r="D178" s="82">
        <v>3319</v>
      </c>
      <c r="E178" s="82">
        <v>327</v>
      </c>
      <c r="F178" s="25">
        <v>2</v>
      </c>
      <c r="G178" s="28">
        <v>1</v>
      </c>
      <c r="H178" s="28">
        <v>81433</v>
      </c>
      <c r="I178" s="28" t="s">
        <v>17</v>
      </c>
      <c r="J178" s="28">
        <v>59171841</v>
      </c>
      <c r="K178" t="s">
        <v>2605</v>
      </c>
      <c r="L178" t="s">
        <v>3164</v>
      </c>
      <c r="M178" s="37">
        <v>199900</v>
      </c>
      <c r="N178" s="81" t="s">
        <v>2826</v>
      </c>
      <c r="O178" s="37" t="s">
        <v>3221</v>
      </c>
      <c r="P178" s="28" t="s">
        <v>2826</v>
      </c>
    </row>
    <row r="179" spans="1:16" x14ac:dyDescent="0.3">
      <c r="A179" s="25" t="s">
        <v>3220</v>
      </c>
      <c r="B179" s="26">
        <v>46108</v>
      </c>
      <c r="C179" s="26">
        <v>46113</v>
      </c>
      <c r="D179" s="82">
        <v>3319</v>
      </c>
      <c r="E179" s="82">
        <v>327</v>
      </c>
      <c r="F179" s="25">
        <v>2</v>
      </c>
      <c r="G179" s="28">
        <v>1</v>
      </c>
      <c r="H179" s="28">
        <v>81433</v>
      </c>
      <c r="I179" s="28" t="s">
        <v>17</v>
      </c>
      <c r="J179" s="28">
        <v>59171850</v>
      </c>
      <c r="K179" t="s">
        <v>2605</v>
      </c>
      <c r="L179" t="s">
        <v>3165</v>
      </c>
      <c r="M179" s="37">
        <v>199900</v>
      </c>
      <c r="N179" s="81" t="s">
        <v>2826</v>
      </c>
      <c r="O179" s="37" t="s">
        <v>3221</v>
      </c>
      <c r="P179" s="28" t="s">
        <v>2826</v>
      </c>
    </row>
    <row r="180" spans="1:16" x14ac:dyDescent="0.3">
      <c r="A180" s="25" t="s">
        <v>3220</v>
      </c>
      <c r="B180" s="26">
        <v>46108</v>
      </c>
      <c r="C180" s="26">
        <v>46113</v>
      </c>
      <c r="D180" s="82">
        <v>3319</v>
      </c>
      <c r="E180" s="82">
        <v>327</v>
      </c>
      <c r="F180" s="25">
        <v>2</v>
      </c>
      <c r="G180" s="28">
        <v>1</v>
      </c>
      <c r="H180" s="28">
        <v>81433</v>
      </c>
      <c r="I180" s="28" t="s">
        <v>17</v>
      </c>
      <c r="J180" s="28">
        <v>59171869</v>
      </c>
      <c r="K180" t="s">
        <v>2605</v>
      </c>
      <c r="L180" t="s">
        <v>3166</v>
      </c>
      <c r="M180" s="37">
        <v>199900</v>
      </c>
      <c r="N180" s="81" t="s">
        <v>2826</v>
      </c>
      <c r="O180" s="37" t="s">
        <v>3221</v>
      </c>
      <c r="P180" s="28" t="s">
        <v>2826</v>
      </c>
    </row>
    <row r="181" spans="1:16" x14ac:dyDescent="0.3">
      <c r="A181" s="25" t="s">
        <v>3220</v>
      </c>
      <c r="B181" s="26">
        <v>46108</v>
      </c>
      <c r="C181" s="26">
        <v>46113</v>
      </c>
      <c r="D181" s="82">
        <v>3319</v>
      </c>
      <c r="E181" s="82">
        <v>327</v>
      </c>
      <c r="F181" s="25">
        <v>2</v>
      </c>
      <c r="G181" s="28">
        <v>1</v>
      </c>
      <c r="H181" s="28">
        <v>81433</v>
      </c>
      <c r="I181" s="28" t="s">
        <v>17</v>
      </c>
      <c r="J181" s="28">
        <v>59171878</v>
      </c>
      <c r="K181" t="s">
        <v>2605</v>
      </c>
      <c r="L181" t="s">
        <v>3167</v>
      </c>
      <c r="M181" s="37">
        <v>199900</v>
      </c>
      <c r="N181" s="81" t="s">
        <v>2826</v>
      </c>
      <c r="O181" s="37" t="s">
        <v>3221</v>
      </c>
      <c r="P181" s="28" t="s">
        <v>2826</v>
      </c>
    </row>
    <row r="182" spans="1:16" x14ac:dyDescent="0.3">
      <c r="A182" s="25" t="s">
        <v>3220</v>
      </c>
      <c r="B182" s="26">
        <v>46108</v>
      </c>
      <c r="C182" s="26">
        <v>46113</v>
      </c>
      <c r="D182" s="82">
        <v>3319</v>
      </c>
      <c r="E182" s="82">
        <v>327</v>
      </c>
      <c r="F182" s="25">
        <v>2</v>
      </c>
      <c r="G182" s="28">
        <v>1</v>
      </c>
      <c r="H182" s="28">
        <v>81433</v>
      </c>
      <c r="I182" s="28" t="s">
        <v>17</v>
      </c>
      <c r="J182" s="28">
        <v>59171887</v>
      </c>
      <c r="K182" t="s">
        <v>2605</v>
      </c>
      <c r="L182" t="s">
        <v>3168</v>
      </c>
      <c r="M182" s="37">
        <v>199900</v>
      </c>
      <c r="N182" s="81" t="s">
        <v>2826</v>
      </c>
      <c r="O182" s="37" t="s">
        <v>3221</v>
      </c>
      <c r="P182" s="28" t="s">
        <v>2826</v>
      </c>
    </row>
    <row r="183" spans="1:16" x14ac:dyDescent="0.3">
      <c r="A183" s="25" t="s">
        <v>3220</v>
      </c>
      <c r="B183" s="26">
        <v>46108</v>
      </c>
      <c r="C183" s="26">
        <v>46113</v>
      </c>
      <c r="D183" s="82">
        <v>3319</v>
      </c>
      <c r="E183" s="82">
        <v>327</v>
      </c>
      <c r="F183" s="25">
        <v>2</v>
      </c>
      <c r="G183" s="28">
        <v>1</v>
      </c>
      <c r="H183" s="28">
        <v>81433</v>
      </c>
      <c r="I183" s="28" t="s">
        <v>17</v>
      </c>
      <c r="J183" s="28">
        <v>13838332</v>
      </c>
      <c r="K183" s="43" t="s">
        <v>1816</v>
      </c>
      <c r="L183" t="s">
        <v>1817</v>
      </c>
      <c r="M183" s="39">
        <v>199900</v>
      </c>
      <c r="N183" s="81" t="s">
        <v>2826</v>
      </c>
      <c r="O183" s="37" t="s">
        <v>3221</v>
      </c>
      <c r="P183" s="28" t="s">
        <v>2826</v>
      </c>
    </row>
    <row r="184" spans="1:16" x14ac:dyDescent="0.3">
      <c r="A184" s="25" t="s">
        <v>3220</v>
      </c>
      <c r="B184" s="26">
        <v>46108</v>
      </c>
      <c r="C184" s="26">
        <v>46113</v>
      </c>
      <c r="D184" s="82">
        <v>3319</v>
      </c>
      <c r="E184" s="82">
        <v>327</v>
      </c>
      <c r="F184" s="25">
        <v>2</v>
      </c>
      <c r="G184" s="28">
        <v>1</v>
      </c>
      <c r="H184" s="28">
        <v>81433</v>
      </c>
      <c r="I184" s="28" t="s">
        <v>17</v>
      </c>
      <c r="J184" s="28">
        <v>13838341</v>
      </c>
      <c r="K184" s="43" t="s">
        <v>1816</v>
      </c>
      <c r="L184" t="s">
        <v>1818</v>
      </c>
      <c r="M184" s="39">
        <v>199900</v>
      </c>
      <c r="N184" s="81" t="s">
        <v>2826</v>
      </c>
      <c r="O184" s="37" t="s">
        <v>3221</v>
      </c>
      <c r="P184" s="28" t="s">
        <v>2826</v>
      </c>
    </row>
    <row r="185" spans="1:16" x14ac:dyDescent="0.3">
      <c r="A185" s="25" t="s">
        <v>3220</v>
      </c>
      <c r="B185" s="26">
        <v>46108</v>
      </c>
      <c r="C185" s="26">
        <v>46113</v>
      </c>
      <c r="D185" s="82">
        <v>3319</v>
      </c>
      <c r="E185" s="82">
        <v>327</v>
      </c>
      <c r="F185" s="25">
        <v>2</v>
      </c>
      <c r="G185" s="28">
        <v>1</v>
      </c>
      <c r="H185" s="28">
        <v>81433</v>
      </c>
      <c r="I185" s="28" t="s">
        <v>17</v>
      </c>
      <c r="J185" s="28">
        <v>13838350</v>
      </c>
      <c r="K185" s="43" t="s">
        <v>1816</v>
      </c>
      <c r="L185" t="s">
        <v>1819</v>
      </c>
      <c r="M185" s="39">
        <v>199900</v>
      </c>
      <c r="N185" s="81" t="s">
        <v>2826</v>
      </c>
      <c r="O185" s="37" t="s">
        <v>3221</v>
      </c>
      <c r="P185" s="28" t="s">
        <v>2826</v>
      </c>
    </row>
    <row r="186" spans="1:16" x14ac:dyDescent="0.3">
      <c r="A186" s="25" t="s">
        <v>3220</v>
      </c>
      <c r="B186" s="26">
        <v>46108</v>
      </c>
      <c r="C186" s="26">
        <v>46113</v>
      </c>
      <c r="D186" s="82">
        <v>3319</v>
      </c>
      <c r="E186" s="82">
        <v>327</v>
      </c>
      <c r="F186" s="25">
        <v>2</v>
      </c>
      <c r="G186" s="28">
        <v>1</v>
      </c>
      <c r="H186" s="28">
        <v>81433</v>
      </c>
      <c r="I186" s="28" t="s">
        <v>17</v>
      </c>
      <c r="J186" s="28">
        <v>13838369</v>
      </c>
      <c r="K186" s="43" t="s">
        <v>1816</v>
      </c>
      <c r="L186" t="s">
        <v>1820</v>
      </c>
      <c r="M186" s="39">
        <v>199900</v>
      </c>
      <c r="N186" s="81" t="s">
        <v>2826</v>
      </c>
      <c r="O186" s="37" t="s">
        <v>3221</v>
      </c>
      <c r="P186" s="28" t="s">
        <v>2826</v>
      </c>
    </row>
    <row r="187" spans="1:16" x14ac:dyDescent="0.3">
      <c r="A187" s="25" t="s">
        <v>3220</v>
      </c>
      <c r="B187" s="26">
        <v>46108</v>
      </c>
      <c r="C187" s="26">
        <v>46113</v>
      </c>
      <c r="D187" s="82">
        <v>3319</v>
      </c>
      <c r="E187" s="82">
        <v>327</v>
      </c>
      <c r="F187" s="25">
        <v>2</v>
      </c>
      <c r="G187" s="28">
        <v>1</v>
      </c>
      <c r="H187" s="28">
        <v>81433</v>
      </c>
      <c r="I187" s="28" t="s">
        <v>17</v>
      </c>
      <c r="J187" s="28">
        <v>13838378</v>
      </c>
      <c r="K187" s="43" t="s">
        <v>1816</v>
      </c>
      <c r="L187" t="s">
        <v>1821</v>
      </c>
      <c r="M187" s="39">
        <v>199900</v>
      </c>
      <c r="N187" s="81" t="s">
        <v>2826</v>
      </c>
      <c r="O187" s="37" t="s">
        <v>3221</v>
      </c>
      <c r="P187" s="28" t="s">
        <v>2826</v>
      </c>
    </row>
    <row r="188" spans="1:16" x14ac:dyDescent="0.3">
      <c r="A188" s="25" t="s">
        <v>3220</v>
      </c>
      <c r="B188" s="26">
        <v>46108</v>
      </c>
      <c r="C188" s="26">
        <v>46113</v>
      </c>
      <c r="D188" s="82">
        <v>3319</v>
      </c>
      <c r="E188" s="82">
        <v>327</v>
      </c>
      <c r="F188" s="25">
        <v>2</v>
      </c>
      <c r="G188" s="28">
        <v>1</v>
      </c>
      <c r="H188" s="28">
        <v>81433</v>
      </c>
      <c r="I188" s="28" t="s">
        <v>17</v>
      </c>
      <c r="J188" s="28">
        <v>22153402</v>
      </c>
      <c r="K188" s="43" t="s">
        <v>2252</v>
      </c>
      <c r="L188" t="s">
        <v>2253</v>
      </c>
      <c r="M188" s="39">
        <v>199900</v>
      </c>
      <c r="N188" s="81" t="s">
        <v>2826</v>
      </c>
      <c r="O188" s="37" t="s">
        <v>3221</v>
      </c>
      <c r="P188" s="28" t="s">
        <v>2826</v>
      </c>
    </row>
    <row r="189" spans="1:16" x14ac:dyDescent="0.3">
      <c r="A189" s="25" t="s">
        <v>3220</v>
      </c>
      <c r="B189" s="26">
        <v>46108</v>
      </c>
      <c r="C189" s="26">
        <v>46113</v>
      </c>
      <c r="D189" s="82">
        <v>3319</v>
      </c>
      <c r="E189" s="82">
        <v>327</v>
      </c>
      <c r="F189" s="25">
        <v>2</v>
      </c>
      <c r="G189" s="28">
        <v>1</v>
      </c>
      <c r="H189" s="28">
        <v>81433</v>
      </c>
      <c r="I189" s="28" t="s">
        <v>17</v>
      </c>
      <c r="J189" s="28">
        <v>22153411</v>
      </c>
      <c r="K189" s="43" t="s">
        <v>2252</v>
      </c>
      <c r="L189" t="s">
        <v>2254</v>
      </c>
      <c r="M189" s="39">
        <v>199900</v>
      </c>
      <c r="N189" s="81" t="s">
        <v>2826</v>
      </c>
      <c r="O189" s="37" t="s">
        <v>3221</v>
      </c>
      <c r="P189" s="28" t="s">
        <v>2826</v>
      </c>
    </row>
    <row r="190" spans="1:16" x14ac:dyDescent="0.3">
      <c r="A190" s="25" t="s">
        <v>3220</v>
      </c>
      <c r="B190" s="26">
        <v>46108</v>
      </c>
      <c r="C190" s="26">
        <v>46113</v>
      </c>
      <c r="D190" s="82">
        <v>3319</v>
      </c>
      <c r="E190" s="82">
        <v>327</v>
      </c>
      <c r="F190" s="25">
        <v>2</v>
      </c>
      <c r="G190" s="28">
        <v>1</v>
      </c>
      <c r="H190" s="28">
        <v>81433</v>
      </c>
      <c r="I190" s="28" t="s">
        <v>17</v>
      </c>
      <c r="J190" s="28">
        <v>22153420</v>
      </c>
      <c r="K190" s="43" t="s">
        <v>2252</v>
      </c>
      <c r="L190" t="s">
        <v>2255</v>
      </c>
      <c r="M190" s="39">
        <v>199900</v>
      </c>
      <c r="N190" s="81" t="s">
        <v>2826</v>
      </c>
      <c r="O190" s="37" t="s">
        <v>3221</v>
      </c>
      <c r="P190" s="28" t="s">
        <v>2826</v>
      </c>
    </row>
    <row r="191" spans="1:16" x14ac:dyDescent="0.3">
      <c r="A191" s="25" t="s">
        <v>3220</v>
      </c>
      <c r="B191" s="26">
        <v>46108</v>
      </c>
      <c r="C191" s="26">
        <v>46113</v>
      </c>
      <c r="D191" s="82">
        <v>3319</v>
      </c>
      <c r="E191" s="82">
        <v>327</v>
      </c>
      <c r="F191" s="25">
        <v>2</v>
      </c>
      <c r="G191" s="28">
        <v>1</v>
      </c>
      <c r="H191" s="28">
        <v>81433</v>
      </c>
      <c r="I191" s="28" t="s">
        <v>17</v>
      </c>
      <c r="J191" s="28">
        <v>22153439</v>
      </c>
      <c r="K191" s="43" t="s">
        <v>2252</v>
      </c>
      <c r="L191" t="s">
        <v>2256</v>
      </c>
      <c r="M191" s="39">
        <v>199900</v>
      </c>
      <c r="N191" s="81" t="s">
        <v>2826</v>
      </c>
      <c r="O191" s="37" t="s">
        <v>3221</v>
      </c>
      <c r="P191" s="28" t="s">
        <v>2826</v>
      </c>
    </row>
    <row r="192" spans="1:16" x14ac:dyDescent="0.3">
      <c r="A192" s="25" t="s">
        <v>3220</v>
      </c>
      <c r="B192" s="26">
        <v>46108</v>
      </c>
      <c r="C192" s="26">
        <v>46113</v>
      </c>
      <c r="D192" s="82">
        <v>3319</v>
      </c>
      <c r="E192" s="82">
        <v>327</v>
      </c>
      <c r="F192" s="25">
        <v>2</v>
      </c>
      <c r="G192" s="28">
        <v>1</v>
      </c>
      <c r="H192" s="28">
        <v>81433</v>
      </c>
      <c r="I192" s="28" t="s">
        <v>17</v>
      </c>
      <c r="J192" s="28">
        <v>22167862</v>
      </c>
      <c r="K192" s="43" t="s">
        <v>2252</v>
      </c>
      <c r="L192" t="s">
        <v>2262</v>
      </c>
      <c r="M192" s="39">
        <v>199900</v>
      </c>
      <c r="N192" s="81" t="s">
        <v>2826</v>
      </c>
      <c r="O192" s="37" t="s">
        <v>3221</v>
      </c>
      <c r="P192" s="28" t="s">
        <v>2826</v>
      </c>
    </row>
    <row r="193" spans="1:16" x14ac:dyDescent="0.3">
      <c r="A193" s="25" t="s">
        <v>3220</v>
      </c>
      <c r="B193" s="26">
        <v>46108</v>
      </c>
      <c r="C193" s="26">
        <v>46113</v>
      </c>
      <c r="D193" s="82">
        <v>3319</v>
      </c>
      <c r="E193" s="82">
        <v>327</v>
      </c>
      <c r="F193" s="25">
        <v>2</v>
      </c>
      <c r="G193" s="28">
        <v>1</v>
      </c>
      <c r="H193" s="28">
        <v>81433</v>
      </c>
      <c r="I193" s="28" t="s">
        <v>17</v>
      </c>
      <c r="J193" s="28">
        <v>59171798</v>
      </c>
      <c r="K193" t="s">
        <v>2252</v>
      </c>
      <c r="L193" t="s">
        <v>3169</v>
      </c>
      <c r="M193" s="37">
        <v>199900</v>
      </c>
      <c r="N193" s="81" t="s">
        <v>2826</v>
      </c>
      <c r="O193" s="37" t="s">
        <v>3221</v>
      </c>
      <c r="P193" s="28" t="s">
        <v>2826</v>
      </c>
    </row>
    <row r="194" spans="1:16" x14ac:dyDescent="0.3">
      <c r="A194" s="25" t="s">
        <v>3220</v>
      </c>
      <c r="B194" s="26">
        <v>46108</v>
      </c>
      <c r="C194" s="26">
        <v>46113</v>
      </c>
      <c r="D194" s="82">
        <v>3319</v>
      </c>
      <c r="E194" s="82">
        <v>327</v>
      </c>
      <c r="F194" s="25">
        <v>2</v>
      </c>
      <c r="G194" s="28">
        <v>1</v>
      </c>
      <c r="H194" s="28">
        <v>81433</v>
      </c>
      <c r="I194" s="28" t="s">
        <v>17</v>
      </c>
      <c r="J194" s="28">
        <v>59171805</v>
      </c>
      <c r="K194" t="s">
        <v>2252</v>
      </c>
      <c r="L194" t="s">
        <v>3170</v>
      </c>
      <c r="M194" s="37">
        <v>199900</v>
      </c>
      <c r="N194" s="81" t="s">
        <v>2826</v>
      </c>
      <c r="O194" s="37" t="s">
        <v>3221</v>
      </c>
      <c r="P194" s="28" t="s">
        <v>2826</v>
      </c>
    </row>
    <row r="195" spans="1:16" x14ac:dyDescent="0.3">
      <c r="A195" s="25" t="s">
        <v>3220</v>
      </c>
      <c r="B195" s="26">
        <v>46108</v>
      </c>
      <c r="C195" s="26">
        <v>46113</v>
      </c>
      <c r="D195" s="82">
        <v>3319</v>
      </c>
      <c r="E195" s="82">
        <v>327</v>
      </c>
      <c r="F195" s="25">
        <v>2</v>
      </c>
      <c r="G195" s="28">
        <v>1</v>
      </c>
      <c r="H195" s="28">
        <v>81433</v>
      </c>
      <c r="I195" s="28" t="s">
        <v>17</v>
      </c>
      <c r="J195" s="28">
        <v>59171814</v>
      </c>
      <c r="K195" t="s">
        <v>2252</v>
      </c>
      <c r="L195" t="s">
        <v>3171</v>
      </c>
      <c r="M195" s="37">
        <v>199900</v>
      </c>
      <c r="N195" s="81" t="s">
        <v>2826</v>
      </c>
      <c r="O195" s="37" t="s">
        <v>3221</v>
      </c>
      <c r="P195" s="28" t="s">
        <v>2826</v>
      </c>
    </row>
    <row r="196" spans="1:16" x14ac:dyDescent="0.3">
      <c r="A196" s="25" t="s">
        <v>3220</v>
      </c>
      <c r="B196" s="26">
        <v>46108</v>
      </c>
      <c r="C196" s="26">
        <v>46113</v>
      </c>
      <c r="D196" s="82">
        <v>3319</v>
      </c>
      <c r="E196" s="82">
        <v>327</v>
      </c>
      <c r="F196" s="25">
        <v>2</v>
      </c>
      <c r="G196" s="28">
        <v>1</v>
      </c>
      <c r="H196" s="28">
        <v>81433</v>
      </c>
      <c r="I196" s="28" t="s">
        <v>17</v>
      </c>
      <c r="J196" s="28">
        <v>59171823</v>
      </c>
      <c r="K196" t="s">
        <v>2252</v>
      </c>
      <c r="L196" t="s">
        <v>3172</v>
      </c>
      <c r="M196" s="37">
        <v>199900</v>
      </c>
      <c r="N196" s="81" t="s">
        <v>2826</v>
      </c>
      <c r="O196" s="37" t="s">
        <v>3221</v>
      </c>
      <c r="P196" s="28" t="s">
        <v>2826</v>
      </c>
    </row>
    <row r="197" spans="1:16" x14ac:dyDescent="0.3">
      <c r="A197" s="25" t="s">
        <v>3220</v>
      </c>
      <c r="B197" s="26">
        <v>46108</v>
      </c>
      <c r="C197" s="26">
        <v>46113</v>
      </c>
      <c r="D197" s="82">
        <v>3319</v>
      </c>
      <c r="E197" s="82">
        <v>327</v>
      </c>
      <c r="F197" s="25">
        <v>2</v>
      </c>
      <c r="G197" s="28">
        <v>1</v>
      </c>
      <c r="H197" s="28">
        <v>81433</v>
      </c>
      <c r="I197" s="28" t="s">
        <v>17</v>
      </c>
      <c r="J197" s="28">
        <v>59171832</v>
      </c>
      <c r="K197" t="s">
        <v>2252</v>
      </c>
      <c r="L197" t="s">
        <v>3173</v>
      </c>
      <c r="M197" s="37">
        <v>199900</v>
      </c>
      <c r="N197" s="81" t="s">
        <v>2826</v>
      </c>
      <c r="O197" s="37" t="s">
        <v>3221</v>
      </c>
      <c r="P197" s="28" t="s">
        <v>2826</v>
      </c>
    </row>
    <row r="198" spans="1:16" x14ac:dyDescent="0.3">
      <c r="A198" s="25" t="s">
        <v>3220</v>
      </c>
      <c r="B198" s="26">
        <v>46108</v>
      </c>
      <c r="C198" s="26">
        <v>46113</v>
      </c>
      <c r="D198" s="82">
        <v>3319</v>
      </c>
      <c r="E198" s="82">
        <v>327</v>
      </c>
      <c r="F198" s="25">
        <v>2</v>
      </c>
      <c r="G198" s="28">
        <v>1</v>
      </c>
      <c r="H198" s="28">
        <v>81778</v>
      </c>
      <c r="I198" s="28" t="s">
        <v>17</v>
      </c>
      <c r="J198" s="28">
        <v>22407030</v>
      </c>
      <c r="K198" s="43" t="s">
        <v>2285</v>
      </c>
      <c r="L198" t="s">
        <v>2286</v>
      </c>
      <c r="M198" s="37">
        <v>229900</v>
      </c>
      <c r="N198" s="81" t="s">
        <v>2826</v>
      </c>
      <c r="O198" s="37" t="s">
        <v>3221</v>
      </c>
      <c r="P198" s="28" t="s">
        <v>2826</v>
      </c>
    </row>
    <row r="199" spans="1:16" x14ac:dyDescent="0.3">
      <c r="A199" s="25" t="s">
        <v>3220</v>
      </c>
      <c r="B199" s="26">
        <v>46108</v>
      </c>
      <c r="C199" s="26">
        <v>46113</v>
      </c>
      <c r="D199" s="82">
        <v>3319</v>
      </c>
      <c r="E199" s="82">
        <v>327</v>
      </c>
      <c r="F199" s="25">
        <v>2</v>
      </c>
      <c r="G199" s="28">
        <v>1</v>
      </c>
      <c r="H199" s="28">
        <v>81778</v>
      </c>
      <c r="I199" s="28" t="s">
        <v>17</v>
      </c>
      <c r="J199" s="28">
        <v>22407049</v>
      </c>
      <c r="K199" s="43" t="s">
        <v>2285</v>
      </c>
      <c r="L199" t="s">
        <v>2287</v>
      </c>
      <c r="M199" s="37">
        <v>229900</v>
      </c>
      <c r="N199" s="81" t="s">
        <v>2826</v>
      </c>
      <c r="O199" s="37" t="s">
        <v>3221</v>
      </c>
      <c r="P199" s="28" t="s">
        <v>2826</v>
      </c>
    </row>
    <row r="200" spans="1:16" x14ac:dyDescent="0.3">
      <c r="A200" s="25" t="s">
        <v>3220</v>
      </c>
      <c r="B200" s="26">
        <v>46108</v>
      </c>
      <c r="C200" s="26">
        <v>46113</v>
      </c>
      <c r="D200" s="82">
        <v>3319</v>
      </c>
      <c r="E200" s="82">
        <v>327</v>
      </c>
      <c r="F200" s="25">
        <v>2</v>
      </c>
      <c r="G200" s="28">
        <v>1</v>
      </c>
      <c r="H200" s="28">
        <v>81778</v>
      </c>
      <c r="I200" s="28" t="s">
        <v>17</v>
      </c>
      <c r="J200" s="28">
        <v>22407058</v>
      </c>
      <c r="K200" s="43" t="s">
        <v>2285</v>
      </c>
      <c r="L200" t="s">
        <v>2288</v>
      </c>
      <c r="M200" s="37">
        <v>229900</v>
      </c>
      <c r="N200" s="81" t="s">
        <v>2826</v>
      </c>
      <c r="O200" s="37" t="s">
        <v>3221</v>
      </c>
      <c r="P200" s="28" t="s">
        <v>2826</v>
      </c>
    </row>
    <row r="201" spans="1:16" x14ac:dyDescent="0.3">
      <c r="A201" s="25" t="s">
        <v>3220</v>
      </c>
      <c r="B201" s="26">
        <v>46108</v>
      </c>
      <c r="C201" s="26">
        <v>46113</v>
      </c>
      <c r="D201" s="82">
        <v>3319</v>
      </c>
      <c r="E201" s="82">
        <v>327</v>
      </c>
      <c r="F201" s="25">
        <v>2</v>
      </c>
      <c r="G201" s="28">
        <v>1</v>
      </c>
      <c r="H201" s="28">
        <v>81778</v>
      </c>
      <c r="I201" s="28" t="s">
        <v>17</v>
      </c>
      <c r="J201" s="28">
        <v>22407067</v>
      </c>
      <c r="K201" s="43" t="s">
        <v>2285</v>
      </c>
      <c r="L201" t="s">
        <v>2289</v>
      </c>
      <c r="M201" s="37">
        <v>229900</v>
      </c>
      <c r="N201" s="81" t="s">
        <v>2826</v>
      </c>
      <c r="O201" s="37" t="s">
        <v>3221</v>
      </c>
      <c r="P201" s="28" t="s">
        <v>2826</v>
      </c>
    </row>
    <row r="202" spans="1:16" x14ac:dyDescent="0.3">
      <c r="A202" s="25" t="s">
        <v>3220</v>
      </c>
      <c r="B202" s="26">
        <v>46108</v>
      </c>
      <c r="C202" s="26">
        <v>46113</v>
      </c>
      <c r="D202" s="82">
        <v>3319</v>
      </c>
      <c r="E202" s="82">
        <v>327</v>
      </c>
      <c r="F202" s="25">
        <v>2</v>
      </c>
      <c r="G202" s="28">
        <v>1</v>
      </c>
      <c r="H202" s="28">
        <v>81778</v>
      </c>
      <c r="I202" s="28" t="s">
        <v>17</v>
      </c>
      <c r="J202" s="28">
        <v>22407281</v>
      </c>
      <c r="K202" s="43" t="s">
        <v>2285</v>
      </c>
      <c r="L202" t="s">
        <v>2290</v>
      </c>
      <c r="M202" s="37">
        <v>229900</v>
      </c>
      <c r="N202" s="81" t="s">
        <v>2826</v>
      </c>
      <c r="O202" s="37" t="s">
        <v>3221</v>
      </c>
      <c r="P202" s="28" t="s">
        <v>2826</v>
      </c>
    </row>
  </sheetData>
  <autoFilter ref="A1:Q1" xr:uid="{00000000-0001-0000-0900-000000000000}"/>
  <conditionalFormatting sqref="J1">
    <cfRule type="duplicateValues" dxfId="31" priority="51"/>
    <cfRule type="duplicateValues" dxfId="30" priority="52"/>
    <cfRule type="duplicateValues" dxfId="29" priority="53"/>
    <cfRule type="duplicateValues" dxfId="28" priority="54"/>
    <cfRule type="duplicateValues" dxfId="27" priority="55"/>
    <cfRule type="duplicateValues" dxfId="26" priority="56"/>
  </conditionalFormatting>
  <conditionalFormatting sqref="J173">
    <cfRule type="duplicateValues" dxfId="25" priority="17"/>
  </conditionalFormatting>
  <conditionalFormatting sqref="J174">
    <cfRule type="duplicateValues" dxfId="24" priority="16"/>
  </conditionalFormatting>
  <conditionalFormatting sqref="J175">
    <cfRule type="duplicateValues" dxfId="23" priority="15"/>
  </conditionalFormatting>
  <conditionalFormatting sqref="J176">
    <cfRule type="duplicateValues" dxfId="22" priority="14"/>
  </conditionalFormatting>
  <conditionalFormatting sqref="J177">
    <cfRule type="duplicateValues" dxfId="21" priority="13"/>
  </conditionalFormatting>
  <conditionalFormatting sqref="J178:J182 J1:J172 J193:J197 J203:J1048576">
    <cfRule type="duplicateValues" dxfId="20" priority="615"/>
  </conditionalFormatting>
  <conditionalFormatting sqref="J183:J187">
    <cfRule type="duplicateValues" dxfId="19" priority="7"/>
    <cfRule type="duplicateValues" dxfId="18" priority="8"/>
    <cfRule type="duplicateValues" dxfId="17" priority="9"/>
    <cfRule type="duplicateValues" dxfId="16" priority="10"/>
    <cfRule type="duplicateValues" dxfId="15" priority="11"/>
    <cfRule type="duplicateValues" dxfId="14" priority="12"/>
  </conditionalFormatting>
  <conditionalFormatting sqref="J188:J192">
    <cfRule type="duplicateValues" dxfId="13" priority="2"/>
    <cfRule type="duplicateValues" dxfId="12" priority="3"/>
    <cfRule type="duplicateValues" dxfId="11" priority="4"/>
    <cfRule type="duplicateValues" dxfId="10" priority="5"/>
    <cfRule type="duplicateValues" dxfId="9" priority="6"/>
  </conditionalFormatting>
  <conditionalFormatting sqref="J198:J202">
    <cfRule type="duplicateValues" dxfId="8" priority="1"/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C8132-F7DD-4FEA-894C-50AEAA7DE1B2}">
  <sheetPr>
    <tabColor rgb="FFFF0000"/>
  </sheetPr>
  <dimension ref="A1:P129"/>
  <sheetViews>
    <sheetView zoomScale="85" zoomScaleNormal="85" workbookViewId="0">
      <selection activeCell="C13" sqref="C13"/>
    </sheetView>
  </sheetViews>
  <sheetFormatPr defaultRowHeight="14.4" x14ac:dyDescent="0.3"/>
  <cols>
    <col min="1" max="1" width="35.33203125" style="28" customWidth="1"/>
    <col min="2" max="3" width="11.6640625" style="28" customWidth="1"/>
    <col min="4" max="5" width="8.6640625" style="48" customWidth="1"/>
    <col min="6" max="7" width="8.6640625" style="28" customWidth="1"/>
    <col min="8" max="11" width="11.6640625" style="28" customWidth="1"/>
    <col min="12" max="12" width="50" customWidth="1"/>
    <col min="13" max="13" width="15.6640625" style="37" customWidth="1"/>
    <col min="14" max="14" width="8.6640625" style="28" customWidth="1"/>
    <col min="15" max="15" width="26.109375" style="37" customWidth="1"/>
    <col min="16" max="16" width="15.6640625" style="28" customWidth="1"/>
  </cols>
  <sheetData>
    <row r="1" spans="1:16" ht="30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1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28" t="s">
        <v>3222</v>
      </c>
      <c r="B2" s="26">
        <v>46108</v>
      </c>
      <c r="C2" s="26">
        <v>46113</v>
      </c>
      <c r="D2" s="48">
        <v>3319</v>
      </c>
      <c r="E2" s="48">
        <v>327</v>
      </c>
      <c r="F2" s="28">
        <v>2</v>
      </c>
      <c r="G2" s="28">
        <v>1</v>
      </c>
      <c r="H2" s="28">
        <v>80700</v>
      </c>
      <c r="I2" s="28" t="s">
        <v>17</v>
      </c>
      <c r="J2" s="28">
        <v>18476358</v>
      </c>
      <c r="K2" s="28" t="s">
        <v>2103</v>
      </c>
      <c r="L2" t="s">
        <v>2106</v>
      </c>
      <c r="M2" s="37">
        <v>129900</v>
      </c>
      <c r="N2" s="81" t="s">
        <v>2826</v>
      </c>
      <c r="O2" s="37" t="s">
        <v>3221</v>
      </c>
      <c r="P2" s="28" t="s">
        <v>2826</v>
      </c>
    </row>
    <row r="3" spans="1:16" x14ac:dyDescent="0.3">
      <c r="A3" s="28" t="s">
        <v>3222</v>
      </c>
      <c r="B3" s="26">
        <v>46108</v>
      </c>
      <c r="C3" s="26">
        <v>46113</v>
      </c>
      <c r="D3" s="48">
        <v>3319</v>
      </c>
      <c r="E3" s="48">
        <v>327</v>
      </c>
      <c r="F3" s="28">
        <v>2</v>
      </c>
      <c r="G3" s="28">
        <v>1</v>
      </c>
      <c r="H3" s="28">
        <v>80700</v>
      </c>
      <c r="I3" s="28" t="s">
        <v>17</v>
      </c>
      <c r="J3" s="28">
        <v>18476367</v>
      </c>
      <c r="K3" s="28" t="s">
        <v>2103</v>
      </c>
      <c r="L3" t="s">
        <v>2107</v>
      </c>
      <c r="M3" s="37">
        <v>129900</v>
      </c>
      <c r="N3" s="81" t="s">
        <v>2826</v>
      </c>
      <c r="O3" s="37" t="s">
        <v>3221</v>
      </c>
      <c r="P3" s="28" t="s">
        <v>2826</v>
      </c>
    </row>
    <row r="4" spans="1:16" x14ac:dyDescent="0.3">
      <c r="A4" s="28" t="s">
        <v>3222</v>
      </c>
      <c r="B4" s="26">
        <v>46108</v>
      </c>
      <c r="C4" s="26">
        <v>46113</v>
      </c>
      <c r="D4" s="48">
        <v>3319</v>
      </c>
      <c r="E4" s="48">
        <v>327</v>
      </c>
      <c r="F4" s="28">
        <v>2</v>
      </c>
      <c r="G4" s="28">
        <v>1</v>
      </c>
      <c r="H4" s="28">
        <v>80700</v>
      </c>
      <c r="I4" s="28" t="s">
        <v>17</v>
      </c>
      <c r="J4" s="28">
        <v>18476303</v>
      </c>
      <c r="K4" s="28" t="s">
        <v>2103</v>
      </c>
      <c r="L4" t="s">
        <v>2105</v>
      </c>
      <c r="M4" s="37">
        <v>129900</v>
      </c>
      <c r="N4" s="81" t="s">
        <v>2826</v>
      </c>
      <c r="O4" s="37" t="s">
        <v>3221</v>
      </c>
      <c r="P4" s="28" t="s">
        <v>2826</v>
      </c>
    </row>
    <row r="5" spans="1:16" x14ac:dyDescent="0.3">
      <c r="A5" s="28" t="s">
        <v>3222</v>
      </c>
      <c r="B5" s="26">
        <v>46108</v>
      </c>
      <c r="C5" s="26">
        <v>46113</v>
      </c>
      <c r="D5" s="48">
        <v>3319</v>
      </c>
      <c r="E5" s="48">
        <v>327</v>
      </c>
      <c r="F5" s="28">
        <v>2</v>
      </c>
      <c r="G5" s="28">
        <v>1</v>
      </c>
      <c r="H5" s="28">
        <v>80700</v>
      </c>
      <c r="I5" s="28" t="s">
        <v>17</v>
      </c>
      <c r="J5" s="28">
        <v>18476349</v>
      </c>
      <c r="K5" s="28" t="s">
        <v>2103</v>
      </c>
      <c r="L5" t="s">
        <v>2104</v>
      </c>
      <c r="M5" s="37">
        <v>129900</v>
      </c>
      <c r="N5" s="81" t="s">
        <v>2826</v>
      </c>
      <c r="O5" s="37" t="s">
        <v>3221</v>
      </c>
      <c r="P5" s="28" t="s">
        <v>2826</v>
      </c>
    </row>
    <row r="6" spans="1:16" x14ac:dyDescent="0.3">
      <c r="A6" s="28" t="s">
        <v>3222</v>
      </c>
      <c r="B6" s="26">
        <v>46108</v>
      </c>
      <c r="C6" s="26">
        <v>46113</v>
      </c>
      <c r="D6" s="48">
        <v>3319</v>
      </c>
      <c r="E6" s="48">
        <v>327</v>
      </c>
      <c r="F6" s="28">
        <v>2</v>
      </c>
      <c r="G6" s="28">
        <v>1</v>
      </c>
      <c r="H6" s="28">
        <v>81778</v>
      </c>
      <c r="I6" s="28" t="s">
        <v>17</v>
      </c>
      <c r="J6" s="28">
        <v>53825182</v>
      </c>
      <c r="K6" s="28" t="s">
        <v>2651</v>
      </c>
      <c r="L6" t="s">
        <v>2652</v>
      </c>
      <c r="M6" s="37">
        <v>149900</v>
      </c>
      <c r="N6" s="81" t="s">
        <v>2826</v>
      </c>
      <c r="O6" s="37" t="s">
        <v>3221</v>
      </c>
      <c r="P6" s="28" t="s">
        <v>2826</v>
      </c>
    </row>
    <row r="7" spans="1:16" x14ac:dyDescent="0.3">
      <c r="A7" s="28" t="s">
        <v>3222</v>
      </c>
      <c r="B7" s="26">
        <v>46108</v>
      </c>
      <c r="C7" s="26">
        <v>46113</v>
      </c>
      <c r="D7" s="48">
        <v>3319</v>
      </c>
      <c r="E7" s="48">
        <v>327</v>
      </c>
      <c r="F7" s="28">
        <v>2</v>
      </c>
      <c r="G7" s="28">
        <v>1</v>
      </c>
      <c r="H7" s="28">
        <v>81778</v>
      </c>
      <c r="I7" s="28" t="s">
        <v>17</v>
      </c>
      <c r="J7" s="28">
        <v>53825191</v>
      </c>
      <c r="K7" s="28" t="s">
        <v>2651</v>
      </c>
      <c r="L7" t="s">
        <v>2653</v>
      </c>
      <c r="M7" s="37">
        <v>149900</v>
      </c>
      <c r="N7" s="81" t="s">
        <v>2826</v>
      </c>
      <c r="O7" s="37" t="s">
        <v>3221</v>
      </c>
      <c r="P7" s="28" t="s">
        <v>2826</v>
      </c>
    </row>
    <row r="8" spans="1:16" x14ac:dyDescent="0.3">
      <c r="A8" s="28" t="s">
        <v>3222</v>
      </c>
      <c r="B8" s="26">
        <v>46108</v>
      </c>
      <c r="C8" s="26">
        <v>46113</v>
      </c>
      <c r="D8" s="48">
        <v>3319</v>
      </c>
      <c r="E8" s="48">
        <v>327</v>
      </c>
      <c r="F8" s="28">
        <v>2</v>
      </c>
      <c r="G8" s="28">
        <v>1</v>
      </c>
      <c r="H8" s="28">
        <v>81778</v>
      </c>
      <c r="I8" s="28" t="s">
        <v>17</v>
      </c>
      <c r="J8" s="28">
        <v>53825208</v>
      </c>
      <c r="K8" s="28" t="s">
        <v>2651</v>
      </c>
      <c r="L8" t="s">
        <v>2654</v>
      </c>
      <c r="M8" s="37">
        <v>149900</v>
      </c>
      <c r="N8" s="81" t="s">
        <v>2826</v>
      </c>
      <c r="O8" s="37" t="s">
        <v>3221</v>
      </c>
      <c r="P8" s="28" t="s">
        <v>2826</v>
      </c>
    </row>
    <row r="9" spans="1:16" x14ac:dyDescent="0.3">
      <c r="A9" s="28" t="s">
        <v>3222</v>
      </c>
      <c r="B9" s="26">
        <v>46108</v>
      </c>
      <c r="C9" s="26">
        <v>46113</v>
      </c>
      <c r="D9" s="48">
        <v>3319</v>
      </c>
      <c r="E9" s="48">
        <v>327</v>
      </c>
      <c r="F9" s="28">
        <v>2</v>
      </c>
      <c r="G9" s="28">
        <v>1</v>
      </c>
      <c r="H9" s="28">
        <v>81778</v>
      </c>
      <c r="I9" s="28" t="s">
        <v>17</v>
      </c>
      <c r="J9" s="28">
        <v>53825164</v>
      </c>
      <c r="K9" s="28" t="s">
        <v>2651</v>
      </c>
      <c r="L9" t="s">
        <v>2655</v>
      </c>
      <c r="M9" s="37">
        <v>149900</v>
      </c>
      <c r="N9" s="81" t="s">
        <v>2826</v>
      </c>
      <c r="O9" s="37" t="s">
        <v>3221</v>
      </c>
      <c r="P9" s="28" t="s">
        <v>2826</v>
      </c>
    </row>
    <row r="10" spans="1:16" x14ac:dyDescent="0.3">
      <c r="A10" s="28" t="s">
        <v>3222</v>
      </c>
      <c r="B10" s="26">
        <v>46108</v>
      </c>
      <c r="C10" s="26">
        <v>46113</v>
      </c>
      <c r="D10" s="48">
        <v>3319</v>
      </c>
      <c r="E10" s="48">
        <v>327</v>
      </c>
      <c r="F10" s="28">
        <v>2</v>
      </c>
      <c r="G10" s="28">
        <v>1</v>
      </c>
      <c r="H10" s="28">
        <v>81778</v>
      </c>
      <c r="I10" s="28" t="s">
        <v>17</v>
      </c>
      <c r="J10" s="28">
        <v>53825173</v>
      </c>
      <c r="K10" s="28" t="s">
        <v>2651</v>
      </c>
      <c r="L10" t="s">
        <v>2656</v>
      </c>
      <c r="M10" s="37">
        <v>149900</v>
      </c>
      <c r="N10" s="81" t="s">
        <v>2826</v>
      </c>
      <c r="O10" s="37" t="s">
        <v>3221</v>
      </c>
      <c r="P10" s="28" t="s">
        <v>2826</v>
      </c>
    </row>
    <row r="11" spans="1:16" x14ac:dyDescent="0.3">
      <c r="A11" s="28" t="s">
        <v>3222</v>
      </c>
      <c r="B11" s="26">
        <v>46108</v>
      </c>
      <c r="C11" s="26">
        <v>46113</v>
      </c>
      <c r="D11" s="48">
        <v>3319</v>
      </c>
      <c r="E11" s="48">
        <v>327</v>
      </c>
      <c r="F11" s="28">
        <v>2</v>
      </c>
      <c r="G11" s="28">
        <v>1</v>
      </c>
      <c r="H11" s="28">
        <v>81778</v>
      </c>
      <c r="I11" s="28" t="s">
        <v>17</v>
      </c>
      <c r="J11" s="28">
        <v>59171403</v>
      </c>
      <c r="K11" s="28" t="s">
        <v>3174</v>
      </c>
      <c r="L11" t="s">
        <v>3175</v>
      </c>
      <c r="M11" s="37">
        <v>149900</v>
      </c>
      <c r="N11" s="81" t="s">
        <v>2826</v>
      </c>
      <c r="O11" s="37" t="s">
        <v>3221</v>
      </c>
      <c r="P11" s="28" t="s">
        <v>2826</v>
      </c>
    </row>
    <row r="12" spans="1:16" x14ac:dyDescent="0.3">
      <c r="A12" s="28" t="s">
        <v>3222</v>
      </c>
      <c r="B12" s="26">
        <v>46108</v>
      </c>
      <c r="C12" s="26">
        <v>46113</v>
      </c>
      <c r="D12" s="48">
        <v>3319</v>
      </c>
      <c r="E12" s="48">
        <v>327</v>
      </c>
      <c r="F12" s="28">
        <v>2</v>
      </c>
      <c r="G12" s="28">
        <v>1</v>
      </c>
      <c r="H12" s="28">
        <v>81778</v>
      </c>
      <c r="I12" s="28" t="s">
        <v>17</v>
      </c>
      <c r="J12" s="28">
        <v>59171412</v>
      </c>
      <c r="K12" s="28" t="s">
        <v>3174</v>
      </c>
      <c r="L12" t="s">
        <v>3176</v>
      </c>
      <c r="M12" s="37">
        <v>149900</v>
      </c>
      <c r="N12" s="81" t="s">
        <v>2826</v>
      </c>
      <c r="O12" s="37" t="s">
        <v>3221</v>
      </c>
      <c r="P12" s="28" t="s">
        <v>2826</v>
      </c>
    </row>
    <row r="13" spans="1:16" x14ac:dyDescent="0.3">
      <c r="A13" s="28" t="s">
        <v>3222</v>
      </c>
      <c r="B13" s="26">
        <v>46108</v>
      </c>
      <c r="C13" s="26">
        <v>46113</v>
      </c>
      <c r="D13" s="48">
        <v>3319</v>
      </c>
      <c r="E13" s="48">
        <v>327</v>
      </c>
      <c r="F13" s="28">
        <v>2</v>
      </c>
      <c r="G13" s="28">
        <v>1</v>
      </c>
      <c r="H13" s="28">
        <v>81778</v>
      </c>
      <c r="I13" s="28" t="s">
        <v>17</v>
      </c>
      <c r="J13" s="28">
        <v>59171421</v>
      </c>
      <c r="K13" s="28" t="s">
        <v>3174</v>
      </c>
      <c r="L13" t="s">
        <v>3177</v>
      </c>
      <c r="M13" s="37">
        <v>149900</v>
      </c>
      <c r="N13" s="81" t="s">
        <v>2826</v>
      </c>
      <c r="O13" s="37" t="s">
        <v>3221</v>
      </c>
      <c r="P13" s="28" t="s">
        <v>2826</v>
      </c>
    </row>
    <row r="14" spans="1:16" x14ac:dyDescent="0.3">
      <c r="A14" s="28" t="s">
        <v>3222</v>
      </c>
      <c r="B14" s="26">
        <v>46108</v>
      </c>
      <c r="C14" s="26">
        <v>46113</v>
      </c>
      <c r="D14" s="48">
        <v>3319</v>
      </c>
      <c r="E14" s="48">
        <v>327</v>
      </c>
      <c r="F14" s="28">
        <v>2</v>
      </c>
      <c r="G14" s="28">
        <v>1</v>
      </c>
      <c r="H14" s="28">
        <v>81778</v>
      </c>
      <c r="I14" s="28" t="s">
        <v>17</v>
      </c>
      <c r="J14" s="28">
        <v>59171430</v>
      </c>
      <c r="K14" s="28" t="s">
        <v>3174</v>
      </c>
      <c r="L14" t="s">
        <v>3178</v>
      </c>
      <c r="M14" s="37">
        <v>149900</v>
      </c>
      <c r="N14" s="81" t="s">
        <v>2826</v>
      </c>
      <c r="O14" s="37" t="s">
        <v>3221</v>
      </c>
      <c r="P14" s="28" t="s">
        <v>2826</v>
      </c>
    </row>
    <row r="15" spans="1:16" x14ac:dyDescent="0.3">
      <c r="A15" s="28" t="s">
        <v>3222</v>
      </c>
      <c r="B15" s="26">
        <v>46108</v>
      </c>
      <c r="C15" s="26">
        <v>46113</v>
      </c>
      <c r="D15" s="48">
        <v>3319</v>
      </c>
      <c r="E15" s="48">
        <v>327</v>
      </c>
      <c r="F15" s="28">
        <v>2</v>
      </c>
      <c r="G15" s="28">
        <v>1</v>
      </c>
      <c r="H15" s="28">
        <v>81778</v>
      </c>
      <c r="I15" s="28" t="s">
        <v>17</v>
      </c>
      <c r="J15" s="28">
        <v>59171449</v>
      </c>
      <c r="K15" s="28" t="s">
        <v>3174</v>
      </c>
      <c r="L15" t="s">
        <v>3179</v>
      </c>
      <c r="M15" s="37">
        <v>149900</v>
      </c>
      <c r="N15" s="81" t="s">
        <v>2826</v>
      </c>
      <c r="O15" s="37" t="s">
        <v>3221</v>
      </c>
      <c r="P15" s="28" t="s">
        <v>2826</v>
      </c>
    </row>
    <row r="16" spans="1:16" x14ac:dyDescent="0.3">
      <c r="A16" s="28" t="s">
        <v>3222</v>
      </c>
      <c r="B16" s="26">
        <v>46108</v>
      </c>
      <c r="C16" s="26">
        <v>46113</v>
      </c>
      <c r="D16" s="48">
        <v>3319</v>
      </c>
      <c r="E16" s="48">
        <v>327</v>
      </c>
      <c r="F16" s="28">
        <v>2</v>
      </c>
      <c r="G16" s="28">
        <v>1</v>
      </c>
      <c r="H16" s="28">
        <v>80700</v>
      </c>
      <c r="I16" s="28" t="s">
        <v>17</v>
      </c>
      <c r="J16" s="28">
        <v>59171985</v>
      </c>
      <c r="K16" s="28" t="s">
        <v>3180</v>
      </c>
      <c r="L16" t="s">
        <v>3181</v>
      </c>
      <c r="M16" s="37">
        <v>129900</v>
      </c>
      <c r="N16" s="81" t="s">
        <v>2826</v>
      </c>
      <c r="O16" s="37" t="s">
        <v>3221</v>
      </c>
      <c r="P16" s="28" t="s">
        <v>2826</v>
      </c>
    </row>
    <row r="17" spans="1:16" x14ac:dyDescent="0.3">
      <c r="A17" s="28" t="s">
        <v>3222</v>
      </c>
      <c r="B17" s="26">
        <v>46108</v>
      </c>
      <c r="C17" s="26">
        <v>46113</v>
      </c>
      <c r="D17" s="48">
        <v>3319</v>
      </c>
      <c r="E17" s="48">
        <v>327</v>
      </c>
      <c r="F17" s="28">
        <v>2</v>
      </c>
      <c r="G17" s="28">
        <v>1</v>
      </c>
      <c r="H17" s="28">
        <v>80700</v>
      </c>
      <c r="I17" s="28" t="s">
        <v>17</v>
      </c>
      <c r="J17" s="28">
        <v>59171994</v>
      </c>
      <c r="K17" s="28" t="s">
        <v>3180</v>
      </c>
      <c r="L17" t="s">
        <v>3182</v>
      </c>
      <c r="M17" s="37">
        <v>129900</v>
      </c>
      <c r="N17" s="81" t="s">
        <v>2826</v>
      </c>
      <c r="O17" s="37" t="s">
        <v>3221</v>
      </c>
      <c r="P17" s="28" t="s">
        <v>2826</v>
      </c>
    </row>
    <row r="18" spans="1:16" x14ac:dyDescent="0.3">
      <c r="A18" s="28" t="s">
        <v>3222</v>
      </c>
      <c r="B18" s="26">
        <v>46108</v>
      </c>
      <c r="C18" s="26">
        <v>46113</v>
      </c>
      <c r="D18" s="48">
        <v>3319</v>
      </c>
      <c r="E18" s="48">
        <v>327</v>
      </c>
      <c r="F18" s="28">
        <v>2</v>
      </c>
      <c r="G18" s="28">
        <v>1</v>
      </c>
      <c r="H18" s="28">
        <v>80700</v>
      </c>
      <c r="I18" s="28" t="s">
        <v>17</v>
      </c>
      <c r="J18" s="28">
        <v>59172000</v>
      </c>
      <c r="K18" s="28" t="s">
        <v>3180</v>
      </c>
      <c r="L18" t="s">
        <v>3183</v>
      </c>
      <c r="M18" s="37">
        <v>129900</v>
      </c>
      <c r="N18" s="81" t="s">
        <v>2826</v>
      </c>
      <c r="O18" s="37" t="s">
        <v>3221</v>
      </c>
      <c r="P18" s="28" t="s">
        <v>2826</v>
      </c>
    </row>
    <row r="19" spans="1:16" x14ac:dyDescent="0.3">
      <c r="A19" s="28" t="s">
        <v>3222</v>
      </c>
      <c r="B19" s="26">
        <v>46108</v>
      </c>
      <c r="C19" s="26">
        <v>46113</v>
      </c>
      <c r="D19" s="48">
        <v>3319</v>
      </c>
      <c r="E19" s="48">
        <v>327</v>
      </c>
      <c r="F19" s="28">
        <v>2</v>
      </c>
      <c r="G19" s="28">
        <v>1</v>
      </c>
      <c r="H19" s="28">
        <v>80700</v>
      </c>
      <c r="I19" s="28" t="s">
        <v>17</v>
      </c>
      <c r="J19" s="28">
        <v>59172019</v>
      </c>
      <c r="K19" s="28" t="s">
        <v>3180</v>
      </c>
      <c r="L19" t="s">
        <v>3184</v>
      </c>
      <c r="M19" s="37">
        <v>129900</v>
      </c>
      <c r="N19" s="81" t="s">
        <v>2826</v>
      </c>
      <c r="O19" s="37" t="s">
        <v>3221</v>
      </c>
      <c r="P19" s="28" t="s">
        <v>2826</v>
      </c>
    </row>
    <row r="20" spans="1:16" x14ac:dyDescent="0.3">
      <c r="A20" s="28" t="s">
        <v>3222</v>
      </c>
      <c r="B20" s="26">
        <v>46108</v>
      </c>
      <c r="C20" s="26">
        <v>46113</v>
      </c>
      <c r="D20" s="48">
        <v>3319</v>
      </c>
      <c r="E20" s="48">
        <v>327</v>
      </c>
      <c r="F20" s="28">
        <v>2</v>
      </c>
      <c r="G20" s="28">
        <v>1</v>
      </c>
      <c r="H20" s="28">
        <v>80700</v>
      </c>
      <c r="I20" s="28" t="s">
        <v>17</v>
      </c>
      <c r="J20" s="28">
        <v>27023294</v>
      </c>
      <c r="K20" s="28" t="s">
        <v>2081</v>
      </c>
      <c r="L20" t="s">
        <v>2083</v>
      </c>
      <c r="M20" s="37">
        <v>129900</v>
      </c>
      <c r="N20" s="81" t="s">
        <v>2826</v>
      </c>
      <c r="O20" s="37" t="s">
        <v>3221</v>
      </c>
      <c r="P20" s="28" t="s">
        <v>2826</v>
      </c>
    </row>
    <row r="21" spans="1:16" x14ac:dyDescent="0.3">
      <c r="A21" s="28" t="s">
        <v>3222</v>
      </c>
      <c r="B21" s="26">
        <v>46108</v>
      </c>
      <c r="C21" s="26">
        <v>46113</v>
      </c>
      <c r="D21" s="48">
        <v>3319</v>
      </c>
      <c r="E21" s="48">
        <v>327</v>
      </c>
      <c r="F21" s="28">
        <v>2</v>
      </c>
      <c r="G21" s="28">
        <v>1</v>
      </c>
      <c r="H21" s="28">
        <v>80700</v>
      </c>
      <c r="I21" s="28" t="s">
        <v>17</v>
      </c>
      <c r="J21" s="28">
        <v>27023301</v>
      </c>
      <c r="K21" s="28" t="s">
        <v>2081</v>
      </c>
      <c r="L21" t="s">
        <v>2091</v>
      </c>
      <c r="M21" s="37">
        <v>129900</v>
      </c>
      <c r="N21" s="81" t="s">
        <v>2826</v>
      </c>
      <c r="O21" s="37" t="s">
        <v>3221</v>
      </c>
      <c r="P21" s="28" t="s">
        <v>2826</v>
      </c>
    </row>
    <row r="22" spans="1:16" x14ac:dyDescent="0.3">
      <c r="A22" s="28" t="s">
        <v>3222</v>
      </c>
      <c r="B22" s="26">
        <v>46108</v>
      </c>
      <c r="C22" s="26">
        <v>46113</v>
      </c>
      <c r="D22" s="48">
        <v>3319</v>
      </c>
      <c r="E22" s="48">
        <v>327</v>
      </c>
      <c r="F22" s="28">
        <v>2</v>
      </c>
      <c r="G22" s="28">
        <v>1</v>
      </c>
      <c r="H22" s="28">
        <v>80700</v>
      </c>
      <c r="I22" s="28" t="s">
        <v>17</v>
      </c>
      <c r="J22" s="28">
        <v>27023310</v>
      </c>
      <c r="K22" s="28" t="s">
        <v>2081</v>
      </c>
      <c r="L22" t="s">
        <v>2085</v>
      </c>
      <c r="M22" s="37">
        <v>129900</v>
      </c>
      <c r="N22" s="81" t="s">
        <v>2826</v>
      </c>
      <c r="O22" s="37" t="s">
        <v>3221</v>
      </c>
      <c r="P22" s="28" t="s">
        <v>2826</v>
      </c>
    </row>
    <row r="23" spans="1:16" x14ac:dyDescent="0.3">
      <c r="A23" s="28" t="s">
        <v>3222</v>
      </c>
      <c r="B23" s="26">
        <v>46108</v>
      </c>
      <c r="C23" s="26">
        <v>46113</v>
      </c>
      <c r="D23" s="48">
        <v>3319</v>
      </c>
      <c r="E23" s="48">
        <v>327</v>
      </c>
      <c r="F23" s="28">
        <v>2</v>
      </c>
      <c r="G23" s="28">
        <v>1</v>
      </c>
      <c r="H23" s="28">
        <v>80700</v>
      </c>
      <c r="I23" s="28" t="s">
        <v>17</v>
      </c>
      <c r="J23" s="28">
        <v>27023329</v>
      </c>
      <c r="K23" s="28" t="s">
        <v>2081</v>
      </c>
      <c r="L23" t="s">
        <v>2097</v>
      </c>
      <c r="M23" s="37">
        <v>129900</v>
      </c>
      <c r="N23" s="81" t="s">
        <v>2826</v>
      </c>
      <c r="O23" s="37" t="s">
        <v>3221</v>
      </c>
      <c r="P23" s="28" t="s">
        <v>2826</v>
      </c>
    </row>
    <row r="24" spans="1:16" x14ac:dyDescent="0.3">
      <c r="A24" s="28" t="s">
        <v>3222</v>
      </c>
      <c r="B24" s="26">
        <v>46108</v>
      </c>
      <c r="C24" s="26">
        <v>46113</v>
      </c>
      <c r="D24" s="48">
        <v>3319</v>
      </c>
      <c r="E24" s="48">
        <v>327</v>
      </c>
      <c r="F24" s="28">
        <v>2</v>
      </c>
      <c r="G24" s="28">
        <v>1</v>
      </c>
      <c r="H24" s="28">
        <v>80700</v>
      </c>
      <c r="I24" s="28" t="s">
        <v>17</v>
      </c>
      <c r="J24" s="28">
        <v>27023338</v>
      </c>
      <c r="K24" s="28" t="s">
        <v>2081</v>
      </c>
      <c r="L24" t="s">
        <v>2082</v>
      </c>
      <c r="M24" s="37">
        <v>129900</v>
      </c>
      <c r="N24" s="81" t="s">
        <v>2826</v>
      </c>
      <c r="O24" s="37" t="s">
        <v>3221</v>
      </c>
      <c r="P24" s="28" t="s">
        <v>2826</v>
      </c>
    </row>
    <row r="25" spans="1:16" x14ac:dyDescent="0.3">
      <c r="A25" s="28" t="s">
        <v>3222</v>
      </c>
      <c r="B25" s="26">
        <v>46108</v>
      </c>
      <c r="C25" s="26">
        <v>46113</v>
      </c>
      <c r="D25" s="48">
        <v>3319</v>
      </c>
      <c r="E25" s="48">
        <v>327</v>
      </c>
      <c r="F25" s="28">
        <v>2</v>
      </c>
      <c r="G25" s="28">
        <v>1</v>
      </c>
      <c r="H25" s="28">
        <v>80700</v>
      </c>
      <c r="I25" s="28" t="s">
        <v>17</v>
      </c>
      <c r="J25" s="28">
        <v>27023347</v>
      </c>
      <c r="K25" s="28" t="s">
        <v>2081</v>
      </c>
      <c r="L25" t="s">
        <v>2092</v>
      </c>
      <c r="M25" s="37">
        <v>129900</v>
      </c>
      <c r="N25" s="81" t="s">
        <v>2826</v>
      </c>
      <c r="O25" s="37" t="s">
        <v>3221</v>
      </c>
      <c r="P25" s="28" t="s">
        <v>2826</v>
      </c>
    </row>
    <row r="26" spans="1:16" x14ac:dyDescent="0.3">
      <c r="A26" s="28" t="s">
        <v>3222</v>
      </c>
      <c r="B26" s="26">
        <v>46108</v>
      </c>
      <c r="C26" s="26">
        <v>46113</v>
      </c>
      <c r="D26" s="48">
        <v>3319</v>
      </c>
      <c r="E26" s="48">
        <v>327</v>
      </c>
      <c r="F26" s="28">
        <v>2</v>
      </c>
      <c r="G26" s="28">
        <v>1</v>
      </c>
      <c r="H26" s="28">
        <v>80700</v>
      </c>
      <c r="I26" s="28" t="s">
        <v>17</v>
      </c>
      <c r="J26" s="28">
        <v>27023356</v>
      </c>
      <c r="K26" s="28" t="s">
        <v>2081</v>
      </c>
      <c r="L26" t="s">
        <v>2087</v>
      </c>
      <c r="M26" s="37">
        <v>129900</v>
      </c>
      <c r="N26" s="81" t="s">
        <v>2826</v>
      </c>
      <c r="O26" s="37" t="s">
        <v>3221</v>
      </c>
      <c r="P26" s="28" t="s">
        <v>2826</v>
      </c>
    </row>
    <row r="27" spans="1:16" x14ac:dyDescent="0.3">
      <c r="A27" s="28" t="s">
        <v>3222</v>
      </c>
      <c r="B27" s="26">
        <v>46108</v>
      </c>
      <c r="C27" s="26">
        <v>46113</v>
      </c>
      <c r="D27" s="48">
        <v>3319</v>
      </c>
      <c r="E27" s="48">
        <v>327</v>
      </c>
      <c r="F27" s="28">
        <v>2</v>
      </c>
      <c r="G27" s="28">
        <v>1</v>
      </c>
      <c r="H27" s="28">
        <v>80700</v>
      </c>
      <c r="I27" s="28" t="s">
        <v>17</v>
      </c>
      <c r="J27" s="28">
        <v>27023365</v>
      </c>
      <c r="K27" s="28" t="s">
        <v>2081</v>
      </c>
      <c r="L27" t="s">
        <v>2088</v>
      </c>
      <c r="M27" s="37">
        <v>129900</v>
      </c>
      <c r="N27" s="81" t="s">
        <v>2826</v>
      </c>
      <c r="O27" s="37" t="s">
        <v>3221</v>
      </c>
      <c r="P27" s="28" t="s">
        <v>2826</v>
      </c>
    </row>
    <row r="28" spans="1:16" x14ac:dyDescent="0.3">
      <c r="A28" s="28" t="s">
        <v>3222</v>
      </c>
      <c r="B28" s="26">
        <v>46108</v>
      </c>
      <c r="C28" s="26">
        <v>46113</v>
      </c>
      <c r="D28" s="48">
        <v>3319</v>
      </c>
      <c r="E28" s="48">
        <v>327</v>
      </c>
      <c r="F28" s="28">
        <v>2</v>
      </c>
      <c r="G28" s="28">
        <v>1</v>
      </c>
      <c r="H28" s="28">
        <v>80700</v>
      </c>
      <c r="I28" s="28" t="s">
        <v>17</v>
      </c>
      <c r="J28" s="28">
        <v>27023374</v>
      </c>
      <c r="K28" s="28" t="s">
        <v>2081</v>
      </c>
      <c r="L28" t="s">
        <v>2093</v>
      </c>
      <c r="M28" s="37">
        <v>129900</v>
      </c>
      <c r="N28" s="81" t="s">
        <v>2826</v>
      </c>
      <c r="O28" s="37" t="s">
        <v>3221</v>
      </c>
      <c r="P28" s="28" t="s">
        <v>2826</v>
      </c>
    </row>
    <row r="29" spans="1:16" x14ac:dyDescent="0.3">
      <c r="A29" s="28" t="s">
        <v>3222</v>
      </c>
      <c r="B29" s="26">
        <v>46108</v>
      </c>
      <c r="C29" s="26">
        <v>46113</v>
      </c>
      <c r="D29" s="48">
        <v>3319</v>
      </c>
      <c r="E29" s="48">
        <v>327</v>
      </c>
      <c r="F29" s="28">
        <v>2</v>
      </c>
      <c r="G29" s="28">
        <v>1</v>
      </c>
      <c r="H29" s="28">
        <v>80700</v>
      </c>
      <c r="I29" s="28" t="s">
        <v>17</v>
      </c>
      <c r="J29" s="28">
        <v>27023383</v>
      </c>
      <c r="K29" s="28" t="s">
        <v>2081</v>
      </c>
      <c r="L29" t="s">
        <v>2086</v>
      </c>
      <c r="M29" s="37">
        <v>129900</v>
      </c>
      <c r="N29" s="81" t="s">
        <v>2826</v>
      </c>
      <c r="O29" s="37" t="s">
        <v>3221</v>
      </c>
      <c r="P29" s="28" t="s">
        <v>2826</v>
      </c>
    </row>
    <row r="30" spans="1:16" x14ac:dyDescent="0.3">
      <c r="A30" s="28" t="s">
        <v>3222</v>
      </c>
      <c r="B30" s="26">
        <v>46108</v>
      </c>
      <c r="C30" s="26">
        <v>46113</v>
      </c>
      <c r="D30" s="48">
        <v>3319</v>
      </c>
      <c r="E30" s="48">
        <v>327</v>
      </c>
      <c r="F30" s="28">
        <v>2</v>
      </c>
      <c r="G30" s="28">
        <v>1</v>
      </c>
      <c r="H30" s="28">
        <v>80700</v>
      </c>
      <c r="I30" s="28" t="s">
        <v>17</v>
      </c>
      <c r="J30" s="28">
        <v>27023392</v>
      </c>
      <c r="K30" s="28" t="s">
        <v>2081</v>
      </c>
      <c r="L30" t="s">
        <v>2094</v>
      </c>
      <c r="M30" s="37">
        <v>129900</v>
      </c>
      <c r="N30" s="81" t="s">
        <v>2826</v>
      </c>
      <c r="O30" s="37" t="s">
        <v>3221</v>
      </c>
      <c r="P30" s="28" t="s">
        <v>2826</v>
      </c>
    </row>
    <row r="31" spans="1:16" x14ac:dyDescent="0.3">
      <c r="A31" s="28" t="s">
        <v>3222</v>
      </c>
      <c r="B31" s="26">
        <v>46108</v>
      </c>
      <c r="C31" s="26">
        <v>46113</v>
      </c>
      <c r="D31" s="48">
        <v>3319</v>
      </c>
      <c r="E31" s="48">
        <v>327</v>
      </c>
      <c r="F31" s="28">
        <v>2</v>
      </c>
      <c r="G31" s="28">
        <v>1</v>
      </c>
      <c r="H31" s="28">
        <v>80700</v>
      </c>
      <c r="I31" s="28" t="s">
        <v>17</v>
      </c>
      <c r="J31" s="28">
        <v>27023409</v>
      </c>
      <c r="K31" s="28" t="s">
        <v>2081</v>
      </c>
      <c r="L31" t="s">
        <v>2096</v>
      </c>
      <c r="M31" s="37">
        <v>129900</v>
      </c>
      <c r="N31" s="81" t="s">
        <v>2826</v>
      </c>
      <c r="O31" s="37" t="s">
        <v>3221</v>
      </c>
      <c r="P31" s="28" t="s">
        <v>2826</v>
      </c>
    </row>
    <row r="32" spans="1:16" x14ac:dyDescent="0.3">
      <c r="A32" s="28" t="s">
        <v>3222</v>
      </c>
      <c r="B32" s="26">
        <v>46108</v>
      </c>
      <c r="C32" s="26">
        <v>46113</v>
      </c>
      <c r="D32" s="48">
        <v>3319</v>
      </c>
      <c r="E32" s="48">
        <v>327</v>
      </c>
      <c r="F32" s="28">
        <v>2</v>
      </c>
      <c r="G32" s="28">
        <v>1</v>
      </c>
      <c r="H32" s="28">
        <v>80700</v>
      </c>
      <c r="I32" s="28" t="s">
        <v>17</v>
      </c>
      <c r="J32" s="28">
        <v>59171752</v>
      </c>
      <c r="K32" s="28" t="s">
        <v>1268</v>
      </c>
      <c r="L32" t="s">
        <v>3185</v>
      </c>
      <c r="M32" s="37">
        <v>129900</v>
      </c>
      <c r="N32" s="81" t="s">
        <v>2826</v>
      </c>
      <c r="O32" s="37" t="s">
        <v>3221</v>
      </c>
      <c r="P32" s="28" t="s">
        <v>2826</v>
      </c>
    </row>
    <row r="33" spans="1:16" x14ac:dyDescent="0.3">
      <c r="A33" s="28" t="s">
        <v>3222</v>
      </c>
      <c r="B33" s="26">
        <v>46108</v>
      </c>
      <c r="C33" s="26">
        <v>46113</v>
      </c>
      <c r="D33" s="48">
        <v>3319</v>
      </c>
      <c r="E33" s="48">
        <v>327</v>
      </c>
      <c r="F33" s="28">
        <v>2</v>
      </c>
      <c r="G33" s="28">
        <v>1</v>
      </c>
      <c r="H33" s="28">
        <v>80700</v>
      </c>
      <c r="I33" s="28" t="s">
        <v>17</v>
      </c>
      <c r="J33" s="28">
        <v>59171761</v>
      </c>
      <c r="K33" s="28" t="s">
        <v>1268</v>
      </c>
      <c r="L33" t="s">
        <v>3186</v>
      </c>
      <c r="M33" s="37">
        <v>129900</v>
      </c>
      <c r="N33" s="81" t="s">
        <v>2826</v>
      </c>
      <c r="O33" s="37" t="s">
        <v>3221</v>
      </c>
      <c r="P33" s="28" t="s">
        <v>2826</v>
      </c>
    </row>
    <row r="34" spans="1:16" x14ac:dyDescent="0.3">
      <c r="A34" s="28" t="s">
        <v>3222</v>
      </c>
      <c r="B34" s="26">
        <v>46108</v>
      </c>
      <c r="C34" s="26">
        <v>46113</v>
      </c>
      <c r="D34" s="48">
        <v>3319</v>
      </c>
      <c r="E34" s="48">
        <v>327</v>
      </c>
      <c r="F34" s="28">
        <v>2</v>
      </c>
      <c r="G34" s="28">
        <v>1</v>
      </c>
      <c r="H34" s="28">
        <v>80700</v>
      </c>
      <c r="I34" s="28" t="s">
        <v>17</v>
      </c>
      <c r="J34" s="28">
        <v>59171770</v>
      </c>
      <c r="K34" s="28" t="s">
        <v>1268</v>
      </c>
      <c r="L34" t="s">
        <v>3187</v>
      </c>
      <c r="M34" s="37">
        <v>129900</v>
      </c>
      <c r="N34" s="81" t="s">
        <v>2826</v>
      </c>
      <c r="O34" s="37" t="s">
        <v>3221</v>
      </c>
      <c r="P34" s="28" t="s">
        <v>2826</v>
      </c>
    </row>
    <row r="35" spans="1:16" x14ac:dyDescent="0.3">
      <c r="A35" s="28" t="s">
        <v>3222</v>
      </c>
      <c r="B35" s="26">
        <v>46108</v>
      </c>
      <c r="C35" s="26">
        <v>46113</v>
      </c>
      <c r="D35" s="48">
        <v>3319</v>
      </c>
      <c r="E35" s="48">
        <v>327</v>
      </c>
      <c r="F35" s="28">
        <v>2</v>
      </c>
      <c r="G35" s="28">
        <v>1</v>
      </c>
      <c r="H35" s="28">
        <v>80700</v>
      </c>
      <c r="I35" s="28" t="s">
        <v>17</v>
      </c>
      <c r="J35" s="28">
        <v>59171789</v>
      </c>
      <c r="K35" s="28" t="s">
        <v>1268</v>
      </c>
      <c r="L35" t="s">
        <v>3188</v>
      </c>
      <c r="M35" s="37">
        <v>129900</v>
      </c>
      <c r="N35" s="81" t="s">
        <v>2826</v>
      </c>
      <c r="O35" s="37" t="s">
        <v>3221</v>
      </c>
      <c r="P35" s="28" t="s">
        <v>2826</v>
      </c>
    </row>
    <row r="36" spans="1:16" x14ac:dyDescent="0.3">
      <c r="A36" s="28" t="s">
        <v>3222</v>
      </c>
      <c r="B36" s="26">
        <v>46108</v>
      </c>
      <c r="C36" s="26">
        <v>46113</v>
      </c>
      <c r="D36" s="48">
        <v>3319</v>
      </c>
      <c r="E36" s="48">
        <v>327</v>
      </c>
      <c r="F36" s="28">
        <v>2</v>
      </c>
      <c r="G36" s="28">
        <v>1</v>
      </c>
      <c r="H36" s="28">
        <v>80700</v>
      </c>
      <c r="I36" s="28" t="s">
        <v>17</v>
      </c>
      <c r="J36" s="28">
        <v>79628374</v>
      </c>
      <c r="K36" s="28" t="s">
        <v>1268</v>
      </c>
      <c r="L36" t="s">
        <v>2144</v>
      </c>
      <c r="M36" s="37">
        <v>129900</v>
      </c>
      <c r="N36" s="81" t="s">
        <v>2826</v>
      </c>
      <c r="O36" s="37" t="s">
        <v>3221</v>
      </c>
      <c r="P36" s="28" t="s">
        <v>2826</v>
      </c>
    </row>
    <row r="37" spans="1:16" x14ac:dyDescent="0.3">
      <c r="A37" s="28" t="s">
        <v>3222</v>
      </c>
      <c r="B37" s="26">
        <v>46108</v>
      </c>
      <c r="C37" s="26">
        <v>46113</v>
      </c>
      <c r="D37" s="48">
        <v>3319</v>
      </c>
      <c r="E37" s="48">
        <v>327</v>
      </c>
      <c r="F37" s="28">
        <v>2</v>
      </c>
      <c r="G37" s="28">
        <v>1</v>
      </c>
      <c r="H37" s="28">
        <v>80700</v>
      </c>
      <c r="I37" s="28" t="s">
        <v>17</v>
      </c>
      <c r="J37" s="28">
        <v>79628383</v>
      </c>
      <c r="K37" s="28" t="s">
        <v>1268</v>
      </c>
      <c r="L37" t="s">
        <v>2147</v>
      </c>
      <c r="M37" s="37">
        <v>129900</v>
      </c>
      <c r="N37" s="81" t="s">
        <v>2826</v>
      </c>
      <c r="O37" s="37" t="s">
        <v>3221</v>
      </c>
      <c r="P37" s="28" t="s">
        <v>2826</v>
      </c>
    </row>
    <row r="38" spans="1:16" x14ac:dyDescent="0.3">
      <c r="A38" s="28" t="s">
        <v>3222</v>
      </c>
      <c r="B38" s="26">
        <v>46108</v>
      </c>
      <c r="C38" s="26">
        <v>46113</v>
      </c>
      <c r="D38" s="48">
        <v>3319</v>
      </c>
      <c r="E38" s="48">
        <v>327</v>
      </c>
      <c r="F38" s="28">
        <v>2</v>
      </c>
      <c r="G38" s="28">
        <v>1</v>
      </c>
      <c r="H38" s="28">
        <v>80700</v>
      </c>
      <c r="I38" s="28" t="s">
        <v>17</v>
      </c>
      <c r="J38" s="28">
        <v>79628392</v>
      </c>
      <c r="K38" s="28" t="s">
        <v>1268</v>
      </c>
      <c r="L38" t="s">
        <v>2145</v>
      </c>
      <c r="M38" s="37">
        <v>129900</v>
      </c>
      <c r="N38" s="81" t="s">
        <v>2826</v>
      </c>
      <c r="O38" s="37" t="s">
        <v>3221</v>
      </c>
      <c r="P38" s="28" t="s">
        <v>2826</v>
      </c>
    </row>
    <row r="39" spans="1:16" x14ac:dyDescent="0.3">
      <c r="A39" s="28" t="s">
        <v>3222</v>
      </c>
      <c r="B39" s="26">
        <v>46108</v>
      </c>
      <c r="C39" s="26">
        <v>46113</v>
      </c>
      <c r="D39" s="48">
        <v>3319</v>
      </c>
      <c r="E39" s="48">
        <v>327</v>
      </c>
      <c r="F39" s="28">
        <v>2</v>
      </c>
      <c r="G39" s="28">
        <v>1</v>
      </c>
      <c r="H39" s="28">
        <v>80700</v>
      </c>
      <c r="I39" s="28" t="s">
        <v>17</v>
      </c>
      <c r="J39" s="28">
        <v>79628409</v>
      </c>
      <c r="K39" s="28" t="s">
        <v>1268</v>
      </c>
      <c r="L39" t="s">
        <v>2146</v>
      </c>
      <c r="M39" s="37">
        <v>129900</v>
      </c>
      <c r="N39" s="81" t="s">
        <v>2826</v>
      </c>
      <c r="O39" s="37" t="s">
        <v>3221</v>
      </c>
      <c r="P39" s="28" t="s">
        <v>2826</v>
      </c>
    </row>
    <row r="40" spans="1:16" x14ac:dyDescent="0.3">
      <c r="A40" s="28" t="s">
        <v>3222</v>
      </c>
      <c r="B40" s="26">
        <v>46108</v>
      </c>
      <c r="C40" s="26">
        <v>46113</v>
      </c>
      <c r="D40" s="48">
        <v>3319</v>
      </c>
      <c r="E40" s="48">
        <v>327</v>
      </c>
      <c r="F40" s="28">
        <v>2</v>
      </c>
      <c r="G40" s="28">
        <v>1</v>
      </c>
      <c r="H40" s="28">
        <v>81778</v>
      </c>
      <c r="I40" s="28" t="s">
        <v>17</v>
      </c>
      <c r="J40" s="28">
        <v>53692763</v>
      </c>
      <c r="K40" s="28" t="s">
        <v>2657</v>
      </c>
      <c r="L40" t="s">
        <v>2664</v>
      </c>
      <c r="M40" s="37">
        <v>149900</v>
      </c>
      <c r="N40" s="81" t="s">
        <v>2826</v>
      </c>
      <c r="O40" s="37" t="s">
        <v>3221</v>
      </c>
      <c r="P40" s="28" t="s">
        <v>2826</v>
      </c>
    </row>
    <row r="41" spans="1:16" x14ac:dyDescent="0.3">
      <c r="A41" s="28" t="s">
        <v>3222</v>
      </c>
      <c r="B41" s="26">
        <v>46108</v>
      </c>
      <c r="C41" s="26">
        <v>46113</v>
      </c>
      <c r="D41" s="48">
        <v>3319</v>
      </c>
      <c r="E41" s="48">
        <v>327</v>
      </c>
      <c r="F41" s="28">
        <v>2</v>
      </c>
      <c r="G41" s="28">
        <v>1</v>
      </c>
      <c r="H41" s="28">
        <v>81778</v>
      </c>
      <c r="I41" s="28" t="s">
        <v>17</v>
      </c>
      <c r="J41" s="28">
        <v>53692772</v>
      </c>
      <c r="K41" s="28" t="s">
        <v>2657</v>
      </c>
      <c r="L41" t="s">
        <v>2665</v>
      </c>
      <c r="M41" s="37">
        <v>149900</v>
      </c>
      <c r="N41" s="81" t="s">
        <v>2826</v>
      </c>
      <c r="O41" s="37" t="s">
        <v>3221</v>
      </c>
      <c r="P41" s="28" t="s">
        <v>2826</v>
      </c>
    </row>
    <row r="42" spans="1:16" x14ac:dyDescent="0.3">
      <c r="A42" s="28" t="s">
        <v>3222</v>
      </c>
      <c r="B42" s="26">
        <v>46108</v>
      </c>
      <c r="C42" s="26">
        <v>46113</v>
      </c>
      <c r="D42" s="48">
        <v>3319</v>
      </c>
      <c r="E42" s="48">
        <v>327</v>
      </c>
      <c r="F42" s="28">
        <v>2</v>
      </c>
      <c r="G42" s="28">
        <v>1</v>
      </c>
      <c r="H42" s="28">
        <v>81778</v>
      </c>
      <c r="I42" s="28" t="s">
        <v>17</v>
      </c>
      <c r="J42" s="28">
        <v>53692781</v>
      </c>
      <c r="K42" s="28" t="s">
        <v>2657</v>
      </c>
      <c r="L42" t="s">
        <v>2663</v>
      </c>
      <c r="M42" s="37">
        <v>149900</v>
      </c>
      <c r="N42" s="81" t="s">
        <v>2826</v>
      </c>
      <c r="O42" s="37" t="s">
        <v>3221</v>
      </c>
      <c r="P42" s="28" t="s">
        <v>2826</v>
      </c>
    </row>
    <row r="43" spans="1:16" x14ac:dyDescent="0.3">
      <c r="A43" s="28" t="s">
        <v>3222</v>
      </c>
      <c r="B43" s="26">
        <v>46108</v>
      </c>
      <c r="C43" s="26">
        <v>46113</v>
      </c>
      <c r="D43" s="48">
        <v>3319</v>
      </c>
      <c r="E43" s="48">
        <v>327</v>
      </c>
      <c r="F43" s="28">
        <v>2</v>
      </c>
      <c r="G43" s="28">
        <v>1</v>
      </c>
      <c r="H43" s="28">
        <v>81778</v>
      </c>
      <c r="I43" s="28" t="s">
        <v>17</v>
      </c>
      <c r="J43" s="28">
        <v>53692790</v>
      </c>
      <c r="K43" s="28" t="s">
        <v>2657</v>
      </c>
      <c r="L43" t="s">
        <v>2666</v>
      </c>
      <c r="M43" s="37">
        <v>149900</v>
      </c>
      <c r="N43" s="81" t="s">
        <v>2826</v>
      </c>
      <c r="O43" s="37" t="s">
        <v>3221</v>
      </c>
      <c r="P43" s="28" t="s">
        <v>2826</v>
      </c>
    </row>
    <row r="44" spans="1:16" x14ac:dyDescent="0.3">
      <c r="A44" s="28" t="s">
        <v>3222</v>
      </c>
      <c r="B44" s="26">
        <v>46108</v>
      </c>
      <c r="C44" s="26">
        <v>46113</v>
      </c>
      <c r="D44" s="48">
        <v>3319</v>
      </c>
      <c r="E44" s="48">
        <v>327</v>
      </c>
      <c r="F44" s="28">
        <v>2</v>
      </c>
      <c r="G44" s="28">
        <v>1</v>
      </c>
      <c r="H44" s="28">
        <v>81778</v>
      </c>
      <c r="I44" s="28" t="s">
        <v>17</v>
      </c>
      <c r="J44" s="28">
        <v>53692807</v>
      </c>
      <c r="K44" s="28" t="s">
        <v>2657</v>
      </c>
      <c r="L44" t="s">
        <v>2658</v>
      </c>
      <c r="M44" s="37">
        <v>149900</v>
      </c>
      <c r="N44" s="81" t="s">
        <v>2826</v>
      </c>
      <c r="O44" s="37" t="s">
        <v>3221</v>
      </c>
      <c r="P44" s="28" t="s">
        <v>2826</v>
      </c>
    </row>
    <row r="45" spans="1:16" x14ac:dyDescent="0.3">
      <c r="A45" s="28" t="s">
        <v>3222</v>
      </c>
      <c r="B45" s="26">
        <v>46108</v>
      </c>
      <c r="C45" s="26">
        <v>46113</v>
      </c>
      <c r="D45" s="48">
        <v>3319</v>
      </c>
      <c r="E45" s="48">
        <v>327</v>
      </c>
      <c r="F45" s="28">
        <v>2</v>
      </c>
      <c r="G45" s="28">
        <v>1</v>
      </c>
      <c r="H45" s="28">
        <v>81778</v>
      </c>
      <c r="I45" s="28" t="s">
        <v>17</v>
      </c>
      <c r="J45" s="28">
        <v>53692816</v>
      </c>
      <c r="K45" s="28" t="s">
        <v>2657</v>
      </c>
      <c r="L45" t="s">
        <v>2659</v>
      </c>
      <c r="M45" s="37">
        <v>149900</v>
      </c>
      <c r="N45" s="81" t="s">
        <v>2826</v>
      </c>
      <c r="O45" s="37" t="s">
        <v>3221</v>
      </c>
      <c r="P45" s="28" t="s">
        <v>2826</v>
      </c>
    </row>
    <row r="46" spans="1:16" x14ac:dyDescent="0.3">
      <c r="A46" s="28" t="s">
        <v>3222</v>
      </c>
      <c r="B46" s="26">
        <v>46108</v>
      </c>
      <c r="C46" s="26">
        <v>46113</v>
      </c>
      <c r="D46" s="48">
        <v>3319</v>
      </c>
      <c r="E46" s="48">
        <v>327</v>
      </c>
      <c r="F46" s="28">
        <v>2</v>
      </c>
      <c r="G46" s="28">
        <v>1</v>
      </c>
      <c r="H46" s="28">
        <v>81778</v>
      </c>
      <c r="I46" s="28" t="s">
        <v>17</v>
      </c>
      <c r="J46" s="28">
        <v>53692825</v>
      </c>
      <c r="K46" s="28" t="s">
        <v>2657</v>
      </c>
      <c r="L46" t="s">
        <v>2660</v>
      </c>
      <c r="M46" s="37">
        <v>149900</v>
      </c>
      <c r="N46" s="81" t="s">
        <v>2826</v>
      </c>
      <c r="O46" s="37" t="s">
        <v>3221</v>
      </c>
      <c r="P46" s="28" t="s">
        <v>2826</v>
      </c>
    </row>
    <row r="47" spans="1:16" x14ac:dyDescent="0.3">
      <c r="A47" s="28" t="s">
        <v>3222</v>
      </c>
      <c r="B47" s="26">
        <v>46108</v>
      </c>
      <c r="C47" s="26">
        <v>46113</v>
      </c>
      <c r="D47" s="48">
        <v>3319</v>
      </c>
      <c r="E47" s="48">
        <v>327</v>
      </c>
      <c r="F47" s="28">
        <v>2</v>
      </c>
      <c r="G47" s="28">
        <v>1</v>
      </c>
      <c r="H47" s="28">
        <v>81778</v>
      </c>
      <c r="I47" s="28" t="s">
        <v>17</v>
      </c>
      <c r="J47" s="28">
        <v>53692834</v>
      </c>
      <c r="K47" s="28" t="s">
        <v>2657</v>
      </c>
      <c r="L47" t="s">
        <v>2661</v>
      </c>
      <c r="M47" s="37">
        <v>149900</v>
      </c>
      <c r="N47" s="81" t="s">
        <v>2826</v>
      </c>
      <c r="O47" s="37" t="s">
        <v>3221</v>
      </c>
      <c r="P47" s="28" t="s">
        <v>2826</v>
      </c>
    </row>
    <row r="48" spans="1:16" x14ac:dyDescent="0.3">
      <c r="A48" s="28" t="s">
        <v>3222</v>
      </c>
      <c r="B48" s="26">
        <v>46108</v>
      </c>
      <c r="C48" s="26">
        <v>46113</v>
      </c>
      <c r="D48" s="48">
        <v>3319</v>
      </c>
      <c r="E48" s="48">
        <v>327</v>
      </c>
      <c r="F48" s="28">
        <v>2</v>
      </c>
      <c r="G48" s="28">
        <v>1</v>
      </c>
      <c r="H48" s="28">
        <v>81778</v>
      </c>
      <c r="I48" s="28" t="s">
        <v>17</v>
      </c>
      <c r="J48" s="28">
        <v>53692843</v>
      </c>
      <c r="K48" s="28" t="s">
        <v>2657</v>
      </c>
      <c r="L48" t="s">
        <v>2667</v>
      </c>
      <c r="M48" s="37">
        <v>149900</v>
      </c>
      <c r="N48" s="81" t="s">
        <v>2826</v>
      </c>
      <c r="O48" s="37" t="s">
        <v>3221</v>
      </c>
      <c r="P48" s="28" t="s">
        <v>2826</v>
      </c>
    </row>
    <row r="49" spans="1:16" x14ac:dyDescent="0.3">
      <c r="A49" s="28" t="s">
        <v>3222</v>
      </c>
      <c r="B49" s="26">
        <v>46108</v>
      </c>
      <c r="C49" s="26">
        <v>46113</v>
      </c>
      <c r="D49" s="48">
        <v>3319</v>
      </c>
      <c r="E49" s="48">
        <v>327</v>
      </c>
      <c r="F49" s="28">
        <v>2</v>
      </c>
      <c r="G49" s="28">
        <v>1</v>
      </c>
      <c r="H49" s="28">
        <v>81778</v>
      </c>
      <c r="I49" s="28" t="s">
        <v>17</v>
      </c>
      <c r="J49" s="28">
        <v>53692852</v>
      </c>
      <c r="K49" s="28" t="s">
        <v>2657</v>
      </c>
      <c r="L49" t="s">
        <v>2662</v>
      </c>
      <c r="M49" s="37">
        <v>149900</v>
      </c>
      <c r="N49" s="81" t="s">
        <v>2826</v>
      </c>
      <c r="O49" s="37" t="s">
        <v>3221</v>
      </c>
      <c r="P49" s="28" t="s">
        <v>2826</v>
      </c>
    </row>
    <row r="50" spans="1:16" x14ac:dyDescent="0.3">
      <c r="A50" s="28" t="s">
        <v>3222</v>
      </c>
      <c r="B50" s="26">
        <v>46108</v>
      </c>
      <c r="C50" s="26">
        <v>46113</v>
      </c>
      <c r="D50" s="48">
        <v>3319</v>
      </c>
      <c r="E50" s="48">
        <v>327</v>
      </c>
      <c r="F50" s="28">
        <v>2</v>
      </c>
      <c r="G50" s="28">
        <v>1</v>
      </c>
      <c r="H50" s="28">
        <v>81778</v>
      </c>
      <c r="I50" s="28" t="s">
        <v>17</v>
      </c>
      <c r="J50" s="28">
        <v>59171458</v>
      </c>
      <c r="K50" s="28" t="s">
        <v>2657</v>
      </c>
      <c r="L50" t="s">
        <v>3189</v>
      </c>
      <c r="M50" s="37">
        <v>149900</v>
      </c>
      <c r="N50" s="81" t="s">
        <v>2826</v>
      </c>
      <c r="O50" s="37" t="s">
        <v>3221</v>
      </c>
      <c r="P50" s="28" t="s">
        <v>2826</v>
      </c>
    </row>
    <row r="51" spans="1:16" x14ac:dyDescent="0.3">
      <c r="A51" s="28" t="s">
        <v>3222</v>
      </c>
      <c r="B51" s="26">
        <v>46108</v>
      </c>
      <c r="C51" s="26">
        <v>46113</v>
      </c>
      <c r="D51" s="48">
        <v>3319</v>
      </c>
      <c r="E51" s="48">
        <v>327</v>
      </c>
      <c r="F51" s="28">
        <v>2</v>
      </c>
      <c r="G51" s="28">
        <v>1</v>
      </c>
      <c r="H51" s="28">
        <v>81778</v>
      </c>
      <c r="I51" s="28" t="s">
        <v>17</v>
      </c>
      <c r="J51" s="28">
        <v>59171467</v>
      </c>
      <c r="K51" s="28" t="s">
        <v>2657</v>
      </c>
      <c r="L51" t="s">
        <v>3190</v>
      </c>
      <c r="M51" s="37">
        <v>149900</v>
      </c>
      <c r="N51" s="81" t="s">
        <v>2826</v>
      </c>
      <c r="O51" s="37" t="s">
        <v>3221</v>
      </c>
      <c r="P51" s="28" t="s">
        <v>2826</v>
      </c>
    </row>
    <row r="52" spans="1:16" x14ac:dyDescent="0.3">
      <c r="A52" s="28" t="s">
        <v>3222</v>
      </c>
      <c r="B52" s="26">
        <v>46108</v>
      </c>
      <c r="C52" s="26">
        <v>46113</v>
      </c>
      <c r="D52" s="48">
        <v>3319</v>
      </c>
      <c r="E52" s="48">
        <v>327</v>
      </c>
      <c r="F52" s="28">
        <v>2</v>
      </c>
      <c r="G52" s="28">
        <v>1</v>
      </c>
      <c r="H52" s="28">
        <v>81778</v>
      </c>
      <c r="I52" s="28" t="s">
        <v>17</v>
      </c>
      <c r="J52" s="28">
        <v>59171476</v>
      </c>
      <c r="K52" s="28" t="s">
        <v>2657</v>
      </c>
      <c r="L52" t="s">
        <v>3191</v>
      </c>
      <c r="M52" s="37">
        <v>149900</v>
      </c>
      <c r="N52" s="81" t="s">
        <v>2826</v>
      </c>
      <c r="O52" s="37" t="s">
        <v>3221</v>
      </c>
      <c r="P52" s="28" t="s">
        <v>2826</v>
      </c>
    </row>
    <row r="53" spans="1:16" x14ac:dyDescent="0.3">
      <c r="A53" s="28" t="s">
        <v>3222</v>
      </c>
      <c r="B53" s="26">
        <v>46108</v>
      </c>
      <c r="C53" s="26">
        <v>46113</v>
      </c>
      <c r="D53" s="48">
        <v>3319</v>
      </c>
      <c r="E53" s="48">
        <v>327</v>
      </c>
      <c r="F53" s="28">
        <v>2</v>
      </c>
      <c r="G53" s="28">
        <v>1</v>
      </c>
      <c r="H53" s="28">
        <v>81778</v>
      </c>
      <c r="I53" s="28" t="s">
        <v>17</v>
      </c>
      <c r="J53" s="28">
        <v>59171485</v>
      </c>
      <c r="K53" s="28" t="s">
        <v>2657</v>
      </c>
      <c r="L53" t="s">
        <v>3192</v>
      </c>
      <c r="M53" s="37">
        <v>149900</v>
      </c>
      <c r="N53" s="81" t="s">
        <v>2826</v>
      </c>
      <c r="O53" s="37" t="s">
        <v>3221</v>
      </c>
      <c r="P53" s="28" t="s">
        <v>2826</v>
      </c>
    </row>
    <row r="54" spans="1:16" x14ac:dyDescent="0.3">
      <c r="A54" s="28" t="s">
        <v>3222</v>
      </c>
      <c r="B54" s="26">
        <v>46108</v>
      </c>
      <c r="C54" s="26">
        <v>46113</v>
      </c>
      <c r="D54" s="48">
        <v>3319</v>
      </c>
      <c r="E54" s="48">
        <v>327</v>
      </c>
      <c r="F54" s="28">
        <v>2</v>
      </c>
      <c r="G54" s="28">
        <v>1</v>
      </c>
      <c r="H54" s="28">
        <v>81778</v>
      </c>
      <c r="I54" s="28" t="s">
        <v>17</v>
      </c>
      <c r="J54" s="28">
        <v>59171494</v>
      </c>
      <c r="K54" s="28" t="s">
        <v>2657</v>
      </c>
      <c r="L54" t="s">
        <v>3193</v>
      </c>
      <c r="M54" s="37">
        <v>149900</v>
      </c>
      <c r="N54" s="81" t="s">
        <v>2826</v>
      </c>
      <c r="O54" s="37" t="s">
        <v>3221</v>
      </c>
      <c r="P54" s="28" t="s">
        <v>2826</v>
      </c>
    </row>
    <row r="55" spans="1:16" x14ac:dyDescent="0.3">
      <c r="A55" s="28" t="s">
        <v>3222</v>
      </c>
      <c r="B55" s="26">
        <v>46108</v>
      </c>
      <c r="C55" s="26">
        <v>46113</v>
      </c>
      <c r="D55" s="48">
        <v>3319</v>
      </c>
      <c r="E55" s="48">
        <v>327</v>
      </c>
      <c r="F55" s="28">
        <v>2</v>
      </c>
      <c r="G55" s="28">
        <v>1</v>
      </c>
      <c r="H55" s="28">
        <v>81433</v>
      </c>
      <c r="I55" s="28" t="s">
        <v>17</v>
      </c>
      <c r="J55" s="28">
        <v>51673233</v>
      </c>
      <c r="K55" s="28" t="s">
        <v>1906</v>
      </c>
      <c r="L55" t="s">
        <v>2600</v>
      </c>
      <c r="M55" s="37">
        <v>149900</v>
      </c>
      <c r="N55" s="81" t="s">
        <v>2826</v>
      </c>
      <c r="O55" s="37" t="s">
        <v>3221</v>
      </c>
      <c r="P55" s="28" t="s">
        <v>2826</v>
      </c>
    </row>
    <row r="56" spans="1:16" x14ac:dyDescent="0.3">
      <c r="A56" s="28" t="s">
        <v>3222</v>
      </c>
      <c r="B56" s="26">
        <v>46108</v>
      </c>
      <c r="C56" s="26">
        <v>46113</v>
      </c>
      <c r="D56" s="48">
        <v>3319</v>
      </c>
      <c r="E56" s="48">
        <v>327</v>
      </c>
      <c r="F56" s="28">
        <v>2</v>
      </c>
      <c r="G56" s="28">
        <v>1</v>
      </c>
      <c r="H56" s="28">
        <v>81433</v>
      </c>
      <c r="I56" s="28" t="s">
        <v>17</v>
      </c>
      <c r="J56" s="28">
        <v>51673242</v>
      </c>
      <c r="K56" s="28" t="s">
        <v>1906</v>
      </c>
      <c r="L56" t="s">
        <v>2601</v>
      </c>
      <c r="M56" s="37">
        <v>149900</v>
      </c>
      <c r="N56" s="81" t="s">
        <v>2826</v>
      </c>
      <c r="O56" s="37" t="s">
        <v>3221</v>
      </c>
      <c r="P56" s="28" t="s">
        <v>2826</v>
      </c>
    </row>
    <row r="57" spans="1:16" x14ac:dyDescent="0.3">
      <c r="A57" s="28" t="s">
        <v>3222</v>
      </c>
      <c r="B57" s="26">
        <v>46108</v>
      </c>
      <c r="C57" s="26">
        <v>46113</v>
      </c>
      <c r="D57" s="48">
        <v>3319</v>
      </c>
      <c r="E57" s="48">
        <v>327</v>
      </c>
      <c r="F57" s="28">
        <v>2</v>
      </c>
      <c r="G57" s="28">
        <v>1</v>
      </c>
      <c r="H57" s="28">
        <v>81433</v>
      </c>
      <c r="I57" s="28" t="s">
        <v>17</v>
      </c>
      <c r="J57" s="28">
        <v>51673251</v>
      </c>
      <c r="K57" s="28" t="s">
        <v>1906</v>
      </c>
      <c r="L57" t="s">
        <v>2602</v>
      </c>
      <c r="M57" s="37">
        <v>149900</v>
      </c>
      <c r="N57" s="81" t="s">
        <v>2826</v>
      </c>
      <c r="O57" s="37" t="s">
        <v>3221</v>
      </c>
      <c r="P57" s="28" t="s">
        <v>2826</v>
      </c>
    </row>
    <row r="58" spans="1:16" x14ac:dyDescent="0.3">
      <c r="A58" s="28" t="s">
        <v>3222</v>
      </c>
      <c r="B58" s="26">
        <v>46108</v>
      </c>
      <c r="C58" s="26">
        <v>46113</v>
      </c>
      <c r="D58" s="48">
        <v>3319</v>
      </c>
      <c r="E58" s="48">
        <v>327</v>
      </c>
      <c r="F58" s="28">
        <v>2</v>
      </c>
      <c r="G58" s="28">
        <v>1</v>
      </c>
      <c r="H58" s="28">
        <v>81433</v>
      </c>
      <c r="I58" s="28" t="s">
        <v>17</v>
      </c>
      <c r="J58" s="28">
        <v>51673260</v>
      </c>
      <c r="K58" s="28" t="s">
        <v>1906</v>
      </c>
      <c r="L58" t="s">
        <v>2598</v>
      </c>
      <c r="M58" s="37">
        <v>149900</v>
      </c>
      <c r="N58" s="81" t="s">
        <v>2826</v>
      </c>
      <c r="O58" s="37" t="s">
        <v>3221</v>
      </c>
      <c r="P58" s="28" t="s">
        <v>2826</v>
      </c>
    </row>
    <row r="59" spans="1:16" x14ac:dyDescent="0.3">
      <c r="A59" s="28" t="s">
        <v>3222</v>
      </c>
      <c r="B59" s="26">
        <v>46108</v>
      </c>
      <c r="C59" s="26">
        <v>46113</v>
      </c>
      <c r="D59" s="48">
        <v>3319</v>
      </c>
      <c r="E59" s="48">
        <v>327</v>
      </c>
      <c r="F59" s="28">
        <v>2</v>
      </c>
      <c r="G59" s="28">
        <v>1</v>
      </c>
      <c r="H59" s="28">
        <v>81433</v>
      </c>
      <c r="I59" s="28" t="s">
        <v>17</v>
      </c>
      <c r="J59" s="28">
        <v>51673279</v>
      </c>
      <c r="K59" s="28" t="s">
        <v>1906</v>
      </c>
      <c r="L59" t="s">
        <v>2599</v>
      </c>
      <c r="M59" s="37">
        <v>149900</v>
      </c>
      <c r="N59" s="81" t="s">
        <v>2826</v>
      </c>
      <c r="O59" s="37" t="s">
        <v>3221</v>
      </c>
      <c r="P59" s="28" t="s">
        <v>2826</v>
      </c>
    </row>
    <row r="60" spans="1:16" x14ac:dyDescent="0.3">
      <c r="A60" s="28" t="s">
        <v>3222</v>
      </c>
      <c r="B60" s="26">
        <v>46108</v>
      </c>
      <c r="C60" s="26">
        <v>46113</v>
      </c>
      <c r="D60" s="48">
        <v>3319</v>
      </c>
      <c r="E60" s="48">
        <v>327</v>
      </c>
      <c r="F60" s="28">
        <v>2</v>
      </c>
      <c r="G60" s="28">
        <v>1</v>
      </c>
      <c r="H60" s="28">
        <v>81433</v>
      </c>
      <c r="I60" s="28" t="s">
        <v>17</v>
      </c>
      <c r="J60" s="28">
        <v>81268393</v>
      </c>
      <c r="K60" s="28" t="s">
        <v>1906</v>
      </c>
      <c r="L60" t="s">
        <v>1907</v>
      </c>
      <c r="M60" s="37">
        <v>149900</v>
      </c>
      <c r="N60" s="81" t="s">
        <v>2826</v>
      </c>
      <c r="O60" s="37" t="s">
        <v>3221</v>
      </c>
      <c r="P60" s="28" t="s">
        <v>2826</v>
      </c>
    </row>
    <row r="61" spans="1:16" x14ac:dyDescent="0.3">
      <c r="A61" s="28" t="s">
        <v>3222</v>
      </c>
      <c r="B61" s="26">
        <v>46108</v>
      </c>
      <c r="C61" s="26">
        <v>46113</v>
      </c>
      <c r="D61" s="48">
        <v>3319</v>
      </c>
      <c r="E61" s="48">
        <v>327</v>
      </c>
      <c r="F61" s="28">
        <v>2</v>
      </c>
      <c r="G61" s="28">
        <v>1</v>
      </c>
      <c r="H61" s="28">
        <v>81433</v>
      </c>
      <c r="I61" s="28" t="s">
        <v>17</v>
      </c>
      <c r="J61" s="28">
        <v>81268400</v>
      </c>
      <c r="K61" s="28" t="s">
        <v>1906</v>
      </c>
      <c r="L61" t="s">
        <v>1908</v>
      </c>
      <c r="M61" s="37">
        <v>149900</v>
      </c>
      <c r="N61" s="81" t="s">
        <v>2826</v>
      </c>
      <c r="O61" s="37" t="s">
        <v>3221</v>
      </c>
      <c r="P61" s="28" t="s">
        <v>2826</v>
      </c>
    </row>
    <row r="62" spans="1:16" x14ac:dyDescent="0.3">
      <c r="A62" s="28" t="s">
        <v>3222</v>
      </c>
      <c r="B62" s="26">
        <v>46108</v>
      </c>
      <c r="C62" s="26">
        <v>46113</v>
      </c>
      <c r="D62" s="48">
        <v>3319</v>
      </c>
      <c r="E62" s="48">
        <v>327</v>
      </c>
      <c r="F62" s="28">
        <v>2</v>
      </c>
      <c r="G62" s="28">
        <v>1</v>
      </c>
      <c r="H62" s="28">
        <v>81433</v>
      </c>
      <c r="I62" s="28" t="s">
        <v>17</v>
      </c>
      <c r="J62" s="28">
        <v>81268419</v>
      </c>
      <c r="K62" s="28" t="s">
        <v>1906</v>
      </c>
      <c r="L62" t="s">
        <v>1909</v>
      </c>
      <c r="M62" s="37">
        <v>149900</v>
      </c>
      <c r="N62" s="81" t="s">
        <v>2826</v>
      </c>
      <c r="O62" s="37" t="s">
        <v>3221</v>
      </c>
      <c r="P62" s="28" t="s">
        <v>2826</v>
      </c>
    </row>
    <row r="63" spans="1:16" x14ac:dyDescent="0.3">
      <c r="A63" s="28" t="s">
        <v>3222</v>
      </c>
      <c r="B63" s="26">
        <v>46108</v>
      </c>
      <c r="C63" s="26">
        <v>46113</v>
      </c>
      <c r="D63" s="48">
        <v>3319</v>
      </c>
      <c r="E63" s="48">
        <v>327</v>
      </c>
      <c r="F63" s="28">
        <v>2</v>
      </c>
      <c r="G63" s="28">
        <v>1</v>
      </c>
      <c r="H63" s="28">
        <v>81433</v>
      </c>
      <c r="I63" s="28" t="s">
        <v>17</v>
      </c>
      <c r="J63" s="28">
        <v>81268428</v>
      </c>
      <c r="K63" s="28" t="s">
        <v>1906</v>
      </c>
      <c r="L63" t="s">
        <v>1910</v>
      </c>
      <c r="M63" s="37">
        <v>149900</v>
      </c>
      <c r="N63" s="81" t="s">
        <v>2826</v>
      </c>
      <c r="O63" s="37" t="s">
        <v>3221</v>
      </c>
      <c r="P63" s="28" t="s">
        <v>2826</v>
      </c>
    </row>
    <row r="64" spans="1:16" x14ac:dyDescent="0.3">
      <c r="A64" s="28" t="s">
        <v>3222</v>
      </c>
      <c r="B64" s="26">
        <v>46108</v>
      </c>
      <c r="C64" s="26">
        <v>46113</v>
      </c>
      <c r="D64" s="48">
        <v>3319</v>
      </c>
      <c r="E64" s="48">
        <v>327</v>
      </c>
      <c r="F64" s="28">
        <v>2</v>
      </c>
      <c r="G64" s="28">
        <v>1</v>
      </c>
      <c r="H64" s="28">
        <v>81433</v>
      </c>
      <c r="I64" s="28" t="s">
        <v>17</v>
      </c>
      <c r="J64" s="28">
        <v>81268437</v>
      </c>
      <c r="K64" s="28" t="s">
        <v>1906</v>
      </c>
      <c r="L64" t="s">
        <v>1911</v>
      </c>
      <c r="M64" s="37">
        <v>149900</v>
      </c>
      <c r="N64" s="81" t="s">
        <v>2826</v>
      </c>
      <c r="O64" s="37" t="s">
        <v>3221</v>
      </c>
      <c r="P64" s="28" t="s">
        <v>2826</v>
      </c>
    </row>
    <row r="65" spans="1:16" x14ac:dyDescent="0.3">
      <c r="A65" s="28" t="s">
        <v>3222</v>
      </c>
      <c r="B65" s="26">
        <v>46108</v>
      </c>
      <c r="C65" s="26">
        <v>46113</v>
      </c>
      <c r="D65" s="48">
        <v>3319</v>
      </c>
      <c r="E65" s="48">
        <v>327</v>
      </c>
      <c r="F65" s="28">
        <v>2</v>
      </c>
      <c r="G65" s="28">
        <v>1</v>
      </c>
      <c r="H65" s="28">
        <v>81433</v>
      </c>
      <c r="I65" s="28" t="s">
        <v>17</v>
      </c>
      <c r="J65" s="28">
        <v>81268446</v>
      </c>
      <c r="K65" s="28" t="s">
        <v>1906</v>
      </c>
      <c r="L65" t="s">
        <v>1912</v>
      </c>
      <c r="M65" s="37">
        <v>149900</v>
      </c>
      <c r="N65" s="81" t="s">
        <v>2826</v>
      </c>
      <c r="O65" s="37" t="s">
        <v>3221</v>
      </c>
      <c r="P65" s="28" t="s">
        <v>2826</v>
      </c>
    </row>
    <row r="66" spans="1:16" x14ac:dyDescent="0.3">
      <c r="A66" s="28" t="s">
        <v>3222</v>
      </c>
      <c r="B66" s="26">
        <v>46108</v>
      </c>
      <c r="C66" s="26">
        <v>46113</v>
      </c>
      <c r="D66" s="48">
        <v>3319</v>
      </c>
      <c r="E66" s="48">
        <v>327</v>
      </c>
      <c r="F66" s="28">
        <v>2</v>
      </c>
      <c r="G66" s="28">
        <v>1</v>
      </c>
      <c r="H66" s="28">
        <v>81433</v>
      </c>
      <c r="I66" s="28" t="s">
        <v>17</v>
      </c>
      <c r="J66" s="28">
        <v>81268455</v>
      </c>
      <c r="K66" s="28" t="s">
        <v>1906</v>
      </c>
      <c r="L66" t="s">
        <v>1913</v>
      </c>
      <c r="M66" s="37">
        <v>149900</v>
      </c>
      <c r="N66" s="81" t="s">
        <v>2826</v>
      </c>
      <c r="O66" s="37" t="s">
        <v>3221</v>
      </c>
      <c r="P66" s="28" t="s">
        <v>2826</v>
      </c>
    </row>
    <row r="67" spans="1:16" x14ac:dyDescent="0.3">
      <c r="A67" s="28" t="s">
        <v>3222</v>
      </c>
      <c r="B67" s="26">
        <v>46108</v>
      </c>
      <c r="C67" s="26">
        <v>46113</v>
      </c>
      <c r="D67" s="48">
        <v>3319</v>
      </c>
      <c r="E67" s="48">
        <v>327</v>
      </c>
      <c r="F67" s="28">
        <v>2</v>
      </c>
      <c r="G67" s="28">
        <v>1</v>
      </c>
      <c r="H67" s="28">
        <v>81433</v>
      </c>
      <c r="I67" s="28" t="s">
        <v>17</v>
      </c>
      <c r="J67" s="28">
        <v>81268464</v>
      </c>
      <c r="K67" s="28" t="s">
        <v>1906</v>
      </c>
      <c r="L67" t="s">
        <v>1914</v>
      </c>
      <c r="M67" s="37">
        <v>149900</v>
      </c>
      <c r="N67" s="81" t="s">
        <v>2826</v>
      </c>
      <c r="O67" s="37" t="s">
        <v>3221</v>
      </c>
      <c r="P67" s="28" t="s">
        <v>2826</v>
      </c>
    </row>
    <row r="68" spans="1:16" x14ac:dyDescent="0.3">
      <c r="A68" s="28" t="s">
        <v>3222</v>
      </c>
      <c r="B68" s="26">
        <v>46108</v>
      </c>
      <c r="C68" s="26">
        <v>46113</v>
      </c>
      <c r="D68" s="48">
        <v>3319</v>
      </c>
      <c r="E68" s="48">
        <v>327</v>
      </c>
      <c r="F68" s="28">
        <v>2</v>
      </c>
      <c r="G68" s="28">
        <v>1</v>
      </c>
      <c r="H68" s="28">
        <v>81433</v>
      </c>
      <c r="I68" s="28" t="s">
        <v>17</v>
      </c>
      <c r="J68" s="28">
        <v>81268473</v>
      </c>
      <c r="K68" s="28" t="s">
        <v>1906</v>
      </c>
      <c r="L68" t="s">
        <v>1915</v>
      </c>
      <c r="M68" s="37">
        <v>149900</v>
      </c>
      <c r="N68" s="81" t="s">
        <v>2826</v>
      </c>
      <c r="O68" s="37" t="s">
        <v>3221</v>
      </c>
      <c r="P68" s="28" t="s">
        <v>2826</v>
      </c>
    </row>
    <row r="69" spans="1:16" x14ac:dyDescent="0.3">
      <c r="A69" s="28" t="s">
        <v>3222</v>
      </c>
      <c r="B69" s="26">
        <v>46108</v>
      </c>
      <c r="C69" s="26">
        <v>46113</v>
      </c>
      <c r="D69" s="48">
        <v>3319</v>
      </c>
      <c r="E69" s="48">
        <v>327</v>
      </c>
      <c r="F69" s="28">
        <v>2</v>
      </c>
      <c r="G69" s="28">
        <v>1</v>
      </c>
      <c r="H69" s="28">
        <v>81433</v>
      </c>
      <c r="I69" s="28" t="s">
        <v>17</v>
      </c>
      <c r="J69" s="28">
        <v>81268482</v>
      </c>
      <c r="K69" s="28" t="s">
        <v>1906</v>
      </c>
      <c r="L69" t="s">
        <v>1916</v>
      </c>
      <c r="M69" s="37">
        <v>149900</v>
      </c>
      <c r="N69" s="81" t="s">
        <v>2826</v>
      </c>
      <c r="O69" s="37" t="s">
        <v>3221</v>
      </c>
      <c r="P69" s="28" t="s">
        <v>2826</v>
      </c>
    </row>
    <row r="70" spans="1:16" x14ac:dyDescent="0.3">
      <c r="A70" s="28" t="s">
        <v>3222</v>
      </c>
      <c r="B70" s="26">
        <v>46108</v>
      </c>
      <c r="C70" s="26">
        <v>46113</v>
      </c>
      <c r="D70" s="48">
        <v>3319</v>
      </c>
      <c r="E70" s="48">
        <v>327</v>
      </c>
      <c r="F70" s="28">
        <v>2</v>
      </c>
      <c r="G70" s="28">
        <v>1</v>
      </c>
      <c r="H70" s="28">
        <v>81778</v>
      </c>
      <c r="I70" s="28" t="s">
        <v>17</v>
      </c>
      <c r="J70" s="28">
        <v>59171501</v>
      </c>
      <c r="K70" s="28" t="s">
        <v>3194</v>
      </c>
      <c r="L70" t="s">
        <v>3195</v>
      </c>
      <c r="M70" s="37">
        <v>149900</v>
      </c>
      <c r="N70" s="81" t="s">
        <v>2826</v>
      </c>
      <c r="O70" s="37" t="s">
        <v>3221</v>
      </c>
      <c r="P70" s="28" t="s">
        <v>2826</v>
      </c>
    </row>
    <row r="71" spans="1:16" x14ac:dyDescent="0.3">
      <c r="A71" s="28" t="s">
        <v>3222</v>
      </c>
      <c r="B71" s="26">
        <v>46108</v>
      </c>
      <c r="C71" s="26">
        <v>46113</v>
      </c>
      <c r="D71" s="48">
        <v>3319</v>
      </c>
      <c r="E71" s="48">
        <v>327</v>
      </c>
      <c r="F71" s="28">
        <v>2</v>
      </c>
      <c r="G71" s="28">
        <v>1</v>
      </c>
      <c r="H71" s="28">
        <v>81778</v>
      </c>
      <c r="I71" s="28" t="s">
        <v>17</v>
      </c>
      <c r="J71" s="28">
        <v>59171510</v>
      </c>
      <c r="K71" s="28" t="s">
        <v>3194</v>
      </c>
      <c r="L71" t="s">
        <v>3196</v>
      </c>
      <c r="M71" s="37">
        <v>149900</v>
      </c>
      <c r="N71" s="81" t="s">
        <v>2826</v>
      </c>
      <c r="O71" s="37" t="s">
        <v>3221</v>
      </c>
      <c r="P71" s="28" t="s">
        <v>2826</v>
      </c>
    </row>
    <row r="72" spans="1:16" x14ac:dyDescent="0.3">
      <c r="A72" s="28" t="s">
        <v>3222</v>
      </c>
      <c r="B72" s="26">
        <v>46108</v>
      </c>
      <c r="C72" s="26">
        <v>46113</v>
      </c>
      <c r="D72" s="48">
        <v>3319</v>
      </c>
      <c r="E72" s="48">
        <v>327</v>
      </c>
      <c r="F72" s="28">
        <v>2</v>
      </c>
      <c r="G72" s="28">
        <v>1</v>
      </c>
      <c r="H72" s="28">
        <v>81778</v>
      </c>
      <c r="I72" s="28" t="s">
        <v>17</v>
      </c>
      <c r="J72" s="28">
        <v>59171529</v>
      </c>
      <c r="K72" s="28" t="s">
        <v>3194</v>
      </c>
      <c r="L72" t="s">
        <v>3197</v>
      </c>
      <c r="M72" s="37">
        <v>149900</v>
      </c>
      <c r="N72" s="81" t="s">
        <v>2826</v>
      </c>
      <c r="O72" s="37" t="s">
        <v>3221</v>
      </c>
      <c r="P72" s="28" t="s">
        <v>2826</v>
      </c>
    </row>
    <row r="73" spans="1:16" x14ac:dyDescent="0.3">
      <c r="A73" s="28" t="s">
        <v>3222</v>
      </c>
      <c r="B73" s="26">
        <v>46108</v>
      </c>
      <c r="C73" s="26">
        <v>46113</v>
      </c>
      <c r="D73" s="48">
        <v>3319</v>
      </c>
      <c r="E73" s="48">
        <v>327</v>
      </c>
      <c r="F73" s="28">
        <v>2</v>
      </c>
      <c r="G73" s="28">
        <v>1</v>
      </c>
      <c r="H73" s="28">
        <v>81778</v>
      </c>
      <c r="I73" s="28" t="s">
        <v>17</v>
      </c>
      <c r="J73" s="28">
        <v>59171538</v>
      </c>
      <c r="K73" s="28" t="s">
        <v>3194</v>
      </c>
      <c r="L73" t="s">
        <v>3198</v>
      </c>
      <c r="M73" s="37">
        <v>149900</v>
      </c>
      <c r="N73" s="81" t="s">
        <v>2826</v>
      </c>
      <c r="O73" s="37" t="s">
        <v>3221</v>
      </c>
      <c r="P73" s="28" t="s">
        <v>2826</v>
      </c>
    </row>
    <row r="74" spans="1:16" x14ac:dyDescent="0.3">
      <c r="A74" s="28" t="s">
        <v>3222</v>
      </c>
      <c r="B74" s="26">
        <v>46108</v>
      </c>
      <c r="C74" s="26">
        <v>46113</v>
      </c>
      <c r="D74" s="48">
        <v>3319</v>
      </c>
      <c r="E74" s="48">
        <v>327</v>
      </c>
      <c r="F74" s="28">
        <v>2</v>
      </c>
      <c r="G74" s="28">
        <v>1</v>
      </c>
      <c r="H74" s="28">
        <v>81778</v>
      </c>
      <c r="I74" s="28" t="s">
        <v>17</v>
      </c>
      <c r="J74" s="28">
        <v>59171547</v>
      </c>
      <c r="K74" s="28" t="s">
        <v>3194</v>
      </c>
      <c r="L74" t="s">
        <v>3199</v>
      </c>
      <c r="M74" s="37">
        <v>149900</v>
      </c>
      <c r="N74" s="81" t="s">
        <v>2826</v>
      </c>
      <c r="O74" s="37" t="s">
        <v>3221</v>
      </c>
      <c r="P74" s="28" t="s">
        <v>2826</v>
      </c>
    </row>
    <row r="75" spans="1:16" x14ac:dyDescent="0.3">
      <c r="A75" s="28" t="s">
        <v>3222</v>
      </c>
      <c r="B75" s="26">
        <v>46108</v>
      </c>
      <c r="C75" s="26">
        <v>46113</v>
      </c>
      <c r="D75" s="48">
        <v>3319</v>
      </c>
      <c r="E75" s="48">
        <v>327</v>
      </c>
      <c r="F75" s="28">
        <v>2</v>
      </c>
      <c r="G75" s="28">
        <v>1</v>
      </c>
      <c r="H75" s="28">
        <v>81778</v>
      </c>
      <c r="I75" s="28" t="s">
        <v>17</v>
      </c>
      <c r="J75" s="28">
        <v>15806069</v>
      </c>
      <c r="K75" s="28" t="s">
        <v>2279</v>
      </c>
      <c r="L75" t="s">
        <v>2284</v>
      </c>
      <c r="M75" s="37">
        <v>149900</v>
      </c>
      <c r="N75" s="81" t="s">
        <v>2826</v>
      </c>
      <c r="O75" s="37" t="s">
        <v>3221</v>
      </c>
      <c r="P75" s="28" t="s">
        <v>2826</v>
      </c>
    </row>
    <row r="76" spans="1:16" x14ac:dyDescent="0.3">
      <c r="A76" s="28" t="s">
        <v>3222</v>
      </c>
      <c r="B76" s="26">
        <v>46108</v>
      </c>
      <c r="C76" s="26">
        <v>46113</v>
      </c>
      <c r="D76" s="48">
        <v>3319</v>
      </c>
      <c r="E76" s="48">
        <v>327</v>
      </c>
      <c r="F76" s="28">
        <v>2</v>
      </c>
      <c r="G76" s="28">
        <v>1</v>
      </c>
      <c r="H76" s="28">
        <v>81778</v>
      </c>
      <c r="I76" s="28" t="s">
        <v>17</v>
      </c>
      <c r="J76" s="28">
        <v>15806078</v>
      </c>
      <c r="K76" s="28" t="s">
        <v>2279</v>
      </c>
      <c r="L76" t="s">
        <v>2280</v>
      </c>
      <c r="M76" s="37">
        <v>149900</v>
      </c>
      <c r="N76" s="81" t="s">
        <v>2826</v>
      </c>
      <c r="O76" s="37" t="s">
        <v>3221</v>
      </c>
      <c r="P76" s="28" t="s">
        <v>2826</v>
      </c>
    </row>
    <row r="77" spans="1:16" x14ac:dyDescent="0.3">
      <c r="A77" s="28" t="s">
        <v>3222</v>
      </c>
      <c r="B77" s="26">
        <v>46108</v>
      </c>
      <c r="C77" s="26">
        <v>46113</v>
      </c>
      <c r="D77" s="48">
        <v>3319</v>
      </c>
      <c r="E77" s="48">
        <v>327</v>
      </c>
      <c r="F77" s="28">
        <v>2</v>
      </c>
      <c r="G77" s="28">
        <v>1</v>
      </c>
      <c r="H77" s="28">
        <v>81778</v>
      </c>
      <c r="I77" s="28" t="s">
        <v>17</v>
      </c>
      <c r="J77" s="28">
        <v>15806087</v>
      </c>
      <c r="K77" s="28" t="s">
        <v>2279</v>
      </c>
      <c r="L77" t="s">
        <v>2281</v>
      </c>
      <c r="M77" s="37">
        <v>149900</v>
      </c>
      <c r="N77" s="81" t="s">
        <v>2826</v>
      </c>
      <c r="O77" s="37" t="s">
        <v>3221</v>
      </c>
      <c r="P77" s="28" t="s">
        <v>2826</v>
      </c>
    </row>
    <row r="78" spans="1:16" x14ac:dyDescent="0.3">
      <c r="A78" s="28" t="s">
        <v>3222</v>
      </c>
      <c r="B78" s="26">
        <v>46108</v>
      </c>
      <c r="C78" s="26">
        <v>46113</v>
      </c>
      <c r="D78" s="48">
        <v>3319</v>
      </c>
      <c r="E78" s="48">
        <v>327</v>
      </c>
      <c r="F78" s="28">
        <v>2</v>
      </c>
      <c r="G78" s="28">
        <v>1</v>
      </c>
      <c r="H78" s="28">
        <v>81778</v>
      </c>
      <c r="I78" s="28" t="s">
        <v>17</v>
      </c>
      <c r="J78" s="28">
        <v>15806096</v>
      </c>
      <c r="K78" s="28" t="s">
        <v>2279</v>
      </c>
      <c r="L78" t="s">
        <v>2282</v>
      </c>
      <c r="M78" s="37">
        <v>149900</v>
      </c>
      <c r="N78" s="81" t="s">
        <v>2826</v>
      </c>
      <c r="O78" s="37" t="s">
        <v>3221</v>
      </c>
      <c r="P78" s="28" t="s">
        <v>2826</v>
      </c>
    </row>
    <row r="79" spans="1:16" x14ac:dyDescent="0.3">
      <c r="A79" s="28" t="s">
        <v>3222</v>
      </c>
      <c r="B79" s="26">
        <v>46108</v>
      </c>
      <c r="C79" s="26">
        <v>46113</v>
      </c>
      <c r="D79" s="48">
        <v>3319</v>
      </c>
      <c r="E79" s="48">
        <v>327</v>
      </c>
      <c r="F79" s="28">
        <v>2</v>
      </c>
      <c r="G79" s="28">
        <v>1</v>
      </c>
      <c r="H79" s="28">
        <v>81778</v>
      </c>
      <c r="I79" s="28" t="s">
        <v>17</v>
      </c>
      <c r="J79" s="28">
        <v>15806103</v>
      </c>
      <c r="K79" s="28" t="s">
        <v>2279</v>
      </c>
      <c r="L79" t="s">
        <v>2283</v>
      </c>
      <c r="M79" s="37">
        <v>149900</v>
      </c>
      <c r="N79" s="81" t="s">
        <v>2826</v>
      </c>
      <c r="O79" s="37" t="s">
        <v>3221</v>
      </c>
      <c r="P79" s="28" t="s">
        <v>2826</v>
      </c>
    </row>
    <row r="80" spans="1:16" x14ac:dyDescent="0.3">
      <c r="A80" s="28" t="s">
        <v>3222</v>
      </c>
      <c r="B80" s="26">
        <v>46108</v>
      </c>
      <c r="C80" s="26">
        <v>46113</v>
      </c>
      <c r="D80" s="48">
        <v>3319</v>
      </c>
      <c r="E80" s="48">
        <v>327</v>
      </c>
      <c r="F80" s="28">
        <v>2</v>
      </c>
      <c r="G80" s="28">
        <v>1</v>
      </c>
      <c r="H80" s="28">
        <v>80700</v>
      </c>
      <c r="I80" s="28" t="s">
        <v>17</v>
      </c>
      <c r="J80" s="28">
        <v>59171896</v>
      </c>
      <c r="K80" s="28" t="s">
        <v>3200</v>
      </c>
      <c r="L80" t="s">
        <v>3201</v>
      </c>
      <c r="M80" s="37">
        <v>149900</v>
      </c>
      <c r="N80" s="81" t="s">
        <v>2826</v>
      </c>
      <c r="O80" s="37" t="s">
        <v>3221</v>
      </c>
      <c r="P80" s="28" t="s">
        <v>2826</v>
      </c>
    </row>
    <row r="81" spans="1:16" x14ac:dyDescent="0.3">
      <c r="A81" s="28" t="s">
        <v>3222</v>
      </c>
      <c r="B81" s="26">
        <v>46108</v>
      </c>
      <c r="C81" s="26">
        <v>46113</v>
      </c>
      <c r="D81" s="48">
        <v>3319</v>
      </c>
      <c r="E81" s="48">
        <v>327</v>
      </c>
      <c r="F81" s="28">
        <v>2</v>
      </c>
      <c r="G81" s="28">
        <v>1</v>
      </c>
      <c r="H81" s="28">
        <v>80700</v>
      </c>
      <c r="I81" s="28" t="s">
        <v>17</v>
      </c>
      <c r="J81" s="28">
        <v>59171903</v>
      </c>
      <c r="K81" s="28" t="s">
        <v>3200</v>
      </c>
      <c r="L81" t="s">
        <v>3202</v>
      </c>
      <c r="M81" s="37">
        <v>149900</v>
      </c>
      <c r="N81" s="81" t="s">
        <v>2826</v>
      </c>
      <c r="O81" s="37" t="s">
        <v>3221</v>
      </c>
      <c r="P81" s="28" t="s">
        <v>2826</v>
      </c>
    </row>
    <row r="82" spans="1:16" x14ac:dyDescent="0.3">
      <c r="A82" s="28" t="s">
        <v>3222</v>
      </c>
      <c r="B82" s="26">
        <v>46108</v>
      </c>
      <c r="C82" s="26">
        <v>46113</v>
      </c>
      <c r="D82" s="48">
        <v>3319</v>
      </c>
      <c r="E82" s="48">
        <v>327</v>
      </c>
      <c r="F82" s="28">
        <v>2</v>
      </c>
      <c r="G82" s="28">
        <v>1</v>
      </c>
      <c r="H82" s="28">
        <v>80700</v>
      </c>
      <c r="I82" s="28" t="s">
        <v>17</v>
      </c>
      <c r="J82" s="28">
        <v>59171912</v>
      </c>
      <c r="K82" s="28" t="s">
        <v>3200</v>
      </c>
      <c r="L82" t="s">
        <v>3203</v>
      </c>
      <c r="M82" s="37">
        <v>149900</v>
      </c>
      <c r="N82" s="81" t="s">
        <v>2826</v>
      </c>
      <c r="O82" s="37" t="s">
        <v>3221</v>
      </c>
      <c r="P82" s="28" t="s">
        <v>2826</v>
      </c>
    </row>
    <row r="83" spans="1:16" x14ac:dyDescent="0.3">
      <c r="A83" s="28" t="s">
        <v>3222</v>
      </c>
      <c r="B83" s="26">
        <v>46108</v>
      </c>
      <c r="C83" s="26">
        <v>46113</v>
      </c>
      <c r="D83" s="48">
        <v>3319</v>
      </c>
      <c r="E83" s="48">
        <v>327</v>
      </c>
      <c r="F83" s="28">
        <v>2</v>
      </c>
      <c r="G83" s="28">
        <v>1</v>
      </c>
      <c r="H83" s="28">
        <v>80700</v>
      </c>
      <c r="I83" s="28" t="s">
        <v>17</v>
      </c>
      <c r="J83" s="28">
        <v>59171921</v>
      </c>
      <c r="K83" s="28" t="s">
        <v>3200</v>
      </c>
      <c r="L83" t="s">
        <v>3204</v>
      </c>
      <c r="M83" s="37">
        <v>149900</v>
      </c>
      <c r="N83" s="81" t="s">
        <v>2826</v>
      </c>
      <c r="O83" s="37" t="s">
        <v>3221</v>
      </c>
      <c r="P83" s="28" t="s">
        <v>2826</v>
      </c>
    </row>
    <row r="84" spans="1:16" x14ac:dyDescent="0.3">
      <c r="A84" s="28" t="s">
        <v>3222</v>
      </c>
      <c r="B84" s="26">
        <v>46108</v>
      </c>
      <c r="C84" s="26">
        <v>46113</v>
      </c>
      <c r="D84" s="48">
        <v>3319</v>
      </c>
      <c r="E84" s="48">
        <v>327</v>
      </c>
      <c r="F84" s="28">
        <v>2</v>
      </c>
      <c r="G84" s="28">
        <v>1</v>
      </c>
      <c r="H84" s="28">
        <v>80700</v>
      </c>
      <c r="I84" s="28" t="s">
        <v>17</v>
      </c>
      <c r="J84" s="28">
        <v>59171930</v>
      </c>
      <c r="K84" s="28" t="s">
        <v>3200</v>
      </c>
      <c r="L84" t="s">
        <v>3205</v>
      </c>
      <c r="M84" s="37">
        <v>149900</v>
      </c>
      <c r="N84" s="81" t="s">
        <v>2826</v>
      </c>
      <c r="O84" s="37" t="s">
        <v>3221</v>
      </c>
      <c r="P84" s="28" t="s">
        <v>2826</v>
      </c>
    </row>
    <row r="85" spans="1:16" x14ac:dyDescent="0.3">
      <c r="A85" s="28" t="s">
        <v>3222</v>
      </c>
      <c r="B85" s="26">
        <v>46108</v>
      </c>
      <c r="C85" s="26">
        <v>46113</v>
      </c>
      <c r="D85" s="48">
        <v>3319</v>
      </c>
      <c r="E85" s="48">
        <v>327</v>
      </c>
      <c r="F85" s="28">
        <v>2</v>
      </c>
      <c r="G85" s="28">
        <v>1</v>
      </c>
      <c r="H85" s="28">
        <v>80700</v>
      </c>
      <c r="I85" s="28" t="s">
        <v>17</v>
      </c>
      <c r="J85" s="28">
        <v>59171949</v>
      </c>
      <c r="K85" s="28" t="s">
        <v>3206</v>
      </c>
      <c r="L85" t="s">
        <v>3207</v>
      </c>
      <c r="M85" s="37">
        <v>129900</v>
      </c>
      <c r="N85" s="81" t="s">
        <v>2826</v>
      </c>
      <c r="O85" s="37" t="s">
        <v>3221</v>
      </c>
      <c r="P85" s="28" t="s">
        <v>2826</v>
      </c>
    </row>
    <row r="86" spans="1:16" x14ac:dyDescent="0.3">
      <c r="A86" s="28" t="s">
        <v>3222</v>
      </c>
      <c r="B86" s="26">
        <v>46108</v>
      </c>
      <c r="C86" s="26">
        <v>46113</v>
      </c>
      <c r="D86" s="48">
        <v>3319</v>
      </c>
      <c r="E86" s="48">
        <v>327</v>
      </c>
      <c r="F86" s="28">
        <v>2</v>
      </c>
      <c r="G86" s="28">
        <v>1</v>
      </c>
      <c r="H86" s="28">
        <v>80700</v>
      </c>
      <c r="I86" s="28" t="s">
        <v>17</v>
      </c>
      <c r="J86" s="28">
        <v>59171958</v>
      </c>
      <c r="K86" s="28" t="s">
        <v>3206</v>
      </c>
      <c r="L86" t="s">
        <v>3208</v>
      </c>
      <c r="M86" s="37">
        <v>129900</v>
      </c>
      <c r="N86" s="81" t="s">
        <v>2826</v>
      </c>
      <c r="O86" s="37" t="s">
        <v>3221</v>
      </c>
      <c r="P86" s="28" t="s">
        <v>2826</v>
      </c>
    </row>
    <row r="87" spans="1:16" x14ac:dyDescent="0.3">
      <c r="A87" s="28" t="s">
        <v>3222</v>
      </c>
      <c r="B87" s="26">
        <v>46108</v>
      </c>
      <c r="C87" s="26">
        <v>46113</v>
      </c>
      <c r="D87" s="48">
        <v>3319</v>
      </c>
      <c r="E87" s="48">
        <v>327</v>
      </c>
      <c r="F87" s="28">
        <v>2</v>
      </c>
      <c r="G87" s="28">
        <v>1</v>
      </c>
      <c r="H87" s="28">
        <v>80700</v>
      </c>
      <c r="I87" s="28" t="s">
        <v>17</v>
      </c>
      <c r="J87" s="28">
        <v>59171967</v>
      </c>
      <c r="K87" s="28" t="s">
        <v>3206</v>
      </c>
      <c r="L87" t="s">
        <v>3209</v>
      </c>
      <c r="M87" s="37">
        <v>129900</v>
      </c>
      <c r="N87" s="81" t="s">
        <v>2826</v>
      </c>
      <c r="O87" s="37" t="s">
        <v>3221</v>
      </c>
      <c r="P87" s="28" t="s">
        <v>2826</v>
      </c>
    </row>
    <row r="88" spans="1:16" x14ac:dyDescent="0.3">
      <c r="A88" s="28" t="s">
        <v>3222</v>
      </c>
      <c r="B88" s="26">
        <v>46108</v>
      </c>
      <c r="C88" s="26">
        <v>46113</v>
      </c>
      <c r="D88" s="48">
        <v>3319</v>
      </c>
      <c r="E88" s="48">
        <v>327</v>
      </c>
      <c r="F88" s="28">
        <v>2</v>
      </c>
      <c r="G88" s="28">
        <v>1</v>
      </c>
      <c r="H88" s="28">
        <v>80700</v>
      </c>
      <c r="I88" s="28" t="s">
        <v>17</v>
      </c>
      <c r="J88" s="28">
        <v>59171976</v>
      </c>
      <c r="K88" s="28" t="s">
        <v>3206</v>
      </c>
      <c r="L88" t="s">
        <v>3210</v>
      </c>
      <c r="M88" s="37">
        <v>129900</v>
      </c>
      <c r="N88" s="81" t="s">
        <v>2826</v>
      </c>
      <c r="O88" s="37" t="s">
        <v>3221</v>
      </c>
      <c r="P88" s="28" t="s">
        <v>2826</v>
      </c>
    </row>
    <row r="89" spans="1:16" x14ac:dyDescent="0.3">
      <c r="A89" s="28" t="s">
        <v>3222</v>
      </c>
      <c r="B89" s="26">
        <v>46108</v>
      </c>
      <c r="C89" s="26">
        <v>46113</v>
      </c>
      <c r="D89" s="48">
        <v>3319</v>
      </c>
      <c r="E89" s="48">
        <v>327</v>
      </c>
      <c r="F89" s="28">
        <v>2</v>
      </c>
      <c r="G89" s="28">
        <v>1</v>
      </c>
      <c r="H89" s="28">
        <v>81778</v>
      </c>
      <c r="I89" s="28" t="s">
        <v>17</v>
      </c>
      <c r="J89" s="28">
        <v>14187310</v>
      </c>
      <c r="K89" s="28" t="s">
        <v>1774</v>
      </c>
      <c r="L89" t="s">
        <v>1775</v>
      </c>
      <c r="M89" s="37">
        <v>149900</v>
      </c>
      <c r="N89" s="81" t="s">
        <v>2826</v>
      </c>
      <c r="O89" s="37" t="s">
        <v>3221</v>
      </c>
      <c r="P89" s="28" t="s">
        <v>2826</v>
      </c>
    </row>
    <row r="90" spans="1:16" x14ac:dyDescent="0.3">
      <c r="A90" s="28" t="s">
        <v>3222</v>
      </c>
      <c r="B90" s="26">
        <v>46108</v>
      </c>
      <c r="C90" s="26">
        <v>46113</v>
      </c>
      <c r="D90" s="48">
        <v>3319</v>
      </c>
      <c r="E90" s="48">
        <v>327</v>
      </c>
      <c r="F90" s="28">
        <v>2</v>
      </c>
      <c r="G90" s="28">
        <v>1</v>
      </c>
      <c r="H90" s="28">
        <v>81778</v>
      </c>
      <c r="I90" s="28" t="s">
        <v>17</v>
      </c>
      <c r="J90" s="28">
        <v>14187329</v>
      </c>
      <c r="K90" s="28" t="s">
        <v>1774</v>
      </c>
      <c r="L90" t="s">
        <v>1776</v>
      </c>
      <c r="M90" s="37">
        <v>149900</v>
      </c>
      <c r="N90" s="81" t="s">
        <v>2826</v>
      </c>
      <c r="O90" s="37" t="s">
        <v>3221</v>
      </c>
      <c r="P90" s="28" t="s">
        <v>2826</v>
      </c>
    </row>
    <row r="91" spans="1:16" x14ac:dyDescent="0.3">
      <c r="A91" s="28" t="s">
        <v>3222</v>
      </c>
      <c r="B91" s="26">
        <v>46108</v>
      </c>
      <c r="C91" s="26">
        <v>46113</v>
      </c>
      <c r="D91" s="48">
        <v>3319</v>
      </c>
      <c r="E91" s="48">
        <v>327</v>
      </c>
      <c r="F91" s="28">
        <v>2</v>
      </c>
      <c r="G91" s="28">
        <v>1</v>
      </c>
      <c r="H91" s="28">
        <v>81778</v>
      </c>
      <c r="I91" s="28" t="s">
        <v>17</v>
      </c>
      <c r="J91" s="28">
        <v>14187338</v>
      </c>
      <c r="K91" s="28" t="s">
        <v>1774</v>
      </c>
      <c r="L91" t="s">
        <v>1777</v>
      </c>
      <c r="M91" s="37">
        <v>149900</v>
      </c>
      <c r="N91" s="81" t="s">
        <v>2826</v>
      </c>
      <c r="O91" s="37" t="s">
        <v>3221</v>
      </c>
      <c r="P91" s="28" t="s">
        <v>2826</v>
      </c>
    </row>
    <row r="92" spans="1:16" x14ac:dyDescent="0.3">
      <c r="A92" s="28" t="s">
        <v>3222</v>
      </c>
      <c r="B92" s="26">
        <v>46108</v>
      </c>
      <c r="C92" s="26">
        <v>46113</v>
      </c>
      <c r="D92" s="48">
        <v>3319</v>
      </c>
      <c r="E92" s="48">
        <v>327</v>
      </c>
      <c r="F92" s="28">
        <v>2</v>
      </c>
      <c r="G92" s="28">
        <v>1</v>
      </c>
      <c r="H92" s="28">
        <v>81778</v>
      </c>
      <c r="I92" s="28" t="s">
        <v>17</v>
      </c>
      <c r="J92" s="28">
        <v>14187347</v>
      </c>
      <c r="K92" s="28" t="s">
        <v>1774</v>
      </c>
      <c r="L92" t="s">
        <v>1778</v>
      </c>
      <c r="M92" s="37">
        <v>149900</v>
      </c>
      <c r="N92" s="81" t="s">
        <v>2826</v>
      </c>
      <c r="O92" s="37" t="s">
        <v>3221</v>
      </c>
      <c r="P92" s="28" t="s">
        <v>2826</v>
      </c>
    </row>
    <row r="93" spans="1:16" x14ac:dyDescent="0.3">
      <c r="A93" s="28" t="s">
        <v>3222</v>
      </c>
      <c r="B93" s="26">
        <v>46108</v>
      </c>
      <c r="C93" s="26">
        <v>46113</v>
      </c>
      <c r="D93" s="48">
        <v>3319</v>
      </c>
      <c r="E93" s="48">
        <v>327</v>
      </c>
      <c r="F93" s="28">
        <v>2</v>
      </c>
      <c r="G93" s="28">
        <v>1</v>
      </c>
      <c r="H93" s="28">
        <v>81778</v>
      </c>
      <c r="I93" s="28" t="s">
        <v>17</v>
      </c>
      <c r="J93" s="28">
        <v>14187356</v>
      </c>
      <c r="K93" s="28" t="s">
        <v>1774</v>
      </c>
      <c r="L93" t="s">
        <v>1779</v>
      </c>
      <c r="M93" s="37">
        <v>149900</v>
      </c>
      <c r="N93" s="81" t="s">
        <v>2826</v>
      </c>
      <c r="O93" s="37" t="s">
        <v>3221</v>
      </c>
      <c r="P93" s="28" t="s">
        <v>2826</v>
      </c>
    </row>
    <row r="94" spans="1:16" x14ac:dyDescent="0.3">
      <c r="A94" s="28" t="s">
        <v>3222</v>
      </c>
      <c r="B94" s="26">
        <v>46108</v>
      </c>
      <c r="C94" s="26">
        <v>46113</v>
      </c>
      <c r="D94" s="48">
        <v>3319</v>
      </c>
      <c r="E94" s="48">
        <v>327</v>
      </c>
      <c r="F94" s="28">
        <v>2</v>
      </c>
      <c r="G94" s="28">
        <v>1</v>
      </c>
      <c r="H94" s="28">
        <v>81778</v>
      </c>
      <c r="I94" s="28" t="s">
        <v>17</v>
      </c>
      <c r="J94" s="28">
        <v>14187365</v>
      </c>
      <c r="K94" s="28" t="s">
        <v>1774</v>
      </c>
      <c r="L94" t="s">
        <v>1780</v>
      </c>
      <c r="M94" s="37">
        <v>149900</v>
      </c>
      <c r="N94" s="81" t="s">
        <v>2826</v>
      </c>
      <c r="O94" s="37" t="s">
        <v>3221</v>
      </c>
      <c r="P94" s="28" t="s">
        <v>2826</v>
      </c>
    </row>
    <row r="95" spans="1:16" x14ac:dyDescent="0.3">
      <c r="A95" s="28" t="s">
        <v>3222</v>
      </c>
      <c r="B95" s="26">
        <v>46108</v>
      </c>
      <c r="C95" s="26">
        <v>46113</v>
      </c>
      <c r="D95" s="48">
        <v>3319</v>
      </c>
      <c r="E95" s="48">
        <v>327</v>
      </c>
      <c r="F95" s="28">
        <v>2</v>
      </c>
      <c r="G95" s="28">
        <v>1</v>
      </c>
      <c r="H95" s="28">
        <v>81778</v>
      </c>
      <c r="I95" s="28" t="s">
        <v>17</v>
      </c>
      <c r="J95" s="28">
        <v>14187374</v>
      </c>
      <c r="K95" s="28" t="s">
        <v>1774</v>
      </c>
      <c r="L95" t="s">
        <v>1781</v>
      </c>
      <c r="M95" s="37">
        <v>149900</v>
      </c>
      <c r="N95" s="81" t="s">
        <v>2826</v>
      </c>
      <c r="O95" s="37" t="s">
        <v>3221</v>
      </c>
      <c r="P95" s="28" t="s">
        <v>2826</v>
      </c>
    </row>
    <row r="96" spans="1:16" x14ac:dyDescent="0.3">
      <c r="A96" s="28" t="s">
        <v>3222</v>
      </c>
      <c r="B96" s="26">
        <v>46108</v>
      </c>
      <c r="C96" s="26">
        <v>46113</v>
      </c>
      <c r="D96" s="48">
        <v>3319</v>
      </c>
      <c r="E96" s="48">
        <v>327</v>
      </c>
      <c r="F96" s="28">
        <v>2</v>
      </c>
      <c r="G96" s="28">
        <v>1</v>
      </c>
      <c r="H96" s="28">
        <v>81778</v>
      </c>
      <c r="I96" s="28" t="s">
        <v>17</v>
      </c>
      <c r="J96" s="28">
        <v>14187383</v>
      </c>
      <c r="K96" s="28" t="s">
        <v>1774</v>
      </c>
      <c r="L96" t="s">
        <v>1782</v>
      </c>
      <c r="M96" s="37">
        <v>149900</v>
      </c>
      <c r="N96" s="81" t="s">
        <v>2826</v>
      </c>
      <c r="O96" s="37" t="s">
        <v>3221</v>
      </c>
      <c r="P96" s="28" t="s">
        <v>2826</v>
      </c>
    </row>
    <row r="97" spans="1:16" x14ac:dyDescent="0.3">
      <c r="A97" s="28" t="s">
        <v>3222</v>
      </c>
      <c r="B97" s="26">
        <v>46108</v>
      </c>
      <c r="C97" s="26">
        <v>46113</v>
      </c>
      <c r="D97" s="48">
        <v>3319</v>
      </c>
      <c r="E97" s="48">
        <v>327</v>
      </c>
      <c r="F97" s="28">
        <v>2</v>
      </c>
      <c r="G97" s="28">
        <v>1</v>
      </c>
      <c r="H97" s="28">
        <v>81778</v>
      </c>
      <c r="I97" s="28" t="s">
        <v>17</v>
      </c>
      <c r="J97" s="28">
        <v>14187392</v>
      </c>
      <c r="K97" s="28" t="s">
        <v>1774</v>
      </c>
      <c r="L97" t="s">
        <v>1783</v>
      </c>
      <c r="M97" s="37">
        <v>149900</v>
      </c>
      <c r="N97" s="81" t="s">
        <v>2826</v>
      </c>
      <c r="O97" s="37" t="s">
        <v>3221</v>
      </c>
      <c r="P97" s="28" t="s">
        <v>2826</v>
      </c>
    </row>
    <row r="98" spans="1:16" x14ac:dyDescent="0.3">
      <c r="A98" s="28" t="s">
        <v>3222</v>
      </c>
      <c r="B98" s="26">
        <v>46108</v>
      </c>
      <c r="C98" s="26">
        <v>46113</v>
      </c>
      <c r="D98" s="48">
        <v>3319</v>
      </c>
      <c r="E98" s="48">
        <v>327</v>
      </c>
      <c r="F98" s="28">
        <v>2</v>
      </c>
      <c r="G98" s="28">
        <v>1</v>
      </c>
      <c r="H98" s="28">
        <v>81778</v>
      </c>
      <c r="I98" s="28" t="s">
        <v>17</v>
      </c>
      <c r="J98" s="28">
        <v>14187409</v>
      </c>
      <c r="K98" s="28" t="s">
        <v>1774</v>
      </c>
      <c r="L98" t="s">
        <v>1784</v>
      </c>
      <c r="M98" s="37">
        <v>149900</v>
      </c>
      <c r="N98" s="81" t="s">
        <v>2826</v>
      </c>
      <c r="O98" s="37" t="s">
        <v>3221</v>
      </c>
      <c r="P98" s="28" t="s">
        <v>2826</v>
      </c>
    </row>
    <row r="99" spans="1:16" x14ac:dyDescent="0.3">
      <c r="A99" s="28" t="s">
        <v>3222</v>
      </c>
      <c r="B99" s="26">
        <v>46108</v>
      </c>
      <c r="C99" s="26">
        <v>46113</v>
      </c>
      <c r="D99" s="48">
        <v>3319</v>
      </c>
      <c r="E99" s="48">
        <v>327</v>
      </c>
      <c r="F99" s="28">
        <v>2</v>
      </c>
      <c r="G99" s="28">
        <v>1</v>
      </c>
      <c r="H99" s="28">
        <v>81778</v>
      </c>
      <c r="I99" s="28" t="s">
        <v>17</v>
      </c>
      <c r="J99" s="28">
        <v>22704101</v>
      </c>
      <c r="K99" s="28" t="s">
        <v>2510</v>
      </c>
      <c r="L99" t="s">
        <v>2511</v>
      </c>
      <c r="M99" s="37">
        <v>149900</v>
      </c>
      <c r="N99" s="81" t="s">
        <v>2826</v>
      </c>
      <c r="O99" s="37" t="s">
        <v>3221</v>
      </c>
      <c r="P99" s="28" t="s">
        <v>2826</v>
      </c>
    </row>
    <row r="100" spans="1:16" x14ac:dyDescent="0.3">
      <c r="A100" s="28" t="s">
        <v>3222</v>
      </c>
      <c r="B100" s="26">
        <v>46108</v>
      </c>
      <c r="C100" s="26">
        <v>46113</v>
      </c>
      <c r="D100" s="48">
        <v>3319</v>
      </c>
      <c r="E100" s="48">
        <v>327</v>
      </c>
      <c r="F100" s="28">
        <v>2</v>
      </c>
      <c r="G100" s="28">
        <v>1</v>
      </c>
      <c r="H100" s="28">
        <v>81778</v>
      </c>
      <c r="I100" s="28" t="s">
        <v>17</v>
      </c>
      <c r="J100" s="28">
        <v>22704110</v>
      </c>
      <c r="K100" s="28" t="s">
        <v>2510</v>
      </c>
      <c r="L100" t="s">
        <v>2512</v>
      </c>
      <c r="M100" s="37">
        <v>149900</v>
      </c>
      <c r="N100" s="81" t="s">
        <v>2826</v>
      </c>
      <c r="O100" s="37" t="s">
        <v>3221</v>
      </c>
      <c r="P100" s="28" t="s">
        <v>2826</v>
      </c>
    </row>
    <row r="101" spans="1:16" x14ac:dyDescent="0.3">
      <c r="A101" s="28" t="s">
        <v>3222</v>
      </c>
      <c r="B101" s="26">
        <v>46108</v>
      </c>
      <c r="C101" s="26">
        <v>46113</v>
      </c>
      <c r="D101" s="48">
        <v>3319</v>
      </c>
      <c r="E101" s="48">
        <v>327</v>
      </c>
      <c r="F101" s="28">
        <v>2</v>
      </c>
      <c r="G101" s="28">
        <v>1</v>
      </c>
      <c r="H101" s="28">
        <v>81778</v>
      </c>
      <c r="I101" s="28" t="s">
        <v>17</v>
      </c>
      <c r="J101" s="28">
        <v>22704129</v>
      </c>
      <c r="K101" s="28" t="s">
        <v>2510</v>
      </c>
      <c r="L101" t="s">
        <v>2513</v>
      </c>
      <c r="M101" s="37">
        <v>149900</v>
      </c>
      <c r="N101" s="81" t="s">
        <v>2826</v>
      </c>
      <c r="O101" s="37" t="s">
        <v>3221</v>
      </c>
      <c r="P101" s="28" t="s">
        <v>2826</v>
      </c>
    </row>
    <row r="102" spans="1:16" x14ac:dyDescent="0.3">
      <c r="A102" s="28" t="s">
        <v>3222</v>
      </c>
      <c r="B102" s="26">
        <v>46108</v>
      </c>
      <c r="C102" s="26">
        <v>46113</v>
      </c>
      <c r="D102" s="48">
        <v>3319</v>
      </c>
      <c r="E102" s="48">
        <v>327</v>
      </c>
      <c r="F102" s="28">
        <v>2</v>
      </c>
      <c r="G102" s="28">
        <v>1</v>
      </c>
      <c r="H102" s="28">
        <v>81778</v>
      </c>
      <c r="I102" s="28" t="s">
        <v>17</v>
      </c>
      <c r="J102" s="28">
        <v>22704138</v>
      </c>
      <c r="K102" s="28" t="s">
        <v>2510</v>
      </c>
      <c r="L102" t="s">
        <v>2514</v>
      </c>
      <c r="M102" s="37">
        <v>149900</v>
      </c>
      <c r="N102" s="81" t="s">
        <v>2826</v>
      </c>
      <c r="O102" s="37" t="s">
        <v>3221</v>
      </c>
      <c r="P102" s="28" t="s">
        <v>2826</v>
      </c>
    </row>
    <row r="103" spans="1:16" x14ac:dyDescent="0.3">
      <c r="A103" s="28" t="s">
        <v>3222</v>
      </c>
      <c r="B103" s="26">
        <v>46108</v>
      </c>
      <c r="C103" s="26">
        <v>46113</v>
      </c>
      <c r="D103" s="48">
        <v>3319</v>
      </c>
      <c r="E103" s="48">
        <v>327</v>
      </c>
      <c r="F103" s="28">
        <v>2</v>
      </c>
      <c r="G103" s="28">
        <v>1</v>
      </c>
      <c r="H103" s="28">
        <v>81778</v>
      </c>
      <c r="I103" s="28" t="s">
        <v>17</v>
      </c>
      <c r="J103" s="28">
        <v>22704147</v>
      </c>
      <c r="K103" s="28" t="s">
        <v>2510</v>
      </c>
      <c r="L103" t="s">
        <v>2515</v>
      </c>
      <c r="M103" s="37">
        <v>149900</v>
      </c>
      <c r="N103" s="81" t="s">
        <v>2826</v>
      </c>
      <c r="O103" s="37" t="s">
        <v>3221</v>
      </c>
      <c r="P103" s="28" t="s">
        <v>2826</v>
      </c>
    </row>
    <row r="104" spans="1:16" x14ac:dyDescent="0.3">
      <c r="A104" s="28" t="s">
        <v>3222</v>
      </c>
      <c r="B104" s="26">
        <v>46108</v>
      </c>
      <c r="C104" s="26">
        <v>46113</v>
      </c>
      <c r="D104" s="48">
        <v>3319</v>
      </c>
      <c r="E104" s="48">
        <v>327</v>
      </c>
      <c r="F104" s="28">
        <v>2</v>
      </c>
      <c r="G104" s="28">
        <v>1</v>
      </c>
      <c r="H104" s="28">
        <v>80700</v>
      </c>
      <c r="I104" s="28" t="s">
        <v>17</v>
      </c>
      <c r="J104" s="28">
        <v>19296630</v>
      </c>
      <c r="K104" s="28" t="s">
        <v>1692</v>
      </c>
      <c r="L104" t="s">
        <v>2098</v>
      </c>
      <c r="M104" s="37">
        <v>149900</v>
      </c>
      <c r="N104" s="81" t="s">
        <v>2826</v>
      </c>
      <c r="O104" s="37" t="s">
        <v>3221</v>
      </c>
      <c r="P104" s="28" t="s">
        <v>2826</v>
      </c>
    </row>
    <row r="105" spans="1:16" x14ac:dyDescent="0.3">
      <c r="A105" s="28" t="s">
        <v>3222</v>
      </c>
      <c r="B105" s="26">
        <v>46108</v>
      </c>
      <c r="C105" s="26">
        <v>46113</v>
      </c>
      <c r="D105" s="48">
        <v>3319</v>
      </c>
      <c r="E105" s="48">
        <v>327</v>
      </c>
      <c r="F105" s="28">
        <v>2</v>
      </c>
      <c r="G105" s="28">
        <v>1</v>
      </c>
      <c r="H105" s="28">
        <v>80700</v>
      </c>
      <c r="I105" s="28" t="s">
        <v>17</v>
      </c>
      <c r="J105" s="28">
        <v>19296649</v>
      </c>
      <c r="K105" s="28" t="s">
        <v>1692</v>
      </c>
      <c r="L105" t="s">
        <v>2099</v>
      </c>
      <c r="M105" s="37">
        <v>149900</v>
      </c>
      <c r="N105" s="81" t="s">
        <v>2826</v>
      </c>
      <c r="O105" s="37" t="s">
        <v>3221</v>
      </c>
      <c r="P105" s="28" t="s">
        <v>2826</v>
      </c>
    </row>
    <row r="106" spans="1:16" x14ac:dyDescent="0.3">
      <c r="A106" s="28" t="s">
        <v>3222</v>
      </c>
      <c r="B106" s="26">
        <v>46108</v>
      </c>
      <c r="C106" s="26">
        <v>46113</v>
      </c>
      <c r="D106" s="48">
        <v>3319</v>
      </c>
      <c r="E106" s="48">
        <v>327</v>
      </c>
      <c r="F106" s="28">
        <v>2</v>
      </c>
      <c r="G106" s="28">
        <v>1</v>
      </c>
      <c r="H106" s="28">
        <v>80700</v>
      </c>
      <c r="I106" s="28" t="s">
        <v>17</v>
      </c>
      <c r="J106" s="28">
        <v>19296658</v>
      </c>
      <c r="K106" s="28" t="s">
        <v>1692</v>
      </c>
      <c r="L106" t="s">
        <v>2100</v>
      </c>
      <c r="M106" s="37">
        <v>149900</v>
      </c>
      <c r="N106" s="81" t="s">
        <v>2826</v>
      </c>
      <c r="O106" s="37" t="s">
        <v>3221</v>
      </c>
      <c r="P106" s="28" t="s">
        <v>2826</v>
      </c>
    </row>
    <row r="107" spans="1:16" x14ac:dyDescent="0.3">
      <c r="A107" s="28" t="s">
        <v>3222</v>
      </c>
      <c r="B107" s="26">
        <v>46108</v>
      </c>
      <c r="C107" s="26">
        <v>46113</v>
      </c>
      <c r="D107" s="48">
        <v>3319</v>
      </c>
      <c r="E107" s="48">
        <v>327</v>
      </c>
      <c r="F107" s="28">
        <v>2</v>
      </c>
      <c r="G107" s="28">
        <v>1</v>
      </c>
      <c r="H107" s="28">
        <v>80700</v>
      </c>
      <c r="I107" s="28" t="s">
        <v>17</v>
      </c>
      <c r="J107" s="28">
        <v>19296667</v>
      </c>
      <c r="K107" s="28" t="s">
        <v>1692</v>
      </c>
      <c r="L107" t="s">
        <v>2101</v>
      </c>
      <c r="M107" s="37">
        <v>149900</v>
      </c>
      <c r="N107" s="81" t="s">
        <v>2826</v>
      </c>
      <c r="O107" s="37" t="s">
        <v>3221</v>
      </c>
      <c r="P107" s="28" t="s">
        <v>2826</v>
      </c>
    </row>
    <row r="108" spans="1:16" x14ac:dyDescent="0.3">
      <c r="A108" s="28" t="s">
        <v>3222</v>
      </c>
      <c r="B108" s="26">
        <v>46108</v>
      </c>
      <c r="C108" s="26">
        <v>46113</v>
      </c>
      <c r="D108" s="48">
        <v>3319</v>
      </c>
      <c r="E108" s="48">
        <v>327</v>
      </c>
      <c r="F108" s="28">
        <v>2</v>
      </c>
      <c r="G108" s="28">
        <v>1</v>
      </c>
      <c r="H108" s="28">
        <v>80700</v>
      </c>
      <c r="I108" s="28" t="s">
        <v>17</v>
      </c>
      <c r="J108" s="28">
        <v>19296676</v>
      </c>
      <c r="K108" s="28" t="s">
        <v>1692</v>
      </c>
      <c r="L108" t="s">
        <v>2102</v>
      </c>
      <c r="M108" s="37">
        <v>149900</v>
      </c>
      <c r="N108" s="81" t="s">
        <v>2826</v>
      </c>
      <c r="O108" s="37" t="s">
        <v>3221</v>
      </c>
      <c r="P108" s="28" t="s">
        <v>2826</v>
      </c>
    </row>
    <row r="109" spans="1:16" x14ac:dyDescent="0.3">
      <c r="A109" s="28" t="s">
        <v>3222</v>
      </c>
      <c r="B109" s="26">
        <v>46108</v>
      </c>
      <c r="C109" s="26">
        <v>46113</v>
      </c>
      <c r="D109" s="48">
        <v>3319</v>
      </c>
      <c r="E109" s="48">
        <v>327</v>
      </c>
      <c r="F109" s="28">
        <v>2</v>
      </c>
      <c r="G109" s="28">
        <v>1</v>
      </c>
      <c r="H109" s="28">
        <v>80700</v>
      </c>
      <c r="I109" s="28" t="s">
        <v>17</v>
      </c>
      <c r="J109" s="28">
        <v>82228433</v>
      </c>
      <c r="K109" s="28" t="s">
        <v>1692</v>
      </c>
      <c r="L109" t="s">
        <v>1701</v>
      </c>
      <c r="M109" s="37">
        <v>149900</v>
      </c>
      <c r="N109" s="81" t="s">
        <v>2826</v>
      </c>
      <c r="O109" s="37" t="s">
        <v>3221</v>
      </c>
      <c r="P109" s="28" t="s">
        <v>2826</v>
      </c>
    </row>
    <row r="110" spans="1:16" x14ac:dyDescent="0.3">
      <c r="A110" s="28" t="s">
        <v>3222</v>
      </c>
      <c r="B110" s="26">
        <v>46108</v>
      </c>
      <c r="C110" s="26">
        <v>46113</v>
      </c>
      <c r="D110" s="48">
        <v>3319</v>
      </c>
      <c r="E110" s="48">
        <v>327</v>
      </c>
      <c r="F110" s="28">
        <v>2</v>
      </c>
      <c r="G110" s="28">
        <v>1</v>
      </c>
      <c r="H110" s="28">
        <v>80700</v>
      </c>
      <c r="I110" s="28" t="s">
        <v>17</v>
      </c>
      <c r="J110" s="28">
        <v>82228442</v>
      </c>
      <c r="K110" s="28" t="s">
        <v>1692</v>
      </c>
      <c r="L110" t="s">
        <v>1702</v>
      </c>
      <c r="M110" s="37">
        <v>149900</v>
      </c>
      <c r="N110" s="81" t="s">
        <v>2826</v>
      </c>
      <c r="O110" s="37" t="s">
        <v>3221</v>
      </c>
      <c r="P110" s="28" t="s">
        <v>2826</v>
      </c>
    </row>
    <row r="111" spans="1:16" x14ac:dyDescent="0.3">
      <c r="A111" s="28" t="s">
        <v>3222</v>
      </c>
      <c r="B111" s="26">
        <v>46108</v>
      </c>
      <c r="C111" s="26">
        <v>46113</v>
      </c>
      <c r="D111" s="48">
        <v>3319</v>
      </c>
      <c r="E111" s="48">
        <v>327</v>
      </c>
      <c r="F111" s="28">
        <v>2</v>
      </c>
      <c r="G111" s="28">
        <v>1</v>
      </c>
      <c r="H111" s="28">
        <v>80700</v>
      </c>
      <c r="I111" s="28" t="s">
        <v>17</v>
      </c>
      <c r="J111" s="28">
        <v>82228451</v>
      </c>
      <c r="K111" s="28" t="s">
        <v>1692</v>
      </c>
      <c r="L111" t="s">
        <v>1695</v>
      </c>
      <c r="M111" s="37">
        <v>149900</v>
      </c>
      <c r="N111" s="81" t="s">
        <v>2826</v>
      </c>
      <c r="O111" s="37" t="s">
        <v>3221</v>
      </c>
      <c r="P111" s="28" t="s">
        <v>2826</v>
      </c>
    </row>
    <row r="112" spans="1:16" x14ac:dyDescent="0.3">
      <c r="A112" s="28" t="s">
        <v>3222</v>
      </c>
      <c r="B112" s="26">
        <v>46108</v>
      </c>
      <c r="C112" s="26">
        <v>46113</v>
      </c>
      <c r="D112" s="48">
        <v>3319</v>
      </c>
      <c r="E112" s="48">
        <v>327</v>
      </c>
      <c r="F112" s="28">
        <v>2</v>
      </c>
      <c r="G112" s="28">
        <v>1</v>
      </c>
      <c r="H112" s="28">
        <v>80700</v>
      </c>
      <c r="I112" s="28" t="s">
        <v>17</v>
      </c>
      <c r="J112" s="28">
        <v>82228460</v>
      </c>
      <c r="K112" s="28" t="s">
        <v>1692</v>
      </c>
      <c r="L112" t="s">
        <v>1694</v>
      </c>
      <c r="M112" s="37">
        <v>149900</v>
      </c>
      <c r="N112" s="81" t="s">
        <v>2826</v>
      </c>
      <c r="O112" s="37" t="s">
        <v>3221</v>
      </c>
      <c r="P112" s="28" t="s">
        <v>2826</v>
      </c>
    </row>
    <row r="113" spans="1:16" x14ac:dyDescent="0.3">
      <c r="A113" s="28" t="s">
        <v>3222</v>
      </c>
      <c r="B113" s="26">
        <v>46108</v>
      </c>
      <c r="C113" s="26">
        <v>46113</v>
      </c>
      <c r="D113" s="48">
        <v>3319</v>
      </c>
      <c r="E113" s="48">
        <v>327</v>
      </c>
      <c r="F113" s="28">
        <v>2</v>
      </c>
      <c r="G113" s="28">
        <v>1</v>
      </c>
      <c r="H113" s="28">
        <v>80700</v>
      </c>
      <c r="I113" s="28" t="s">
        <v>17</v>
      </c>
      <c r="J113" s="28">
        <v>82228479</v>
      </c>
      <c r="K113" s="28" t="s">
        <v>1692</v>
      </c>
      <c r="L113" t="s">
        <v>1693</v>
      </c>
      <c r="M113" s="37">
        <v>149900</v>
      </c>
      <c r="N113" s="81" t="s">
        <v>2826</v>
      </c>
      <c r="O113" s="37" t="s">
        <v>3221</v>
      </c>
      <c r="P113" s="28" t="s">
        <v>2826</v>
      </c>
    </row>
    <row r="114" spans="1:16" x14ac:dyDescent="0.3">
      <c r="A114" s="28" t="s">
        <v>3222</v>
      </c>
      <c r="B114" s="26">
        <v>46108</v>
      </c>
      <c r="C114" s="26">
        <v>46113</v>
      </c>
      <c r="D114" s="48">
        <v>3319</v>
      </c>
      <c r="E114" s="48">
        <v>327</v>
      </c>
      <c r="F114" s="28">
        <v>2</v>
      </c>
      <c r="G114" s="28">
        <v>1</v>
      </c>
      <c r="H114" s="28">
        <v>80700</v>
      </c>
      <c r="I114" s="28" t="s">
        <v>17</v>
      </c>
      <c r="J114" s="28">
        <v>45921379</v>
      </c>
      <c r="K114" s="28" t="s">
        <v>2538</v>
      </c>
      <c r="L114" t="s">
        <v>2539</v>
      </c>
      <c r="M114" s="37">
        <v>129900</v>
      </c>
      <c r="N114" s="81" t="s">
        <v>2826</v>
      </c>
      <c r="O114" s="37" t="s">
        <v>3221</v>
      </c>
      <c r="P114" s="28" t="s">
        <v>2826</v>
      </c>
    </row>
    <row r="115" spans="1:16" x14ac:dyDescent="0.3">
      <c r="A115" s="28" t="s">
        <v>3222</v>
      </c>
      <c r="B115" s="26">
        <v>46108</v>
      </c>
      <c r="C115" s="26">
        <v>46113</v>
      </c>
      <c r="D115" s="48">
        <v>3319</v>
      </c>
      <c r="E115" s="48">
        <v>327</v>
      </c>
      <c r="F115" s="28">
        <v>2</v>
      </c>
      <c r="G115" s="28">
        <v>1</v>
      </c>
      <c r="H115" s="28">
        <v>80700</v>
      </c>
      <c r="I115" s="28" t="s">
        <v>17</v>
      </c>
      <c r="J115" s="28">
        <v>45921388</v>
      </c>
      <c r="K115" s="28" t="s">
        <v>2538</v>
      </c>
      <c r="L115" t="s">
        <v>2540</v>
      </c>
      <c r="M115" s="37">
        <v>129900</v>
      </c>
      <c r="N115" s="81" t="s">
        <v>2826</v>
      </c>
      <c r="O115" s="37" t="s">
        <v>3221</v>
      </c>
      <c r="P115" s="28" t="s">
        <v>2826</v>
      </c>
    </row>
    <row r="116" spans="1:16" x14ac:dyDescent="0.3">
      <c r="A116" s="28" t="s">
        <v>3222</v>
      </c>
      <c r="B116" s="26">
        <v>46108</v>
      </c>
      <c r="C116" s="26">
        <v>46113</v>
      </c>
      <c r="D116" s="48">
        <v>3319</v>
      </c>
      <c r="E116" s="48">
        <v>327</v>
      </c>
      <c r="F116" s="28">
        <v>2</v>
      </c>
      <c r="G116" s="28">
        <v>1</v>
      </c>
      <c r="H116" s="28">
        <v>80700</v>
      </c>
      <c r="I116" s="28" t="s">
        <v>17</v>
      </c>
      <c r="J116" s="28">
        <v>45921397</v>
      </c>
      <c r="K116" s="28" t="s">
        <v>2538</v>
      </c>
      <c r="L116" t="s">
        <v>2541</v>
      </c>
      <c r="M116" s="37">
        <v>129900</v>
      </c>
      <c r="N116" s="81" t="s">
        <v>2826</v>
      </c>
      <c r="O116" s="37" t="s">
        <v>3221</v>
      </c>
      <c r="P116" s="28" t="s">
        <v>2826</v>
      </c>
    </row>
    <row r="117" spans="1:16" x14ac:dyDescent="0.3">
      <c r="A117" s="28" t="s">
        <v>3222</v>
      </c>
      <c r="B117" s="26">
        <v>46108</v>
      </c>
      <c r="C117" s="26">
        <v>46113</v>
      </c>
      <c r="D117" s="48">
        <v>3319</v>
      </c>
      <c r="E117" s="48">
        <v>327</v>
      </c>
      <c r="F117" s="28">
        <v>2</v>
      </c>
      <c r="G117" s="28">
        <v>1</v>
      </c>
      <c r="H117" s="28">
        <v>80700</v>
      </c>
      <c r="I117" s="28" t="s">
        <v>17</v>
      </c>
      <c r="J117" s="28">
        <v>45921404</v>
      </c>
      <c r="K117" s="28" t="s">
        <v>2538</v>
      </c>
      <c r="L117" t="s">
        <v>2542</v>
      </c>
      <c r="M117" s="37">
        <v>129900</v>
      </c>
      <c r="N117" s="81" t="s">
        <v>2826</v>
      </c>
      <c r="O117" s="37" t="s">
        <v>3221</v>
      </c>
      <c r="P117" s="28" t="s">
        <v>2826</v>
      </c>
    </row>
    <row r="118" spans="1:16" x14ac:dyDescent="0.3">
      <c r="A118" s="28" t="s">
        <v>3222</v>
      </c>
      <c r="B118" s="26">
        <v>46108</v>
      </c>
      <c r="C118" s="26">
        <v>46113</v>
      </c>
      <c r="D118" s="48">
        <v>3319</v>
      </c>
      <c r="E118" s="48">
        <v>327</v>
      </c>
      <c r="F118" s="28">
        <v>2</v>
      </c>
      <c r="G118" s="28">
        <v>1</v>
      </c>
      <c r="H118" s="28">
        <v>80700</v>
      </c>
      <c r="I118" s="28" t="s">
        <v>17</v>
      </c>
      <c r="J118" s="28">
        <v>45921413</v>
      </c>
      <c r="K118" s="28" t="s">
        <v>2538</v>
      </c>
      <c r="L118" t="s">
        <v>2543</v>
      </c>
      <c r="M118" s="37">
        <v>129900</v>
      </c>
      <c r="N118" s="81" t="s">
        <v>2826</v>
      </c>
      <c r="O118" s="37" t="s">
        <v>3221</v>
      </c>
      <c r="P118" s="28" t="s">
        <v>2826</v>
      </c>
    </row>
    <row r="119" spans="1:16" x14ac:dyDescent="0.3">
      <c r="A119" s="28" t="s">
        <v>3222</v>
      </c>
      <c r="B119" s="26">
        <v>46108</v>
      </c>
      <c r="C119" s="26">
        <v>46113</v>
      </c>
      <c r="D119" s="48">
        <v>3319</v>
      </c>
      <c r="E119" s="48">
        <v>327</v>
      </c>
      <c r="F119" s="28">
        <v>2</v>
      </c>
      <c r="G119" s="28">
        <v>1</v>
      </c>
      <c r="H119" s="28">
        <v>80700</v>
      </c>
      <c r="I119" s="28" t="s">
        <v>17</v>
      </c>
      <c r="J119" s="28">
        <v>45921422</v>
      </c>
      <c r="K119" s="28" t="s">
        <v>2538</v>
      </c>
      <c r="L119" t="s">
        <v>2544</v>
      </c>
      <c r="M119" s="37">
        <v>129900</v>
      </c>
      <c r="N119" s="81" t="s">
        <v>2826</v>
      </c>
      <c r="O119" s="37" t="s">
        <v>3221</v>
      </c>
      <c r="P119" s="28" t="s">
        <v>2826</v>
      </c>
    </row>
    <row r="120" spans="1:16" x14ac:dyDescent="0.3">
      <c r="A120" s="28" t="s">
        <v>3222</v>
      </c>
      <c r="B120" s="26">
        <v>46108</v>
      </c>
      <c r="C120" s="26">
        <v>46113</v>
      </c>
      <c r="D120" s="48">
        <v>3319</v>
      </c>
      <c r="E120" s="48">
        <v>327</v>
      </c>
      <c r="F120" s="28">
        <v>2</v>
      </c>
      <c r="G120" s="28">
        <v>1</v>
      </c>
      <c r="H120" s="28">
        <v>80700</v>
      </c>
      <c r="I120" s="28" t="s">
        <v>17</v>
      </c>
      <c r="J120" s="28">
        <v>45921431</v>
      </c>
      <c r="K120" s="28" t="s">
        <v>2538</v>
      </c>
      <c r="L120" t="s">
        <v>2545</v>
      </c>
      <c r="M120" s="37">
        <v>129900</v>
      </c>
      <c r="N120" s="81" t="s">
        <v>2826</v>
      </c>
      <c r="O120" s="37" t="s">
        <v>3221</v>
      </c>
      <c r="P120" s="28" t="s">
        <v>2826</v>
      </c>
    </row>
    <row r="121" spans="1:16" x14ac:dyDescent="0.3">
      <c r="A121" s="28" t="s">
        <v>3222</v>
      </c>
      <c r="B121" s="26">
        <v>46108</v>
      </c>
      <c r="C121" s="26">
        <v>46113</v>
      </c>
      <c r="D121" s="48">
        <v>3319</v>
      </c>
      <c r="E121" s="48">
        <v>327</v>
      </c>
      <c r="F121" s="28">
        <v>2</v>
      </c>
      <c r="G121" s="28">
        <v>1</v>
      </c>
      <c r="H121" s="28">
        <v>80700</v>
      </c>
      <c r="I121" s="28" t="s">
        <v>17</v>
      </c>
      <c r="J121" s="28">
        <v>45921440</v>
      </c>
      <c r="K121" s="28" t="s">
        <v>2538</v>
      </c>
      <c r="L121" t="s">
        <v>2546</v>
      </c>
      <c r="M121" s="37">
        <v>129900</v>
      </c>
      <c r="N121" s="81" t="s">
        <v>2826</v>
      </c>
      <c r="O121" s="37" t="s">
        <v>3221</v>
      </c>
      <c r="P121" s="28" t="s">
        <v>2826</v>
      </c>
    </row>
    <row r="122" spans="1:16" x14ac:dyDescent="0.3">
      <c r="A122" s="28" t="s">
        <v>3222</v>
      </c>
      <c r="B122" s="26">
        <v>46108</v>
      </c>
      <c r="C122" s="26">
        <v>46113</v>
      </c>
      <c r="D122" s="48">
        <v>3319</v>
      </c>
      <c r="E122" s="48">
        <v>327</v>
      </c>
      <c r="F122" s="28">
        <v>2</v>
      </c>
      <c r="G122" s="28">
        <v>1</v>
      </c>
      <c r="H122" s="28">
        <v>81778</v>
      </c>
      <c r="I122" s="28" t="s">
        <v>17</v>
      </c>
      <c r="J122" s="28">
        <v>22153699</v>
      </c>
      <c r="K122" s="28" t="s">
        <v>2311</v>
      </c>
      <c r="L122" t="s">
        <v>2312</v>
      </c>
      <c r="M122" s="37">
        <v>149900</v>
      </c>
      <c r="N122" s="81" t="s">
        <v>2826</v>
      </c>
      <c r="O122" s="37" t="s">
        <v>3221</v>
      </c>
      <c r="P122" s="28" t="s">
        <v>2826</v>
      </c>
    </row>
    <row r="123" spans="1:16" x14ac:dyDescent="0.3">
      <c r="A123" s="28" t="s">
        <v>3222</v>
      </c>
      <c r="B123" s="26">
        <v>46108</v>
      </c>
      <c r="C123" s="26">
        <v>46113</v>
      </c>
      <c r="D123" s="48">
        <v>3319</v>
      </c>
      <c r="E123" s="48">
        <v>327</v>
      </c>
      <c r="F123" s="28">
        <v>2</v>
      </c>
      <c r="G123" s="28">
        <v>1</v>
      </c>
      <c r="H123" s="28">
        <v>81778</v>
      </c>
      <c r="I123" s="28" t="s">
        <v>17</v>
      </c>
      <c r="J123" s="28">
        <v>22153797</v>
      </c>
      <c r="K123" s="28" t="s">
        <v>2311</v>
      </c>
      <c r="L123" t="s">
        <v>2313</v>
      </c>
      <c r="M123" s="37">
        <v>149900</v>
      </c>
      <c r="N123" s="81" t="s">
        <v>2826</v>
      </c>
      <c r="O123" s="37" t="s">
        <v>3221</v>
      </c>
      <c r="P123" s="28" t="s">
        <v>2826</v>
      </c>
    </row>
    <row r="124" spans="1:16" x14ac:dyDescent="0.3">
      <c r="A124" s="28" t="s">
        <v>3222</v>
      </c>
      <c r="B124" s="26">
        <v>46108</v>
      </c>
      <c r="C124" s="26">
        <v>46113</v>
      </c>
      <c r="D124" s="48">
        <v>3319</v>
      </c>
      <c r="E124" s="48">
        <v>327</v>
      </c>
      <c r="F124" s="28">
        <v>2</v>
      </c>
      <c r="G124" s="28">
        <v>1</v>
      </c>
      <c r="H124" s="28">
        <v>81778</v>
      </c>
      <c r="I124" s="28" t="s">
        <v>17</v>
      </c>
      <c r="J124" s="28">
        <v>22153804</v>
      </c>
      <c r="K124" s="28" t="s">
        <v>2311</v>
      </c>
      <c r="L124" t="s">
        <v>2314</v>
      </c>
      <c r="M124" s="37">
        <v>149900</v>
      </c>
      <c r="N124" s="81" t="s">
        <v>2826</v>
      </c>
      <c r="O124" s="37" t="s">
        <v>3221</v>
      </c>
      <c r="P124" s="28" t="s">
        <v>2826</v>
      </c>
    </row>
    <row r="125" spans="1:16" x14ac:dyDescent="0.3">
      <c r="A125" s="28" t="s">
        <v>3222</v>
      </c>
      <c r="B125" s="26">
        <v>46108</v>
      </c>
      <c r="C125" s="26">
        <v>46113</v>
      </c>
      <c r="D125" s="48">
        <v>3319</v>
      </c>
      <c r="E125" s="48">
        <v>327</v>
      </c>
      <c r="F125" s="28">
        <v>2</v>
      </c>
      <c r="G125" s="28">
        <v>1</v>
      </c>
      <c r="H125" s="28">
        <v>81778</v>
      </c>
      <c r="I125" s="28" t="s">
        <v>17</v>
      </c>
      <c r="J125" s="28">
        <v>22153813</v>
      </c>
      <c r="K125" s="28" t="s">
        <v>2311</v>
      </c>
      <c r="L125" t="s">
        <v>2315</v>
      </c>
      <c r="M125" s="37">
        <v>149900</v>
      </c>
      <c r="N125" s="81" t="s">
        <v>2826</v>
      </c>
      <c r="O125" s="37" t="s">
        <v>3221</v>
      </c>
      <c r="P125" s="28" t="s">
        <v>2826</v>
      </c>
    </row>
    <row r="126" spans="1:16" x14ac:dyDescent="0.3">
      <c r="A126" s="28" t="s">
        <v>3222</v>
      </c>
      <c r="B126" s="26">
        <v>46108</v>
      </c>
      <c r="C126" s="26">
        <v>46113</v>
      </c>
      <c r="D126" s="48">
        <v>3319</v>
      </c>
      <c r="E126" s="48">
        <v>327</v>
      </c>
      <c r="F126" s="28">
        <v>2</v>
      </c>
      <c r="G126" s="28">
        <v>1</v>
      </c>
      <c r="H126" s="28">
        <v>81778</v>
      </c>
      <c r="I126" s="28" t="s">
        <v>17</v>
      </c>
      <c r="J126" s="28">
        <v>22154189</v>
      </c>
      <c r="K126" s="28" t="s">
        <v>2311</v>
      </c>
      <c r="L126" t="s">
        <v>2320</v>
      </c>
      <c r="M126" s="37">
        <v>149900</v>
      </c>
      <c r="N126" s="81" t="s">
        <v>2826</v>
      </c>
      <c r="O126" s="37" t="s">
        <v>3221</v>
      </c>
      <c r="P126" s="28" t="s">
        <v>2826</v>
      </c>
    </row>
    <row r="127" spans="1:16" x14ac:dyDescent="0.3">
      <c r="A127" s="28" t="s">
        <v>3222</v>
      </c>
      <c r="B127" s="26">
        <v>46108</v>
      </c>
      <c r="C127" s="26">
        <v>46113</v>
      </c>
      <c r="D127" s="48">
        <v>3319</v>
      </c>
      <c r="E127" s="48">
        <v>327</v>
      </c>
      <c r="F127" s="28">
        <v>2</v>
      </c>
      <c r="G127" s="28">
        <v>1</v>
      </c>
      <c r="H127" s="28">
        <v>81778</v>
      </c>
      <c r="I127" s="28" t="s">
        <v>17</v>
      </c>
      <c r="J127" s="28">
        <v>22154198</v>
      </c>
      <c r="K127" s="28" t="s">
        <v>2311</v>
      </c>
      <c r="L127" t="s">
        <v>2321</v>
      </c>
      <c r="M127" s="37">
        <v>149900</v>
      </c>
      <c r="N127" s="81" t="s">
        <v>2826</v>
      </c>
      <c r="O127" s="37" t="s">
        <v>3221</v>
      </c>
      <c r="P127" s="28" t="s">
        <v>2826</v>
      </c>
    </row>
    <row r="128" spans="1:16" x14ac:dyDescent="0.3">
      <c r="A128" s="28" t="s">
        <v>3222</v>
      </c>
      <c r="B128" s="26">
        <v>46108</v>
      </c>
      <c r="C128" s="26">
        <v>46113</v>
      </c>
      <c r="D128" s="48">
        <v>3319</v>
      </c>
      <c r="E128" s="48">
        <v>327</v>
      </c>
      <c r="F128" s="28">
        <v>2</v>
      </c>
      <c r="G128" s="28">
        <v>1</v>
      </c>
      <c r="H128" s="28">
        <v>81778</v>
      </c>
      <c r="I128" s="28" t="s">
        <v>17</v>
      </c>
      <c r="J128" s="28">
        <v>22154205</v>
      </c>
      <c r="K128" s="28" t="s">
        <v>2311</v>
      </c>
      <c r="L128" t="s">
        <v>2322</v>
      </c>
      <c r="M128" s="37">
        <v>149900</v>
      </c>
      <c r="N128" s="81" t="s">
        <v>2826</v>
      </c>
      <c r="O128" s="37" t="s">
        <v>3221</v>
      </c>
      <c r="P128" s="28" t="s">
        <v>2826</v>
      </c>
    </row>
    <row r="129" spans="1:16" x14ac:dyDescent="0.3">
      <c r="A129" s="28" t="s">
        <v>3222</v>
      </c>
      <c r="B129" s="26">
        <v>46108</v>
      </c>
      <c r="C129" s="26">
        <v>46113</v>
      </c>
      <c r="D129" s="48">
        <v>3319</v>
      </c>
      <c r="E129" s="48">
        <v>327</v>
      </c>
      <c r="F129" s="28">
        <v>2</v>
      </c>
      <c r="G129" s="28">
        <v>1</v>
      </c>
      <c r="H129" s="28">
        <v>81778</v>
      </c>
      <c r="I129" s="28" t="s">
        <v>17</v>
      </c>
      <c r="J129" s="28">
        <v>22154214</v>
      </c>
      <c r="K129" s="28" t="s">
        <v>2311</v>
      </c>
      <c r="L129" t="s">
        <v>2323</v>
      </c>
      <c r="M129" s="37">
        <v>149900</v>
      </c>
      <c r="N129" s="81" t="s">
        <v>2826</v>
      </c>
      <c r="O129" s="37" t="s">
        <v>3221</v>
      </c>
      <c r="P129" s="28" t="s">
        <v>2826</v>
      </c>
    </row>
  </sheetData>
  <autoFilter ref="A1:Q1" xr:uid="{00000000-0001-0000-0900-000000000000}"/>
  <conditionalFormatting sqref="J1">
    <cfRule type="duplicateValues" dxfId="7" priority="2"/>
    <cfRule type="duplicateValues" dxfId="6" priority="3"/>
    <cfRule type="duplicateValues" dxfId="5" priority="4"/>
    <cfRule type="duplicateValues" dxfId="4" priority="5"/>
    <cfRule type="duplicateValues" dxfId="3" priority="6"/>
    <cfRule type="duplicateValues" dxfId="2" priority="7"/>
  </conditionalFormatting>
  <conditionalFormatting sqref="J1:J5 J11:J1048576">
    <cfRule type="duplicateValues" dxfId="1" priority="617"/>
  </conditionalFormatting>
  <conditionalFormatting sqref="J6:J10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ALL CROCS SANDALS SP20K</vt:lpstr>
      <vt:lpstr>2019 OLDER D95</vt:lpstr>
      <vt:lpstr>2020 D90</vt:lpstr>
      <vt:lpstr>2021 D90</vt:lpstr>
      <vt:lpstr>2022 D90</vt:lpstr>
      <vt:lpstr>2023 D90</vt:lpstr>
      <vt:lpstr>2024 HANGING B1 NORMAL, B2 100K</vt:lpstr>
      <vt:lpstr>2024 B1 NORMAL, B2 100K</vt:lpstr>
      <vt:lpstr>2025 H1 B1 NORMAL, B2 150K</vt:lpstr>
      <vt:lpstr>2025 Q3 SP 179K</vt:lpstr>
      <vt:lpstr>2025 Q4 SP 179K</vt:lpstr>
      <vt:lpstr>2025 Q4 BUY 3 D10</vt:lpstr>
      <vt:lpstr>2025 Q1 HANGING B2 100K</vt:lpstr>
      <vt:lpstr>2025 Q2 H2 HANGING B2 150K</vt:lpstr>
      <vt:lpstr>2026 Q1 BUY 3 D10</vt:lpstr>
      <vt:lpstr>2026 HANGING BUY 3 D10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OCTAVIA WIDJAYA</dc:creator>
  <cp:lastModifiedBy>Dewinta Citra Sugandha</cp:lastModifiedBy>
  <dcterms:created xsi:type="dcterms:W3CDTF">2024-04-05T08:18:32Z</dcterms:created>
  <dcterms:modified xsi:type="dcterms:W3CDTF">2026-03-26T04:40:46Z</dcterms:modified>
</cp:coreProperties>
</file>